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5" yWindow="-15" windowWidth="28830" windowHeight="14805"/>
  </bookViews>
  <sheets>
    <sheet name="Intro Checker" sheetId="10" r:id="rId1"/>
    <sheet name="RTA Manager" sheetId="4" state="hidden" r:id="rId2"/>
    <sheet name="Settings" sheetId="3" state="hidden" r:id="rId3"/>
    <sheet name="RTAimport" sheetId="5" state="hidden" r:id="rId4"/>
    <sheet name="PriorityLoad" sheetId="9" state="hidden" r:id="rId5"/>
    <sheet name="Report_reportMain" sheetId="7" state="hidden" r:id="rId6"/>
    <sheet name="Report_reportBlue" sheetId="11" state="hidden" r:id="rId7"/>
  </sheets>
  <functionGroups builtInGroupCount="17"/>
  <definedNames>
    <definedName name="_xlnm._FilterDatabase" localSheetId="1" hidden="1">'RTA Manager'!$A$1:$C$1</definedName>
    <definedName name="aisHide">'RTA Manager'!$F:$H</definedName>
    <definedName name="ATTRclass" localSheetId="6">Table1[Class]</definedName>
    <definedName name="ATTRclass">Table1[Class]</definedName>
    <definedName name="BuildNum">Settings!$Q$13</definedName>
    <definedName name="cFilt">Settings!$O$3</definedName>
    <definedName name="deptHide">'RTA Manager'!$K:$P,'RTA Manager'!$Q:$Q,'RTA Manager'!$S:$AJ,'RTA Manager'!$E:$E</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Settings!$D$29:$D$73</definedName>
    <definedName name="FullScreenMode">Settings!$Q$9</definedName>
    <definedName name="inProc">Settings!$O$9</definedName>
    <definedName name="my_Version">Settings!$Q$13</definedName>
    <definedName name="nameQuery">'RTA Manager'!$I$4</definedName>
    <definedName name="Permanent_Monitoring_Names" localSheetId="2" hidden="1">Settings!$C$29:$C$53</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Manager'!$E$6:$E$1487,'RTA Manager'!$I$6:$I$1487,'RTA Manager'!$K$6:$Q$1487,'RTA Manager'!$S$6:$W$1487,'RTA Manager'!$X:$X,'RTA Manager'!$Y:$Y,'RTA Manager'!$Z:$Z,'RTA Manager'!$X:$X,'RTA Manager'!$Y:$Y,'RTA Manager'!$Z:$Z,'RTA Manager'!$S:$W,'RTA Manager'!$S:$S,'RTA Manager'!$T:$T,'RTA Manager'!$U:$U,'RTA Manager'!$V:$V,'RTA Manager'!$W:$W,'RTA Manager'!$T:$T,'RTA Manager'!$T:$T,'RTA Manager'!$S:$S,'RTA Manager'!$S:$S,'RTA Manager'!$S:$S,'RTA Manager'!$U:$U,'RTA Manager'!$V:$V,'RTA Manager'!$S:$AA,'RTA Manager'!$U:$U,'RTA Manager'!$V:$V</definedName>
    <definedName name="PMtype">Settings!$D$3:$M$3</definedName>
    <definedName name="_xlnm.Print_Area" localSheetId="1">Main[#All]</definedName>
    <definedName name="reportBlue">'RTA Manager'!$E:$E,'RTA Manager'!$G:$G,'RTA Manager'!$H:$H,'RTA Manager'!$K:$Q,'RTA Manager'!$S:$AA</definedName>
    <definedName name="reportFormat">Settings!$O$15</definedName>
    <definedName name="reportMain">'RTA Manager'!$E:$E,'RTA Manager'!$G:$G,'RTA Manager'!$G:$G,'RTA Manager'!$G:$H,'RTA Manager'!$K:$Q,'RTA Manager'!$S:$AA</definedName>
    <definedName name="rtaDatesHide">'RTA Manager'!$G:$K,'RTA Manager'!$M:$P,'RTA Manager'!$S:$W,'RTA Manager'!$J:$J,'RTA Manager'!$X:$X,'RTA Manager'!$Y:$Y,'RTA Manager'!$Z:$Z,'RTA Manager'!$AA:$AA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Settings!$F$29:$F$39</definedName>
    <definedName name="sortCol">Settings!$O$11</definedName>
    <definedName name="sortOrder">Settings!$Q$11</definedName>
    <definedName name="Sstate">Settings!$D$24:$M$24</definedName>
    <definedName name="Stype">Settings!$D$21:$M$21</definedName>
    <definedName name="trackRtaHide">'RTA Manager'!$E:$H,'RTA Manager'!$K:$Q,'RTA Manager'!$S:$S,'RTA Manager'!$T:$T,'RTA Manager'!$V:$W,'RTA Manager'!$X:$X,'RTA Manager'!$R:$R,'RTA Manager'!$F:$F,'RTA Manager'!$Y:$AA,'RTA Manager'!$AA:$AA</definedName>
    <definedName name="Unique_Depts" localSheetId="2" hidden="1">Settings!$G$28:$G$40</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Manager'!$B$5:$AA$1487</definedName>
  </definedNames>
  <calcPr calcId="145621"/>
</workbook>
</file>

<file path=xl/calcChain.xml><?xml version="1.0" encoding="utf-8"?>
<calcChain xmlns="http://schemas.openxmlformats.org/spreadsheetml/2006/main">
  <c r="M134" i="4" l="1"/>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105"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75" i="4"/>
  <c r="M76"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51" i="4"/>
  <c r="M278" i="4"/>
  <c r="M279" i="4"/>
  <c r="M280" i="4"/>
  <c r="M281" i="4"/>
  <c r="M282" i="4"/>
  <c r="M283" i="4"/>
  <c r="M284" i="4"/>
  <c r="M285" i="4"/>
  <c r="M286" i="4"/>
  <c r="M287" i="4"/>
  <c r="M288" i="4"/>
  <c r="M289" i="4"/>
  <c r="M290" i="4"/>
  <c r="M291" i="4"/>
  <c r="M292" i="4"/>
  <c r="M293" i="4"/>
  <c r="M294" i="4"/>
  <c r="M295" i="4"/>
  <c r="M296" i="4"/>
  <c r="M297" i="4"/>
  <c r="M118"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6"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101" i="4"/>
  <c r="M419" i="4"/>
  <c r="M420" i="4"/>
  <c r="M421" i="4"/>
  <c r="M422" i="4"/>
  <c r="M423" i="4"/>
  <c r="M424" i="4"/>
  <c r="M425" i="4"/>
  <c r="M426" i="4"/>
  <c r="M6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84" i="4"/>
  <c r="M124" i="4"/>
  <c r="M88" i="4"/>
  <c r="M619" i="4"/>
  <c r="M620" i="4"/>
  <c r="M621" i="4"/>
  <c r="M622" i="4"/>
  <c r="M623" i="4"/>
  <c r="M624" i="4"/>
  <c r="M625" i="4"/>
  <c r="M626" i="4"/>
  <c r="M627" i="4"/>
  <c r="M116"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93"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106"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107" i="4"/>
  <c r="M34"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49"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7"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108"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78" i="4"/>
  <c r="M1002" i="4"/>
  <c r="M1003" i="4"/>
  <c r="M1004" i="4"/>
  <c r="M1005" i="4"/>
  <c r="M1006" i="4"/>
  <c r="M1007" i="4"/>
  <c r="M1008" i="4"/>
  <c r="M1009" i="4"/>
  <c r="M1010" i="4"/>
  <c r="M65"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8" i="4"/>
  <c r="M1067" i="4"/>
  <c r="M72" i="4"/>
  <c r="M1068" i="4"/>
  <c r="M1069" i="4"/>
  <c r="M1070" i="4"/>
  <c r="M1071" i="4"/>
  <c r="M1072" i="4"/>
  <c r="M52" i="4"/>
  <c r="M1073" i="4"/>
  <c r="M1074" i="4"/>
  <c r="M1075" i="4"/>
  <c r="M1076" i="4"/>
  <c r="M1077" i="4"/>
  <c r="M1078" i="4"/>
  <c r="M1079" i="4"/>
  <c r="M1080" i="4"/>
  <c r="M91" i="4"/>
  <c r="M1081" i="4"/>
  <c r="M1082" i="4"/>
  <c r="M15" i="4"/>
  <c r="M56" i="4"/>
  <c r="M1083" i="4"/>
  <c r="M1084" i="4"/>
  <c r="M1085" i="4"/>
  <c r="M1086" i="4"/>
  <c r="M1087" i="4"/>
  <c r="M1088" i="4"/>
  <c r="M1089" i="4"/>
  <c r="M1090" i="4"/>
  <c r="M1091" i="4"/>
  <c r="M1092" i="4"/>
  <c r="M1093" i="4"/>
  <c r="M1094" i="4"/>
  <c r="M1095" i="4"/>
  <c r="M1096" i="4"/>
  <c r="M1097" i="4"/>
  <c r="M1098" i="4"/>
  <c r="M1099" i="4"/>
  <c r="M50" i="4"/>
  <c r="M1100" i="4"/>
  <c r="M1101" i="4"/>
  <c r="M1102" i="4"/>
  <c r="M1103" i="4"/>
  <c r="M1104" i="4"/>
  <c r="M1105" i="4"/>
  <c r="M1106" i="4"/>
  <c r="M1107" i="4"/>
  <c r="M1108" i="4"/>
  <c r="M1109" i="4"/>
  <c r="M1110" i="4"/>
  <c r="M9" i="4"/>
  <c r="M1111" i="4"/>
  <c r="M1112" i="4"/>
  <c r="M1113" i="4"/>
  <c r="M1114" i="4"/>
  <c r="M1115" i="4"/>
  <c r="M1116" i="4"/>
  <c r="M1117" i="4"/>
  <c r="M1118" i="4"/>
  <c r="M1119" i="4"/>
  <c r="M1120" i="4"/>
  <c r="M1121" i="4"/>
  <c r="M1122" i="4"/>
  <c r="M1123" i="4"/>
  <c r="M1124" i="4"/>
  <c r="M1125" i="4"/>
  <c r="M1126" i="4"/>
  <c r="M1127" i="4"/>
  <c r="M1128" i="4"/>
  <c r="M1129" i="4"/>
  <c r="M1130" i="4"/>
  <c r="M1131" i="4"/>
  <c r="M98" i="4"/>
  <c r="M1132" i="4"/>
  <c r="M1133" i="4"/>
  <c r="M1134" i="4"/>
  <c r="M1135" i="4"/>
  <c r="M1136" i="4"/>
  <c r="M1137" i="4"/>
  <c r="M1138" i="4"/>
  <c r="M1139" i="4"/>
  <c r="M1140" i="4"/>
  <c r="M1141" i="4"/>
  <c r="M22"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1" i="4"/>
  <c r="M1176" i="4"/>
  <c r="M1177" i="4"/>
  <c r="M1178" i="4"/>
  <c r="M1179" i="4"/>
  <c r="M1180" i="4"/>
  <c r="M1181" i="4"/>
  <c r="M1182" i="4"/>
  <c r="M1183" i="4"/>
  <c r="M1184" i="4"/>
  <c r="M1185" i="4"/>
  <c r="M1186" i="4"/>
  <c r="M1187" i="4"/>
  <c r="M1188" i="4"/>
  <c r="M20" i="4"/>
  <c r="M1189" i="4"/>
  <c r="M1190" i="4"/>
  <c r="M1191" i="4"/>
  <c r="M1192" i="4"/>
  <c r="M1193" i="4"/>
  <c r="M1194" i="4"/>
  <c r="M1195" i="4"/>
  <c r="M1196" i="4"/>
  <c r="M1197" i="4"/>
  <c r="M1198" i="4"/>
  <c r="M1199" i="4"/>
  <c r="M1200" i="4"/>
  <c r="M1201" i="4"/>
  <c r="M1202" i="4"/>
  <c r="M1203" i="4"/>
  <c r="M1204" i="4"/>
  <c r="M1205" i="4"/>
  <c r="M1206" i="4"/>
  <c r="M1207" i="4"/>
  <c r="M23" i="4"/>
  <c r="M60" i="4"/>
  <c r="M1208" i="4"/>
  <c r="M1209" i="4"/>
  <c r="M1210" i="4"/>
  <c r="M1211" i="4"/>
  <c r="M1212" i="4"/>
  <c r="M1213" i="4"/>
  <c r="M1214" i="4"/>
  <c r="M1215" i="4"/>
  <c r="M1216" i="4"/>
  <c r="M1217" i="4"/>
  <c r="M1218" i="4"/>
  <c r="M1219" i="4"/>
  <c r="M1220" i="4"/>
  <c r="M1221" i="4"/>
  <c r="M1222" i="4"/>
  <c r="M1223" i="4"/>
  <c r="M1224" i="4"/>
  <c r="M1225" i="4"/>
  <c r="M1226" i="4"/>
  <c r="M1227" i="4"/>
  <c r="M1228" i="4"/>
  <c r="M1229" i="4"/>
  <c r="M1230" i="4"/>
  <c r="M1231" i="4"/>
  <c r="M1232" i="4"/>
  <c r="M1233" i="4"/>
  <c r="M1234" i="4"/>
  <c r="M79" i="4"/>
  <c r="M1235" i="4"/>
  <c r="M1236" i="4"/>
  <c r="M1237" i="4"/>
  <c r="M1238" i="4"/>
  <c r="M1239" i="4"/>
  <c r="M132"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 i="4"/>
  <c r="M1264" i="4"/>
  <c r="M1265" i="4"/>
  <c r="M1266" i="4"/>
  <c r="M1267" i="4"/>
  <c r="M1268" i="4"/>
  <c r="M1269" i="4"/>
  <c r="M1270" i="4"/>
  <c r="M1271" i="4"/>
  <c r="M1272" i="4"/>
  <c r="M1273" i="4"/>
  <c r="M1274" i="4"/>
  <c r="M1275" i="4"/>
  <c r="M42" i="4"/>
  <c r="M45" i="4"/>
  <c r="M1276" i="4"/>
  <c r="M1277" i="4"/>
  <c r="M1278" i="4"/>
  <c r="M31" i="4"/>
  <c r="M1279" i="4"/>
  <c r="M1280" i="4"/>
  <c r="M1281" i="4"/>
  <c r="M1282" i="4"/>
  <c r="M1283" i="4"/>
  <c r="M1284" i="4"/>
  <c r="M1285" i="4"/>
  <c r="M1286" i="4"/>
  <c r="M122" i="4"/>
  <c r="M73" i="4"/>
  <c r="M102" i="4"/>
  <c r="M109" i="4"/>
  <c r="M1287" i="4"/>
  <c r="M1288" i="4"/>
  <c r="M1289" i="4"/>
  <c r="M1290" i="4"/>
  <c r="M1291" i="4"/>
  <c r="M1292" i="4"/>
  <c r="M1293" i="4"/>
  <c r="M1294" i="4"/>
  <c r="M1295" i="4"/>
  <c r="M1296" i="4"/>
  <c r="M1297" i="4"/>
  <c r="M1298" i="4"/>
  <c r="M1299" i="4"/>
  <c r="M1300" i="4"/>
  <c r="M1301" i="4"/>
  <c r="M1302" i="4"/>
  <c r="M1303" i="4"/>
  <c r="M1304" i="4"/>
  <c r="M1305" i="4"/>
  <c r="M1306" i="4"/>
  <c r="M43" i="4"/>
  <c r="M1307" i="4"/>
  <c r="M1308" i="4"/>
  <c r="M1309" i="4"/>
  <c r="M1310" i="4"/>
  <c r="M1311" i="4"/>
  <c r="M1312" i="4"/>
  <c r="M1313" i="4"/>
  <c r="M1314" i="4"/>
  <c r="M1315" i="4"/>
  <c r="M1316" i="4"/>
  <c r="M1317" i="4"/>
  <c r="M16" i="4"/>
  <c r="M1318" i="4"/>
  <c r="M1319" i="4"/>
  <c r="M1320" i="4"/>
  <c r="M1321" i="4"/>
  <c r="M1322" i="4"/>
  <c r="M1323" i="4"/>
  <c r="M1324" i="4"/>
  <c r="M1325" i="4"/>
  <c r="M1326" i="4"/>
  <c r="M1327" i="4"/>
  <c r="M114" i="4"/>
  <c r="M1328" i="4"/>
  <c r="M1329" i="4"/>
  <c r="M1330" i="4"/>
  <c r="M1331" i="4"/>
  <c r="M1332" i="4"/>
  <c r="M1333" i="4"/>
  <c r="M1334" i="4"/>
  <c r="M1335" i="4"/>
  <c r="M1336" i="4"/>
  <c r="M1337" i="4"/>
  <c r="M1338" i="4"/>
  <c r="M1339" i="4"/>
  <c r="M1340" i="4"/>
  <c r="M1341" i="4"/>
  <c r="M1342" i="4"/>
  <c r="M1343" i="4"/>
  <c r="M1344" i="4"/>
  <c r="M1345" i="4"/>
  <c r="M1346" i="4"/>
  <c r="M1347" i="4"/>
  <c r="M1348" i="4"/>
  <c r="M1349" i="4"/>
  <c r="M53" i="4"/>
  <c r="M1350" i="4"/>
  <c r="M1351" i="4"/>
  <c r="M120" i="4"/>
  <c r="M1352" i="4"/>
  <c r="M1353" i="4"/>
  <c r="M1354" i="4"/>
  <c r="M1355" i="4"/>
  <c r="M1356" i="4"/>
  <c r="M1357" i="4"/>
  <c r="M1358" i="4"/>
  <c r="M1359" i="4"/>
  <c r="M1360" i="4"/>
  <c r="M1361" i="4"/>
  <c r="M1362" i="4"/>
  <c r="M1363" i="4"/>
  <c r="M1364" i="4"/>
  <c r="M1365" i="4"/>
  <c r="M1366" i="4"/>
  <c r="M1367" i="4"/>
  <c r="M1368" i="4"/>
  <c r="M104" i="4"/>
  <c r="M1369" i="4"/>
  <c r="M86" i="4"/>
  <c r="M1370" i="4"/>
  <c r="M1371" i="4"/>
  <c r="M1372" i="4"/>
  <c r="M1373" i="4"/>
  <c r="M1374" i="4"/>
  <c r="M1375" i="4"/>
  <c r="M1376" i="4"/>
  <c r="M1377" i="4"/>
  <c r="M1378" i="4"/>
  <c r="M1379" i="4"/>
  <c r="M1380" i="4"/>
  <c r="M1381" i="4"/>
  <c r="M1382" i="4"/>
  <c r="M1383" i="4"/>
  <c r="M1384" i="4"/>
  <c r="M1385" i="4"/>
  <c r="M1386" i="4"/>
  <c r="M1387" i="4"/>
  <c r="M1388" i="4"/>
  <c r="M1389" i="4"/>
  <c r="M1390" i="4"/>
  <c r="M1391" i="4"/>
  <c r="M1392" i="4"/>
  <c r="M1393" i="4"/>
  <c r="M1394" i="4"/>
  <c r="M1395" i="4"/>
  <c r="M1396" i="4"/>
  <c r="M1397" i="4"/>
  <c r="M1398" i="4"/>
  <c r="M1399" i="4"/>
  <c r="M1400" i="4"/>
  <c r="M1401" i="4"/>
  <c r="M1402" i="4"/>
  <c r="M1403" i="4"/>
  <c r="M1404" i="4"/>
  <c r="M1405" i="4"/>
  <c r="M1406" i="4"/>
  <c r="M1407" i="4"/>
  <c r="M1408" i="4"/>
  <c r="M1409" i="4"/>
  <c r="M1410" i="4"/>
  <c r="M1411" i="4"/>
  <c r="M1412" i="4"/>
  <c r="M1413" i="4"/>
  <c r="M1414" i="4"/>
  <c r="M1415" i="4"/>
  <c r="M1416" i="4"/>
  <c r="M1417" i="4"/>
  <c r="M1418" i="4"/>
  <c r="M1419" i="4"/>
  <c r="M1420" i="4"/>
  <c r="M127" i="4"/>
  <c r="M1421" i="4"/>
  <c r="M1422" i="4"/>
  <c r="M1423" i="4"/>
  <c r="M1424" i="4"/>
  <c r="M1425" i="4"/>
  <c r="M10" i="4"/>
  <c r="M1426" i="4"/>
  <c r="M1427" i="4"/>
  <c r="M1428" i="4"/>
  <c r="M14" i="4"/>
  <c r="M1429" i="4"/>
  <c r="M1430" i="4"/>
  <c r="M1431" i="4"/>
  <c r="M130" i="4"/>
  <c r="M128" i="4"/>
  <c r="M1432" i="4"/>
  <c r="M1433" i="4"/>
  <c r="M94" i="4"/>
  <c r="M1434" i="4"/>
  <c r="M54" i="4"/>
  <c r="M1435" i="4"/>
  <c r="M17" i="4"/>
  <c r="M95" i="4"/>
  <c r="M1436" i="4"/>
  <c r="M1437" i="4"/>
  <c r="M1438" i="4"/>
  <c r="M67" i="4"/>
  <c r="M36" i="4"/>
  <c r="M1439" i="4"/>
  <c r="M1440" i="4"/>
  <c r="M1441" i="4"/>
  <c r="M61" i="4"/>
  <c r="M123" i="4"/>
  <c r="M125" i="4"/>
  <c r="M1442" i="4"/>
  <c r="M121" i="4"/>
  <c r="M119" i="4"/>
  <c r="M97" i="4"/>
  <c r="M24" i="4"/>
  <c r="M1443" i="4"/>
  <c r="M1444" i="4"/>
  <c r="M1445" i="4"/>
  <c r="M1446" i="4"/>
  <c r="M1447" i="4"/>
  <c r="M99" i="4"/>
  <c r="M1448" i="4"/>
  <c r="M1449" i="4"/>
  <c r="M1450" i="4"/>
  <c r="M1451" i="4"/>
  <c r="M1452" i="4"/>
  <c r="M1453" i="4"/>
  <c r="M1454" i="4"/>
  <c r="M1455" i="4"/>
  <c r="M1456" i="4"/>
  <c r="M11" i="4"/>
  <c r="M18" i="4"/>
  <c r="M68" i="4"/>
  <c r="M1457" i="4"/>
  <c r="M1458" i="4"/>
  <c r="M12" i="4"/>
  <c r="M1459" i="4"/>
  <c r="M21" i="4"/>
  <c r="M1460" i="4"/>
  <c r="M131" i="4"/>
  <c r="M1461" i="4"/>
  <c r="M1462" i="4"/>
  <c r="M39" i="4"/>
  <c r="M1463" i="4"/>
  <c r="M1464" i="4"/>
  <c r="M80" i="4"/>
  <c r="M1465" i="4"/>
  <c r="M1466" i="4"/>
  <c r="M1467" i="4"/>
  <c r="M1468" i="4"/>
  <c r="M100" i="4"/>
  <c r="M1469" i="4"/>
  <c r="M26" i="4"/>
  <c r="M1470" i="4"/>
  <c r="M1471" i="4"/>
  <c r="M1472" i="4"/>
  <c r="M113" i="4"/>
  <c r="M57" i="4"/>
  <c r="M63" i="4"/>
  <c r="M13" i="4"/>
  <c r="M83" i="4"/>
  <c r="M1473" i="4"/>
  <c r="M44" i="4"/>
  <c r="M29" i="4"/>
  <c r="M110" i="4"/>
  <c r="M129" i="4"/>
  <c r="M27" i="4"/>
  <c r="M112" i="4"/>
  <c r="M69" i="4"/>
  <c r="M133" i="4"/>
  <c r="M55" i="4"/>
  <c r="M19" i="4"/>
  <c r="M58" i="4"/>
  <c r="M32" i="4"/>
  <c r="M1474" i="4"/>
  <c r="M28" i="4"/>
  <c r="M25" i="4"/>
  <c r="M30" i="4"/>
  <c r="M1475" i="4"/>
  <c r="M59" i="4"/>
  <c r="M40" i="4"/>
  <c r="M89" i="4"/>
  <c r="M1476" i="4"/>
  <c r="M1477" i="4"/>
  <c r="M1478" i="4"/>
  <c r="M117" i="4"/>
  <c r="M62" i="4"/>
  <c r="M70" i="4"/>
  <c r="M77" i="4"/>
  <c r="M71" i="4"/>
  <c r="M81" i="4"/>
  <c r="M33" i="4"/>
  <c r="M1479" i="4"/>
  <c r="M74" i="4"/>
  <c r="M92" i="4"/>
  <c r="M37" i="4"/>
  <c r="M85" i="4"/>
  <c r="M90" i="4"/>
  <c r="M35" i="4"/>
  <c r="M87" i="4"/>
  <c r="M96" i="4"/>
  <c r="M103" i="4"/>
  <c r="M48" i="4"/>
  <c r="M64" i="4"/>
  <c r="M82" i="4"/>
  <c r="M115" i="4"/>
  <c r="M1480" i="4"/>
  <c r="M1481" i="4"/>
  <c r="M46" i="4"/>
  <c r="M1482" i="4"/>
  <c r="M1483" i="4"/>
  <c r="M38" i="4"/>
  <c r="M1484" i="4"/>
  <c r="M1485" i="4"/>
  <c r="M1486" i="4"/>
  <c r="M47" i="4"/>
  <c r="M1487" i="4"/>
  <c r="M41"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105"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75" i="4"/>
  <c r="N76"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51" i="4"/>
  <c r="N278" i="4"/>
  <c r="N279" i="4"/>
  <c r="N280" i="4"/>
  <c r="N281" i="4"/>
  <c r="N282" i="4"/>
  <c r="N283" i="4"/>
  <c r="N284" i="4"/>
  <c r="N285" i="4"/>
  <c r="N286" i="4"/>
  <c r="N287" i="4"/>
  <c r="N288" i="4"/>
  <c r="N289" i="4"/>
  <c r="N290" i="4"/>
  <c r="N291" i="4"/>
  <c r="N292" i="4"/>
  <c r="N293" i="4"/>
  <c r="N294" i="4"/>
  <c r="N295" i="4"/>
  <c r="N296" i="4"/>
  <c r="N297" i="4"/>
  <c r="N118"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6"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101" i="4"/>
  <c r="N419" i="4"/>
  <c r="N420" i="4"/>
  <c r="N421" i="4"/>
  <c r="N422" i="4"/>
  <c r="N423" i="4"/>
  <c r="N424" i="4"/>
  <c r="N425" i="4"/>
  <c r="N426" i="4"/>
  <c r="N6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84" i="4"/>
  <c r="N124" i="4"/>
  <c r="N88" i="4"/>
  <c r="N619" i="4"/>
  <c r="N620" i="4"/>
  <c r="N621" i="4"/>
  <c r="N622" i="4"/>
  <c r="N623" i="4"/>
  <c r="N624" i="4"/>
  <c r="N625" i="4"/>
  <c r="N626" i="4"/>
  <c r="N627" i="4"/>
  <c r="N116"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93"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106"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107" i="4"/>
  <c r="N34"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49"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7"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108"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N1001" i="4"/>
  <c r="N78" i="4"/>
  <c r="N1002" i="4"/>
  <c r="N1003" i="4"/>
  <c r="N1004" i="4"/>
  <c r="N1005" i="4"/>
  <c r="N1006" i="4"/>
  <c r="N1007" i="4"/>
  <c r="N1008" i="4"/>
  <c r="N1009" i="4"/>
  <c r="N1010" i="4"/>
  <c r="N65"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1051" i="4"/>
  <c r="N1052" i="4"/>
  <c r="N1053" i="4"/>
  <c r="N1054" i="4"/>
  <c r="N1055" i="4"/>
  <c r="N1056" i="4"/>
  <c r="N1057" i="4"/>
  <c r="N1058" i="4"/>
  <c r="N1059" i="4"/>
  <c r="N1060" i="4"/>
  <c r="N1061" i="4"/>
  <c r="N1062" i="4"/>
  <c r="N1063" i="4"/>
  <c r="N1064" i="4"/>
  <c r="N1065" i="4"/>
  <c r="N1066" i="4"/>
  <c r="N8" i="4"/>
  <c r="N1067" i="4"/>
  <c r="N72" i="4"/>
  <c r="N1068" i="4"/>
  <c r="N1069" i="4"/>
  <c r="N1070" i="4"/>
  <c r="N1071" i="4"/>
  <c r="N1072" i="4"/>
  <c r="N52" i="4"/>
  <c r="N1073" i="4"/>
  <c r="N1074" i="4"/>
  <c r="N1075" i="4"/>
  <c r="N1076" i="4"/>
  <c r="N1077" i="4"/>
  <c r="N1078" i="4"/>
  <c r="N1079" i="4"/>
  <c r="N1080" i="4"/>
  <c r="N91" i="4"/>
  <c r="N1081" i="4"/>
  <c r="N1082" i="4"/>
  <c r="N15" i="4"/>
  <c r="N56" i="4"/>
  <c r="N1083" i="4"/>
  <c r="N1084" i="4"/>
  <c r="N1085" i="4"/>
  <c r="N1086" i="4"/>
  <c r="N1087" i="4"/>
  <c r="N1088" i="4"/>
  <c r="N1089" i="4"/>
  <c r="N1090" i="4"/>
  <c r="N1091" i="4"/>
  <c r="N1092" i="4"/>
  <c r="N1093" i="4"/>
  <c r="N1094" i="4"/>
  <c r="N1095" i="4"/>
  <c r="N1096" i="4"/>
  <c r="N1097" i="4"/>
  <c r="N1098" i="4"/>
  <c r="N1099" i="4"/>
  <c r="N50" i="4"/>
  <c r="N1100" i="4"/>
  <c r="N1101" i="4"/>
  <c r="N1102" i="4"/>
  <c r="N1103" i="4"/>
  <c r="N1104" i="4"/>
  <c r="N1105" i="4"/>
  <c r="N1106" i="4"/>
  <c r="N1107" i="4"/>
  <c r="N1108" i="4"/>
  <c r="N1109" i="4"/>
  <c r="N1110" i="4"/>
  <c r="N9" i="4"/>
  <c r="N1111" i="4"/>
  <c r="N1112" i="4"/>
  <c r="N1113" i="4"/>
  <c r="N1114" i="4"/>
  <c r="N1115" i="4"/>
  <c r="N1116" i="4"/>
  <c r="N1117" i="4"/>
  <c r="N1118" i="4"/>
  <c r="N1119" i="4"/>
  <c r="N1120" i="4"/>
  <c r="N1121" i="4"/>
  <c r="N1122" i="4"/>
  <c r="N1123" i="4"/>
  <c r="N1124" i="4"/>
  <c r="N1125" i="4"/>
  <c r="N1126" i="4"/>
  <c r="N1127" i="4"/>
  <c r="N1128" i="4"/>
  <c r="N1129" i="4"/>
  <c r="N1130" i="4"/>
  <c r="N1131" i="4"/>
  <c r="N98" i="4"/>
  <c r="N1132" i="4"/>
  <c r="N1133" i="4"/>
  <c r="N1134" i="4"/>
  <c r="N1135" i="4"/>
  <c r="N1136" i="4"/>
  <c r="N1137" i="4"/>
  <c r="N1138" i="4"/>
  <c r="N1139" i="4"/>
  <c r="N1140" i="4"/>
  <c r="N1141" i="4"/>
  <c r="N22" i="4"/>
  <c r="N1142"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1166" i="4"/>
  <c r="N1167" i="4"/>
  <c r="N1168" i="4"/>
  <c r="N1169" i="4"/>
  <c r="N1170" i="4"/>
  <c r="N1171" i="4"/>
  <c r="N1172" i="4"/>
  <c r="N1173" i="4"/>
  <c r="N1174" i="4"/>
  <c r="N1175" i="4"/>
  <c r="N111" i="4"/>
  <c r="N1176" i="4"/>
  <c r="N1177" i="4"/>
  <c r="N1178" i="4"/>
  <c r="N1179" i="4"/>
  <c r="N1180" i="4"/>
  <c r="N1181" i="4"/>
  <c r="N1182" i="4"/>
  <c r="N1183" i="4"/>
  <c r="N1184" i="4"/>
  <c r="N1185" i="4"/>
  <c r="N1186" i="4"/>
  <c r="N1187" i="4"/>
  <c r="N1188" i="4"/>
  <c r="N20" i="4"/>
  <c r="N1189" i="4"/>
  <c r="N1190" i="4"/>
  <c r="N1191" i="4"/>
  <c r="N1192" i="4"/>
  <c r="N1193" i="4"/>
  <c r="N1194" i="4"/>
  <c r="N1195" i="4"/>
  <c r="N1196" i="4"/>
  <c r="N1197" i="4"/>
  <c r="N1198" i="4"/>
  <c r="N1199" i="4"/>
  <c r="N1200" i="4"/>
  <c r="N1201" i="4"/>
  <c r="N1202" i="4"/>
  <c r="N1203" i="4"/>
  <c r="N1204" i="4"/>
  <c r="N1205" i="4"/>
  <c r="N1206" i="4"/>
  <c r="N1207" i="4"/>
  <c r="N23" i="4"/>
  <c r="N60" i="4"/>
  <c r="N1208" i="4"/>
  <c r="N1209" i="4"/>
  <c r="N1210" i="4"/>
  <c r="N1211" i="4"/>
  <c r="N1212" i="4"/>
  <c r="N1213" i="4"/>
  <c r="N1214" i="4"/>
  <c r="N1215" i="4"/>
  <c r="N1216" i="4"/>
  <c r="N1217" i="4"/>
  <c r="N1218" i="4"/>
  <c r="N1219" i="4"/>
  <c r="N1220" i="4"/>
  <c r="N1221" i="4"/>
  <c r="N1222" i="4"/>
  <c r="N1223" i="4"/>
  <c r="N1224" i="4"/>
  <c r="N1225" i="4"/>
  <c r="N1226" i="4"/>
  <c r="N1227" i="4"/>
  <c r="N1228" i="4"/>
  <c r="N1229" i="4"/>
  <c r="N1230" i="4"/>
  <c r="N1231" i="4"/>
  <c r="N1232" i="4"/>
  <c r="N1233" i="4"/>
  <c r="N1234" i="4"/>
  <c r="N79" i="4"/>
  <c r="N1235" i="4"/>
  <c r="N1236" i="4"/>
  <c r="N1237" i="4"/>
  <c r="N1238" i="4"/>
  <c r="N1239" i="4"/>
  <c r="N132" i="4"/>
  <c r="N1240" i="4"/>
  <c r="N1241" i="4"/>
  <c r="N1242" i="4"/>
  <c r="N1243" i="4"/>
  <c r="N1244" i="4"/>
  <c r="N1245" i="4"/>
  <c r="N1246" i="4"/>
  <c r="N1247" i="4"/>
  <c r="N1248" i="4"/>
  <c r="N1249" i="4"/>
  <c r="N1250" i="4"/>
  <c r="N1251" i="4"/>
  <c r="N1252" i="4"/>
  <c r="N1253" i="4"/>
  <c r="N1254" i="4"/>
  <c r="N1255" i="4"/>
  <c r="N1256" i="4"/>
  <c r="N1257" i="4"/>
  <c r="N1258" i="4"/>
  <c r="N1259" i="4"/>
  <c r="N1260" i="4"/>
  <c r="N1261" i="4"/>
  <c r="N1262" i="4"/>
  <c r="N1263" i="4"/>
  <c r="N126" i="4"/>
  <c r="N1264" i="4"/>
  <c r="N1265" i="4"/>
  <c r="N1266" i="4"/>
  <c r="N1267" i="4"/>
  <c r="N1268" i="4"/>
  <c r="N1269" i="4"/>
  <c r="N1270" i="4"/>
  <c r="N1271" i="4"/>
  <c r="N1272" i="4"/>
  <c r="N1273" i="4"/>
  <c r="N1274" i="4"/>
  <c r="N1275" i="4"/>
  <c r="N42" i="4"/>
  <c r="N45" i="4"/>
  <c r="N1276" i="4"/>
  <c r="N1277" i="4"/>
  <c r="N1278" i="4"/>
  <c r="N31" i="4"/>
  <c r="N1279" i="4"/>
  <c r="N1280" i="4"/>
  <c r="N1281" i="4"/>
  <c r="N1282" i="4"/>
  <c r="N1283" i="4"/>
  <c r="N1284" i="4"/>
  <c r="N1285" i="4"/>
  <c r="N1286" i="4"/>
  <c r="N122" i="4"/>
  <c r="N73" i="4"/>
  <c r="N102" i="4"/>
  <c r="N109" i="4"/>
  <c r="N1287" i="4"/>
  <c r="N1288" i="4"/>
  <c r="N1289" i="4"/>
  <c r="N1290" i="4"/>
  <c r="N1291" i="4"/>
  <c r="N1292" i="4"/>
  <c r="N1293" i="4"/>
  <c r="N1294" i="4"/>
  <c r="N1295" i="4"/>
  <c r="N1296" i="4"/>
  <c r="N1297" i="4"/>
  <c r="N1298" i="4"/>
  <c r="N1299" i="4"/>
  <c r="N1300" i="4"/>
  <c r="N1301" i="4"/>
  <c r="N1302" i="4"/>
  <c r="N1303" i="4"/>
  <c r="N1304" i="4"/>
  <c r="N1305" i="4"/>
  <c r="N1306" i="4"/>
  <c r="N43" i="4"/>
  <c r="N1307" i="4"/>
  <c r="N1308" i="4"/>
  <c r="N1309" i="4"/>
  <c r="N1310" i="4"/>
  <c r="N1311" i="4"/>
  <c r="N1312" i="4"/>
  <c r="N1313" i="4"/>
  <c r="N1314" i="4"/>
  <c r="N1315" i="4"/>
  <c r="N1316" i="4"/>
  <c r="N1317" i="4"/>
  <c r="N16" i="4"/>
  <c r="N1318" i="4"/>
  <c r="N1319" i="4"/>
  <c r="N1320" i="4"/>
  <c r="N1321" i="4"/>
  <c r="N1322" i="4"/>
  <c r="N1323" i="4"/>
  <c r="N1324" i="4"/>
  <c r="N1325" i="4"/>
  <c r="N1326" i="4"/>
  <c r="N1327" i="4"/>
  <c r="N114" i="4"/>
  <c r="N1328" i="4"/>
  <c r="N1329" i="4"/>
  <c r="N1330" i="4"/>
  <c r="N1331" i="4"/>
  <c r="N1332" i="4"/>
  <c r="N1333" i="4"/>
  <c r="N1334" i="4"/>
  <c r="N1335" i="4"/>
  <c r="N1336" i="4"/>
  <c r="N1337" i="4"/>
  <c r="N1338" i="4"/>
  <c r="N1339" i="4"/>
  <c r="N1340" i="4"/>
  <c r="N1341" i="4"/>
  <c r="N1342" i="4"/>
  <c r="N1343" i="4"/>
  <c r="N1344" i="4"/>
  <c r="N1345" i="4"/>
  <c r="N1346" i="4"/>
  <c r="N1347" i="4"/>
  <c r="N1348" i="4"/>
  <c r="N1349" i="4"/>
  <c r="N53" i="4"/>
  <c r="N1350" i="4"/>
  <c r="N1351" i="4"/>
  <c r="N120" i="4"/>
  <c r="N1352" i="4"/>
  <c r="N1353" i="4"/>
  <c r="N1354" i="4"/>
  <c r="N1355" i="4"/>
  <c r="N1356" i="4"/>
  <c r="N1357" i="4"/>
  <c r="N1358" i="4"/>
  <c r="N1359" i="4"/>
  <c r="N1360" i="4"/>
  <c r="N1361" i="4"/>
  <c r="N1362" i="4"/>
  <c r="N1363" i="4"/>
  <c r="N1364" i="4"/>
  <c r="N1365" i="4"/>
  <c r="N1366" i="4"/>
  <c r="N1367" i="4"/>
  <c r="N1368" i="4"/>
  <c r="N104" i="4"/>
  <c r="N1369" i="4"/>
  <c r="N86" i="4"/>
  <c r="N1370" i="4"/>
  <c r="N1371" i="4"/>
  <c r="N1372" i="4"/>
  <c r="N1373" i="4"/>
  <c r="N1374" i="4"/>
  <c r="N1375" i="4"/>
  <c r="N1376" i="4"/>
  <c r="N1377" i="4"/>
  <c r="N1378" i="4"/>
  <c r="N1379" i="4"/>
  <c r="N1380" i="4"/>
  <c r="N1381" i="4"/>
  <c r="N1382" i="4"/>
  <c r="N1383" i="4"/>
  <c r="N1384" i="4"/>
  <c r="N1385" i="4"/>
  <c r="N1386" i="4"/>
  <c r="N1387" i="4"/>
  <c r="N1388" i="4"/>
  <c r="N1389" i="4"/>
  <c r="N1390" i="4"/>
  <c r="N1391" i="4"/>
  <c r="N1392" i="4"/>
  <c r="N1393" i="4"/>
  <c r="N1394" i="4"/>
  <c r="N1395" i="4"/>
  <c r="N1396" i="4"/>
  <c r="N1397" i="4"/>
  <c r="N1398" i="4"/>
  <c r="N1399" i="4"/>
  <c r="N1400" i="4"/>
  <c r="N1401" i="4"/>
  <c r="N1402" i="4"/>
  <c r="N1403" i="4"/>
  <c r="N1404" i="4"/>
  <c r="N1405" i="4"/>
  <c r="N1406" i="4"/>
  <c r="N1407" i="4"/>
  <c r="N1408" i="4"/>
  <c r="N1409" i="4"/>
  <c r="N1410" i="4"/>
  <c r="N1411" i="4"/>
  <c r="N1412" i="4"/>
  <c r="N1413" i="4"/>
  <c r="N1414" i="4"/>
  <c r="N1415" i="4"/>
  <c r="N1416" i="4"/>
  <c r="N1417" i="4"/>
  <c r="N1418" i="4"/>
  <c r="N1419" i="4"/>
  <c r="N1420" i="4"/>
  <c r="N127" i="4"/>
  <c r="N1421" i="4"/>
  <c r="N1422" i="4"/>
  <c r="N1423" i="4"/>
  <c r="N1424" i="4"/>
  <c r="N1425" i="4"/>
  <c r="N10" i="4"/>
  <c r="N1426" i="4"/>
  <c r="N1427" i="4"/>
  <c r="N1428" i="4"/>
  <c r="N14" i="4"/>
  <c r="N1429" i="4"/>
  <c r="N1430" i="4"/>
  <c r="N1431" i="4"/>
  <c r="N130" i="4"/>
  <c r="N128" i="4"/>
  <c r="N1432" i="4"/>
  <c r="N1433" i="4"/>
  <c r="N94" i="4"/>
  <c r="N1434" i="4"/>
  <c r="N54" i="4"/>
  <c r="N1435" i="4"/>
  <c r="N17" i="4"/>
  <c r="N95" i="4"/>
  <c r="N1436" i="4"/>
  <c r="N1437" i="4"/>
  <c r="N1438" i="4"/>
  <c r="N67" i="4"/>
  <c r="N36" i="4"/>
  <c r="N1439" i="4"/>
  <c r="N1440" i="4"/>
  <c r="N1441" i="4"/>
  <c r="N61" i="4"/>
  <c r="N123" i="4"/>
  <c r="N125" i="4"/>
  <c r="N1442" i="4"/>
  <c r="N121" i="4"/>
  <c r="N119" i="4"/>
  <c r="N97" i="4"/>
  <c r="N24" i="4"/>
  <c r="N1443" i="4"/>
  <c r="N1444" i="4"/>
  <c r="N1445" i="4"/>
  <c r="N1446" i="4"/>
  <c r="N1447" i="4"/>
  <c r="N99" i="4"/>
  <c r="N1448" i="4"/>
  <c r="N1449" i="4"/>
  <c r="N1450" i="4"/>
  <c r="N1451" i="4"/>
  <c r="N1452" i="4"/>
  <c r="N1453" i="4"/>
  <c r="N1454" i="4"/>
  <c r="N1455" i="4"/>
  <c r="N1456" i="4"/>
  <c r="N11" i="4"/>
  <c r="N18" i="4"/>
  <c r="N68" i="4"/>
  <c r="N1457" i="4"/>
  <c r="N1458" i="4"/>
  <c r="N12" i="4"/>
  <c r="N1459" i="4"/>
  <c r="N21" i="4"/>
  <c r="N1460" i="4"/>
  <c r="N131" i="4"/>
  <c r="N1461" i="4"/>
  <c r="N1462" i="4"/>
  <c r="N39" i="4"/>
  <c r="N1463" i="4"/>
  <c r="N1464" i="4"/>
  <c r="N80" i="4"/>
  <c r="N1465" i="4"/>
  <c r="N1466" i="4"/>
  <c r="N1467" i="4"/>
  <c r="N1468" i="4"/>
  <c r="N100" i="4"/>
  <c r="N1469" i="4"/>
  <c r="N26" i="4"/>
  <c r="N1470" i="4"/>
  <c r="N1471" i="4"/>
  <c r="N1472" i="4"/>
  <c r="N113" i="4"/>
  <c r="N57" i="4"/>
  <c r="N63" i="4"/>
  <c r="N13" i="4"/>
  <c r="N83" i="4"/>
  <c r="N1473" i="4"/>
  <c r="N44" i="4"/>
  <c r="N29" i="4"/>
  <c r="N110" i="4"/>
  <c r="N129" i="4"/>
  <c r="N27" i="4"/>
  <c r="N112" i="4"/>
  <c r="N69" i="4"/>
  <c r="N133" i="4"/>
  <c r="N55" i="4"/>
  <c r="N19" i="4"/>
  <c r="N58" i="4"/>
  <c r="N32" i="4"/>
  <c r="N1474" i="4"/>
  <c r="N28" i="4"/>
  <c r="N25" i="4"/>
  <c r="N30" i="4"/>
  <c r="N1475" i="4"/>
  <c r="N59" i="4"/>
  <c r="N40" i="4"/>
  <c r="N89" i="4"/>
  <c r="N1476" i="4"/>
  <c r="N1477" i="4"/>
  <c r="N1478" i="4"/>
  <c r="N117" i="4"/>
  <c r="N62" i="4"/>
  <c r="N70" i="4"/>
  <c r="N77" i="4"/>
  <c r="N71" i="4"/>
  <c r="N81" i="4"/>
  <c r="N33" i="4"/>
  <c r="N1479" i="4"/>
  <c r="N74" i="4"/>
  <c r="N92" i="4"/>
  <c r="N37" i="4"/>
  <c r="N85" i="4"/>
  <c r="N90" i="4"/>
  <c r="N35" i="4"/>
  <c r="N87" i="4"/>
  <c r="N96" i="4"/>
  <c r="N103" i="4"/>
  <c r="N48" i="4"/>
  <c r="N64" i="4"/>
  <c r="N82" i="4"/>
  <c r="N115" i="4"/>
  <c r="N1480" i="4"/>
  <c r="N1481" i="4"/>
  <c r="N46" i="4"/>
  <c r="N1482" i="4"/>
  <c r="N1483" i="4"/>
  <c r="N38" i="4"/>
  <c r="N1484" i="4"/>
  <c r="N1485" i="4"/>
  <c r="N1486" i="4"/>
  <c r="N47" i="4"/>
  <c r="N1487" i="4"/>
  <c r="N41"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105"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75" i="4"/>
  <c r="O76"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51" i="4"/>
  <c r="O278" i="4"/>
  <c r="O279" i="4"/>
  <c r="O280" i="4"/>
  <c r="O281" i="4"/>
  <c r="O282" i="4"/>
  <c r="O283" i="4"/>
  <c r="O284" i="4"/>
  <c r="O285" i="4"/>
  <c r="O286" i="4"/>
  <c r="O287" i="4"/>
  <c r="O288" i="4"/>
  <c r="O289" i="4"/>
  <c r="O290" i="4"/>
  <c r="O291" i="4"/>
  <c r="O292" i="4"/>
  <c r="O293" i="4"/>
  <c r="O294" i="4"/>
  <c r="O295" i="4"/>
  <c r="O296" i="4"/>
  <c r="O297" i="4"/>
  <c r="O118"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6"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101" i="4"/>
  <c r="O419" i="4"/>
  <c r="O420" i="4"/>
  <c r="O421" i="4"/>
  <c r="O422" i="4"/>
  <c r="O423" i="4"/>
  <c r="O424" i="4"/>
  <c r="O425" i="4"/>
  <c r="O426" i="4"/>
  <c r="O6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84" i="4"/>
  <c r="O124" i="4"/>
  <c r="O88" i="4"/>
  <c r="O619" i="4"/>
  <c r="O620" i="4"/>
  <c r="O621" i="4"/>
  <c r="O622" i="4"/>
  <c r="O623" i="4"/>
  <c r="O624" i="4"/>
  <c r="O625" i="4"/>
  <c r="O626" i="4"/>
  <c r="O627" i="4"/>
  <c r="O116"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93"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106"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107" i="4"/>
  <c r="O34"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49"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7"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108"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O1001" i="4"/>
  <c r="O78" i="4"/>
  <c r="O1002" i="4"/>
  <c r="O1003" i="4"/>
  <c r="O1004" i="4"/>
  <c r="O1005" i="4"/>
  <c r="O1006" i="4"/>
  <c r="O1007" i="4"/>
  <c r="O1008" i="4"/>
  <c r="O1009" i="4"/>
  <c r="O1010" i="4"/>
  <c r="O65"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1063" i="4"/>
  <c r="O1064" i="4"/>
  <c r="O1065" i="4"/>
  <c r="O1066" i="4"/>
  <c r="O8" i="4"/>
  <c r="O1067" i="4"/>
  <c r="O72" i="4"/>
  <c r="O1068" i="4"/>
  <c r="O1069" i="4"/>
  <c r="O1070" i="4"/>
  <c r="O1071" i="4"/>
  <c r="O1072" i="4"/>
  <c r="O52" i="4"/>
  <c r="O1073" i="4"/>
  <c r="O1074" i="4"/>
  <c r="O1075" i="4"/>
  <c r="O1076" i="4"/>
  <c r="O1077" i="4"/>
  <c r="O1078" i="4"/>
  <c r="O1079" i="4"/>
  <c r="O1080" i="4"/>
  <c r="O91" i="4"/>
  <c r="O1081" i="4"/>
  <c r="O1082" i="4"/>
  <c r="O15" i="4"/>
  <c r="O56" i="4"/>
  <c r="O1083" i="4"/>
  <c r="O1084" i="4"/>
  <c r="O1085" i="4"/>
  <c r="O1086" i="4"/>
  <c r="O1087" i="4"/>
  <c r="O1088" i="4"/>
  <c r="O1089" i="4"/>
  <c r="O1090" i="4"/>
  <c r="O1091" i="4"/>
  <c r="O1092" i="4"/>
  <c r="O1093" i="4"/>
  <c r="O1094" i="4"/>
  <c r="O1095" i="4"/>
  <c r="O1096" i="4"/>
  <c r="O1097" i="4"/>
  <c r="O1098" i="4"/>
  <c r="O1099" i="4"/>
  <c r="O50" i="4"/>
  <c r="O1100" i="4"/>
  <c r="O1101" i="4"/>
  <c r="O1102" i="4"/>
  <c r="O1103" i="4"/>
  <c r="O1104" i="4"/>
  <c r="O1105" i="4"/>
  <c r="O1106" i="4"/>
  <c r="O1107" i="4"/>
  <c r="O1108" i="4"/>
  <c r="O1109" i="4"/>
  <c r="O1110" i="4"/>
  <c r="O9" i="4"/>
  <c r="O1111" i="4"/>
  <c r="O1112" i="4"/>
  <c r="O1113" i="4"/>
  <c r="O1114" i="4"/>
  <c r="O1115" i="4"/>
  <c r="O1116" i="4"/>
  <c r="O1117" i="4"/>
  <c r="O1118" i="4"/>
  <c r="O1119" i="4"/>
  <c r="O1120" i="4"/>
  <c r="O1121" i="4"/>
  <c r="O1122" i="4"/>
  <c r="O1123" i="4"/>
  <c r="O1124" i="4"/>
  <c r="O1125" i="4"/>
  <c r="O1126" i="4"/>
  <c r="O1127" i="4"/>
  <c r="O1128" i="4"/>
  <c r="O1129" i="4"/>
  <c r="O1130" i="4"/>
  <c r="O1131" i="4"/>
  <c r="O98" i="4"/>
  <c r="O1132" i="4"/>
  <c r="O1133" i="4"/>
  <c r="O1134" i="4"/>
  <c r="O1135" i="4"/>
  <c r="O1136" i="4"/>
  <c r="O1137" i="4"/>
  <c r="O1138" i="4"/>
  <c r="O1139" i="4"/>
  <c r="O1140" i="4"/>
  <c r="O1141" i="4"/>
  <c r="O22"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1175" i="4"/>
  <c r="O111" i="4"/>
  <c r="O1176" i="4"/>
  <c r="O1177" i="4"/>
  <c r="O1178" i="4"/>
  <c r="O1179" i="4"/>
  <c r="O1180" i="4"/>
  <c r="O1181" i="4"/>
  <c r="O1182" i="4"/>
  <c r="O1183" i="4"/>
  <c r="O1184" i="4"/>
  <c r="O1185" i="4"/>
  <c r="O1186" i="4"/>
  <c r="O1187" i="4"/>
  <c r="O1188" i="4"/>
  <c r="O20" i="4"/>
  <c r="O1189" i="4"/>
  <c r="O1190" i="4"/>
  <c r="O1191" i="4"/>
  <c r="O1192" i="4"/>
  <c r="O1193" i="4"/>
  <c r="O1194" i="4"/>
  <c r="O1195" i="4"/>
  <c r="O1196" i="4"/>
  <c r="O1197" i="4"/>
  <c r="O1198" i="4"/>
  <c r="O1199" i="4"/>
  <c r="O1200" i="4"/>
  <c r="O1201" i="4"/>
  <c r="O1202" i="4"/>
  <c r="O1203" i="4"/>
  <c r="O1204" i="4"/>
  <c r="O1205" i="4"/>
  <c r="O1206" i="4"/>
  <c r="O1207" i="4"/>
  <c r="O23" i="4"/>
  <c r="O60" i="4"/>
  <c r="O1208" i="4"/>
  <c r="O1209" i="4"/>
  <c r="O1210" i="4"/>
  <c r="O1211" i="4"/>
  <c r="O1212" i="4"/>
  <c r="O1213" i="4"/>
  <c r="O1214" i="4"/>
  <c r="O1215" i="4"/>
  <c r="O1216" i="4"/>
  <c r="O1217" i="4"/>
  <c r="O1218" i="4"/>
  <c r="O1219" i="4"/>
  <c r="O1220" i="4"/>
  <c r="O1221" i="4"/>
  <c r="O1222" i="4"/>
  <c r="O1223" i="4"/>
  <c r="O1224" i="4"/>
  <c r="O1225" i="4"/>
  <c r="O1226" i="4"/>
  <c r="O1227" i="4"/>
  <c r="O1228" i="4"/>
  <c r="O1229" i="4"/>
  <c r="O1230" i="4"/>
  <c r="O1231" i="4"/>
  <c r="O1232" i="4"/>
  <c r="O1233" i="4"/>
  <c r="O1234" i="4"/>
  <c r="O79" i="4"/>
  <c r="O1235" i="4"/>
  <c r="O1236" i="4"/>
  <c r="O1237" i="4"/>
  <c r="O1238" i="4"/>
  <c r="O1239" i="4"/>
  <c r="O132"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 i="4"/>
  <c r="O1264" i="4"/>
  <c r="O1265" i="4"/>
  <c r="O1266" i="4"/>
  <c r="O1267" i="4"/>
  <c r="O1268" i="4"/>
  <c r="O1269" i="4"/>
  <c r="O1270" i="4"/>
  <c r="O1271" i="4"/>
  <c r="O1272" i="4"/>
  <c r="O1273" i="4"/>
  <c r="O1274" i="4"/>
  <c r="O1275" i="4"/>
  <c r="O42" i="4"/>
  <c r="O45" i="4"/>
  <c r="O1276" i="4"/>
  <c r="O1277" i="4"/>
  <c r="O1278" i="4"/>
  <c r="O31" i="4"/>
  <c r="O1279" i="4"/>
  <c r="O1280" i="4"/>
  <c r="O1281" i="4"/>
  <c r="O1282" i="4"/>
  <c r="O1283" i="4"/>
  <c r="O1284" i="4"/>
  <c r="O1285" i="4"/>
  <c r="O1286" i="4"/>
  <c r="O122" i="4"/>
  <c r="O73" i="4"/>
  <c r="O102" i="4"/>
  <c r="O109" i="4"/>
  <c r="O1287" i="4"/>
  <c r="O1288" i="4"/>
  <c r="O1289" i="4"/>
  <c r="O1290" i="4"/>
  <c r="O1291" i="4"/>
  <c r="O1292" i="4"/>
  <c r="O1293" i="4"/>
  <c r="O1294" i="4"/>
  <c r="O1295" i="4"/>
  <c r="O1296" i="4"/>
  <c r="O1297" i="4"/>
  <c r="O1298" i="4"/>
  <c r="O1299" i="4"/>
  <c r="O1300" i="4"/>
  <c r="O1301" i="4"/>
  <c r="O1302" i="4"/>
  <c r="O1303" i="4"/>
  <c r="O1304" i="4"/>
  <c r="O1305" i="4"/>
  <c r="O1306" i="4"/>
  <c r="O43" i="4"/>
  <c r="O1307" i="4"/>
  <c r="O1308" i="4"/>
  <c r="O1309" i="4"/>
  <c r="O1310" i="4"/>
  <c r="O1311" i="4"/>
  <c r="O1312" i="4"/>
  <c r="O1313" i="4"/>
  <c r="O1314" i="4"/>
  <c r="O1315" i="4"/>
  <c r="O1316" i="4"/>
  <c r="O1317" i="4"/>
  <c r="O16" i="4"/>
  <c r="O1318" i="4"/>
  <c r="O1319" i="4"/>
  <c r="O1320" i="4"/>
  <c r="O1321" i="4"/>
  <c r="O1322" i="4"/>
  <c r="O1323" i="4"/>
  <c r="O1324" i="4"/>
  <c r="O1325" i="4"/>
  <c r="O1326" i="4"/>
  <c r="O1327" i="4"/>
  <c r="O114" i="4"/>
  <c r="O1328" i="4"/>
  <c r="O1329" i="4"/>
  <c r="O1330" i="4"/>
  <c r="O1331" i="4"/>
  <c r="O1332" i="4"/>
  <c r="O1333" i="4"/>
  <c r="O1334" i="4"/>
  <c r="O1335" i="4"/>
  <c r="O1336" i="4"/>
  <c r="O1337" i="4"/>
  <c r="O1338" i="4"/>
  <c r="O1339" i="4"/>
  <c r="O1340" i="4"/>
  <c r="O1341" i="4"/>
  <c r="O1342" i="4"/>
  <c r="O1343" i="4"/>
  <c r="O1344" i="4"/>
  <c r="O1345" i="4"/>
  <c r="O1346" i="4"/>
  <c r="O1347" i="4"/>
  <c r="O1348" i="4"/>
  <c r="O1349" i="4"/>
  <c r="O53" i="4"/>
  <c r="O1350" i="4"/>
  <c r="O1351" i="4"/>
  <c r="O120" i="4"/>
  <c r="O1352" i="4"/>
  <c r="O1353" i="4"/>
  <c r="O1354" i="4"/>
  <c r="O1355" i="4"/>
  <c r="O1356" i="4"/>
  <c r="O1357" i="4"/>
  <c r="O1358" i="4"/>
  <c r="O1359" i="4"/>
  <c r="O1360" i="4"/>
  <c r="O1361" i="4"/>
  <c r="O1362" i="4"/>
  <c r="O1363" i="4"/>
  <c r="O1364" i="4"/>
  <c r="O1365" i="4"/>
  <c r="O1366" i="4"/>
  <c r="O1367" i="4"/>
  <c r="O1368" i="4"/>
  <c r="O104" i="4"/>
  <c r="O1369" i="4"/>
  <c r="O86" i="4"/>
  <c r="O1370" i="4"/>
  <c r="O1371" i="4"/>
  <c r="O1372" i="4"/>
  <c r="O1373" i="4"/>
  <c r="O1374" i="4"/>
  <c r="O1375" i="4"/>
  <c r="O1376" i="4"/>
  <c r="O1377" i="4"/>
  <c r="O1378" i="4"/>
  <c r="O1379" i="4"/>
  <c r="O1380" i="4"/>
  <c r="O1381" i="4"/>
  <c r="O1382" i="4"/>
  <c r="O1383" i="4"/>
  <c r="O1384" i="4"/>
  <c r="O1385" i="4"/>
  <c r="O1386" i="4"/>
  <c r="O1387" i="4"/>
  <c r="O1388" i="4"/>
  <c r="O1389" i="4"/>
  <c r="O1390" i="4"/>
  <c r="O1391" i="4"/>
  <c r="O1392" i="4"/>
  <c r="O1393" i="4"/>
  <c r="O1394" i="4"/>
  <c r="O1395" i="4"/>
  <c r="O1396" i="4"/>
  <c r="O1397" i="4"/>
  <c r="O1398" i="4"/>
  <c r="O1399" i="4"/>
  <c r="O1400" i="4"/>
  <c r="O1401" i="4"/>
  <c r="O1402" i="4"/>
  <c r="O1403" i="4"/>
  <c r="O1404" i="4"/>
  <c r="O1405" i="4"/>
  <c r="O1406" i="4"/>
  <c r="O1407" i="4"/>
  <c r="O1408" i="4"/>
  <c r="O1409" i="4"/>
  <c r="O1410" i="4"/>
  <c r="O1411" i="4"/>
  <c r="O1412" i="4"/>
  <c r="O1413" i="4"/>
  <c r="O1414" i="4"/>
  <c r="O1415" i="4"/>
  <c r="O1416" i="4"/>
  <c r="O1417" i="4"/>
  <c r="O1418" i="4"/>
  <c r="O1419" i="4"/>
  <c r="O1420" i="4"/>
  <c r="O127" i="4"/>
  <c r="O1421" i="4"/>
  <c r="O1422" i="4"/>
  <c r="O1423" i="4"/>
  <c r="O1424" i="4"/>
  <c r="O1425" i="4"/>
  <c r="O10" i="4"/>
  <c r="O1426" i="4"/>
  <c r="O1427" i="4"/>
  <c r="O1428" i="4"/>
  <c r="O14" i="4"/>
  <c r="O1429" i="4"/>
  <c r="O1430" i="4"/>
  <c r="O1431" i="4"/>
  <c r="O130" i="4"/>
  <c r="O128" i="4"/>
  <c r="O1432" i="4"/>
  <c r="O1433" i="4"/>
  <c r="O94" i="4"/>
  <c r="O1434" i="4"/>
  <c r="O54" i="4"/>
  <c r="O1435" i="4"/>
  <c r="O17" i="4"/>
  <c r="O95" i="4"/>
  <c r="O1436" i="4"/>
  <c r="O1437" i="4"/>
  <c r="O1438" i="4"/>
  <c r="O67" i="4"/>
  <c r="O36" i="4"/>
  <c r="O1439" i="4"/>
  <c r="O1440" i="4"/>
  <c r="O1441" i="4"/>
  <c r="O61" i="4"/>
  <c r="O123" i="4"/>
  <c r="O125" i="4"/>
  <c r="O1442" i="4"/>
  <c r="O121" i="4"/>
  <c r="O119" i="4"/>
  <c r="O97" i="4"/>
  <c r="O24" i="4"/>
  <c r="O1443" i="4"/>
  <c r="O1444" i="4"/>
  <c r="O1445" i="4"/>
  <c r="O1446" i="4"/>
  <c r="O1447" i="4"/>
  <c r="O99" i="4"/>
  <c r="O1448" i="4"/>
  <c r="O1449" i="4"/>
  <c r="O1450" i="4"/>
  <c r="O1451" i="4"/>
  <c r="O1452" i="4"/>
  <c r="O1453" i="4"/>
  <c r="O1454" i="4"/>
  <c r="O1455" i="4"/>
  <c r="O1456" i="4"/>
  <c r="O11" i="4"/>
  <c r="O18" i="4"/>
  <c r="O68" i="4"/>
  <c r="O1457" i="4"/>
  <c r="O1458" i="4"/>
  <c r="O12" i="4"/>
  <c r="O1459" i="4"/>
  <c r="O21" i="4"/>
  <c r="O1460" i="4"/>
  <c r="O131" i="4"/>
  <c r="O1461" i="4"/>
  <c r="O1462" i="4"/>
  <c r="O39" i="4"/>
  <c r="O1463" i="4"/>
  <c r="O1464" i="4"/>
  <c r="O80" i="4"/>
  <c r="O1465" i="4"/>
  <c r="O1466" i="4"/>
  <c r="O1467" i="4"/>
  <c r="O1468" i="4"/>
  <c r="O100" i="4"/>
  <c r="O1469" i="4"/>
  <c r="O26" i="4"/>
  <c r="O1470" i="4"/>
  <c r="O1471" i="4"/>
  <c r="O1472" i="4"/>
  <c r="O113" i="4"/>
  <c r="O57" i="4"/>
  <c r="O63" i="4"/>
  <c r="O13" i="4"/>
  <c r="O83" i="4"/>
  <c r="O1473" i="4"/>
  <c r="O44" i="4"/>
  <c r="O29" i="4"/>
  <c r="O110" i="4"/>
  <c r="O129" i="4"/>
  <c r="O27" i="4"/>
  <c r="O112" i="4"/>
  <c r="O69" i="4"/>
  <c r="O133" i="4"/>
  <c r="O55" i="4"/>
  <c r="O19" i="4"/>
  <c r="O58" i="4"/>
  <c r="O32" i="4"/>
  <c r="O1474" i="4"/>
  <c r="O28" i="4"/>
  <c r="O25" i="4"/>
  <c r="O30" i="4"/>
  <c r="O1475" i="4"/>
  <c r="O59" i="4"/>
  <c r="O40" i="4"/>
  <c r="O89" i="4"/>
  <c r="O1476" i="4"/>
  <c r="O1477" i="4"/>
  <c r="O1478" i="4"/>
  <c r="O117" i="4"/>
  <c r="O62" i="4"/>
  <c r="O70" i="4"/>
  <c r="O77" i="4"/>
  <c r="O71" i="4"/>
  <c r="O81" i="4"/>
  <c r="O33" i="4"/>
  <c r="O1479" i="4"/>
  <c r="O74" i="4"/>
  <c r="O92" i="4"/>
  <c r="O37" i="4"/>
  <c r="O85" i="4"/>
  <c r="O90" i="4"/>
  <c r="O35" i="4"/>
  <c r="O87" i="4"/>
  <c r="O96" i="4"/>
  <c r="O103" i="4"/>
  <c r="O48" i="4"/>
  <c r="O64" i="4"/>
  <c r="O82" i="4"/>
  <c r="O115" i="4"/>
  <c r="O1480" i="4"/>
  <c r="O1481" i="4"/>
  <c r="O46" i="4"/>
  <c r="O1482" i="4"/>
  <c r="O1483" i="4"/>
  <c r="O38" i="4"/>
  <c r="O1484" i="4"/>
  <c r="O1485" i="4"/>
  <c r="O1486" i="4"/>
  <c r="O47" i="4"/>
  <c r="O1487" i="4"/>
  <c r="O41"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105"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75" i="4"/>
  <c r="P76"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51" i="4"/>
  <c r="P278" i="4"/>
  <c r="P279" i="4"/>
  <c r="P280" i="4"/>
  <c r="P281" i="4"/>
  <c r="P282" i="4"/>
  <c r="P283" i="4"/>
  <c r="P284" i="4"/>
  <c r="P285" i="4"/>
  <c r="P286" i="4"/>
  <c r="P287" i="4"/>
  <c r="P288" i="4"/>
  <c r="P289" i="4"/>
  <c r="P290" i="4"/>
  <c r="P291" i="4"/>
  <c r="P292" i="4"/>
  <c r="P293" i="4"/>
  <c r="P294" i="4"/>
  <c r="P295" i="4"/>
  <c r="P296" i="4"/>
  <c r="P297" i="4"/>
  <c r="P118"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6"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101" i="4"/>
  <c r="P419" i="4"/>
  <c r="P420" i="4"/>
  <c r="P421" i="4"/>
  <c r="P422" i="4"/>
  <c r="P423" i="4"/>
  <c r="P424" i="4"/>
  <c r="P425" i="4"/>
  <c r="P426" i="4"/>
  <c r="P6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84" i="4"/>
  <c r="P124" i="4"/>
  <c r="P88" i="4"/>
  <c r="P619" i="4"/>
  <c r="P620" i="4"/>
  <c r="P621" i="4"/>
  <c r="P622" i="4"/>
  <c r="P623" i="4"/>
  <c r="P624" i="4"/>
  <c r="P625" i="4"/>
  <c r="P626" i="4"/>
  <c r="P627" i="4"/>
  <c r="P116"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93"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106"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107" i="4"/>
  <c r="P34"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49"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7"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108" i="4"/>
  <c r="P975" i="4"/>
  <c r="P976" i="4"/>
  <c r="P977" i="4"/>
  <c r="P978" i="4"/>
  <c r="P979" i="4"/>
  <c r="P980" i="4"/>
  <c r="P981" i="4"/>
  <c r="P982" i="4"/>
  <c r="P983" i="4"/>
  <c r="P984" i="4"/>
  <c r="P985" i="4"/>
  <c r="P986" i="4"/>
  <c r="P987" i="4"/>
  <c r="P988" i="4"/>
  <c r="P989" i="4"/>
  <c r="P990" i="4"/>
  <c r="P991" i="4"/>
  <c r="P992" i="4"/>
  <c r="P993" i="4"/>
  <c r="P994" i="4"/>
  <c r="P995" i="4"/>
  <c r="P996" i="4"/>
  <c r="P997" i="4"/>
  <c r="P998" i="4"/>
  <c r="P999" i="4"/>
  <c r="P1000" i="4"/>
  <c r="P1001" i="4"/>
  <c r="P78" i="4"/>
  <c r="P1002" i="4"/>
  <c r="P1003" i="4"/>
  <c r="P1004" i="4"/>
  <c r="P1005" i="4"/>
  <c r="P1006" i="4"/>
  <c r="P1007" i="4"/>
  <c r="P1008" i="4"/>
  <c r="P1009" i="4"/>
  <c r="P1010" i="4"/>
  <c r="P65"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1051" i="4"/>
  <c r="P1052" i="4"/>
  <c r="P1053" i="4"/>
  <c r="P1054" i="4"/>
  <c r="P1055" i="4"/>
  <c r="P1056" i="4"/>
  <c r="P1057" i="4"/>
  <c r="P1058" i="4"/>
  <c r="P1059" i="4"/>
  <c r="P1060" i="4"/>
  <c r="P1061" i="4"/>
  <c r="P1062" i="4"/>
  <c r="P1063" i="4"/>
  <c r="P1064" i="4"/>
  <c r="P1065" i="4"/>
  <c r="P1066" i="4"/>
  <c r="P8" i="4"/>
  <c r="P1067" i="4"/>
  <c r="P72" i="4"/>
  <c r="P1068" i="4"/>
  <c r="P1069" i="4"/>
  <c r="P1070" i="4"/>
  <c r="P1071" i="4"/>
  <c r="P1072" i="4"/>
  <c r="P52" i="4"/>
  <c r="P1073" i="4"/>
  <c r="P1074" i="4"/>
  <c r="P1075" i="4"/>
  <c r="P1076" i="4"/>
  <c r="P1077" i="4"/>
  <c r="P1078" i="4"/>
  <c r="P1079" i="4"/>
  <c r="P1080" i="4"/>
  <c r="P91" i="4"/>
  <c r="P1081" i="4"/>
  <c r="P1082" i="4"/>
  <c r="P15" i="4"/>
  <c r="P56" i="4"/>
  <c r="P1083" i="4"/>
  <c r="P1084" i="4"/>
  <c r="P1085" i="4"/>
  <c r="P1086" i="4"/>
  <c r="P1087" i="4"/>
  <c r="P1088" i="4"/>
  <c r="P1089" i="4"/>
  <c r="P1090" i="4"/>
  <c r="P1091" i="4"/>
  <c r="P1092" i="4"/>
  <c r="P1093" i="4"/>
  <c r="P1094" i="4"/>
  <c r="P1095" i="4"/>
  <c r="P1096" i="4"/>
  <c r="P1097" i="4"/>
  <c r="P1098" i="4"/>
  <c r="P1099" i="4"/>
  <c r="P50" i="4"/>
  <c r="P1100" i="4"/>
  <c r="P1101" i="4"/>
  <c r="P1102" i="4"/>
  <c r="P1103" i="4"/>
  <c r="P1104" i="4"/>
  <c r="P1105" i="4"/>
  <c r="P1106" i="4"/>
  <c r="P1107" i="4"/>
  <c r="P1108" i="4"/>
  <c r="P1109" i="4"/>
  <c r="P1110" i="4"/>
  <c r="P9" i="4"/>
  <c r="P1111" i="4"/>
  <c r="P1112" i="4"/>
  <c r="P1113" i="4"/>
  <c r="P1114" i="4"/>
  <c r="P1115" i="4"/>
  <c r="P1116" i="4"/>
  <c r="P1117" i="4"/>
  <c r="P1118" i="4"/>
  <c r="P1119" i="4"/>
  <c r="P1120" i="4"/>
  <c r="P1121" i="4"/>
  <c r="P1122" i="4"/>
  <c r="P1123" i="4"/>
  <c r="P1124" i="4"/>
  <c r="P1125" i="4"/>
  <c r="P1126" i="4"/>
  <c r="P1127" i="4"/>
  <c r="P1128" i="4"/>
  <c r="P1129" i="4"/>
  <c r="P1130" i="4"/>
  <c r="P1131" i="4"/>
  <c r="P98" i="4"/>
  <c r="P1132" i="4"/>
  <c r="P1133" i="4"/>
  <c r="P1134" i="4"/>
  <c r="P1135" i="4"/>
  <c r="P1136" i="4"/>
  <c r="P1137" i="4"/>
  <c r="P1138" i="4"/>
  <c r="P1139" i="4"/>
  <c r="P1140" i="4"/>
  <c r="P1141" i="4"/>
  <c r="P22" i="4"/>
  <c r="P1142"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1166" i="4"/>
  <c r="P1167" i="4"/>
  <c r="P1168" i="4"/>
  <c r="P1169" i="4"/>
  <c r="P1170" i="4"/>
  <c r="P1171" i="4"/>
  <c r="P1172" i="4"/>
  <c r="P1173" i="4"/>
  <c r="P1174" i="4"/>
  <c r="P1175" i="4"/>
  <c r="P111" i="4"/>
  <c r="P1176" i="4"/>
  <c r="P1177" i="4"/>
  <c r="P1178" i="4"/>
  <c r="P1179" i="4"/>
  <c r="P1180" i="4"/>
  <c r="P1181" i="4"/>
  <c r="P1182" i="4"/>
  <c r="P1183" i="4"/>
  <c r="P1184" i="4"/>
  <c r="P1185" i="4"/>
  <c r="P1186" i="4"/>
  <c r="P1187" i="4"/>
  <c r="P1188" i="4"/>
  <c r="P20" i="4"/>
  <c r="P1189" i="4"/>
  <c r="P1190" i="4"/>
  <c r="P1191" i="4"/>
  <c r="P1192" i="4"/>
  <c r="P1193" i="4"/>
  <c r="P1194" i="4"/>
  <c r="P1195" i="4"/>
  <c r="P1196" i="4"/>
  <c r="P1197" i="4"/>
  <c r="P1198" i="4"/>
  <c r="P1199" i="4"/>
  <c r="P1200" i="4"/>
  <c r="P1201" i="4"/>
  <c r="P1202" i="4"/>
  <c r="P1203" i="4"/>
  <c r="P1204" i="4"/>
  <c r="P1205" i="4"/>
  <c r="P1206" i="4"/>
  <c r="P1207" i="4"/>
  <c r="P23" i="4"/>
  <c r="P60" i="4"/>
  <c r="P1208" i="4"/>
  <c r="P1209" i="4"/>
  <c r="P1210" i="4"/>
  <c r="P1211" i="4"/>
  <c r="P1212" i="4"/>
  <c r="P1213" i="4"/>
  <c r="P1214" i="4"/>
  <c r="P1215" i="4"/>
  <c r="P1216" i="4"/>
  <c r="P1217" i="4"/>
  <c r="P1218" i="4"/>
  <c r="P1219" i="4"/>
  <c r="P1220" i="4"/>
  <c r="P1221" i="4"/>
  <c r="P1222" i="4"/>
  <c r="P1223" i="4"/>
  <c r="P1224" i="4"/>
  <c r="P1225" i="4"/>
  <c r="P1226" i="4"/>
  <c r="P1227" i="4"/>
  <c r="P1228" i="4"/>
  <c r="P1229" i="4"/>
  <c r="P1230" i="4"/>
  <c r="P1231" i="4"/>
  <c r="P1232" i="4"/>
  <c r="P1233" i="4"/>
  <c r="P1234" i="4"/>
  <c r="P79" i="4"/>
  <c r="P1235" i="4"/>
  <c r="P1236" i="4"/>
  <c r="P1237" i="4"/>
  <c r="P1238" i="4"/>
  <c r="P1239" i="4"/>
  <c r="P132" i="4"/>
  <c r="P1240" i="4"/>
  <c r="P1241" i="4"/>
  <c r="P1242" i="4"/>
  <c r="P1243" i="4"/>
  <c r="P1244" i="4"/>
  <c r="P1245" i="4"/>
  <c r="P1246" i="4"/>
  <c r="P1247" i="4"/>
  <c r="P1248" i="4"/>
  <c r="P1249" i="4"/>
  <c r="P1250" i="4"/>
  <c r="P1251" i="4"/>
  <c r="P1252" i="4"/>
  <c r="P1253" i="4"/>
  <c r="P1254" i="4"/>
  <c r="P1255" i="4"/>
  <c r="P1256" i="4"/>
  <c r="P1257" i="4"/>
  <c r="P1258" i="4"/>
  <c r="P1259" i="4"/>
  <c r="P1260" i="4"/>
  <c r="P1261" i="4"/>
  <c r="P1262" i="4"/>
  <c r="P1263" i="4"/>
  <c r="P126" i="4"/>
  <c r="P1264" i="4"/>
  <c r="P1265" i="4"/>
  <c r="P1266" i="4"/>
  <c r="P1267" i="4"/>
  <c r="P1268" i="4"/>
  <c r="P1269" i="4"/>
  <c r="P1270" i="4"/>
  <c r="P1271" i="4"/>
  <c r="P1272" i="4"/>
  <c r="P1273" i="4"/>
  <c r="P1274" i="4"/>
  <c r="P1275" i="4"/>
  <c r="P42" i="4"/>
  <c r="P45" i="4"/>
  <c r="P1276" i="4"/>
  <c r="P1277" i="4"/>
  <c r="P1278" i="4"/>
  <c r="P31" i="4"/>
  <c r="P1279" i="4"/>
  <c r="P1280" i="4"/>
  <c r="P1281" i="4"/>
  <c r="P1282" i="4"/>
  <c r="P1283" i="4"/>
  <c r="P1284" i="4"/>
  <c r="P1285" i="4"/>
  <c r="P1286" i="4"/>
  <c r="P122" i="4"/>
  <c r="P73" i="4"/>
  <c r="P102" i="4"/>
  <c r="P109" i="4"/>
  <c r="P1287" i="4"/>
  <c r="P1288" i="4"/>
  <c r="P1289" i="4"/>
  <c r="P1290" i="4"/>
  <c r="P1291" i="4"/>
  <c r="P1292" i="4"/>
  <c r="P1293" i="4"/>
  <c r="P1294" i="4"/>
  <c r="P1295" i="4"/>
  <c r="P1296" i="4"/>
  <c r="P1297" i="4"/>
  <c r="P1298" i="4"/>
  <c r="P1299" i="4"/>
  <c r="P1300" i="4"/>
  <c r="P1301" i="4"/>
  <c r="P1302" i="4"/>
  <c r="P1303" i="4"/>
  <c r="P1304" i="4"/>
  <c r="P1305" i="4"/>
  <c r="P1306" i="4"/>
  <c r="P43" i="4"/>
  <c r="P1307" i="4"/>
  <c r="P1308" i="4"/>
  <c r="P1309" i="4"/>
  <c r="P1310" i="4"/>
  <c r="P1311" i="4"/>
  <c r="P1312" i="4"/>
  <c r="P1313" i="4"/>
  <c r="P1314" i="4"/>
  <c r="P1315" i="4"/>
  <c r="P1316" i="4"/>
  <c r="P1317" i="4"/>
  <c r="P16" i="4"/>
  <c r="P1318" i="4"/>
  <c r="P1319" i="4"/>
  <c r="P1320" i="4"/>
  <c r="P1321" i="4"/>
  <c r="P1322" i="4"/>
  <c r="P1323" i="4"/>
  <c r="P1324" i="4"/>
  <c r="P1325" i="4"/>
  <c r="P1326" i="4"/>
  <c r="P1327" i="4"/>
  <c r="P114" i="4"/>
  <c r="P1328" i="4"/>
  <c r="P1329" i="4"/>
  <c r="P1330" i="4"/>
  <c r="P1331" i="4"/>
  <c r="P1332" i="4"/>
  <c r="P1333" i="4"/>
  <c r="P1334" i="4"/>
  <c r="P1335" i="4"/>
  <c r="P1336" i="4"/>
  <c r="P1337" i="4"/>
  <c r="P1338" i="4"/>
  <c r="P1339" i="4"/>
  <c r="P1340" i="4"/>
  <c r="P1341" i="4"/>
  <c r="P1342" i="4"/>
  <c r="P1343" i="4"/>
  <c r="P1344" i="4"/>
  <c r="P1345" i="4"/>
  <c r="P1346" i="4"/>
  <c r="P1347" i="4"/>
  <c r="P1348" i="4"/>
  <c r="P1349" i="4"/>
  <c r="P53" i="4"/>
  <c r="P1350" i="4"/>
  <c r="P1351" i="4"/>
  <c r="P120" i="4"/>
  <c r="P1352" i="4"/>
  <c r="P1353" i="4"/>
  <c r="P1354" i="4"/>
  <c r="P1355" i="4"/>
  <c r="P1356" i="4"/>
  <c r="P1357" i="4"/>
  <c r="P1358" i="4"/>
  <c r="P1359" i="4"/>
  <c r="P1360" i="4"/>
  <c r="P1361" i="4"/>
  <c r="P1362" i="4"/>
  <c r="P1363" i="4"/>
  <c r="P1364" i="4"/>
  <c r="P1365" i="4"/>
  <c r="P1366" i="4"/>
  <c r="P1367" i="4"/>
  <c r="P1368" i="4"/>
  <c r="P104" i="4"/>
  <c r="P1369" i="4"/>
  <c r="P86" i="4"/>
  <c r="P1370" i="4"/>
  <c r="P1371" i="4"/>
  <c r="P1372" i="4"/>
  <c r="P1373" i="4"/>
  <c r="P1374" i="4"/>
  <c r="P1375" i="4"/>
  <c r="P1376" i="4"/>
  <c r="P1377" i="4"/>
  <c r="P1378" i="4"/>
  <c r="P1379" i="4"/>
  <c r="P1380" i="4"/>
  <c r="P1381" i="4"/>
  <c r="P1382" i="4"/>
  <c r="P1383" i="4"/>
  <c r="P1384" i="4"/>
  <c r="P1385" i="4"/>
  <c r="P1386" i="4"/>
  <c r="P1387" i="4"/>
  <c r="P1388" i="4"/>
  <c r="P1389" i="4"/>
  <c r="P1390" i="4"/>
  <c r="P1391" i="4"/>
  <c r="P1392" i="4"/>
  <c r="P1393" i="4"/>
  <c r="P1394" i="4"/>
  <c r="P1395" i="4"/>
  <c r="P1396" i="4"/>
  <c r="P1397" i="4"/>
  <c r="P1398" i="4"/>
  <c r="P1399" i="4"/>
  <c r="P1400" i="4"/>
  <c r="P1401" i="4"/>
  <c r="P1402" i="4"/>
  <c r="P1403" i="4"/>
  <c r="P1404" i="4"/>
  <c r="P1405" i="4"/>
  <c r="P1406" i="4"/>
  <c r="P1407" i="4"/>
  <c r="P1408" i="4"/>
  <c r="P1409" i="4"/>
  <c r="P1410" i="4"/>
  <c r="P1411" i="4"/>
  <c r="P1412" i="4"/>
  <c r="P1413" i="4"/>
  <c r="P1414" i="4"/>
  <c r="P1415" i="4"/>
  <c r="P1416" i="4"/>
  <c r="P1417" i="4"/>
  <c r="P1418" i="4"/>
  <c r="P1419" i="4"/>
  <c r="P1420" i="4"/>
  <c r="P127" i="4"/>
  <c r="P1421" i="4"/>
  <c r="P1422" i="4"/>
  <c r="P1423" i="4"/>
  <c r="P1424" i="4"/>
  <c r="P1425" i="4"/>
  <c r="P10" i="4"/>
  <c r="P1426" i="4"/>
  <c r="P1427" i="4"/>
  <c r="P1428" i="4"/>
  <c r="P14" i="4"/>
  <c r="P1429" i="4"/>
  <c r="P1430" i="4"/>
  <c r="P1431" i="4"/>
  <c r="P130" i="4"/>
  <c r="P128" i="4"/>
  <c r="P1432" i="4"/>
  <c r="P1433" i="4"/>
  <c r="P94" i="4"/>
  <c r="P1434" i="4"/>
  <c r="P54" i="4"/>
  <c r="P1435" i="4"/>
  <c r="P17" i="4"/>
  <c r="P95" i="4"/>
  <c r="P1436" i="4"/>
  <c r="P1437" i="4"/>
  <c r="P1438" i="4"/>
  <c r="P67" i="4"/>
  <c r="P36" i="4"/>
  <c r="P1439" i="4"/>
  <c r="P1440" i="4"/>
  <c r="P1441" i="4"/>
  <c r="P61" i="4"/>
  <c r="P123" i="4"/>
  <c r="P125" i="4"/>
  <c r="P1442" i="4"/>
  <c r="P121" i="4"/>
  <c r="P119" i="4"/>
  <c r="P97" i="4"/>
  <c r="P24" i="4"/>
  <c r="P1443" i="4"/>
  <c r="P1444" i="4"/>
  <c r="P1445" i="4"/>
  <c r="P1446" i="4"/>
  <c r="P1447" i="4"/>
  <c r="P99" i="4"/>
  <c r="P1448" i="4"/>
  <c r="P1449" i="4"/>
  <c r="P1450" i="4"/>
  <c r="P1451" i="4"/>
  <c r="P1452" i="4"/>
  <c r="P1453" i="4"/>
  <c r="P1454" i="4"/>
  <c r="P1455" i="4"/>
  <c r="P1456" i="4"/>
  <c r="P11" i="4"/>
  <c r="P18" i="4"/>
  <c r="P68" i="4"/>
  <c r="P1457" i="4"/>
  <c r="P1458" i="4"/>
  <c r="P12" i="4"/>
  <c r="P1459" i="4"/>
  <c r="P21" i="4"/>
  <c r="P1460" i="4"/>
  <c r="P131" i="4"/>
  <c r="P1461" i="4"/>
  <c r="P1462" i="4"/>
  <c r="P39" i="4"/>
  <c r="P1463" i="4"/>
  <c r="P1464" i="4"/>
  <c r="P80" i="4"/>
  <c r="P1465" i="4"/>
  <c r="P1466" i="4"/>
  <c r="P1467" i="4"/>
  <c r="P1468" i="4"/>
  <c r="P100" i="4"/>
  <c r="P1469" i="4"/>
  <c r="P26" i="4"/>
  <c r="P1470" i="4"/>
  <c r="P1471" i="4"/>
  <c r="P1472" i="4"/>
  <c r="P113" i="4"/>
  <c r="P57" i="4"/>
  <c r="P63" i="4"/>
  <c r="P13" i="4"/>
  <c r="P83" i="4"/>
  <c r="P1473" i="4"/>
  <c r="P44" i="4"/>
  <c r="P29" i="4"/>
  <c r="P110" i="4"/>
  <c r="P129" i="4"/>
  <c r="P27" i="4"/>
  <c r="P112" i="4"/>
  <c r="P69" i="4"/>
  <c r="P133" i="4"/>
  <c r="P55" i="4"/>
  <c r="P19" i="4"/>
  <c r="P58" i="4"/>
  <c r="P32" i="4"/>
  <c r="P1474" i="4"/>
  <c r="P28" i="4"/>
  <c r="P25" i="4"/>
  <c r="P30" i="4"/>
  <c r="P1475" i="4"/>
  <c r="P59" i="4"/>
  <c r="P40" i="4"/>
  <c r="P89" i="4"/>
  <c r="P1476" i="4"/>
  <c r="P1477" i="4"/>
  <c r="P1478" i="4"/>
  <c r="P117" i="4"/>
  <c r="P62" i="4"/>
  <c r="P70" i="4"/>
  <c r="P77" i="4"/>
  <c r="P71" i="4"/>
  <c r="P81" i="4"/>
  <c r="P33" i="4"/>
  <c r="P1479" i="4"/>
  <c r="P74" i="4"/>
  <c r="P92" i="4"/>
  <c r="P37" i="4"/>
  <c r="P85" i="4"/>
  <c r="P90" i="4"/>
  <c r="P35" i="4"/>
  <c r="P87" i="4"/>
  <c r="P96" i="4"/>
  <c r="P103" i="4"/>
  <c r="P48" i="4"/>
  <c r="P64" i="4"/>
  <c r="P82" i="4"/>
  <c r="P115" i="4"/>
  <c r="P1480" i="4"/>
  <c r="P1481" i="4"/>
  <c r="P46" i="4"/>
  <c r="P1482" i="4"/>
  <c r="P1483" i="4"/>
  <c r="P38" i="4"/>
  <c r="P1484" i="4"/>
  <c r="P1485" i="4"/>
  <c r="P1486" i="4"/>
  <c r="P47" i="4"/>
  <c r="P1487" i="4"/>
  <c r="P41" i="4"/>
  <c r="A134" i="4"/>
  <c r="A138" i="4"/>
  <c r="A142" i="4"/>
  <c r="A146" i="4"/>
  <c r="A150" i="4"/>
  <c r="A154" i="4"/>
  <c r="A158" i="4"/>
  <c r="A162" i="4"/>
  <c r="A166" i="4"/>
  <c r="A170" i="4"/>
  <c r="A174" i="4"/>
  <c r="A178" i="4"/>
  <c r="A182" i="4"/>
  <c r="A186" i="4"/>
  <c r="A190" i="4"/>
  <c r="A194" i="4"/>
  <c r="A198" i="4"/>
  <c r="A202" i="4"/>
  <c r="A206" i="4"/>
  <c r="A209" i="4"/>
  <c r="A213" i="4"/>
  <c r="A217" i="4"/>
  <c r="A221" i="4"/>
  <c r="A225" i="4"/>
  <c r="A229" i="4"/>
  <c r="A233" i="4"/>
  <c r="A237" i="4"/>
  <c r="A241" i="4"/>
  <c r="A245" i="4"/>
  <c r="A249" i="4"/>
  <c r="A251" i="4"/>
  <c r="A255" i="4"/>
  <c r="A259" i="4"/>
  <c r="A263" i="4"/>
  <c r="A267" i="4"/>
  <c r="A271" i="4"/>
  <c r="A275" i="4"/>
  <c r="A278" i="4"/>
  <c r="A282" i="4"/>
  <c r="A286" i="4"/>
  <c r="A290" i="4"/>
  <c r="A294" i="4"/>
  <c r="A118" i="4"/>
  <c r="A301" i="4"/>
  <c r="A305" i="4"/>
  <c r="A309" i="4"/>
  <c r="A313" i="4"/>
  <c r="A317" i="4"/>
  <c r="A321" i="4"/>
  <c r="A325" i="4"/>
  <c r="A329" i="4"/>
  <c r="A332" i="4"/>
  <c r="A336" i="4"/>
  <c r="A340" i="4"/>
  <c r="A344" i="4"/>
  <c r="A348" i="4"/>
  <c r="A352" i="4"/>
  <c r="A356" i="4"/>
  <c r="A360" i="4"/>
  <c r="A364" i="4"/>
  <c r="A368" i="4"/>
  <c r="A372" i="4"/>
  <c r="A376" i="4"/>
  <c r="A380" i="4"/>
  <c r="A384" i="4"/>
  <c r="A388" i="4"/>
  <c r="A392" i="4"/>
  <c r="A396" i="4"/>
  <c r="A400" i="4"/>
  <c r="A404" i="4"/>
  <c r="A408" i="4"/>
  <c r="A412" i="4"/>
  <c r="A416" i="4"/>
  <c r="A419" i="4"/>
  <c r="A423" i="4"/>
  <c r="A66" i="4"/>
  <c r="A430" i="4"/>
  <c r="A434" i="4"/>
  <c r="A438" i="4"/>
  <c r="A442" i="4"/>
  <c r="A446" i="4"/>
  <c r="A450" i="4"/>
  <c r="A454" i="4"/>
  <c r="A458" i="4"/>
  <c r="A462" i="4"/>
  <c r="A466" i="4"/>
  <c r="A470" i="4"/>
  <c r="A474" i="4"/>
  <c r="A478" i="4"/>
  <c r="A482" i="4"/>
  <c r="A486" i="4"/>
  <c r="A490" i="4"/>
  <c r="A494" i="4"/>
  <c r="A498" i="4"/>
  <c r="A502" i="4"/>
  <c r="A506" i="4"/>
  <c r="A510" i="4"/>
  <c r="A514" i="4"/>
  <c r="A518" i="4"/>
  <c r="A522" i="4"/>
  <c r="A526" i="4"/>
  <c r="A530" i="4"/>
  <c r="A534" i="4"/>
  <c r="A538" i="4"/>
  <c r="A542" i="4"/>
  <c r="A546" i="4"/>
  <c r="A550" i="4"/>
  <c r="A554" i="4"/>
  <c r="A558" i="4"/>
  <c r="A562" i="4"/>
  <c r="A566" i="4"/>
  <c r="A570" i="4"/>
  <c r="A574" i="4"/>
  <c r="A578" i="4"/>
  <c r="A582" i="4"/>
  <c r="A586" i="4"/>
  <c r="A590" i="4"/>
  <c r="A594" i="4"/>
  <c r="A598" i="4"/>
  <c r="A602" i="4"/>
  <c r="A606" i="4"/>
  <c r="A610" i="4"/>
  <c r="A614" i="4"/>
  <c r="A618" i="4"/>
  <c r="A619" i="4"/>
  <c r="A623" i="4"/>
  <c r="A627" i="4"/>
  <c r="A135" i="4"/>
  <c r="A139" i="4"/>
  <c r="A143" i="4"/>
  <c r="A147" i="4"/>
  <c r="A151" i="4"/>
  <c r="A155" i="4"/>
  <c r="A159" i="4"/>
  <c r="A163" i="4"/>
  <c r="A167" i="4"/>
  <c r="A171" i="4"/>
  <c r="A175" i="4"/>
  <c r="A179" i="4"/>
  <c r="A183" i="4"/>
  <c r="A187" i="4"/>
  <c r="A191" i="4"/>
  <c r="A195" i="4"/>
  <c r="A199" i="4"/>
  <c r="A203" i="4"/>
  <c r="A207" i="4"/>
  <c r="A210" i="4"/>
  <c r="A214" i="4"/>
  <c r="A218" i="4"/>
  <c r="A222" i="4"/>
  <c r="A226" i="4"/>
  <c r="A230" i="4"/>
  <c r="A234" i="4"/>
  <c r="A238" i="4"/>
  <c r="A242" i="4"/>
  <c r="A246" i="4"/>
  <c r="A75" i="4"/>
  <c r="A252" i="4"/>
  <c r="A256" i="4"/>
  <c r="A260" i="4"/>
  <c r="A264" i="4"/>
  <c r="A268" i="4"/>
  <c r="A272" i="4"/>
  <c r="A276" i="4"/>
  <c r="A279" i="4"/>
  <c r="A283" i="4"/>
  <c r="A287" i="4"/>
  <c r="A291" i="4"/>
  <c r="A295" i="4"/>
  <c r="A298" i="4"/>
  <c r="A302" i="4"/>
  <c r="A306" i="4"/>
  <c r="A310" i="4"/>
  <c r="A314" i="4"/>
  <c r="A318" i="4"/>
  <c r="A322" i="4"/>
  <c r="A326" i="4"/>
  <c r="A330" i="4"/>
  <c r="A333" i="4"/>
  <c r="A337" i="4"/>
  <c r="A341" i="4"/>
  <c r="A345" i="4"/>
  <c r="A349" i="4"/>
  <c r="A353" i="4"/>
  <c r="A357" i="4"/>
  <c r="A361" i="4"/>
  <c r="A365" i="4"/>
  <c r="A369" i="4"/>
  <c r="A373" i="4"/>
  <c r="A377" i="4"/>
  <c r="A381" i="4"/>
  <c r="A385" i="4"/>
  <c r="A389" i="4"/>
  <c r="A393" i="4"/>
  <c r="A397" i="4"/>
  <c r="A401" i="4"/>
  <c r="A405" i="4"/>
  <c r="A409" i="4"/>
  <c r="A413" i="4"/>
  <c r="A417" i="4"/>
  <c r="A420" i="4"/>
  <c r="A424" i="4"/>
  <c r="A427" i="4"/>
  <c r="A431" i="4"/>
  <c r="A435" i="4"/>
  <c r="A439" i="4"/>
  <c r="A443" i="4"/>
  <c r="A447" i="4"/>
  <c r="A451" i="4"/>
  <c r="A455" i="4"/>
  <c r="A459" i="4"/>
  <c r="A463" i="4"/>
  <c r="A467" i="4"/>
  <c r="A471" i="4"/>
  <c r="A475" i="4"/>
  <c r="A479" i="4"/>
  <c r="A483" i="4"/>
  <c r="A487" i="4"/>
  <c r="A491" i="4"/>
  <c r="A495" i="4"/>
  <c r="A499" i="4"/>
  <c r="A503" i="4"/>
  <c r="A507" i="4"/>
  <c r="A511" i="4"/>
  <c r="A515" i="4"/>
  <c r="A519" i="4"/>
  <c r="A523" i="4"/>
  <c r="A527" i="4"/>
  <c r="A531" i="4"/>
  <c r="A535" i="4"/>
  <c r="A539" i="4"/>
  <c r="A543" i="4"/>
  <c r="A547" i="4"/>
  <c r="A551" i="4"/>
  <c r="A555" i="4"/>
  <c r="A559" i="4"/>
  <c r="A563" i="4"/>
  <c r="A567" i="4"/>
  <c r="A571" i="4"/>
  <c r="A575" i="4"/>
  <c r="A579" i="4"/>
  <c r="A583" i="4"/>
  <c r="A587" i="4"/>
  <c r="A591" i="4"/>
  <c r="A595" i="4"/>
  <c r="A599" i="4"/>
  <c r="A603" i="4"/>
  <c r="A607" i="4"/>
  <c r="A611" i="4"/>
  <c r="A615" i="4"/>
  <c r="A84" i="4"/>
  <c r="A620" i="4"/>
  <c r="A624" i="4"/>
  <c r="A116" i="4"/>
  <c r="A136" i="4"/>
  <c r="A140" i="4"/>
  <c r="A144" i="4"/>
  <c r="A148" i="4"/>
  <c r="A152" i="4"/>
  <c r="A156" i="4"/>
  <c r="A160" i="4"/>
  <c r="A164" i="4"/>
  <c r="A168" i="4"/>
  <c r="A172" i="4"/>
  <c r="A176" i="4"/>
  <c r="A180" i="4"/>
  <c r="A184" i="4"/>
  <c r="A188" i="4"/>
  <c r="A192" i="4"/>
  <c r="A196" i="4"/>
  <c r="A200" i="4"/>
  <c r="A204" i="4"/>
  <c r="A208" i="4"/>
  <c r="A211" i="4"/>
  <c r="A215" i="4"/>
  <c r="A219" i="4"/>
  <c r="A223" i="4"/>
  <c r="A227" i="4"/>
  <c r="A231" i="4"/>
  <c r="A235" i="4"/>
  <c r="A239" i="4"/>
  <c r="A243" i="4"/>
  <c r="A247" i="4"/>
  <c r="A76" i="4"/>
  <c r="A253" i="4"/>
  <c r="A257" i="4"/>
  <c r="A261" i="4"/>
  <c r="A265" i="4"/>
  <c r="A269" i="4"/>
  <c r="A273" i="4"/>
  <c r="A277" i="4"/>
  <c r="A280" i="4"/>
  <c r="A284" i="4"/>
  <c r="A288" i="4"/>
  <c r="A292" i="4"/>
  <c r="A296" i="4"/>
  <c r="A299" i="4"/>
  <c r="A303" i="4"/>
  <c r="A307" i="4"/>
  <c r="A311" i="4"/>
  <c r="A315" i="4"/>
  <c r="A319" i="4"/>
  <c r="A323" i="4"/>
  <c r="A327" i="4"/>
  <c r="A6" i="4"/>
  <c r="A334" i="4"/>
  <c r="A338" i="4"/>
  <c r="A342" i="4"/>
  <c r="A346" i="4"/>
  <c r="A350" i="4"/>
  <c r="A354" i="4"/>
  <c r="A358" i="4"/>
  <c r="A362" i="4"/>
  <c r="A366" i="4"/>
  <c r="A370" i="4"/>
  <c r="A374" i="4"/>
  <c r="A378" i="4"/>
  <c r="A382" i="4"/>
  <c r="A386" i="4"/>
  <c r="A390" i="4"/>
  <c r="A394" i="4"/>
  <c r="A398" i="4"/>
  <c r="A402" i="4"/>
  <c r="A406" i="4"/>
  <c r="A410" i="4"/>
  <c r="A414" i="4"/>
  <c r="A418" i="4"/>
  <c r="A421" i="4"/>
  <c r="A425" i="4"/>
  <c r="A428" i="4"/>
  <c r="A432" i="4"/>
  <c r="A436" i="4"/>
  <c r="A440" i="4"/>
  <c r="A444" i="4"/>
  <c r="A448" i="4"/>
  <c r="A452" i="4"/>
  <c r="A456" i="4"/>
  <c r="A460" i="4"/>
  <c r="A464" i="4"/>
  <c r="A468" i="4"/>
  <c r="A472" i="4"/>
  <c r="A476" i="4"/>
  <c r="A480" i="4"/>
  <c r="A484" i="4"/>
  <c r="A488" i="4"/>
  <c r="A492" i="4"/>
  <c r="A496" i="4"/>
  <c r="A500" i="4"/>
  <c r="A504" i="4"/>
  <c r="A508" i="4"/>
  <c r="A512" i="4"/>
  <c r="A516" i="4"/>
  <c r="A520" i="4"/>
  <c r="A524" i="4"/>
  <c r="A528" i="4"/>
  <c r="A532" i="4"/>
  <c r="A536" i="4"/>
  <c r="A540" i="4"/>
  <c r="A544" i="4"/>
  <c r="A548" i="4"/>
  <c r="A552" i="4"/>
  <c r="A556" i="4"/>
  <c r="A560" i="4"/>
  <c r="A564" i="4"/>
  <c r="A568" i="4"/>
  <c r="A572" i="4"/>
  <c r="A576" i="4"/>
  <c r="A580" i="4"/>
  <c r="A584" i="4"/>
  <c r="A588" i="4"/>
  <c r="A592" i="4"/>
  <c r="A596" i="4"/>
  <c r="A600" i="4"/>
  <c r="A604" i="4"/>
  <c r="A608" i="4"/>
  <c r="A612" i="4"/>
  <c r="A616" i="4"/>
  <c r="A124" i="4"/>
  <c r="A137" i="4"/>
  <c r="A153" i="4"/>
  <c r="A169" i="4"/>
  <c r="A185" i="4"/>
  <c r="A201" i="4"/>
  <c r="A216" i="4"/>
  <c r="A232" i="4"/>
  <c r="A248" i="4"/>
  <c r="A262" i="4"/>
  <c r="A51" i="4"/>
  <c r="A293" i="4"/>
  <c r="A308" i="4"/>
  <c r="A324" i="4"/>
  <c r="A339" i="4"/>
  <c r="A355" i="4"/>
  <c r="A371" i="4"/>
  <c r="A387" i="4"/>
  <c r="A403" i="4"/>
  <c r="A101" i="4"/>
  <c r="A433" i="4"/>
  <c r="A449" i="4"/>
  <c r="A465" i="4"/>
  <c r="A481" i="4"/>
  <c r="A497" i="4"/>
  <c r="A513" i="4"/>
  <c r="A529" i="4"/>
  <c r="A545" i="4"/>
  <c r="A561" i="4"/>
  <c r="A577" i="4"/>
  <c r="A593" i="4"/>
  <c r="A609" i="4"/>
  <c r="A621" i="4"/>
  <c r="A628" i="4"/>
  <c r="A632" i="4"/>
  <c r="A636" i="4"/>
  <c r="A640" i="4"/>
  <c r="A644" i="4"/>
  <c r="A648" i="4"/>
  <c r="A652" i="4"/>
  <c r="A656" i="4"/>
  <c r="A659" i="4"/>
  <c r="A663" i="4"/>
  <c r="A667" i="4"/>
  <c r="A671" i="4"/>
  <c r="A675" i="4"/>
  <c r="A679" i="4"/>
  <c r="A683" i="4"/>
  <c r="A687" i="4"/>
  <c r="A690" i="4"/>
  <c r="A694" i="4"/>
  <c r="A698" i="4"/>
  <c r="A702" i="4"/>
  <c r="A706" i="4"/>
  <c r="A710" i="4"/>
  <c r="A714" i="4"/>
  <c r="A718" i="4"/>
  <c r="A722" i="4"/>
  <c r="A726" i="4"/>
  <c r="A730" i="4"/>
  <c r="A734" i="4"/>
  <c r="A738" i="4"/>
  <c r="A742" i="4"/>
  <c r="A746" i="4"/>
  <c r="A750" i="4"/>
  <c r="A754" i="4"/>
  <c r="A758" i="4"/>
  <c r="A762" i="4"/>
  <c r="A766" i="4"/>
  <c r="A770" i="4"/>
  <c r="A774" i="4"/>
  <c r="A778" i="4"/>
  <c r="A34" i="4"/>
  <c r="A784" i="4"/>
  <c r="A788" i="4"/>
  <c r="A792" i="4"/>
  <c r="A796" i="4"/>
  <c r="A800" i="4"/>
  <c r="A804" i="4"/>
  <c r="A808" i="4"/>
  <c r="A812" i="4"/>
  <c r="A816" i="4"/>
  <c r="A820" i="4"/>
  <c r="A824" i="4"/>
  <c r="A828" i="4"/>
  <c r="A832" i="4"/>
  <c r="A836" i="4"/>
  <c r="A840" i="4"/>
  <c r="A844" i="4"/>
  <c r="A847" i="4"/>
  <c r="A851" i="4"/>
  <c r="A855" i="4"/>
  <c r="A859" i="4"/>
  <c r="A863" i="4"/>
  <c r="A867" i="4"/>
  <c r="A871" i="4"/>
  <c r="A875" i="4"/>
  <c r="A879" i="4"/>
  <c r="A883" i="4"/>
  <c r="A887" i="4"/>
  <c r="A891" i="4"/>
  <c r="A894" i="4"/>
  <c r="A898" i="4"/>
  <c r="A902" i="4"/>
  <c r="A906" i="4"/>
  <c r="A910" i="4"/>
  <c r="A914" i="4"/>
  <c r="A918" i="4"/>
  <c r="A922" i="4"/>
  <c r="A926" i="4"/>
  <c r="A930" i="4"/>
  <c r="A934" i="4"/>
  <c r="A938" i="4"/>
  <c r="A942" i="4"/>
  <c r="A946" i="4"/>
  <c r="A950" i="4"/>
  <c r="A954" i="4"/>
  <c r="A958" i="4"/>
  <c r="A962" i="4"/>
  <c r="A966" i="4"/>
  <c r="A970" i="4"/>
  <c r="A974" i="4"/>
  <c r="A977" i="4"/>
  <c r="A981" i="4"/>
  <c r="A985" i="4"/>
  <c r="A989" i="4"/>
  <c r="A993" i="4"/>
  <c r="A997" i="4"/>
  <c r="A1001" i="4"/>
  <c r="A141" i="4"/>
  <c r="A157" i="4"/>
  <c r="A173" i="4"/>
  <c r="A189" i="4"/>
  <c r="A205" i="4"/>
  <c r="A220" i="4"/>
  <c r="A236" i="4"/>
  <c r="A250" i="4"/>
  <c r="A266" i="4"/>
  <c r="A281" i="4"/>
  <c r="A297" i="4"/>
  <c r="A312" i="4"/>
  <c r="A328" i="4"/>
  <c r="A343" i="4"/>
  <c r="A359" i="4"/>
  <c r="A375" i="4"/>
  <c r="A391" i="4"/>
  <c r="A407" i="4"/>
  <c r="A422" i="4"/>
  <c r="A437" i="4"/>
  <c r="A453" i="4"/>
  <c r="A469" i="4"/>
  <c r="A485" i="4"/>
  <c r="A501" i="4"/>
  <c r="A517" i="4"/>
  <c r="A533" i="4"/>
  <c r="A549" i="4"/>
  <c r="A565" i="4"/>
  <c r="A581" i="4"/>
  <c r="A597" i="4"/>
  <c r="A613" i="4"/>
  <c r="A622" i="4"/>
  <c r="A629" i="4"/>
  <c r="A633" i="4"/>
  <c r="A637" i="4"/>
  <c r="A641" i="4"/>
  <c r="A645" i="4"/>
  <c r="A649" i="4"/>
  <c r="A653" i="4"/>
  <c r="A657" i="4"/>
  <c r="A660" i="4"/>
  <c r="A664" i="4"/>
  <c r="A668" i="4"/>
  <c r="A672" i="4"/>
  <c r="A676" i="4"/>
  <c r="A680" i="4"/>
  <c r="A684" i="4"/>
  <c r="A106" i="4"/>
  <c r="A691" i="4"/>
  <c r="A695" i="4"/>
  <c r="A699" i="4"/>
  <c r="A703" i="4"/>
  <c r="A707" i="4"/>
  <c r="A711" i="4"/>
  <c r="A715" i="4"/>
  <c r="A719" i="4"/>
  <c r="A723" i="4"/>
  <c r="A727" i="4"/>
  <c r="A731" i="4"/>
  <c r="A735" i="4"/>
  <c r="A739" i="4"/>
  <c r="A743" i="4"/>
  <c r="A747" i="4"/>
  <c r="A751" i="4"/>
  <c r="A755" i="4"/>
  <c r="A759" i="4"/>
  <c r="A763" i="4"/>
  <c r="A767" i="4"/>
  <c r="A771" i="4"/>
  <c r="A775" i="4"/>
  <c r="A779" i="4"/>
  <c r="A781" i="4"/>
  <c r="A785" i="4"/>
  <c r="A789" i="4"/>
  <c r="A793" i="4"/>
  <c r="A797" i="4"/>
  <c r="A801" i="4"/>
  <c r="A805" i="4"/>
  <c r="A809" i="4"/>
  <c r="A813" i="4"/>
  <c r="A817" i="4"/>
  <c r="A821" i="4"/>
  <c r="A825" i="4"/>
  <c r="A829" i="4"/>
  <c r="A833" i="4"/>
  <c r="A837" i="4"/>
  <c r="A841" i="4"/>
  <c r="A845" i="4"/>
  <c r="A848" i="4"/>
  <c r="A852" i="4"/>
  <c r="A856" i="4"/>
  <c r="A860" i="4"/>
  <c r="A864" i="4"/>
  <c r="A868" i="4"/>
  <c r="A872" i="4"/>
  <c r="A876" i="4"/>
  <c r="A880" i="4"/>
  <c r="A884" i="4"/>
  <c r="A888" i="4"/>
  <c r="A7" i="4"/>
  <c r="A895" i="4"/>
  <c r="A899" i="4"/>
  <c r="A903" i="4"/>
  <c r="A907" i="4"/>
  <c r="A911" i="4"/>
  <c r="A915" i="4"/>
  <c r="A919" i="4"/>
  <c r="A923" i="4"/>
  <c r="A927" i="4"/>
  <c r="A931" i="4"/>
  <c r="A935" i="4"/>
  <c r="A939" i="4"/>
  <c r="A943" i="4"/>
  <c r="A947" i="4"/>
  <c r="A951" i="4"/>
  <c r="A955" i="4"/>
  <c r="A959" i="4"/>
  <c r="A963" i="4"/>
  <c r="A967" i="4"/>
  <c r="A971" i="4"/>
  <c r="A108" i="4"/>
  <c r="A978" i="4"/>
  <c r="A982" i="4"/>
  <c r="A986" i="4"/>
  <c r="A990" i="4"/>
  <c r="A994" i="4"/>
  <c r="A998" i="4"/>
  <c r="A145" i="4"/>
  <c r="A161" i="4"/>
  <c r="A177" i="4"/>
  <c r="A193" i="4"/>
  <c r="A105" i="4"/>
  <c r="A224" i="4"/>
  <c r="A240" i="4"/>
  <c r="A254" i="4"/>
  <c r="A270" i="4"/>
  <c r="A285" i="4"/>
  <c r="A300" i="4"/>
  <c r="A316" i="4"/>
  <c r="A331" i="4"/>
  <c r="A347" i="4"/>
  <c r="A363" i="4"/>
  <c r="A379" i="4"/>
  <c r="A395" i="4"/>
  <c r="A411" i="4"/>
  <c r="A426" i="4"/>
  <c r="A441" i="4"/>
  <c r="A457" i="4"/>
  <c r="A473" i="4"/>
  <c r="A489" i="4"/>
  <c r="A505" i="4"/>
  <c r="A521" i="4"/>
  <c r="A537" i="4"/>
  <c r="A553" i="4"/>
  <c r="A569" i="4"/>
  <c r="A585" i="4"/>
  <c r="A601" i="4"/>
  <c r="A617" i="4"/>
  <c r="A625" i="4"/>
  <c r="A630" i="4"/>
  <c r="A634" i="4"/>
  <c r="A638" i="4"/>
  <c r="A642" i="4"/>
  <c r="A646" i="4"/>
  <c r="A650" i="4"/>
  <c r="A654" i="4"/>
  <c r="A658" i="4"/>
  <c r="A661" i="4"/>
  <c r="A665" i="4"/>
  <c r="A669" i="4"/>
  <c r="A673" i="4"/>
  <c r="A677" i="4"/>
  <c r="A681" i="4"/>
  <c r="A685" i="4"/>
  <c r="A688" i="4"/>
  <c r="A692" i="4"/>
  <c r="A696" i="4"/>
  <c r="A700" i="4"/>
  <c r="A704" i="4"/>
  <c r="A708" i="4"/>
  <c r="A712" i="4"/>
  <c r="A716" i="4"/>
  <c r="A720" i="4"/>
  <c r="A724" i="4"/>
  <c r="A728" i="4"/>
  <c r="A732" i="4"/>
  <c r="A736" i="4"/>
  <c r="A740" i="4"/>
  <c r="A744" i="4"/>
  <c r="A748" i="4"/>
  <c r="A752" i="4"/>
  <c r="A756" i="4"/>
  <c r="A760" i="4"/>
  <c r="A764" i="4"/>
  <c r="A768" i="4"/>
  <c r="A772" i="4"/>
  <c r="A776" i="4"/>
  <c r="A780" i="4"/>
  <c r="A782" i="4"/>
  <c r="A786" i="4"/>
  <c r="A790" i="4"/>
  <c r="A794" i="4"/>
  <c r="A798" i="4"/>
  <c r="A802" i="4"/>
  <c r="A806" i="4"/>
  <c r="A810" i="4"/>
  <c r="A814" i="4"/>
  <c r="A818" i="4"/>
  <c r="A822" i="4"/>
  <c r="A826" i="4"/>
  <c r="A830" i="4"/>
  <c r="A834" i="4"/>
  <c r="A838" i="4"/>
  <c r="A842" i="4"/>
  <c r="A49" i="4"/>
  <c r="A849" i="4"/>
  <c r="A853" i="4"/>
  <c r="A857" i="4"/>
  <c r="A861" i="4"/>
  <c r="A865" i="4"/>
  <c r="A869" i="4"/>
  <c r="A873" i="4"/>
  <c r="A877" i="4"/>
  <c r="A881" i="4"/>
  <c r="A885" i="4"/>
  <c r="A889" i="4"/>
  <c r="A892" i="4"/>
  <c r="A896" i="4"/>
  <c r="A900" i="4"/>
  <c r="A904" i="4"/>
  <c r="A908" i="4"/>
  <c r="A912" i="4"/>
  <c r="A916" i="4"/>
  <c r="A920" i="4"/>
  <c r="A924" i="4"/>
  <c r="A928" i="4"/>
  <c r="A932" i="4"/>
  <c r="A936" i="4"/>
  <c r="A940" i="4"/>
  <c r="A944" i="4"/>
  <c r="A948" i="4"/>
  <c r="A952" i="4"/>
  <c r="A956" i="4"/>
  <c r="A960" i="4"/>
  <c r="A964" i="4"/>
  <c r="A968" i="4"/>
  <c r="A972" i="4"/>
  <c r="A975" i="4"/>
  <c r="A979" i="4"/>
  <c r="A149" i="4"/>
  <c r="A212" i="4"/>
  <c r="A274" i="4"/>
  <c r="A335" i="4"/>
  <c r="A399" i="4"/>
  <c r="A461" i="4"/>
  <c r="A525" i="4"/>
  <c r="A589" i="4"/>
  <c r="A631" i="4"/>
  <c r="A647" i="4"/>
  <c r="A662" i="4"/>
  <c r="A678" i="4"/>
  <c r="A693" i="4"/>
  <c r="A709" i="4"/>
  <c r="A725" i="4"/>
  <c r="A741" i="4"/>
  <c r="A757" i="4"/>
  <c r="A773" i="4"/>
  <c r="A787" i="4"/>
  <c r="A803" i="4"/>
  <c r="A819" i="4"/>
  <c r="A835" i="4"/>
  <c r="A850" i="4"/>
  <c r="A866" i="4"/>
  <c r="A882" i="4"/>
  <c r="A897" i="4"/>
  <c r="A913" i="4"/>
  <c r="A929" i="4"/>
  <c r="A945" i="4"/>
  <c r="A961" i="4"/>
  <c r="A976" i="4"/>
  <c r="A987" i="4"/>
  <c r="A995" i="4"/>
  <c r="A78" i="4"/>
  <c r="A1005" i="4"/>
  <c r="A1009" i="4"/>
  <c r="A1012" i="4"/>
  <c r="A1016" i="4"/>
  <c r="A1020" i="4"/>
  <c r="A1024" i="4"/>
  <c r="A1028" i="4"/>
  <c r="A1032" i="4"/>
  <c r="A1036" i="4"/>
  <c r="A1040" i="4"/>
  <c r="A1044" i="4"/>
  <c r="A1048" i="4"/>
  <c r="A1052" i="4"/>
  <c r="A1056" i="4"/>
  <c r="A1060" i="4"/>
  <c r="A1064" i="4"/>
  <c r="A1067" i="4"/>
  <c r="A1070" i="4"/>
  <c r="A1073" i="4"/>
  <c r="A1077" i="4"/>
  <c r="A91" i="4"/>
  <c r="A56" i="4"/>
  <c r="A1086" i="4"/>
  <c r="A1090" i="4"/>
  <c r="A1094" i="4"/>
  <c r="A1098" i="4"/>
  <c r="A1101" i="4"/>
  <c r="A1105" i="4"/>
  <c r="A1109" i="4"/>
  <c r="A1112" i="4"/>
  <c r="A1116" i="4"/>
  <c r="A1120" i="4"/>
  <c r="A1124" i="4"/>
  <c r="A1128" i="4"/>
  <c r="A98" i="4"/>
  <c r="A1135" i="4"/>
  <c r="A1139" i="4"/>
  <c r="A1142" i="4"/>
  <c r="A1146" i="4"/>
  <c r="A1150" i="4"/>
  <c r="A1154" i="4"/>
  <c r="A1158" i="4"/>
  <c r="A1162" i="4"/>
  <c r="A1166" i="4"/>
  <c r="A1170" i="4"/>
  <c r="A1174" i="4"/>
  <c r="A1177" i="4"/>
  <c r="A1181" i="4"/>
  <c r="A1185" i="4"/>
  <c r="A20" i="4"/>
  <c r="A1192" i="4"/>
  <c r="A1196" i="4"/>
  <c r="A1200" i="4"/>
  <c r="A1204" i="4"/>
  <c r="A23" i="4"/>
  <c r="A1210" i="4"/>
  <c r="A1214" i="4"/>
  <c r="A1218" i="4"/>
  <c r="A1222" i="4"/>
  <c r="A1226" i="4"/>
  <c r="A1230" i="4"/>
  <c r="A1234" i="4"/>
  <c r="A1237" i="4"/>
  <c r="A1240" i="4"/>
  <c r="A1244" i="4"/>
  <c r="A1248" i="4"/>
  <c r="A1252" i="4"/>
  <c r="A1256" i="4"/>
  <c r="A1260" i="4"/>
  <c r="A126" i="4"/>
  <c r="A1267" i="4"/>
  <c r="A1271" i="4"/>
  <c r="A1275" i="4"/>
  <c r="A1277" i="4"/>
  <c r="A1280" i="4"/>
  <c r="A1284" i="4"/>
  <c r="A73" i="4"/>
  <c r="A1288" i="4"/>
  <c r="A1292" i="4"/>
  <c r="A1296" i="4"/>
  <c r="A1300" i="4"/>
  <c r="A1304" i="4"/>
  <c r="A1307" i="4"/>
  <c r="A1311" i="4"/>
  <c r="A1315" i="4"/>
  <c r="A1318" i="4"/>
  <c r="A1322" i="4"/>
  <c r="A1326" i="4"/>
  <c r="A1329" i="4"/>
  <c r="A1333" i="4"/>
  <c r="A1337" i="4"/>
  <c r="A1341" i="4"/>
  <c r="A1345" i="4"/>
  <c r="A1349" i="4"/>
  <c r="A120" i="4"/>
  <c r="A1355" i="4"/>
  <c r="A1359" i="4"/>
  <c r="A1363" i="4"/>
  <c r="A165" i="4"/>
  <c r="A228" i="4"/>
  <c r="A289" i="4"/>
  <c r="A351" i="4"/>
  <c r="A415" i="4"/>
  <c r="A477" i="4"/>
  <c r="A541" i="4"/>
  <c r="A605" i="4"/>
  <c r="A635" i="4"/>
  <c r="A651" i="4"/>
  <c r="A666" i="4"/>
  <c r="A682" i="4"/>
  <c r="A697" i="4"/>
  <c r="A713" i="4"/>
  <c r="A729" i="4"/>
  <c r="A745" i="4"/>
  <c r="A761" i="4"/>
  <c r="A777" i="4"/>
  <c r="A791" i="4"/>
  <c r="A807" i="4"/>
  <c r="A823" i="4"/>
  <c r="A839" i="4"/>
  <c r="A854" i="4"/>
  <c r="A870" i="4"/>
  <c r="A886" i="4"/>
  <c r="A901" i="4"/>
  <c r="A917" i="4"/>
  <c r="A933" i="4"/>
  <c r="A949" i="4"/>
  <c r="A965" i="4"/>
  <c r="A980" i="4"/>
  <c r="A988" i="4"/>
  <c r="A996" i="4"/>
  <c r="A1002" i="4"/>
  <c r="A1006" i="4"/>
  <c r="A1010" i="4"/>
  <c r="A1013" i="4"/>
  <c r="A1017" i="4"/>
  <c r="A1021" i="4"/>
  <c r="A1025" i="4"/>
  <c r="A1029" i="4"/>
  <c r="A1033" i="4"/>
  <c r="A1037" i="4"/>
  <c r="A1041" i="4"/>
  <c r="A1045" i="4"/>
  <c r="A1049" i="4"/>
  <c r="A1053" i="4"/>
  <c r="A1057" i="4"/>
  <c r="A1061" i="4"/>
  <c r="A1065" i="4"/>
  <c r="A72" i="4"/>
  <c r="A1071" i="4"/>
  <c r="A1074" i="4"/>
  <c r="A1078" i="4"/>
  <c r="A1081" i="4"/>
  <c r="A1083" i="4"/>
  <c r="A1087" i="4"/>
  <c r="A1091" i="4"/>
  <c r="A1095" i="4"/>
  <c r="A1099" i="4"/>
  <c r="A1102" i="4"/>
  <c r="A1106" i="4"/>
  <c r="A1110" i="4"/>
  <c r="A1113" i="4"/>
  <c r="A1117" i="4"/>
  <c r="A1121" i="4"/>
  <c r="A1125" i="4"/>
  <c r="A1129" i="4"/>
  <c r="A1132" i="4"/>
  <c r="A1136" i="4"/>
  <c r="A1140" i="4"/>
  <c r="A1143" i="4"/>
  <c r="A1147" i="4"/>
  <c r="A1151" i="4"/>
  <c r="A1155" i="4"/>
  <c r="A1159" i="4"/>
  <c r="A1163" i="4"/>
  <c r="A1167" i="4"/>
  <c r="A1171" i="4"/>
  <c r="A1175" i="4"/>
  <c r="A1178" i="4"/>
  <c r="A1182" i="4"/>
  <c r="A1186" i="4"/>
  <c r="A1189" i="4"/>
  <c r="A1193" i="4"/>
  <c r="A1197" i="4"/>
  <c r="A1201" i="4"/>
  <c r="A1205" i="4"/>
  <c r="A60" i="4"/>
  <c r="A1211" i="4"/>
  <c r="A1215" i="4"/>
  <c r="A1219" i="4"/>
  <c r="A1223" i="4"/>
  <c r="A1227" i="4"/>
  <c r="A1231" i="4"/>
  <c r="A79" i="4"/>
  <c r="A1238" i="4"/>
  <c r="A1241" i="4"/>
  <c r="A1245" i="4"/>
  <c r="A1249" i="4"/>
  <c r="A1253" i="4"/>
  <c r="A1257" i="4"/>
  <c r="A1261" i="4"/>
  <c r="A1264" i="4"/>
  <c r="A1268" i="4"/>
  <c r="A1272" i="4"/>
  <c r="A42" i="4"/>
  <c r="A1278" i="4"/>
  <c r="A1281" i="4"/>
  <c r="A1285" i="4"/>
  <c r="A102" i="4"/>
  <c r="A1289" i="4"/>
  <c r="A1293" i="4"/>
  <c r="A1297" i="4"/>
  <c r="A1301" i="4"/>
  <c r="A1305" i="4"/>
  <c r="A1308" i="4"/>
  <c r="A1312" i="4"/>
  <c r="A1316" i="4"/>
  <c r="A1319" i="4"/>
  <c r="A1323" i="4"/>
  <c r="A1327" i="4"/>
  <c r="A1330" i="4"/>
  <c r="A1334" i="4"/>
  <c r="A1338" i="4"/>
  <c r="A1342" i="4"/>
  <c r="A1346" i="4"/>
  <c r="A53" i="4"/>
  <c r="A1352" i="4"/>
  <c r="A1356" i="4"/>
  <c r="A1360" i="4"/>
  <c r="A1364" i="4"/>
  <c r="A181" i="4"/>
  <c r="A244" i="4"/>
  <c r="A304" i="4"/>
  <c r="A367" i="4"/>
  <c r="A429" i="4"/>
  <c r="A493" i="4"/>
  <c r="A557" i="4"/>
  <c r="A88" i="4"/>
  <c r="A639" i="4"/>
  <c r="A655" i="4"/>
  <c r="A670" i="4"/>
  <c r="A686" i="4"/>
  <c r="A701" i="4"/>
  <c r="A717" i="4"/>
  <c r="A733" i="4"/>
  <c r="A749" i="4"/>
  <c r="A765" i="4"/>
  <c r="A107" i="4"/>
  <c r="A795" i="4"/>
  <c r="A811" i="4"/>
  <c r="A827" i="4"/>
  <c r="A843" i="4"/>
  <c r="A858" i="4"/>
  <c r="A874" i="4"/>
  <c r="A890" i="4"/>
  <c r="A905" i="4"/>
  <c r="A921" i="4"/>
  <c r="A937" i="4"/>
  <c r="A953" i="4"/>
  <c r="A969" i="4"/>
  <c r="A983" i="4"/>
  <c r="A991" i="4"/>
  <c r="A999" i="4"/>
  <c r="A1003" i="4"/>
  <c r="A1007" i="4"/>
  <c r="A65" i="4"/>
  <c r="A1014" i="4"/>
  <c r="A1018" i="4"/>
  <c r="A1022" i="4"/>
  <c r="A1026" i="4"/>
  <c r="A1030" i="4"/>
  <c r="A1034" i="4"/>
  <c r="A1038" i="4"/>
  <c r="A1042" i="4"/>
  <c r="A1046" i="4"/>
  <c r="A1050" i="4"/>
  <c r="A1054" i="4"/>
  <c r="A1058" i="4"/>
  <c r="A1062" i="4"/>
  <c r="A1066" i="4"/>
  <c r="A1068" i="4"/>
  <c r="A1072" i="4"/>
  <c r="A1075" i="4"/>
  <c r="A1079" i="4"/>
  <c r="A1082" i="4"/>
  <c r="A1084" i="4"/>
  <c r="A1088" i="4"/>
  <c r="A1092" i="4"/>
  <c r="A1096" i="4"/>
  <c r="A50" i="4"/>
  <c r="A1103" i="4"/>
  <c r="A1107" i="4"/>
  <c r="A9" i="4"/>
  <c r="A1114" i="4"/>
  <c r="A1118" i="4"/>
  <c r="A1122" i="4"/>
  <c r="A1126" i="4"/>
  <c r="A1130" i="4"/>
  <c r="A1133" i="4"/>
  <c r="A1137" i="4"/>
  <c r="A1141" i="4"/>
  <c r="A1144" i="4"/>
  <c r="A1148" i="4"/>
  <c r="A1152" i="4"/>
  <c r="A1156" i="4"/>
  <c r="A1160" i="4"/>
  <c r="A1164" i="4"/>
  <c r="A1168" i="4"/>
  <c r="A1172" i="4"/>
  <c r="A111" i="4"/>
  <c r="A1179" i="4"/>
  <c r="A1183" i="4"/>
  <c r="A1187" i="4"/>
  <c r="A1190" i="4"/>
  <c r="A1194" i="4"/>
  <c r="A1198" i="4"/>
  <c r="A1202" i="4"/>
  <c r="A1206" i="4"/>
  <c r="A1208" i="4"/>
  <c r="A1212" i="4"/>
  <c r="A1216" i="4"/>
  <c r="A1220" i="4"/>
  <c r="A1224" i="4"/>
  <c r="A1228" i="4"/>
  <c r="A1232" i="4"/>
  <c r="A1235" i="4"/>
  <c r="A1239" i="4"/>
  <c r="A1242" i="4"/>
  <c r="A1246" i="4"/>
  <c r="A1250" i="4"/>
  <c r="A1254" i="4"/>
  <c r="A1258" i="4"/>
  <c r="A1262" i="4"/>
  <c r="A1265" i="4"/>
  <c r="A1269" i="4"/>
  <c r="A1273" i="4"/>
  <c r="A45" i="4"/>
  <c r="A31" i="4"/>
  <c r="A1282" i="4"/>
  <c r="A1286" i="4"/>
  <c r="A109" i="4"/>
  <c r="A1290" i="4"/>
  <c r="A1294" i="4"/>
  <c r="A1298" i="4"/>
  <c r="A1302" i="4"/>
  <c r="A1306" i="4"/>
  <c r="A1309" i="4"/>
  <c r="A1313" i="4"/>
  <c r="A1317" i="4"/>
  <c r="A1320" i="4"/>
  <c r="A1324" i="4"/>
  <c r="A114" i="4"/>
  <c r="A1331" i="4"/>
  <c r="A1335" i="4"/>
  <c r="A1339" i="4"/>
  <c r="A1343" i="4"/>
  <c r="A1347" i="4"/>
  <c r="A197" i="4"/>
  <c r="A445" i="4"/>
  <c r="A643" i="4"/>
  <c r="A705" i="4"/>
  <c r="A769" i="4"/>
  <c r="A831" i="4"/>
  <c r="A893" i="4"/>
  <c r="A957" i="4"/>
  <c r="A1000" i="4"/>
  <c r="A1015" i="4"/>
  <c r="A1031" i="4"/>
  <c r="A1047" i="4"/>
  <c r="A1063" i="4"/>
  <c r="A1076" i="4"/>
  <c r="A1089" i="4"/>
  <c r="A1104" i="4"/>
  <c r="A1119" i="4"/>
  <c r="A1134" i="4"/>
  <c r="A1149" i="4"/>
  <c r="A1165" i="4"/>
  <c r="A1180" i="4"/>
  <c r="A1195" i="4"/>
  <c r="A1209" i="4"/>
  <c r="A1225" i="4"/>
  <c r="A132" i="4"/>
  <c r="A1255" i="4"/>
  <c r="A1270" i="4"/>
  <c r="A1283" i="4"/>
  <c r="A1295" i="4"/>
  <c r="A1310" i="4"/>
  <c r="A1325" i="4"/>
  <c r="A1340" i="4"/>
  <c r="A1351" i="4"/>
  <c r="A1358" i="4"/>
  <c r="A1366" i="4"/>
  <c r="A1369" i="4"/>
  <c r="A1372" i="4"/>
  <c r="A1376" i="4"/>
  <c r="A1380" i="4"/>
  <c r="A1384" i="4"/>
  <c r="A1388" i="4"/>
  <c r="A1392" i="4"/>
  <c r="A1396" i="4"/>
  <c r="A1400" i="4"/>
  <c r="A1404" i="4"/>
  <c r="A1408" i="4"/>
  <c r="A1412" i="4"/>
  <c r="A1416" i="4"/>
  <c r="A1420" i="4"/>
  <c r="A1423" i="4"/>
  <c r="A1426" i="4"/>
  <c r="A1429" i="4"/>
  <c r="A128" i="4"/>
  <c r="A1434" i="4"/>
  <c r="A95" i="4"/>
  <c r="A67" i="4"/>
  <c r="A1441" i="4"/>
  <c r="A1442" i="4"/>
  <c r="A24" i="4"/>
  <c r="A1446" i="4"/>
  <c r="A1449" i="4"/>
  <c r="A1453" i="4"/>
  <c r="A11" i="4"/>
  <c r="A1458" i="4"/>
  <c r="A1460" i="4"/>
  <c r="A39" i="4"/>
  <c r="A1465" i="4"/>
  <c r="A100" i="4"/>
  <c r="A1471" i="4"/>
  <c r="A63" i="4"/>
  <c r="A44" i="4"/>
  <c r="A27" i="4"/>
  <c r="A55" i="4"/>
  <c r="A1474" i="4"/>
  <c r="A1475" i="4"/>
  <c r="A1476" i="4"/>
  <c r="A62" i="4"/>
  <c r="A81" i="4"/>
  <c r="A92" i="4"/>
  <c r="A35" i="4"/>
  <c r="A48" i="4"/>
  <c r="A1480" i="4"/>
  <c r="A1483" i="4"/>
  <c r="A1486" i="4"/>
  <c r="G134" i="4"/>
  <c r="G138" i="4"/>
  <c r="G142" i="4"/>
  <c r="G146" i="4"/>
  <c r="G150" i="4"/>
  <c r="G154" i="4"/>
  <c r="G158" i="4"/>
  <c r="G162" i="4"/>
  <c r="G166" i="4"/>
  <c r="G170" i="4"/>
  <c r="G174" i="4"/>
  <c r="G178" i="4"/>
  <c r="G182" i="4"/>
  <c r="G186" i="4"/>
  <c r="G190" i="4"/>
  <c r="G194" i="4"/>
  <c r="G198" i="4"/>
  <c r="G202" i="4"/>
  <c r="G206" i="4"/>
  <c r="G209" i="4"/>
  <c r="G213" i="4"/>
  <c r="G217" i="4"/>
  <c r="G221" i="4"/>
  <c r="G225" i="4"/>
  <c r="G229" i="4"/>
  <c r="G233" i="4"/>
  <c r="G237" i="4"/>
  <c r="G241" i="4"/>
  <c r="G245" i="4"/>
  <c r="G249" i="4"/>
  <c r="G251" i="4"/>
  <c r="G255" i="4"/>
  <c r="G259" i="4"/>
  <c r="G263" i="4"/>
  <c r="G267" i="4"/>
  <c r="G271" i="4"/>
  <c r="G275" i="4"/>
  <c r="G278" i="4"/>
  <c r="G282" i="4"/>
  <c r="G286" i="4"/>
  <c r="G290" i="4"/>
  <c r="G294" i="4"/>
  <c r="G118" i="4"/>
  <c r="G301" i="4"/>
  <c r="G305" i="4"/>
  <c r="G309" i="4"/>
  <c r="G313" i="4"/>
  <c r="G317" i="4"/>
  <c r="G321" i="4"/>
  <c r="G325" i="4"/>
  <c r="G329" i="4"/>
  <c r="G332" i="4"/>
  <c r="G336" i="4"/>
  <c r="G340" i="4"/>
  <c r="G344" i="4"/>
  <c r="G348" i="4"/>
  <c r="G352" i="4"/>
  <c r="G356" i="4"/>
  <c r="G360" i="4"/>
  <c r="G364" i="4"/>
  <c r="G368" i="4"/>
  <c r="G372" i="4"/>
  <c r="G376" i="4"/>
  <c r="G380" i="4"/>
  <c r="G384" i="4"/>
  <c r="G388" i="4"/>
  <c r="G392" i="4"/>
  <c r="G396" i="4"/>
  <c r="G400" i="4"/>
  <c r="G404" i="4"/>
  <c r="G408" i="4"/>
  <c r="G412" i="4"/>
  <c r="G416" i="4"/>
  <c r="G419" i="4"/>
  <c r="G423" i="4"/>
  <c r="G66" i="4"/>
  <c r="G430" i="4"/>
  <c r="G434" i="4"/>
  <c r="G438" i="4"/>
  <c r="G442" i="4"/>
  <c r="G446" i="4"/>
  <c r="G450" i="4"/>
  <c r="G454" i="4"/>
  <c r="G458" i="4"/>
  <c r="G462" i="4"/>
  <c r="G466" i="4"/>
  <c r="G470" i="4"/>
  <c r="G474" i="4"/>
  <c r="G478" i="4"/>
  <c r="G482" i="4"/>
  <c r="G486" i="4"/>
  <c r="G490" i="4"/>
  <c r="G494" i="4"/>
  <c r="G498" i="4"/>
  <c r="G502" i="4"/>
  <c r="G506" i="4"/>
  <c r="G510" i="4"/>
  <c r="G514" i="4"/>
  <c r="G518" i="4"/>
  <c r="G522" i="4"/>
  <c r="G526" i="4"/>
  <c r="G530" i="4"/>
  <c r="G534" i="4"/>
  <c r="G538" i="4"/>
  <c r="G542" i="4"/>
  <c r="G546" i="4"/>
  <c r="G550" i="4"/>
  <c r="G554" i="4"/>
  <c r="G558" i="4"/>
  <c r="G562" i="4"/>
  <c r="G566" i="4"/>
  <c r="G570" i="4"/>
  <c r="G574" i="4"/>
  <c r="G578" i="4"/>
  <c r="G582" i="4"/>
  <c r="G586" i="4"/>
  <c r="G590" i="4"/>
  <c r="G594" i="4"/>
  <c r="G598" i="4"/>
  <c r="G602" i="4"/>
  <c r="G606" i="4"/>
  <c r="G610" i="4"/>
  <c r="G614" i="4"/>
  <c r="G618" i="4"/>
  <c r="G619" i="4"/>
  <c r="G623" i="4"/>
  <c r="G627" i="4"/>
  <c r="G630" i="4"/>
  <c r="G634" i="4"/>
  <c r="G638" i="4"/>
  <c r="G642" i="4"/>
  <c r="G646" i="4"/>
  <c r="G650" i="4"/>
  <c r="G654" i="4"/>
  <c r="G658" i="4"/>
  <c r="G661" i="4"/>
  <c r="G665" i="4"/>
  <c r="G669" i="4"/>
  <c r="G673" i="4"/>
  <c r="G677" i="4"/>
  <c r="G681" i="4"/>
  <c r="G685" i="4"/>
  <c r="G688" i="4"/>
  <c r="G692" i="4"/>
  <c r="G696" i="4"/>
  <c r="G700" i="4"/>
  <c r="G704" i="4"/>
  <c r="G708" i="4"/>
  <c r="G712" i="4"/>
  <c r="G716" i="4"/>
  <c r="G720" i="4"/>
  <c r="G724" i="4"/>
  <c r="G728" i="4"/>
  <c r="G732" i="4"/>
  <c r="G736" i="4"/>
  <c r="G740" i="4"/>
  <c r="G744" i="4"/>
  <c r="G748" i="4"/>
  <c r="G752" i="4"/>
  <c r="G756" i="4"/>
  <c r="G760" i="4"/>
  <c r="G764" i="4"/>
  <c r="G768" i="4"/>
  <c r="G772" i="4"/>
  <c r="G776" i="4"/>
  <c r="G780" i="4"/>
  <c r="G782" i="4"/>
  <c r="G786" i="4"/>
  <c r="G790" i="4"/>
  <c r="G794" i="4"/>
  <c r="G798" i="4"/>
  <c r="A258" i="4"/>
  <c r="A509" i="4"/>
  <c r="A93" i="4"/>
  <c r="A721" i="4"/>
  <c r="A783" i="4"/>
  <c r="A846" i="4"/>
  <c r="A909" i="4"/>
  <c r="A973" i="4"/>
  <c r="A1004" i="4"/>
  <c r="A1019" i="4"/>
  <c r="A1035" i="4"/>
  <c r="A1051" i="4"/>
  <c r="A8" i="4"/>
  <c r="A1080" i="4"/>
  <c r="A1093" i="4"/>
  <c r="A1108" i="4"/>
  <c r="A1123" i="4"/>
  <c r="A1138" i="4"/>
  <c r="A1153" i="4"/>
  <c r="A1169" i="4"/>
  <c r="A1184" i="4"/>
  <c r="A1199" i="4"/>
  <c r="A1213" i="4"/>
  <c r="A1229" i="4"/>
  <c r="A1243" i="4"/>
  <c r="A1259" i="4"/>
  <c r="A1274" i="4"/>
  <c r="A122" i="4"/>
  <c r="A1299" i="4"/>
  <c r="A1314" i="4"/>
  <c r="A1328" i="4"/>
  <c r="A1344" i="4"/>
  <c r="A1353" i="4"/>
  <c r="A1361" i="4"/>
  <c r="A1367" i="4"/>
  <c r="A86" i="4"/>
  <c r="A1373" i="4"/>
  <c r="A1377" i="4"/>
  <c r="A1381" i="4"/>
  <c r="A1385" i="4"/>
  <c r="A1389" i="4"/>
  <c r="A1393" i="4"/>
  <c r="A1397" i="4"/>
  <c r="A1401" i="4"/>
  <c r="A1405" i="4"/>
  <c r="A1409" i="4"/>
  <c r="A1413" i="4"/>
  <c r="A1417" i="4"/>
  <c r="A127" i="4"/>
  <c r="A1424" i="4"/>
  <c r="A1427" i="4"/>
  <c r="A1430" i="4"/>
  <c r="A1432" i="4"/>
  <c r="A54" i="4"/>
  <c r="A1436" i="4"/>
  <c r="A36" i="4"/>
  <c r="A61" i="4"/>
  <c r="A121" i="4"/>
  <c r="A1443" i="4"/>
  <c r="A1447" i="4"/>
  <c r="A1450" i="4"/>
  <c r="A1454" i="4"/>
  <c r="A18" i="4"/>
  <c r="A12" i="4"/>
  <c r="A131" i="4"/>
  <c r="A1463" i="4"/>
  <c r="A1466" i="4"/>
  <c r="A1469" i="4"/>
  <c r="A1472" i="4"/>
  <c r="A13" i="4"/>
  <c r="A29" i="4"/>
  <c r="A112" i="4"/>
  <c r="A19" i="4"/>
  <c r="A28" i="4"/>
  <c r="A59" i="4"/>
  <c r="A1477" i="4"/>
  <c r="A70" i="4"/>
  <c r="A33" i="4"/>
  <c r="A37" i="4"/>
  <c r="A87" i="4"/>
  <c r="A64" i="4"/>
  <c r="A1481" i="4"/>
  <c r="A38" i="4"/>
  <c r="A47" i="4"/>
  <c r="G135" i="4"/>
  <c r="G139" i="4"/>
  <c r="G143" i="4"/>
  <c r="G147" i="4"/>
  <c r="G151" i="4"/>
  <c r="G155" i="4"/>
  <c r="G159" i="4"/>
  <c r="G163" i="4"/>
  <c r="G167" i="4"/>
  <c r="G171" i="4"/>
  <c r="G175" i="4"/>
  <c r="G179" i="4"/>
  <c r="G183" i="4"/>
  <c r="G187" i="4"/>
  <c r="G191" i="4"/>
  <c r="G195" i="4"/>
  <c r="G199" i="4"/>
  <c r="G203" i="4"/>
  <c r="G207" i="4"/>
  <c r="G210" i="4"/>
  <c r="G214" i="4"/>
  <c r="G218" i="4"/>
  <c r="G222" i="4"/>
  <c r="G226" i="4"/>
  <c r="G230" i="4"/>
  <c r="G234" i="4"/>
  <c r="G238" i="4"/>
  <c r="G242" i="4"/>
  <c r="G246" i="4"/>
  <c r="G75" i="4"/>
  <c r="G252" i="4"/>
  <c r="G256" i="4"/>
  <c r="G260" i="4"/>
  <c r="G264" i="4"/>
  <c r="G268" i="4"/>
  <c r="G272" i="4"/>
  <c r="G276" i="4"/>
  <c r="G279" i="4"/>
  <c r="G283" i="4"/>
  <c r="G287" i="4"/>
  <c r="G291" i="4"/>
  <c r="G295" i="4"/>
  <c r="G298" i="4"/>
  <c r="G302" i="4"/>
  <c r="G306" i="4"/>
  <c r="G310" i="4"/>
  <c r="G314" i="4"/>
  <c r="G318" i="4"/>
  <c r="G322" i="4"/>
  <c r="G326" i="4"/>
  <c r="G330" i="4"/>
  <c r="G333" i="4"/>
  <c r="G337" i="4"/>
  <c r="G341" i="4"/>
  <c r="G345" i="4"/>
  <c r="G349" i="4"/>
  <c r="G353" i="4"/>
  <c r="G357" i="4"/>
  <c r="G361" i="4"/>
  <c r="G365" i="4"/>
  <c r="G369" i="4"/>
  <c r="G373" i="4"/>
  <c r="G377" i="4"/>
  <c r="G381" i="4"/>
  <c r="G385" i="4"/>
  <c r="G389" i="4"/>
  <c r="G393" i="4"/>
  <c r="G397" i="4"/>
  <c r="G401" i="4"/>
  <c r="G405" i="4"/>
  <c r="G409" i="4"/>
  <c r="G413" i="4"/>
  <c r="G417" i="4"/>
  <c r="G420" i="4"/>
  <c r="G424" i="4"/>
  <c r="G427" i="4"/>
  <c r="G431" i="4"/>
  <c r="G435" i="4"/>
  <c r="G439" i="4"/>
  <c r="G443" i="4"/>
  <c r="G447" i="4"/>
  <c r="G451" i="4"/>
  <c r="G455" i="4"/>
  <c r="G459" i="4"/>
  <c r="G463" i="4"/>
  <c r="G467" i="4"/>
  <c r="G471" i="4"/>
  <c r="G475" i="4"/>
  <c r="G479" i="4"/>
  <c r="G483" i="4"/>
  <c r="G487" i="4"/>
  <c r="G491" i="4"/>
  <c r="G495" i="4"/>
  <c r="G499" i="4"/>
  <c r="G503" i="4"/>
  <c r="G507" i="4"/>
  <c r="G511" i="4"/>
  <c r="G515" i="4"/>
  <c r="G519" i="4"/>
  <c r="G523" i="4"/>
  <c r="G527" i="4"/>
  <c r="G531" i="4"/>
  <c r="G535" i="4"/>
  <c r="G539" i="4"/>
  <c r="G543" i="4"/>
  <c r="G547" i="4"/>
  <c r="G551" i="4"/>
  <c r="G555" i="4"/>
  <c r="G559" i="4"/>
  <c r="G563" i="4"/>
  <c r="G567" i="4"/>
  <c r="G571" i="4"/>
  <c r="G575" i="4"/>
  <c r="G579" i="4"/>
  <c r="G583" i="4"/>
  <c r="G587" i="4"/>
  <c r="G591" i="4"/>
  <c r="G595" i="4"/>
  <c r="G599" i="4"/>
  <c r="G603" i="4"/>
  <c r="G607" i="4"/>
  <c r="G611" i="4"/>
  <c r="G615" i="4"/>
  <c r="G84" i="4"/>
  <c r="G620" i="4"/>
  <c r="G624" i="4"/>
  <c r="G116" i="4"/>
  <c r="G631" i="4"/>
  <c r="G635" i="4"/>
  <c r="G639" i="4"/>
  <c r="G643" i="4"/>
  <c r="G647" i="4"/>
  <c r="G651" i="4"/>
  <c r="G655" i="4"/>
  <c r="G93" i="4"/>
  <c r="G662" i="4"/>
  <c r="G666" i="4"/>
  <c r="G670" i="4"/>
  <c r="G674" i="4"/>
  <c r="G678" i="4"/>
  <c r="G682" i="4"/>
  <c r="G686" i="4"/>
  <c r="G689" i="4"/>
  <c r="G693" i="4"/>
  <c r="G697" i="4"/>
  <c r="G701" i="4"/>
  <c r="G705" i="4"/>
  <c r="G709" i="4"/>
  <c r="G713" i="4"/>
  <c r="G717" i="4"/>
  <c r="G721" i="4"/>
  <c r="G725" i="4"/>
  <c r="G729" i="4"/>
  <c r="G733" i="4"/>
  <c r="G737" i="4"/>
  <c r="G741" i="4"/>
  <c r="G745" i="4"/>
  <c r="G749" i="4"/>
  <c r="G753" i="4"/>
  <c r="G757" i="4"/>
  <c r="G761" i="4"/>
  <c r="G765" i="4"/>
  <c r="G769" i="4"/>
  <c r="G773" i="4"/>
  <c r="G777" i="4"/>
  <c r="G107" i="4"/>
  <c r="G783" i="4"/>
  <c r="G787" i="4"/>
  <c r="G791" i="4"/>
  <c r="G795" i="4"/>
  <c r="G799" i="4"/>
  <c r="A320" i="4"/>
  <c r="A573" i="4"/>
  <c r="A674" i="4"/>
  <c r="A737" i="4"/>
  <c r="A799" i="4"/>
  <c r="A862" i="4"/>
  <c r="A925" i="4"/>
  <c r="A984" i="4"/>
  <c r="A1008" i="4"/>
  <c r="A1023" i="4"/>
  <c r="A1039" i="4"/>
  <c r="A1055" i="4"/>
  <c r="A1069" i="4"/>
  <c r="A15" i="4"/>
  <c r="A1097" i="4"/>
  <c r="A1111" i="4"/>
  <c r="A1127" i="4"/>
  <c r="A22" i="4"/>
  <c r="A1157" i="4"/>
  <c r="A1173" i="4"/>
  <c r="A1188" i="4"/>
  <c r="A1203" i="4"/>
  <c r="A1217" i="4"/>
  <c r="A1233" i="4"/>
  <c r="A1247" i="4"/>
  <c r="A1263" i="4"/>
  <c r="A1276" i="4"/>
  <c r="A1287" i="4"/>
  <c r="A1303" i="4"/>
  <c r="A16" i="4"/>
  <c r="A1332" i="4"/>
  <c r="A1348" i="4"/>
  <c r="A1354" i="4"/>
  <c r="A1362" i="4"/>
  <c r="A1368" i="4"/>
  <c r="A1370" i="4"/>
  <c r="A1374" i="4"/>
  <c r="A1378" i="4"/>
  <c r="A1382" i="4"/>
  <c r="A1386" i="4"/>
  <c r="A1390" i="4"/>
  <c r="A1394" i="4"/>
  <c r="A1398" i="4"/>
  <c r="A1402" i="4"/>
  <c r="A1406" i="4"/>
  <c r="A1410" i="4"/>
  <c r="A1414" i="4"/>
  <c r="A1418" i="4"/>
  <c r="A1421" i="4"/>
  <c r="A1425" i="4"/>
  <c r="A1428" i="4"/>
  <c r="A1431" i="4"/>
  <c r="A1433" i="4"/>
  <c r="A1435" i="4"/>
  <c r="A1437" i="4"/>
  <c r="A1439" i="4"/>
  <c r="A123" i="4"/>
  <c r="A119" i="4"/>
  <c r="A1444" i="4"/>
  <c r="A99" i="4"/>
  <c r="A1451" i="4"/>
  <c r="A1455" i="4"/>
  <c r="A68" i="4"/>
  <c r="A1459" i="4"/>
  <c r="A1461" i="4"/>
  <c r="A1464" i="4"/>
  <c r="A1467" i="4"/>
  <c r="A26" i="4"/>
  <c r="A113" i="4"/>
  <c r="A83" i="4"/>
  <c r="A110" i="4"/>
  <c r="A69" i="4"/>
  <c r="A58" i="4"/>
  <c r="A25" i="4"/>
  <c r="A40" i="4"/>
  <c r="A1478" i="4"/>
  <c r="A77" i="4"/>
  <c r="A1479" i="4"/>
  <c r="A85" i="4"/>
  <c r="A96" i="4"/>
  <c r="A82" i="4"/>
  <c r="A46" i="4"/>
  <c r="A1484" i="4"/>
  <c r="A1487" i="4"/>
  <c r="G136" i="4"/>
  <c r="G140" i="4"/>
  <c r="G144" i="4"/>
  <c r="G148" i="4"/>
  <c r="G152" i="4"/>
  <c r="G156" i="4"/>
  <c r="G160" i="4"/>
  <c r="G164" i="4"/>
  <c r="G168" i="4"/>
  <c r="G172" i="4"/>
  <c r="G176" i="4"/>
  <c r="G180" i="4"/>
  <c r="G184" i="4"/>
  <c r="G188" i="4"/>
  <c r="G192" i="4"/>
  <c r="G196" i="4"/>
  <c r="G200" i="4"/>
  <c r="G204" i="4"/>
  <c r="G208" i="4"/>
  <c r="G211" i="4"/>
  <c r="G215" i="4"/>
  <c r="G219" i="4"/>
  <c r="G223" i="4"/>
  <c r="G227" i="4"/>
  <c r="G231" i="4"/>
  <c r="G235" i="4"/>
  <c r="G239" i="4"/>
  <c r="G243" i="4"/>
  <c r="G247" i="4"/>
  <c r="G76" i="4"/>
  <c r="G253" i="4"/>
  <c r="G257" i="4"/>
  <c r="G261" i="4"/>
  <c r="G265" i="4"/>
  <c r="G269" i="4"/>
  <c r="G273" i="4"/>
  <c r="G277" i="4"/>
  <c r="G280" i="4"/>
  <c r="G284" i="4"/>
  <c r="G288" i="4"/>
  <c r="G292" i="4"/>
  <c r="G296" i="4"/>
  <c r="G299" i="4"/>
  <c r="G303" i="4"/>
  <c r="G307" i="4"/>
  <c r="G311" i="4"/>
  <c r="G315" i="4"/>
  <c r="G319" i="4"/>
  <c r="G323" i="4"/>
  <c r="G327" i="4"/>
  <c r="G6" i="4"/>
  <c r="G334" i="4"/>
  <c r="G338" i="4"/>
  <c r="G342" i="4"/>
  <c r="G346" i="4"/>
  <c r="G350" i="4"/>
  <c r="G354" i="4"/>
  <c r="G358" i="4"/>
  <c r="G362" i="4"/>
  <c r="G366" i="4"/>
  <c r="G370" i="4"/>
  <c r="G374" i="4"/>
  <c r="G378" i="4"/>
  <c r="G382" i="4"/>
  <c r="G386" i="4"/>
  <c r="G390" i="4"/>
  <c r="G394" i="4"/>
  <c r="G398" i="4"/>
  <c r="G402" i="4"/>
  <c r="G406" i="4"/>
  <c r="G410" i="4"/>
  <c r="G414" i="4"/>
  <c r="G418" i="4"/>
  <c r="G421" i="4"/>
  <c r="G425" i="4"/>
  <c r="G428" i="4"/>
  <c r="G432" i="4"/>
  <c r="G436" i="4"/>
  <c r="G440" i="4"/>
  <c r="G444" i="4"/>
  <c r="G448" i="4"/>
  <c r="G452" i="4"/>
  <c r="G456" i="4"/>
  <c r="G460" i="4"/>
  <c r="G464" i="4"/>
  <c r="G468" i="4"/>
  <c r="G472" i="4"/>
  <c r="G476" i="4"/>
  <c r="G480" i="4"/>
  <c r="G484" i="4"/>
  <c r="G488" i="4"/>
  <c r="G492" i="4"/>
  <c r="G496" i="4"/>
  <c r="G500" i="4"/>
  <c r="G504" i="4"/>
  <c r="G508" i="4"/>
  <c r="G512" i="4"/>
  <c r="G516" i="4"/>
  <c r="G520" i="4"/>
  <c r="G524" i="4"/>
  <c r="G528" i="4"/>
  <c r="G532" i="4"/>
  <c r="G536" i="4"/>
  <c r="G540" i="4"/>
  <c r="G544" i="4"/>
  <c r="G548" i="4"/>
  <c r="G552" i="4"/>
  <c r="G556" i="4"/>
  <c r="G560" i="4"/>
  <c r="G564" i="4"/>
  <c r="G568" i="4"/>
  <c r="G572" i="4"/>
  <c r="G576" i="4"/>
  <c r="G580" i="4"/>
  <c r="G584" i="4"/>
  <c r="G588" i="4"/>
  <c r="G592" i="4"/>
  <c r="G596" i="4"/>
  <c r="G600" i="4"/>
  <c r="G604" i="4"/>
  <c r="G608" i="4"/>
  <c r="G612" i="4"/>
  <c r="G616" i="4"/>
  <c r="G124" i="4"/>
  <c r="G621" i="4"/>
  <c r="G625" i="4"/>
  <c r="G628" i="4"/>
  <c r="G632" i="4"/>
  <c r="G636" i="4"/>
  <c r="G640" i="4"/>
  <c r="G644" i="4"/>
  <c r="G648" i="4"/>
  <c r="G652" i="4"/>
  <c r="G656" i="4"/>
  <c r="G659" i="4"/>
  <c r="G663" i="4"/>
  <c r="G667" i="4"/>
  <c r="G671" i="4"/>
  <c r="G675" i="4"/>
  <c r="G679" i="4"/>
  <c r="G683" i="4"/>
  <c r="G687" i="4"/>
  <c r="G690" i="4"/>
  <c r="G694" i="4"/>
  <c r="G698" i="4"/>
  <c r="G702" i="4"/>
  <c r="G706" i="4"/>
  <c r="G710" i="4"/>
  <c r="G714" i="4"/>
  <c r="G718" i="4"/>
  <c r="G722" i="4"/>
  <c r="G726" i="4"/>
  <c r="G730" i="4"/>
  <c r="G734" i="4"/>
  <c r="G738" i="4"/>
  <c r="G742" i="4"/>
  <c r="G746" i="4"/>
  <c r="G750" i="4"/>
  <c r="G754" i="4"/>
  <c r="G758" i="4"/>
  <c r="G762" i="4"/>
  <c r="G766" i="4"/>
  <c r="G770" i="4"/>
  <c r="G774" i="4"/>
  <c r="G778" i="4"/>
  <c r="G34" i="4"/>
  <c r="G784" i="4"/>
  <c r="A383" i="4"/>
  <c r="A815" i="4"/>
  <c r="A1011" i="4"/>
  <c r="A52" i="4"/>
  <c r="A1131" i="4"/>
  <c r="A1191" i="4"/>
  <c r="A1251" i="4"/>
  <c r="A43" i="4"/>
  <c r="A1357" i="4"/>
  <c r="A1375" i="4"/>
  <c r="A1391" i="4"/>
  <c r="A1407" i="4"/>
  <c r="A1422" i="4"/>
  <c r="A94" i="4"/>
  <c r="A125" i="4"/>
  <c r="A1452" i="4"/>
  <c r="A1462" i="4"/>
  <c r="A57" i="4"/>
  <c r="A32" i="4"/>
  <c r="A71" i="4"/>
  <c r="A115" i="4"/>
  <c r="G137" i="4"/>
  <c r="G153" i="4"/>
  <c r="G169" i="4"/>
  <c r="G185" i="4"/>
  <c r="G201" i="4"/>
  <c r="G216" i="4"/>
  <c r="G232" i="4"/>
  <c r="G248" i="4"/>
  <c r="G262" i="4"/>
  <c r="G51" i="4"/>
  <c r="G293" i="4"/>
  <c r="G308" i="4"/>
  <c r="G324" i="4"/>
  <c r="G339" i="4"/>
  <c r="G355" i="4"/>
  <c r="G371" i="4"/>
  <c r="G387" i="4"/>
  <c r="G403" i="4"/>
  <c r="G101" i="4"/>
  <c r="G433" i="4"/>
  <c r="G449" i="4"/>
  <c r="G465" i="4"/>
  <c r="G481" i="4"/>
  <c r="G497" i="4"/>
  <c r="G513" i="4"/>
  <c r="G529" i="4"/>
  <c r="G545" i="4"/>
  <c r="G561" i="4"/>
  <c r="G577" i="4"/>
  <c r="G593" i="4"/>
  <c r="G609" i="4"/>
  <c r="G622" i="4"/>
  <c r="G637" i="4"/>
  <c r="G653" i="4"/>
  <c r="G668" i="4"/>
  <c r="G684" i="4"/>
  <c r="G699" i="4"/>
  <c r="G715" i="4"/>
  <c r="G731" i="4"/>
  <c r="G747" i="4"/>
  <c r="G763" i="4"/>
  <c r="G779" i="4"/>
  <c r="G789" i="4"/>
  <c r="G797" i="4"/>
  <c r="G803" i="4"/>
  <c r="G807" i="4"/>
  <c r="G811" i="4"/>
  <c r="G815" i="4"/>
  <c r="G819" i="4"/>
  <c r="G823" i="4"/>
  <c r="G827" i="4"/>
  <c r="G831" i="4"/>
  <c r="G835" i="4"/>
  <c r="G839" i="4"/>
  <c r="G843" i="4"/>
  <c r="G846" i="4"/>
  <c r="G850" i="4"/>
  <c r="G854" i="4"/>
  <c r="G858" i="4"/>
  <c r="G862" i="4"/>
  <c r="G866" i="4"/>
  <c r="G870" i="4"/>
  <c r="G874" i="4"/>
  <c r="G878" i="4"/>
  <c r="G882" i="4"/>
  <c r="G886" i="4"/>
  <c r="G890" i="4"/>
  <c r="G893" i="4"/>
  <c r="G897" i="4"/>
  <c r="G901" i="4"/>
  <c r="G905" i="4"/>
  <c r="G909" i="4"/>
  <c r="G913" i="4"/>
  <c r="G917" i="4"/>
  <c r="G921" i="4"/>
  <c r="G925" i="4"/>
  <c r="G929" i="4"/>
  <c r="G933" i="4"/>
  <c r="G937" i="4"/>
  <c r="G941" i="4"/>
  <c r="G945" i="4"/>
  <c r="G949" i="4"/>
  <c r="G953" i="4"/>
  <c r="G957" i="4"/>
  <c r="G961" i="4"/>
  <c r="G965" i="4"/>
  <c r="G969" i="4"/>
  <c r="G973" i="4"/>
  <c r="G976" i="4"/>
  <c r="G980" i="4"/>
  <c r="G984" i="4"/>
  <c r="G988" i="4"/>
  <c r="G992" i="4"/>
  <c r="G996" i="4"/>
  <c r="G1000" i="4"/>
  <c r="G1003" i="4"/>
  <c r="G1007" i="4"/>
  <c r="G65" i="4"/>
  <c r="G1014" i="4"/>
  <c r="G1018" i="4"/>
  <c r="G1022" i="4"/>
  <c r="G1026" i="4"/>
  <c r="G1030" i="4"/>
  <c r="G1034" i="4"/>
  <c r="G1038" i="4"/>
  <c r="G1042" i="4"/>
  <c r="G1046" i="4"/>
  <c r="G1050" i="4"/>
  <c r="G1054" i="4"/>
  <c r="G1058" i="4"/>
  <c r="G1062" i="4"/>
  <c r="G1066" i="4"/>
  <c r="G1068" i="4"/>
  <c r="G1072" i="4"/>
  <c r="G1075" i="4"/>
  <c r="G1079" i="4"/>
  <c r="G1082" i="4"/>
  <c r="G1084" i="4"/>
  <c r="G1088" i="4"/>
  <c r="G1092" i="4"/>
  <c r="G1096" i="4"/>
  <c r="G50" i="4"/>
  <c r="G1103" i="4"/>
  <c r="G1107" i="4"/>
  <c r="G9" i="4"/>
  <c r="G1114" i="4"/>
  <c r="G1118" i="4"/>
  <c r="G1122" i="4"/>
  <c r="G1126" i="4"/>
  <c r="G1130" i="4"/>
  <c r="G1133" i="4"/>
  <c r="G1137" i="4"/>
  <c r="G1141" i="4"/>
  <c r="G1144" i="4"/>
  <c r="G1148" i="4"/>
  <c r="G1152" i="4"/>
  <c r="G1156" i="4"/>
  <c r="G1160" i="4"/>
  <c r="G1164" i="4"/>
  <c r="G1168" i="4"/>
  <c r="G1172" i="4"/>
  <c r="G111" i="4"/>
  <c r="G1179" i="4"/>
  <c r="G1183" i="4"/>
  <c r="G1187" i="4"/>
  <c r="G1190" i="4"/>
  <c r="G1194" i="4"/>
  <c r="G1198" i="4"/>
  <c r="G1202" i="4"/>
  <c r="G1206" i="4"/>
  <c r="G1208" i="4"/>
  <c r="G1212" i="4"/>
  <c r="G1216" i="4"/>
  <c r="G1220" i="4"/>
  <c r="G1224" i="4"/>
  <c r="G1228" i="4"/>
  <c r="G1232" i="4"/>
  <c r="G1235" i="4"/>
  <c r="G1239" i="4"/>
  <c r="G1242" i="4"/>
  <c r="G1246" i="4"/>
  <c r="G1250" i="4"/>
  <c r="G1254" i="4"/>
  <c r="G1258" i="4"/>
  <c r="G1262" i="4"/>
  <c r="G1265" i="4"/>
  <c r="G1269" i="4"/>
  <c r="G1273" i="4"/>
  <c r="G45" i="4"/>
  <c r="G31" i="4"/>
  <c r="G1282" i="4"/>
  <c r="G1286" i="4"/>
  <c r="G109" i="4"/>
  <c r="G1290" i="4"/>
  <c r="G1294" i="4"/>
  <c r="G1298" i="4"/>
  <c r="G1302" i="4"/>
  <c r="G1306" i="4"/>
  <c r="G1309" i="4"/>
  <c r="G1313" i="4"/>
  <c r="G1317" i="4"/>
  <c r="G1320" i="4"/>
  <c r="G1324" i="4"/>
  <c r="G114" i="4"/>
  <c r="G1331" i="4"/>
  <c r="G1335" i="4"/>
  <c r="G1339" i="4"/>
  <c r="G1343" i="4"/>
  <c r="G1347" i="4"/>
  <c r="G1350" i="4"/>
  <c r="G1353" i="4"/>
  <c r="G1357" i="4"/>
  <c r="G1361" i="4"/>
  <c r="G1365" i="4"/>
  <c r="G104" i="4"/>
  <c r="G1371" i="4"/>
  <c r="G1375" i="4"/>
  <c r="G1379" i="4"/>
  <c r="G1383" i="4"/>
  <c r="G1387" i="4"/>
  <c r="G1391" i="4"/>
  <c r="G1395" i="4"/>
  <c r="G1399" i="4"/>
  <c r="G1403" i="4"/>
  <c r="G1407" i="4"/>
  <c r="G1411" i="4"/>
  <c r="G1415" i="4"/>
  <c r="G1419" i="4"/>
  <c r="G1422" i="4"/>
  <c r="G10" i="4"/>
  <c r="G14" i="4"/>
  <c r="G130" i="4"/>
  <c r="G94" i="4"/>
  <c r="G17" i="4"/>
  <c r="G1438" i="4"/>
  <c r="G1440" i="4"/>
  <c r="G125" i="4"/>
  <c r="G97" i="4"/>
  <c r="G1445" i="4"/>
  <c r="G1448" i="4"/>
  <c r="G1452" i="4"/>
  <c r="G1456" i="4"/>
  <c r="G1457" i="4"/>
  <c r="G21" i="4"/>
  <c r="G1462" i="4"/>
  <c r="G80" i="4"/>
  <c r="G1468" i="4"/>
  <c r="G1470" i="4"/>
  <c r="G57" i="4"/>
  <c r="G1473" i="4"/>
  <c r="G129" i="4"/>
  <c r="G133" i="4"/>
  <c r="G32" i="4"/>
  <c r="G30" i="4"/>
  <c r="G89" i="4"/>
  <c r="A626" i="4"/>
  <c r="A878" i="4"/>
  <c r="A1027" i="4"/>
  <c r="A1085" i="4"/>
  <c r="A1145" i="4"/>
  <c r="A1207" i="4"/>
  <c r="A1266" i="4"/>
  <c r="A1321" i="4"/>
  <c r="A1365" i="4"/>
  <c r="A1379" i="4"/>
  <c r="A1395" i="4"/>
  <c r="A1411" i="4"/>
  <c r="A10" i="4"/>
  <c r="A17" i="4"/>
  <c r="A97" i="4"/>
  <c r="A1456" i="4"/>
  <c r="A80" i="4"/>
  <c r="A1473" i="4"/>
  <c r="A30" i="4"/>
  <c r="A74" i="4"/>
  <c r="A1482" i="4"/>
  <c r="G141" i="4"/>
  <c r="G157" i="4"/>
  <c r="G173" i="4"/>
  <c r="G189" i="4"/>
  <c r="G205" i="4"/>
  <c r="G220" i="4"/>
  <c r="G236" i="4"/>
  <c r="G250" i="4"/>
  <c r="G266" i="4"/>
  <c r="G281" i="4"/>
  <c r="G297" i="4"/>
  <c r="G312" i="4"/>
  <c r="G328" i="4"/>
  <c r="G343" i="4"/>
  <c r="G359" i="4"/>
  <c r="G375" i="4"/>
  <c r="G391" i="4"/>
  <c r="G407" i="4"/>
  <c r="G422" i="4"/>
  <c r="G437" i="4"/>
  <c r="G453" i="4"/>
  <c r="G469" i="4"/>
  <c r="G485" i="4"/>
  <c r="G501" i="4"/>
  <c r="G517" i="4"/>
  <c r="G533" i="4"/>
  <c r="G549" i="4"/>
  <c r="G565" i="4"/>
  <c r="G581" i="4"/>
  <c r="G597" i="4"/>
  <c r="G613" i="4"/>
  <c r="G626" i="4"/>
  <c r="G641" i="4"/>
  <c r="G657" i="4"/>
  <c r="G672" i="4"/>
  <c r="G106" i="4"/>
  <c r="G703" i="4"/>
  <c r="G719" i="4"/>
  <c r="G735" i="4"/>
  <c r="G751" i="4"/>
  <c r="G767" i="4"/>
  <c r="G781" i="4"/>
  <c r="G792" i="4"/>
  <c r="G800" i="4"/>
  <c r="G804" i="4"/>
  <c r="G808" i="4"/>
  <c r="G812" i="4"/>
  <c r="G816" i="4"/>
  <c r="G820" i="4"/>
  <c r="G824" i="4"/>
  <c r="G828" i="4"/>
  <c r="G832" i="4"/>
  <c r="G836" i="4"/>
  <c r="G840" i="4"/>
  <c r="G844" i="4"/>
  <c r="G847" i="4"/>
  <c r="G851" i="4"/>
  <c r="G855" i="4"/>
  <c r="G859" i="4"/>
  <c r="G863" i="4"/>
  <c r="G867" i="4"/>
  <c r="G871" i="4"/>
  <c r="G875" i="4"/>
  <c r="G879" i="4"/>
  <c r="G883" i="4"/>
  <c r="G887" i="4"/>
  <c r="G891" i="4"/>
  <c r="G894" i="4"/>
  <c r="G898" i="4"/>
  <c r="G902" i="4"/>
  <c r="G906" i="4"/>
  <c r="G910" i="4"/>
  <c r="G914" i="4"/>
  <c r="G918" i="4"/>
  <c r="G922" i="4"/>
  <c r="G926" i="4"/>
  <c r="G930" i="4"/>
  <c r="G934" i="4"/>
  <c r="G938" i="4"/>
  <c r="G942" i="4"/>
  <c r="G946" i="4"/>
  <c r="G950" i="4"/>
  <c r="G954" i="4"/>
  <c r="G958" i="4"/>
  <c r="G962" i="4"/>
  <c r="G966" i="4"/>
  <c r="G970" i="4"/>
  <c r="G974" i="4"/>
  <c r="G977" i="4"/>
  <c r="G981" i="4"/>
  <c r="G985" i="4"/>
  <c r="G989" i="4"/>
  <c r="G993" i="4"/>
  <c r="G997" i="4"/>
  <c r="G1001" i="4"/>
  <c r="G1004" i="4"/>
  <c r="G1008" i="4"/>
  <c r="G1011" i="4"/>
  <c r="G1015" i="4"/>
  <c r="G1019" i="4"/>
  <c r="G1023" i="4"/>
  <c r="G1027" i="4"/>
  <c r="G1031" i="4"/>
  <c r="G1035" i="4"/>
  <c r="G1039" i="4"/>
  <c r="G1043" i="4"/>
  <c r="G1047" i="4"/>
  <c r="G1051" i="4"/>
  <c r="G1055" i="4"/>
  <c r="G1059" i="4"/>
  <c r="G1063" i="4"/>
  <c r="G8" i="4"/>
  <c r="G1069" i="4"/>
  <c r="G52" i="4"/>
  <c r="G1076" i="4"/>
  <c r="G1080" i="4"/>
  <c r="G15" i="4"/>
  <c r="G1085" i="4"/>
  <c r="G1089" i="4"/>
  <c r="G1093" i="4"/>
  <c r="G1097" i="4"/>
  <c r="G1100" i="4"/>
  <c r="G1104" i="4"/>
  <c r="G1108" i="4"/>
  <c r="G1111" i="4"/>
  <c r="G1115" i="4"/>
  <c r="G1119" i="4"/>
  <c r="G1123" i="4"/>
  <c r="G1127" i="4"/>
  <c r="G1131" i="4"/>
  <c r="G1134" i="4"/>
  <c r="G1138" i="4"/>
  <c r="G22" i="4"/>
  <c r="G1145" i="4"/>
  <c r="G1149" i="4"/>
  <c r="G1153" i="4"/>
  <c r="G1157" i="4"/>
  <c r="G1161" i="4"/>
  <c r="G1165" i="4"/>
  <c r="G1169" i="4"/>
  <c r="G1173" i="4"/>
  <c r="G1176" i="4"/>
  <c r="G1180" i="4"/>
  <c r="G1184" i="4"/>
  <c r="G1188" i="4"/>
  <c r="G1191" i="4"/>
  <c r="G1195" i="4"/>
  <c r="G1199" i="4"/>
  <c r="G1203" i="4"/>
  <c r="G1207" i="4"/>
  <c r="G1209" i="4"/>
  <c r="G1213" i="4"/>
  <c r="G1217" i="4"/>
  <c r="G1221" i="4"/>
  <c r="G1225" i="4"/>
  <c r="G1229" i="4"/>
  <c r="G1233" i="4"/>
  <c r="G1236" i="4"/>
  <c r="G132" i="4"/>
  <c r="G1243" i="4"/>
  <c r="G1247" i="4"/>
  <c r="G1251" i="4"/>
  <c r="G1255" i="4"/>
  <c r="G1259" i="4"/>
  <c r="G1263" i="4"/>
  <c r="G1266" i="4"/>
  <c r="G1270" i="4"/>
  <c r="G1274" i="4"/>
  <c r="G1276" i="4"/>
  <c r="G1279" i="4"/>
  <c r="G1283" i="4"/>
  <c r="G122" i="4"/>
  <c r="G1287" i="4"/>
  <c r="G1291" i="4"/>
  <c r="G1295" i="4"/>
  <c r="G1299" i="4"/>
  <c r="G1303" i="4"/>
  <c r="G43" i="4"/>
  <c r="G1310" i="4"/>
  <c r="G1314" i="4"/>
  <c r="G16" i="4"/>
  <c r="G1321" i="4"/>
  <c r="G1325" i="4"/>
  <c r="G1328" i="4"/>
  <c r="G1332" i="4"/>
  <c r="G1336" i="4"/>
  <c r="G1340" i="4"/>
  <c r="G1344" i="4"/>
  <c r="G1348" i="4"/>
  <c r="G1351" i="4"/>
  <c r="G1354" i="4"/>
  <c r="G1358" i="4"/>
  <c r="G1362" i="4"/>
  <c r="G1366" i="4"/>
  <c r="G1369" i="4"/>
  <c r="G1372" i="4"/>
  <c r="G1376" i="4"/>
  <c r="G1380" i="4"/>
  <c r="G1384" i="4"/>
  <c r="G1388" i="4"/>
  <c r="G1392" i="4"/>
  <c r="G1396" i="4"/>
  <c r="G1400" i="4"/>
  <c r="G1404" i="4"/>
  <c r="G1408" i="4"/>
  <c r="G1412" i="4"/>
  <c r="G1416" i="4"/>
  <c r="G1420" i="4"/>
  <c r="G1423" i="4"/>
  <c r="G1426" i="4"/>
  <c r="G1429" i="4"/>
  <c r="G128" i="4"/>
  <c r="G1434" i="4"/>
  <c r="G95" i="4"/>
  <c r="G67" i="4"/>
  <c r="G1441" i="4"/>
  <c r="G1442" i="4"/>
  <c r="G24" i="4"/>
  <c r="G1446" i="4"/>
  <c r="G1449" i="4"/>
  <c r="G1453" i="4"/>
  <c r="G11" i="4"/>
  <c r="G1458" i="4"/>
  <c r="G1460" i="4"/>
  <c r="G39" i="4"/>
  <c r="G1465" i="4"/>
  <c r="G100" i="4"/>
  <c r="G1471" i="4"/>
  <c r="G63" i="4"/>
  <c r="G44" i="4"/>
  <c r="G27" i="4"/>
  <c r="G55" i="4"/>
  <c r="G1474" i="4"/>
  <c r="G1475" i="4"/>
  <c r="A689" i="4"/>
  <c r="A941" i="4"/>
  <c r="A1043" i="4"/>
  <c r="A1100" i="4"/>
  <c r="A1161" i="4"/>
  <c r="A1221" i="4"/>
  <c r="A1279" i="4"/>
  <c r="A1336" i="4"/>
  <c r="A104" i="4"/>
  <c r="A1383" i="4"/>
  <c r="A1399" i="4"/>
  <c r="A1415" i="4"/>
  <c r="A14" i="4"/>
  <c r="A1438" i="4"/>
  <c r="A1445" i="4"/>
  <c r="A1457" i="4"/>
  <c r="A1468" i="4"/>
  <c r="A129" i="4"/>
  <c r="A89" i="4"/>
  <c r="A90" i="4"/>
  <c r="A1485" i="4"/>
  <c r="G145" i="4"/>
  <c r="G161" i="4"/>
  <c r="G177" i="4"/>
  <c r="G193" i="4"/>
  <c r="G105" i="4"/>
  <c r="G224" i="4"/>
  <c r="G240" i="4"/>
  <c r="G254" i="4"/>
  <c r="G270" i="4"/>
  <c r="G285" i="4"/>
  <c r="G300" i="4"/>
  <c r="G316" i="4"/>
  <c r="G331" i="4"/>
  <c r="G347" i="4"/>
  <c r="G363" i="4"/>
  <c r="G379" i="4"/>
  <c r="G395" i="4"/>
  <c r="G411" i="4"/>
  <c r="G426" i="4"/>
  <c r="G441" i="4"/>
  <c r="G457" i="4"/>
  <c r="G473" i="4"/>
  <c r="G489" i="4"/>
  <c r="G505" i="4"/>
  <c r="G521" i="4"/>
  <c r="G537" i="4"/>
  <c r="G553" i="4"/>
  <c r="G569" i="4"/>
  <c r="G585" i="4"/>
  <c r="G601" i="4"/>
  <c r="G617" i="4"/>
  <c r="G629" i="4"/>
  <c r="G645" i="4"/>
  <c r="G660" i="4"/>
  <c r="G676" i="4"/>
  <c r="G691" i="4"/>
  <c r="G707" i="4"/>
  <c r="G723" i="4"/>
  <c r="G739" i="4"/>
  <c r="G755" i="4"/>
  <c r="G771" i="4"/>
  <c r="G785" i="4"/>
  <c r="G793" i="4"/>
  <c r="G801" i="4"/>
  <c r="G805" i="4"/>
  <c r="G809" i="4"/>
  <c r="G813" i="4"/>
  <c r="G817" i="4"/>
  <c r="G821" i="4"/>
  <c r="G825" i="4"/>
  <c r="G829" i="4"/>
  <c r="G833" i="4"/>
  <c r="G837" i="4"/>
  <c r="G841" i="4"/>
  <c r="G845" i="4"/>
  <c r="G848" i="4"/>
  <c r="G852" i="4"/>
  <c r="G856" i="4"/>
  <c r="G860" i="4"/>
  <c r="G864" i="4"/>
  <c r="G868" i="4"/>
  <c r="G872" i="4"/>
  <c r="G876" i="4"/>
  <c r="G880" i="4"/>
  <c r="G884" i="4"/>
  <c r="G888" i="4"/>
  <c r="G7" i="4"/>
  <c r="G895" i="4"/>
  <c r="G899" i="4"/>
  <c r="G903" i="4"/>
  <c r="G907" i="4"/>
  <c r="G911" i="4"/>
  <c r="G915" i="4"/>
  <c r="G919" i="4"/>
  <c r="G923" i="4"/>
  <c r="G927" i="4"/>
  <c r="G931" i="4"/>
  <c r="G935" i="4"/>
  <c r="G939" i="4"/>
  <c r="G943" i="4"/>
  <c r="G947" i="4"/>
  <c r="G951" i="4"/>
  <c r="G955" i="4"/>
  <c r="G959" i="4"/>
  <c r="G963" i="4"/>
  <c r="G967" i="4"/>
  <c r="G971" i="4"/>
  <c r="G108" i="4"/>
  <c r="G978" i="4"/>
  <c r="G982" i="4"/>
  <c r="G986" i="4"/>
  <c r="G990" i="4"/>
  <c r="G994" i="4"/>
  <c r="G998" i="4"/>
  <c r="G78" i="4"/>
  <c r="G1005" i="4"/>
  <c r="G1009" i="4"/>
  <c r="G1012" i="4"/>
  <c r="G1016" i="4"/>
  <c r="G1020" i="4"/>
  <c r="G1024" i="4"/>
  <c r="G1028" i="4"/>
  <c r="G1032" i="4"/>
  <c r="G1036" i="4"/>
  <c r="G1040" i="4"/>
  <c r="G1044" i="4"/>
  <c r="G1048" i="4"/>
  <c r="G1052" i="4"/>
  <c r="G1056" i="4"/>
  <c r="G1060" i="4"/>
  <c r="G1064" i="4"/>
  <c r="G1067" i="4"/>
  <c r="G1070" i="4"/>
  <c r="G1073" i="4"/>
  <c r="G1077" i="4"/>
  <c r="G91" i="4"/>
  <c r="G56" i="4"/>
  <c r="G1086" i="4"/>
  <c r="G1090" i="4"/>
  <c r="G1094" i="4"/>
  <c r="G1098" i="4"/>
  <c r="G1101" i="4"/>
  <c r="G1105" i="4"/>
  <c r="G1109" i="4"/>
  <c r="G1112" i="4"/>
  <c r="G1116" i="4"/>
  <c r="G1120" i="4"/>
  <c r="G1124" i="4"/>
  <c r="G1128" i="4"/>
  <c r="G98" i="4"/>
  <c r="G1135" i="4"/>
  <c r="G1139" i="4"/>
  <c r="G1142" i="4"/>
  <c r="G1146" i="4"/>
  <c r="G1150" i="4"/>
  <c r="G1154" i="4"/>
  <c r="G1158" i="4"/>
  <c r="G1162" i="4"/>
  <c r="G1166" i="4"/>
  <c r="G1170" i="4"/>
  <c r="G1174" i="4"/>
  <c r="G1177" i="4"/>
  <c r="G1181" i="4"/>
  <c r="G1185" i="4"/>
  <c r="G20" i="4"/>
  <c r="G1192" i="4"/>
  <c r="G1196" i="4"/>
  <c r="G1200" i="4"/>
  <c r="G1204" i="4"/>
  <c r="G23" i="4"/>
  <c r="G1210" i="4"/>
  <c r="G1214" i="4"/>
  <c r="G1218" i="4"/>
  <c r="G1222" i="4"/>
  <c r="G1226" i="4"/>
  <c r="G1230" i="4"/>
  <c r="G1234" i="4"/>
  <c r="G1237" i="4"/>
  <c r="G1240" i="4"/>
  <c r="G1244" i="4"/>
  <c r="G1248" i="4"/>
  <c r="G1252" i="4"/>
  <c r="G1256" i="4"/>
  <c r="G1260" i="4"/>
  <c r="G126" i="4"/>
  <c r="G1267" i="4"/>
  <c r="G1271" i="4"/>
  <c r="G1275" i="4"/>
  <c r="G1277" i="4"/>
  <c r="G1280" i="4"/>
  <c r="G1284" i="4"/>
  <c r="G73" i="4"/>
  <c r="G1288" i="4"/>
  <c r="G1292" i="4"/>
  <c r="G1296" i="4"/>
  <c r="G1300" i="4"/>
  <c r="G1304" i="4"/>
  <c r="G1307" i="4"/>
  <c r="G1311" i="4"/>
  <c r="G1315" i="4"/>
  <c r="G1318" i="4"/>
  <c r="G1322" i="4"/>
  <c r="G1326" i="4"/>
  <c r="G1329" i="4"/>
  <c r="G1333" i="4"/>
  <c r="G1337" i="4"/>
  <c r="G1341" i="4"/>
  <c r="G1345" i="4"/>
  <c r="G1349" i="4"/>
  <c r="G120" i="4"/>
  <c r="G1355" i="4"/>
  <c r="G1359" i="4"/>
  <c r="G1363" i="4"/>
  <c r="G1367" i="4"/>
  <c r="G86" i="4"/>
  <c r="G1373" i="4"/>
  <c r="G1377" i="4"/>
  <c r="G1381" i="4"/>
  <c r="G1385" i="4"/>
  <c r="G1389" i="4"/>
  <c r="G1393" i="4"/>
  <c r="G1397" i="4"/>
  <c r="G1401" i="4"/>
  <c r="G1405" i="4"/>
  <c r="G1409" i="4"/>
  <c r="G1413" i="4"/>
  <c r="G1417" i="4"/>
  <c r="G127" i="4"/>
  <c r="G1424" i="4"/>
  <c r="G1427" i="4"/>
  <c r="G1430" i="4"/>
  <c r="G1432" i="4"/>
  <c r="G54" i="4"/>
  <c r="G1436" i="4"/>
  <c r="G36" i="4"/>
  <c r="G61" i="4"/>
  <c r="G121" i="4"/>
  <c r="G1443" i="4"/>
  <c r="G1447" i="4"/>
  <c r="G1450" i="4"/>
  <c r="G1454" i="4"/>
  <c r="G18" i="4"/>
  <c r="G12" i="4"/>
  <c r="G131" i="4"/>
  <c r="G1463" i="4"/>
  <c r="G1466" i="4"/>
  <c r="A753" i="4"/>
  <c r="A1176" i="4"/>
  <c r="A1371" i="4"/>
  <c r="A130" i="4"/>
  <c r="A1470" i="4"/>
  <c r="A41" i="4"/>
  <c r="G197" i="4"/>
  <c r="G258" i="4"/>
  <c r="G320" i="4"/>
  <c r="G383" i="4"/>
  <c r="G445" i="4"/>
  <c r="G509" i="4"/>
  <c r="G573" i="4"/>
  <c r="G633" i="4"/>
  <c r="G695" i="4"/>
  <c r="G759" i="4"/>
  <c r="G802" i="4"/>
  <c r="G818" i="4"/>
  <c r="G834" i="4"/>
  <c r="G849" i="4"/>
  <c r="G865" i="4"/>
  <c r="G881" i="4"/>
  <c r="G896" i="4"/>
  <c r="G912" i="4"/>
  <c r="G928" i="4"/>
  <c r="G944" i="4"/>
  <c r="G960" i="4"/>
  <c r="G975" i="4"/>
  <c r="G991" i="4"/>
  <c r="G1006" i="4"/>
  <c r="G1021" i="4"/>
  <c r="G1037" i="4"/>
  <c r="G1053" i="4"/>
  <c r="G72" i="4"/>
  <c r="G1081" i="4"/>
  <c r="G1095" i="4"/>
  <c r="G1110" i="4"/>
  <c r="G1125" i="4"/>
  <c r="G1140" i="4"/>
  <c r="G1155" i="4"/>
  <c r="G1171" i="4"/>
  <c r="G1186" i="4"/>
  <c r="G1201" i="4"/>
  <c r="G1215" i="4"/>
  <c r="G1231" i="4"/>
  <c r="G1245" i="4"/>
  <c r="G1261" i="4"/>
  <c r="G42" i="4"/>
  <c r="G102" i="4"/>
  <c r="G1301" i="4"/>
  <c r="G1316" i="4"/>
  <c r="G1330" i="4"/>
  <c r="G1346" i="4"/>
  <c r="G1360" i="4"/>
  <c r="G1374" i="4"/>
  <c r="G1390" i="4"/>
  <c r="G1406" i="4"/>
  <c r="G1421" i="4"/>
  <c r="G1433" i="4"/>
  <c r="G123" i="4"/>
  <c r="G1451" i="4"/>
  <c r="G1461" i="4"/>
  <c r="G26" i="4"/>
  <c r="G83" i="4"/>
  <c r="G69" i="4"/>
  <c r="G25" i="4"/>
  <c r="G1477" i="4"/>
  <c r="G70" i="4"/>
  <c r="G33" i="4"/>
  <c r="G37" i="4"/>
  <c r="G87" i="4"/>
  <c r="G64" i="4"/>
  <c r="G1481" i="4"/>
  <c r="G38" i="4"/>
  <c r="G47" i="4"/>
  <c r="A992" i="4"/>
  <c r="A1236" i="4"/>
  <c r="A1387" i="4"/>
  <c r="A1440" i="4"/>
  <c r="A133" i="4"/>
  <c r="G149" i="4"/>
  <c r="G212" i="4"/>
  <c r="G274" i="4"/>
  <c r="G335" i="4"/>
  <c r="G399" i="4"/>
  <c r="G461" i="4"/>
  <c r="G525" i="4"/>
  <c r="G589" i="4"/>
  <c r="G649" i="4"/>
  <c r="G711" i="4"/>
  <c r="G775" i="4"/>
  <c r="G806" i="4"/>
  <c r="G822" i="4"/>
  <c r="G838" i="4"/>
  <c r="G853" i="4"/>
  <c r="G869" i="4"/>
  <c r="G885" i="4"/>
  <c r="G900" i="4"/>
  <c r="G916" i="4"/>
  <c r="G932" i="4"/>
  <c r="G948" i="4"/>
  <c r="G964" i="4"/>
  <c r="G979" i="4"/>
  <c r="G995" i="4"/>
  <c r="G1010" i="4"/>
  <c r="G1025" i="4"/>
  <c r="G1041" i="4"/>
  <c r="G1057" i="4"/>
  <c r="G1071" i="4"/>
  <c r="G1083" i="4"/>
  <c r="G1099" i="4"/>
  <c r="G1113" i="4"/>
  <c r="G1129" i="4"/>
  <c r="G1143" i="4"/>
  <c r="G1159" i="4"/>
  <c r="G1175" i="4"/>
  <c r="G1189" i="4"/>
  <c r="G1205" i="4"/>
  <c r="G1219" i="4"/>
  <c r="G79" i="4"/>
  <c r="G1249" i="4"/>
  <c r="G1264" i="4"/>
  <c r="G1278" i="4"/>
  <c r="G1289" i="4"/>
  <c r="G1305" i="4"/>
  <c r="G1319" i="4"/>
  <c r="G1334" i="4"/>
  <c r="G53" i="4"/>
  <c r="G1364" i="4"/>
  <c r="G1378" i="4"/>
  <c r="G1394" i="4"/>
  <c r="G1410" i="4"/>
  <c r="G1425" i="4"/>
  <c r="G1435" i="4"/>
  <c r="G119" i="4"/>
  <c r="G1455" i="4"/>
  <c r="G1464" i="4"/>
  <c r="G1472" i="4"/>
  <c r="G29" i="4"/>
  <c r="G19" i="4"/>
  <c r="G59" i="4"/>
  <c r="G1478" i="4"/>
  <c r="G77" i="4"/>
  <c r="G1479" i="4"/>
  <c r="G85" i="4"/>
  <c r="G96" i="4"/>
  <c r="G82" i="4"/>
  <c r="G46" i="4"/>
  <c r="G1484" i="4"/>
  <c r="G1487" i="4"/>
  <c r="A1059" i="4"/>
  <c r="A1291" i="4"/>
  <c r="A1403" i="4"/>
  <c r="A1448" i="4"/>
  <c r="A117" i="4"/>
  <c r="G165" i="4"/>
  <c r="G228" i="4"/>
  <c r="G289" i="4"/>
  <c r="G351" i="4"/>
  <c r="G415" i="4"/>
  <c r="G477" i="4"/>
  <c r="G541" i="4"/>
  <c r="G605" i="4"/>
  <c r="G664" i="4"/>
  <c r="G727" i="4"/>
  <c r="G788" i="4"/>
  <c r="G810" i="4"/>
  <c r="G826" i="4"/>
  <c r="G842" i="4"/>
  <c r="G857" i="4"/>
  <c r="G873" i="4"/>
  <c r="G889" i="4"/>
  <c r="G904" i="4"/>
  <c r="G920" i="4"/>
  <c r="G936" i="4"/>
  <c r="G952" i="4"/>
  <c r="G968" i="4"/>
  <c r="G983" i="4"/>
  <c r="G999" i="4"/>
  <c r="G1013" i="4"/>
  <c r="G1029" i="4"/>
  <c r="G1045" i="4"/>
  <c r="G1061" i="4"/>
  <c r="G1074" i="4"/>
  <c r="G1087" i="4"/>
  <c r="G1102" i="4"/>
  <c r="G1117" i="4"/>
  <c r="G1132" i="4"/>
  <c r="G1147" i="4"/>
  <c r="G1163" i="4"/>
  <c r="G1178" i="4"/>
  <c r="G1193" i="4"/>
  <c r="G60" i="4"/>
  <c r="G1223" i="4"/>
  <c r="G1238" i="4"/>
  <c r="G1253" i="4"/>
  <c r="G1268" i="4"/>
  <c r="G1281" i="4"/>
  <c r="G1293" i="4"/>
  <c r="G1308" i="4"/>
  <c r="G1323" i="4"/>
  <c r="G1338" i="4"/>
  <c r="G1352" i="4"/>
  <c r="G1368" i="4"/>
  <c r="G1382" i="4"/>
  <c r="G1398" i="4"/>
  <c r="G1414" i="4"/>
  <c r="G1428" i="4"/>
  <c r="G1437" i="4"/>
  <c r="G1444" i="4"/>
  <c r="G68" i="4"/>
  <c r="G1467" i="4"/>
  <c r="G113" i="4"/>
  <c r="G110" i="4"/>
  <c r="G58" i="4"/>
  <c r="G40" i="4"/>
  <c r="G117" i="4"/>
  <c r="G71" i="4"/>
  <c r="G74" i="4"/>
  <c r="G90" i="4"/>
  <c r="G103" i="4"/>
  <c r="G115" i="4"/>
  <c r="G1482" i="4"/>
  <c r="G1485" i="4"/>
  <c r="G41" i="4"/>
  <c r="A1115" i="4"/>
  <c r="A103" i="4"/>
  <c r="G367" i="4"/>
  <c r="G88" i="4"/>
  <c r="G814" i="4"/>
  <c r="G877" i="4"/>
  <c r="G940" i="4"/>
  <c r="G1002" i="4"/>
  <c r="G1065" i="4"/>
  <c r="G1121" i="4"/>
  <c r="G1182" i="4"/>
  <c r="G1241" i="4"/>
  <c r="G1297" i="4"/>
  <c r="G1356" i="4"/>
  <c r="G1418" i="4"/>
  <c r="G1459" i="4"/>
  <c r="G28" i="4"/>
  <c r="G92" i="4"/>
  <c r="G1483" i="4"/>
  <c r="A1350" i="4"/>
  <c r="G181" i="4"/>
  <c r="G429" i="4"/>
  <c r="G680" i="4"/>
  <c r="G830" i="4"/>
  <c r="G892" i="4"/>
  <c r="G956" i="4"/>
  <c r="G1017" i="4"/>
  <c r="G1078" i="4"/>
  <c r="G1136" i="4"/>
  <c r="G1197" i="4"/>
  <c r="G1257" i="4"/>
  <c r="G1312" i="4"/>
  <c r="G1370" i="4"/>
  <c r="G1431" i="4"/>
  <c r="G1469" i="4"/>
  <c r="G1476" i="4"/>
  <c r="G35" i="4"/>
  <c r="G1486" i="4"/>
  <c r="A1419" i="4"/>
  <c r="G244" i="4"/>
  <c r="G493" i="4"/>
  <c r="G743" i="4"/>
  <c r="G49" i="4"/>
  <c r="G908" i="4"/>
  <c r="G972" i="4"/>
  <c r="G1033" i="4"/>
  <c r="G1091" i="4"/>
  <c r="G1151" i="4"/>
  <c r="G1211" i="4"/>
  <c r="G1272" i="4"/>
  <c r="G1327" i="4"/>
  <c r="G1386" i="4"/>
  <c r="G1439" i="4"/>
  <c r="G13" i="4"/>
  <c r="G62" i="4"/>
  <c r="G48" i="4"/>
  <c r="A21" i="4"/>
  <c r="G304" i="4"/>
  <c r="G557" i="4"/>
  <c r="G796" i="4"/>
  <c r="G861" i="4"/>
  <c r="G924" i="4"/>
  <c r="G987" i="4"/>
  <c r="G1049" i="4"/>
  <c r="G1106" i="4"/>
  <c r="G1167" i="4"/>
  <c r="G1227" i="4"/>
  <c r="G1285" i="4"/>
  <c r="G1342" i="4"/>
  <c r="G1402" i="4"/>
  <c r="G99" i="4"/>
  <c r="G112" i="4"/>
  <c r="G81" i="4"/>
  <c r="G1480" i="4"/>
  <c r="H1480" i="4" l="1"/>
  <c r="H81" i="4"/>
  <c r="H112" i="4"/>
  <c r="H99" i="4"/>
  <c r="H1402" i="4"/>
  <c r="H1342" i="4"/>
  <c r="H1285" i="4"/>
  <c r="H1227" i="4"/>
  <c r="H1167" i="4"/>
  <c r="H1106" i="4"/>
  <c r="H1049" i="4"/>
  <c r="H987" i="4"/>
  <c r="H924" i="4"/>
  <c r="H861" i="4"/>
  <c r="H796" i="4"/>
  <c r="H557" i="4"/>
  <c r="H304" i="4"/>
  <c r="H48" i="4"/>
  <c r="H62" i="4"/>
  <c r="H13" i="4"/>
  <c r="H1439" i="4"/>
  <c r="H1386" i="4"/>
  <c r="H1327" i="4"/>
  <c r="H1272" i="4"/>
  <c r="H1211" i="4"/>
  <c r="H1151" i="4"/>
  <c r="H1091" i="4"/>
  <c r="H1033" i="4"/>
  <c r="H972" i="4"/>
  <c r="H908" i="4"/>
  <c r="H49" i="4"/>
  <c r="H743" i="4"/>
  <c r="H493" i="4"/>
  <c r="H244" i="4"/>
  <c r="H1486" i="4"/>
  <c r="H35" i="4"/>
  <c r="H1476" i="4"/>
  <c r="H1469" i="4"/>
  <c r="H1431" i="4"/>
  <c r="H1370" i="4"/>
  <c r="H1312" i="4"/>
  <c r="H1257" i="4"/>
  <c r="H1197" i="4"/>
  <c r="H1136" i="4"/>
  <c r="H1078" i="4"/>
  <c r="H1017" i="4"/>
  <c r="H956" i="4"/>
  <c r="H892" i="4"/>
  <c r="H830" i="4"/>
  <c r="H680" i="4"/>
  <c r="H429" i="4"/>
  <c r="H181" i="4"/>
  <c r="H1483" i="4"/>
  <c r="H92" i="4"/>
  <c r="H28" i="4"/>
  <c r="H1459" i="4"/>
  <c r="H1418" i="4"/>
  <c r="H1356" i="4"/>
  <c r="H1297" i="4"/>
  <c r="H1241" i="4"/>
  <c r="H1182" i="4"/>
  <c r="H1121" i="4"/>
  <c r="H1065" i="4"/>
  <c r="H1002" i="4"/>
  <c r="H940" i="4"/>
  <c r="H877" i="4"/>
  <c r="H814" i="4"/>
  <c r="H88" i="4"/>
  <c r="H367" i="4"/>
  <c r="H41" i="4"/>
  <c r="H1485" i="4"/>
  <c r="H1482" i="4"/>
  <c r="H115" i="4"/>
  <c r="H103" i="4"/>
  <c r="H90" i="4"/>
  <c r="H74" i="4"/>
  <c r="H71" i="4"/>
  <c r="H117" i="4"/>
  <c r="H40" i="4"/>
  <c r="H58" i="4"/>
  <c r="H110" i="4"/>
  <c r="H113" i="4"/>
  <c r="H1467" i="4"/>
  <c r="H68" i="4"/>
  <c r="H1444" i="4"/>
  <c r="H1437" i="4"/>
  <c r="H1428" i="4"/>
  <c r="H1414" i="4"/>
  <c r="H1398" i="4"/>
  <c r="H1382" i="4"/>
  <c r="H1368" i="4"/>
  <c r="H1352" i="4"/>
  <c r="H1338" i="4"/>
  <c r="H1323" i="4"/>
  <c r="H1308" i="4"/>
  <c r="H1293" i="4"/>
  <c r="H1281" i="4"/>
  <c r="H1268" i="4"/>
  <c r="H1253" i="4"/>
  <c r="H1238" i="4"/>
  <c r="H1223" i="4"/>
  <c r="H60" i="4"/>
  <c r="H1193" i="4"/>
  <c r="H1178" i="4"/>
  <c r="H1163" i="4"/>
  <c r="H1147" i="4"/>
  <c r="H1132" i="4"/>
  <c r="H1117" i="4"/>
  <c r="H1102" i="4"/>
  <c r="H1087" i="4"/>
  <c r="H1074" i="4"/>
  <c r="H1061" i="4"/>
  <c r="H1045" i="4"/>
  <c r="H1029" i="4"/>
  <c r="H1013" i="4"/>
  <c r="H999" i="4"/>
  <c r="H983" i="4"/>
  <c r="H968" i="4"/>
  <c r="H952" i="4"/>
  <c r="H936" i="4"/>
  <c r="H920" i="4"/>
  <c r="H904" i="4"/>
  <c r="H889" i="4"/>
  <c r="H873" i="4"/>
  <c r="H857" i="4"/>
  <c r="H842" i="4"/>
  <c r="H826" i="4"/>
  <c r="H810" i="4"/>
  <c r="H788" i="4"/>
  <c r="H727" i="4"/>
  <c r="H664" i="4"/>
  <c r="H605" i="4"/>
  <c r="H541" i="4"/>
  <c r="H477" i="4"/>
  <c r="H415" i="4"/>
  <c r="H351" i="4"/>
  <c r="H289" i="4"/>
  <c r="H228" i="4"/>
  <c r="H165" i="4"/>
  <c r="H1487" i="4"/>
  <c r="H1484" i="4"/>
  <c r="H46" i="4"/>
  <c r="H82" i="4"/>
  <c r="H96" i="4"/>
  <c r="H85" i="4"/>
  <c r="H1479" i="4"/>
  <c r="H77" i="4"/>
  <c r="H1478" i="4"/>
  <c r="H59" i="4"/>
  <c r="H19" i="4"/>
  <c r="H29" i="4"/>
  <c r="H1472" i="4"/>
  <c r="H1464" i="4"/>
  <c r="H1455" i="4"/>
  <c r="H119" i="4"/>
  <c r="H1435" i="4"/>
  <c r="H1425" i="4"/>
  <c r="H1410" i="4"/>
  <c r="H1394" i="4"/>
  <c r="H1378" i="4"/>
  <c r="H1364" i="4"/>
  <c r="H53" i="4"/>
  <c r="H1334" i="4"/>
  <c r="H1319" i="4"/>
  <c r="H1305" i="4"/>
  <c r="H1289" i="4"/>
  <c r="H1278" i="4"/>
  <c r="H1264" i="4"/>
  <c r="H1249" i="4"/>
  <c r="H79" i="4"/>
  <c r="H1219" i="4"/>
  <c r="H1205" i="4"/>
  <c r="H1189" i="4"/>
  <c r="H1175" i="4"/>
  <c r="H1159" i="4"/>
  <c r="H1143" i="4"/>
  <c r="H1129" i="4"/>
  <c r="H1113" i="4"/>
  <c r="H1099" i="4"/>
  <c r="H1083" i="4"/>
  <c r="H1071" i="4"/>
  <c r="H1057" i="4"/>
  <c r="H1041" i="4"/>
  <c r="H1025" i="4"/>
  <c r="H1010" i="4"/>
  <c r="H995" i="4"/>
  <c r="H979" i="4"/>
  <c r="H964" i="4"/>
  <c r="H948" i="4"/>
  <c r="H932" i="4"/>
  <c r="H916" i="4"/>
  <c r="H900" i="4"/>
  <c r="H885" i="4"/>
  <c r="H869" i="4"/>
  <c r="H853" i="4"/>
  <c r="H838" i="4"/>
  <c r="H822" i="4"/>
  <c r="H806" i="4"/>
  <c r="H775" i="4"/>
  <c r="H711" i="4"/>
  <c r="H649" i="4"/>
  <c r="H589" i="4"/>
  <c r="H525" i="4"/>
  <c r="H461" i="4"/>
  <c r="H399" i="4"/>
  <c r="H335" i="4"/>
  <c r="H274" i="4"/>
  <c r="H212" i="4"/>
  <c r="H149" i="4"/>
  <c r="H47" i="4"/>
  <c r="H38" i="4"/>
  <c r="H1481" i="4"/>
  <c r="H64" i="4"/>
  <c r="H87" i="4"/>
  <c r="H37" i="4"/>
  <c r="H33" i="4"/>
  <c r="H70" i="4"/>
  <c r="H1477" i="4"/>
  <c r="H25" i="4"/>
  <c r="H69" i="4"/>
  <c r="H83" i="4"/>
  <c r="H26" i="4"/>
  <c r="H1461" i="4"/>
  <c r="H1451" i="4"/>
  <c r="H123" i="4"/>
  <c r="H1433" i="4"/>
  <c r="H1421" i="4"/>
  <c r="H1406" i="4"/>
  <c r="H1390" i="4"/>
  <c r="H1374" i="4"/>
  <c r="H1360" i="4"/>
  <c r="H1346" i="4"/>
  <c r="H1330" i="4"/>
  <c r="H1316" i="4"/>
  <c r="H1301" i="4"/>
  <c r="H102" i="4"/>
  <c r="H42" i="4"/>
  <c r="H1261" i="4"/>
  <c r="H1245" i="4"/>
  <c r="H1231" i="4"/>
  <c r="H1215" i="4"/>
  <c r="H1201" i="4"/>
  <c r="H1186" i="4"/>
  <c r="H1171" i="4"/>
  <c r="H1155" i="4"/>
  <c r="H1140" i="4"/>
  <c r="H1125" i="4"/>
  <c r="H1110" i="4"/>
  <c r="H1095" i="4"/>
  <c r="H1081" i="4"/>
  <c r="H72" i="4"/>
  <c r="H1053" i="4"/>
  <c r="H1037" i="4"/>
  <c r="H1021" i="4"/>
  <c r="H1006" i="4"/>
  <c r="H991" i="4"/>
  <c r="H975" i="4"/>
  <c r="H960" i="4"/>
  <c r="H944" i="4"/>
  <c r="H928" i="4"/>
  <c r="H912" i="4"/>
  <c r="H896" i="4"/>
  <c r="H881" i="4"/>
  <c r="H865" i="4"/>
  <c r="H849" i="4"/>
  <c r="H834" i="4"/>
  <c r="H818" i="4"/>
  <c r="H802" i="4"/>
  <c r="H759" i="4"/>
  <c r="H695" i="4"/>
  <c r="H633" i="4"/>
  <c r="H573" i="4"/>
  <c r="H509" i="4"/>
  <c r="H445" i="4"/>
  <c r="H383" i="4"/>
  <c r="H320" i="4"/>
  <c r="H258" i="4"/>
  <c r="H197" i="4"/>
  <c r="H1466" i="4"/>
  <c r="H1463" i="4"/>
  <c r="H131" i="4"/>
  <c r="H12" i="4"/>
  <c r="H18" i="4"/>
  <c r="H1454" i="4"/>
  <c r="H1450" i="4"/>
  <c r="H1447" i="4"/>
  <c r="H1443" i="4"/>
  <c r="H121" i="4"/>
  <c r="H61" i="4"/>
  <c r="H36" i="4"/>
  <c r="H1436" i="4"/>
  <c r="H54" i="4"/>
  <c r="H1432" i="4"/>
  <c r="H1430" i="4"/>
  <c r="H1427" i="4"/>
  <c r="H1424" i="4"/>
  <c r="H127" i="4"/>
  <c r="H1417" i="4"/>
  <c r="H1413" i="4"/>
  <c r="H1409" i="4"/>
  <c r="H1405" i="4"/>
  <c r="H1401" i="4"/>
  <c r="H1397" i="4"/>
  <c r="H1393" i="4"/>
  <c r="H1389" i="4"/>
  <c r="H1385" i="4"/>
  <c r="H1381" i="4"/>
  <c r="H1377" i="4"/>
  <c r="H1373" i="4"/>
  <c r="H86" i="4"/>
  <c r="H1367" i="4"/>
  <c r="H1363" i="4"/>
  <c r="H1359" i="4"/>
  <c r="H1355" i="4"/>
  <c r="H120" i="4"/>
  <c r="H1349" i="4"/>
  <c r="H1345" i="4"/>
  <c r="H1341" i="4"/>
  <c r="H1337" i="4"/>
  <c r="H1333" i="4"/>
  <c r="H1329" i="4"/>
  <c r="H1326" i="4"/>
  <c r="H1322" i="4"/>
  <c r="H1318" i="4"/>
  <c r="H1315" i="4"/>
  <c r="H1311" i="4"/>
  <c r="H1307" i="4"/>
  <c r="H1304" i="4"/>
  <c r="H1300" i="4"/>
  <c r="H1296" i="4"/>
  <c r="H1292" i="4"/>
  <c r="H1288" i="4"/>
  <c r="H73" i="4"/>
  <c r="H1284" i="4"/>
  <c r="H1280" i="4"/>
  <c r="H1277" i="4"/>
  <c r="H1275" i="4"/>
  <c r="H1271" i="4"/>
  <c r="H1267" i="4"/>
  <c r="H126" i="4"/>
  <c r="H1260" i="4"/>
  <c r="H1256" i="4"/>
  <c r="H1252" i="4"/>
  <c r="H1248" i="4"/>
  <c r="H1244" i="4"/>
  <c r="H1240" i="4"/>
  <c r="H1237" i="4"/>
  <c r="H1234" i="4"/>
  <c r="H1230" i="4"/>
  <c r="H1226" i="4"/>
  <c r="H1222" i="4"/>
  <c r="H1218" i="4"/>
  <c r="H1214" i="4"/>
  <c r="H1210" i="4"/>
  <c r="H23" i="4"/>
  <c r="H1204" i="4"/>
  <c r="H1200" i="4"/>
  <c r="H1196" i="4"/>
  <c r="H1192" i="4"/>
  <c r="H20" i="4"/>
  <c r="H1185" i="4"/>
  <c r="H1181" i="4"/>
  <c r="H1177" i="4"/>
  <c r="H1174" i="4"/>
  <c r="H1170" i="4"/>
  <c r="H1166" i="4"/>
  <c r="H1162" i="4"/>
  <c r="H1158" i="4"/>
  <c r="H1154" i="4"/>
  <c r="H1150" i="4"/>
  <c r="H1146" i="4"/>
  <c r="H1142" i="4"/>
  <c r="H1139" i="4"/>
  <c r="H1135" i="4"/>
  <c r="H98" i="4"/>
  <c r="H1128" i="4"/>
  <c r="H1124" i="4"/>
  <c r="H1120" i="4"/>
  <c r="H1116" i="4"/>
  <c r="H1112" i="4"/>
  <c r="H1109" i="4"/>
  <c r="H1105" i="4"/>
  <c r="H1101" i="4"/>
  <c r="H1098" i="4"/>
  <c r="H1094" i="4"/>
  <c r="H1090" i="4"/>
  <c r="H1086" i="4"/>
  <c r="H56" i="4"/>
  <c r="H91" i="4"/>
  <c r="H1077" i="4"/>
  <c r="H1073" i="4"/>
  <c r="H1070" i="4"/>
  <c r="H1067" i="4"/>
  <c r="H1064" i="4"/>
  <c r="H1060" i="4"/>
  <c r="H1056" i="4"/>
  <c r="H1052" i="4"/>
  <c r="H1048" i="4"/>
  <c r="H1044" i="4"/>
  <c r="H1040" i="4"/>
  <c r="H1036" i="4"/>
  <c r="H1032" i="4"/>
  <c r="H1028" i="4"/>
  <c r="H1024" i="4"/>
  <c r="H1020" i="4"/>
  <c r="H1016" i="4"/>
  <c r="H1012" i="4"/>
  <c r="H1009" i="4"/>
  <c r="H1005" i="4"/>
  <c r="H78" i="4"/>
  <c r="H998" i="4"/>
  <c r="H994" i="4"/>
  <c r="H990" i="4"/>
  <c r="H986" i="4"/>
  <c r="H982" i="4"/>
  <c r="H978" i="4"/>
  <c r="H108" i="4"/>
  <c r="H971" i="4"/>
  <c r="H967" i="4"/>
  <c r="H963" i="4"/>
  <c r="H959" i="4"/>
  <c r="H955" i="4"/>
  <c r="H951" i="4"/>
  <c r="H947" i="4"/>
  <c r="H943" i="4"/>
  <c r="H939" i="4"/>
  <c r="H935" i="4"/>
  <c r="H931" i="4"/>
  <c r="H927" i="4"/>
  <c r="H923" i="4"/>
  <c r="H919" i="4"/>
  <c r="H915" i="4"/>
  <c r="H911" i="4"/>
  <c r="H907" i="4"/>
  <c r="H903" i="4"/>
  <c r="H899" i="4"/>
  <c r="H895" i="4"/>
  <c r="H7" i="4"/>
  <c r="H888" i="4"/>
  <c r="H884" i="4"/>
  <c r="H880" i="4"/>
  <c r="H876" i="4"/>
  <c r="H872" i="4"/>
  <c r="H868" i="4"/>
  <c r="H864" i="4"/>
  <c r="H860" i="4"/>
  <c r="H856" i="4"/>
  <c r="H852" i="4"/>
  <c r="H848" i="4"/>
  <c r="H845" i="4"/>
  <c r="H841" i="4"/>
  <c r="H837" i="4"/>
  <c r="H833" i="4"/>
  <c r="H829" i="4"/>
  <c r="H825" i="4"/>
  <c r="H821" i="4"/>
  <c r="H817" i="4"/>
  <c r="H813" i="4"/>
  <c r="H809" i="4"/>
  <c r="H805" i="4"/>
  <c r="H801" i="4"/>
  <c r="H793" i="4"/>
  <c r="H785" i="4"/>
  <c r="H771" i="4"/>
  <c r="H755" i="4"/>
  <c r="H739" i="4"/>
  <c r="H723" i="4"/>
  <c r="H707" i="4"/>
  <c r="H691" i="4"/>
  <c r="H676" i="4"/>
  <c r="H660" i="4"/>
  <c r="H645" i="4"/>
  <c r="H629" i="4"/>
  <c r="H617" i="4"/>
  <c r="H601" i="4"/>
  <c r="H585" i="4"/>
  <c r="H569" i="4"/>
  <c r="H553" i="4"/>
  <c r="H537" i="4"/>
  <c r="H521" i="4"/>
  <c r="H505" i="4"/>
  <c r="H489" i="4"/>
  <c r="H473" i="4"/>
  <c r="H457" i="4"/>
  <c r="H441" i="4"/>
  <c r="H426" i="4"/>
  <c r="H411" i="4"/>
  <c r="H395" i="4"/>
  <c r="H379" i="4"/>
  <c r="H363" i="4"/>
  <c r="H347" i="4"/>
  <c r="H331" i="4"/>
  <c r="H316" i="4"/>
  <c r="H300" i="4"/>
  <c r="H285" i="4"/>
  <c r="H270" i="4"/>
  <c r="H254" i="4"/>
  <c r="H240" i="4"/>
  <c r="H224" i="4"/>
  <c r="H105" i="4"/>
  <c r="H193" i="4"/>
  <c r="H177" i="4"/>
  <c r="H161" i="4"/>
  <c r="H145" i="4"/>
  <c r="H1475" i="4"/>
  <c r="H1474" i="4"/>
  <c r="H55" i="4"/>
  <c r="H27" i="4"/>
  <c r="H44" i="4"/>
  <c r="H63" i="4"/>
  <c r="H1471" i="4"/>
  <c r="H100" i="4"/>
  <c r="H1465" i="4"/>
  <c r="H39" i="4"/>
  <c r="H1460" i="4"/>
  <c r="H1458" i="4"/>
  <c r="H11" i="4"/>
  <c r="H1453" i="4"/>
  <c r="H1449" i="4"/>
  <c r="H1446" i="4"/>
  <c r="H24" i="4"/>
  <c r="H1442" i="4"/>
  <c r="H1441" i="4"/>
  <c r="H67" i="4"/>
  <c r="H95" i="4"/>
  <c r="H1434" i="4"/>
  <c r="H128" i="4"/>
  <c r="H1429" i="4"/>
  <c r="H1426" i="4"/>
  <c r="H1423" i="4"/>
  <c r="H1420" i="4"/>
  <c r="H1416" i="4"/>
  <c r="H1412" i="4"/>
  <c r="H1408" i="4"/>
  <c r="H1404" i="4"/>
  <c r="H1400" i="4"/>
  <c r="H1396" i="4"/>
  <c r="H1392" i="4"/>
  <c r="H1388" i="4"/>
  <c r="H1384" i="4"/>
  <c r="H1380" i="4"/>
  <c r="H1376" i="4"/>
  <c r="H1372" i="4"/>
  <c r="H1369" i="4"/>
  <c r="H1366" i="4"/>
  <c r="H1362" i="4"/>
  <c r="H1358" i="4"/>
  <c r="H1354" i="4"/>
  <c r="H1351" i="4"/>
  <c r="H1348" i="4"/>
  <c r="H1344" i="4"/>
  <c r="H1340" i="4"/>
  <c r="H1336" i="4"/>
  <c r="H1332" i="4"/>
  <c r="H1328" i="4"/>
  <c r="H1325" i="4"/>
  <c r="H1321" i="4"/>
  <c r="H16" i="4"/>
  <c r="H1314" i="4"/>
  <c r="H1310" i="4"/>
  <c r="H43" i="4"/>
  <c r="H1303" i="4"/>
  <c r="H1299" i="4"/>
  <c r="H1295" i="4"/>
  <c r="H1291" i="4"/>
  <c r="H1287" i="4"/>
  <c r="H122" i="4"/>
  <c r="H1283" i="4"/>
  <c r="H1279" i="4"/>
  <c r="H1276" i="4"/>
  <c r="H1274" i="4"/>
  <c r="H1270" i="4"/>
  <c r="H1266" i="4"/>
  <c r="H1263" i="4"/>
  <c r="H1259" i="4"/>
  <c r="H1255" i="4"/>
  <c r="H1251" i="4"/>
  <c r="H1247" i="4"/>
  <c r="H1243" i="4"/>
  <c r="H132" i="4"/>
  <c r="H1236" i="4"/>
  <c r="H1233" i="4"/>
  <c r="H1229" i="4"/>
  <c r="H1225" i="4"/>
  <c r="H1221" i="4"/>
  <c r="H1217" i="4"/>
  <c r="H1213" i="4"/>
  <c r="H1209" i="4"/>
  <c r="H1207" i="4"/>
  <c r="H1203" i="4"/>
  <c r="H1199" i="4"/>
  <c r="H1195" i="4"/>
  <c r="H1191" i="4"/>
  <c r="H1188" i="4"/>
  <c r="H1184" i="4"/>
  <c r="H1180" i="4"/>
  <c r="H1176" i="4"/>
  <c r="H1173" i="4"/>
  <c r="H1169" i="4"/>
  <c r="H1165" i="4"/>
  <c r="H1161" i="4"/>
  <c r="H1157" i="4"/>
  <c r="H1153" i="4"/>
  <c r="H1149" i="4"/>
  <c r="H1145" i="4"/>
  <c r="H22" i="4"/>
  <c r="H1138" i="4"/>
  <c r="H1134" i="4"/>
  <c r="H1131" i="4"/>
  <c r="H1127" i="4"/>
  <c r="H1123" i="4"/>
  <c r="H1119" i="4"/>
  <c r="H1115" i="4"/>
  <c r="H1111" i="4"/>
  <c r="H1108" i="4"/>
  <c r="H1104" i="4"/>
  <c r="H1100" i="4"/>
  <c r="H1097" i="4"/>
  <c r="H1093" i="4"/>
  <c r="H1089" i="4"/>
  <c r="H1085" i="4"/>
  <c r="H15" i="4"/>
  <c r="H1080" i="4"/>
  <c r="H1076" i="4"/>
  <c r="H52" i="4"/>
  <c r="H1069" i="4"/>
  <c r="H8" i="4"/>
  <c r="H1063" i="4"/>
  <c r="H1059" i="4"/>
  <c r="H1055" i="4"/>
  <c r="H1051" i="4"/>
  <c r="H1047" i="4"/>
  <c r="H1043" i="4"/>
  <c r="H1039" i="4"/>
  <c r="H1035" i="4"/>
  <c r="H1031" i="4"/>
  <c r="H1027" i="4"/>
  <c r="H1023" i="4"/>
  <c r="H1019" i="4"/>
  <c r="H1015" i="4"/>
  <c r="H1011" i="4"/>
  <c r="H1008" i="4"/>
  <c r="H1004" i="4"/>
  <c r="H1001" i="4"/>
  <c r="H997" i="4"/>
  <c r="H993" i="4"/>
  <c r="H989" i="4"/>
  <c r="H985" i="4"/>
  <c r="H981" i="4"/>
  <c r="H977" i="4"/>
  <c r="H974" i="4"/>
  <c r="H970" i="4"/>
  <c r="H966" i="4"/>
  <c r="H962" i="4"/>
  <c r="H958" i="4"/>
  <c r="H954" i="4"/>
  <c r="H950" i="4"/>
  <c r="H946" i="4"/>
  <c r="H942" i="4"/>
  <c r="H938" i="4"/>
  <c r="H934" i="4"/>
  <c r="H930" i="4"/>
  <c r="H926" i="4"/>
  <c r="H922" i="4"/>
  <c r="H918" i="4"/>
  <c r="H914" i="4"/>
  <c r="H910" i="4"/>
  <c r="H906" i="4"/>
  <c r="H902" i="4"/>
  <c r="H898" i="4"/>
  <c r="H894" i="4"/>
  <c r="H891" i="4"/>
  <c r="H887" i="4"/>
  <c r="H883" i="4"/>
  <c r="H879" i="4"/>
  <c r="H875" i="4"/>
  <c r="H871" i="4"/>
  <c r="H867" i="4"/>
  <c r="H863" i="4"/>
  <c r="H859" i="4"/>
  <c r="H855" i="4"/>
  <c r="H851" i="4"/>
  <c r="H847" i="4"/>
  <c r="H844" i="4"/>
  <c r="H840" i="4"/>
  <c r="H836" i="4"/>
  <c r="H832" i="4"/>
  <c r="H828" i="4"/>
  <c r="H824" i="4"/>
  <c r="H820" i="4"/>
  <c r="H816" i="4"/>
  <c r="H812" i="4"/>
  <c r="H808" i="4"/>
  <c r="H804" i="4"/>
  <c r="H800" i="4"/>
  <c r="H792" i="4"/>
  <c r="H781" i="4"/>
  <c r="H767" i="4"/>
  <c r="H751" i="4"/>
  <c r="H735" i="4"/>
  <c r="H719" i="4"/>
  <c r="H703" i="4"/>
  <c r="H106" i="4"/>
  <c r="H672" i="4"/>
  <c r="H657" i="4"/>
  <c r="H641" i="4"/>
  <c r="H626" i="4"/>
  <c r="H613" i="4"/>
  <c r="H597" i="4"/>
  <c r="H581" i="4"/>
  <c r="H565" i="4"/>
  <c r="H549" i="4"/>
  <c r="H533" i="4"/>
  <c r="H517" i="4"/>
  <c r="H501" i="4"/>
  <c r="H485" i="4"/>
  <c r="H469" i="4"/>
  <c r="H453" i="4"/>
  <c r="H437" i="4"/>
  <c r="H422" i="4"/>
  <c r="H407" i="4"/>
  <c r="H391" i="4"/>
  <c r="H375" i="4"/>
  <c r="H359" i="4"/>
  <c r="H343" i="4"/>
  <c r="H328" i="4"/>
  <c r="H312" i="4"/>
  <c r="H297" i="4"/>
  <c r="H281" i="4"/>
  <c r="H266" i="4"/>
  <c r="H250" i="4"/>
  <c r="H236" i="4"/>
  <c r="H220" i="4"/>
  <c r="H205" i="4"/>
  <c r="H189" i="4"/>
  <c r="H173" i="4"/>
  <c r="H157" i="4"/>
  <c r="H141" i="4"/>
  <c r="H89" i="4"/>
  <c r="H30" i="4"/>
  <c r="H32" i="4"/>
  <c r="H133" i="4"/>
  <c r="H129" i="4"/>
  <c r="H1473" i="4"/>
  <c r="H57" i="4"/>
  <c r="H1470" i="4"/>
  <c r="H1468" i="4"/>
  <c r="H80" i="4"/>
  <c r="H1462" i="4"/>
  <c r="H21" i="4"/>
  <c r="H1457" i="4"/>
  <c r="H1456" i="4"/>
  <c r="H1452" i="4"/>
  <c r="H1448" i="4"/>
  <c r="H1445" i="4"/>
  <c r="H97" i="4"/>
  <c r="H125" i="4"/>
  <c r="H1440" i="4"/>
  <c r="H1438" i="4"/>
  <c r="H17" i="4"/>
  <c r="H94" i="4"/>
  <c r="H130" i="4"/>
  <c r="H14" i="4"/>
  <c r="H10" i="4"/>
  <c r="H1422" i="4"/>
  <c r="H1419" i="4"/>
  <c r="H1415" i="4"/>
  <c r="H1411" i="4"/>
  <c r="H1407" i="4"/>
  <c r="H1403" i="4"/>
  <c r="H1399" i="4"/>
  <c r="H1395" i="4"/>
  <c r="H1391" i="4"/>
  <c r="H1387" i="4"/>
  <c r="H1383" i="4"/>
  <c r="H1379" i="4"/>
  <c r="H1375" i="4"/>
  <c r="H1371" i="4"/>
  <c r="H104" i="4"/>
  <c r="H1365" i="4"/>
  <c r="H1361" i="4"/>
  <c r="H1357" i="4"/>
  <c r="H1353" i="4"/>
  <c r="H1350" i="4"/>
  <c r="H1347" i="4"/>
  <c r="H1343" i="4"/>
  <c r="H1339" i="4"/>
  <c r="H1335" i="4"/>
  <c r="H1331" i="4"/>
  <c r="H114" i="4"/>
  <c r="H1324" i="4"/>
  <c r="H1320" i="4"/>
  <c r="H1317" i="4"/>
  <c r="H1313" i="4"/>
  <c r="H1309" i="4"/>
  <c r="H1306" i="4"/>
  <c r="H1302" i="4"/>
  <c r="H1298" i="4"/>
  <c r="H1294" i="4"/>
  <c r="H1290" i="4"/>
  <c r="H109" i="4"/>
  <c r="H1286" i="4"/>
  <c r="H1282" i="4"/>
  <c r="H31" i="4"/>
  <c r="H45" i="4"/>
  <c r="H1273" i="4"/>
  <c r="H1269" i="4"/>
  <c r="H1265" i="4"/>
  <c r="H1262" i="4"/>
  <c r="H1258" i="4"/>
  <c r="H1254" i="4"/>
  <c r="H1250" i="4"/>
  <c r="H1246" i="4"/>
  <c r="H1242" i="4"/>
  <c r="H1239" i="4"/>
  <c r="H1235" i="4"/>
  <c r="H1232" i="4"/>
  <c r="H1228" i="4"/>
  <c r="H1224" i="4"/>
  <c r="H1220" i="4"/>
  <c r="H1216" i="4"/>
  <c r="H1212" i="4"/>
  <c r="H1208" i="4"/>
  <c r="H1206" i="4"/>
  <c r="H1202" i="4"/>
  <c r="H1198" i="4"/>
  <c r="H1194" i="4"/>
  <c r="H1190" i="4"/>
  <c r="H1187" i="4"/>
  <c r="H1183" i="4"/>
  <c r="H1179" i="4"/>
  <c r="H111" i="4"/>
  <c r="H1172" i="4"/>
  <c r="H1168" i="4"/>
  <c r="H1164" i="4"/>
  <c r="H1160" i="4"/>
  <c r="H1156" i="4"/>
  <c r="H1152" i="4"/>
  <c r="H1148" i="4"/>
  <c r="H1144" i="4"/>
  <c r="H1141" i="4"/>
  <c r="H1137" i="4"/>
  <c r="H1133" i="4"/>
  <c r="H1130" i="4"/>
  <c r="H1126" i="4"/>
  <c r="H1122" i="4"/>
  <c r="H1118" i="4"/>
  <c r="H1114" i="4"/>
  <c r="H9" i="4"/>
  <c r="H1107" i="4"/>
  <c r="H1103" i="4"/>
  <c r="H50" i="4"/>
  <c r="H1096" i="4"/>
  <c r="H1092" i="4"/>
  <c r="H1088" i="4"/>
  <c r="H1084" i="4"/>
  <c r="H1082" i="4"/>
  <c r="H1079" i="4"/>
  <c r="H1075" i="4"/>
  <c r="H1072" i="4"/>
  <c r="H1068" i="4"/>
  <c r="H1066" i="4"/>
  <c r="H1062" i="4"/>
  <c r="H1058" i="4"/>
  <c r="H1054" i="4"/>
  <c r="H1050" i="4"/>
  <c r="H1046" i="4"/>
  <c r="H1042" i="4"/>
  <c r="H1038" i="4"/>
  <c r="H1034" i="4"/>
  <c r="H1030" i="4"/>
  <c r="H1026" i="4"/>
  <c r="H1022" i="4"/>
  <c r="H1018" i="4"/>
  <c r="H1014" i="4"/>
  <c r="H65" i="4"/>
  <c r="H1007" i="4"/>
  <c r="H1003" i="4"/>
  <c r="H1000" i="4"/>
  <c r="H996" i="4"/>
  <c r="H992" i="4"/>
  <c r="H988" i="4"/>
  <c r="H984" i="4"/>
  <c r="H980" i="4"/>
  <c r="H976" i="4"/>
  <c r="H973" i="4"/>
  <c r="H969" i="4"/>
  <c r="H965" i="4"/>
  <c r="H961" i="4"/>
  <c r="H957" i="4"/>
  <c r="H953" i="4"/>
  <c r="H949" i="4"/>
  <c r="H945" i="4"/>
  <c r="H941" i="4"/>
  <c r="H937" i="4"/>
  <c r="H933" i="4"/>
  <c r="H929" i="4"/>
  <c r="H925" i="4"/>
  <c r="H921" i="4"/>
  <c r="H917" i="4"/>
  <c r="H913" i="4"/>
  <c r="H909" i="4"/>
  <c r="H905" i="4"/>
  <c r="H901" i="4"/>
  <c r="H897" i="4"/>
  <c r="H893" i="4"/>
  <c r="H890" i="4"/>
  <c r="H886" i="4"/>
  <c r="H882" i="4"/>
  <c r="H878" i="4"/>
  <c r="H874" i="4"/>
  <c r="H870" i="4"/>
  <c r="H866" i="4"/>
  <c r="H862" i="4"/>
  <c r="H858" i="4"/>
  <c r="H854" i="4"/>
  <c r="H850" i="4"/>
  <c r="H846" i="4"/>
  <c r="H843" i="4"/>
  <c r="H839" i="4"/>
  <c r="H835" i="4"/>
  <c r="H831" i="4"/>
  <c r="H827" i="4"/>
  <c r="H823" i="4"/>
  <c r="H819" i="4"/>
  <c r="H815" i="4"/>
  <c r="H811" i="4"/>
  <c r="H807" i="4"/>
  <c r="H803" i="4"/>
  <c r="H797" i="4"/>
  <c r="H789" i="4"/>
  <c r="H779" i="4"/>
  <c r="H763" i="4"/>
  <c r="H747" i="4"/>
  <c r="H731" i="4"/>
  <c r="H715" i="4"/>
  <c r="H699" i="4"/>
  <c r="H684" i="4"/>
  <c r="H668" i="4"/>
  <c r="H653" i="4"/>
  <c r="H637" i="4"/>
  <c r="H622" i="4"/>
  <c r="H609" i="4"/>
  <c r="H593" i="4"/>
  <c r="H577" i="4"/>
  <c r="H561" i="4"/>
  <c r="H545" i="4"/>
  <c r="H529" i="4"/>
  <c r="H513" i="4"/>
  <c r="H497" i="4"/>
  <c r="H481" i="4"/>
  <c r="H465" i="4"/>
  <c r="H449" i="4"/>
  <c r="H433" i="4"/>
  <c r="H101" i="4"/>
  <c r="H403" i="4"/>
  <c r="H387" i="4"/>
  <c r="H371" i="4"/>
  <c r="H355" i="4"/>
  <c r="H339" i="4"/>
  <c r="H324" i="4"/>
  <c r="H308" i="4"/>
  <c r="H293" i="4"/>
  <c r="H51" i="4"/>
  <c r="H262" i="4"/>
  <c r="H248" i="4"/>
  <c r="H232" i="4"/>
  <c r="H216" i="4"/>
  <c r="H201" i="4"/>
  <c r="H185" i="4"/>
  <c r="H169" i="4"/>
  <c r="H153" i="4"/>
  <c r="H137" i="4"/>
  <c r="H784" i="4"/>
  <c r="H34" i="4"/>
  <c r="H778" i="4"/>
  <c r="H774" i="4"/>
  <c r="H770" i="4"/>
  <c r="H766" i="4"/>
  <c r="H762" i="4"/>
  <c r="H758" i="4"/>
  <c r="H754" i="4"/>
  <c r="H750" i="4"/>
  <c r="H746" i="4"/>
  <c r="H742" i="4"/>
  <c r="H738" i="4"/>
  <c r="H734" i="4"/>
  <c r="H730" i="4"/>
  <c r="H726" i="4"/>
  <c r="H722" i="4"/>
  <c r="H718" i="4"/>
  <c r="H714" i="4"/>
  <c r="H710" i="4"/>
  <c r="H706" i="4"/>
  <c r="H702" i="4"/>
  <c r="H698" i="4"/>
  <c r="H694" i="4"/>
  <c r="H690" i="4"/>
  <c r="H687" i="4"/>
  <c r="H683" i="4"/>
  <c r="H679" i="4"/>
  <c r="H675" i="4"/>
  <c r="H671" i="4"/>
  <c r="H667" i="4"/>
  <c r="H663" i="4"/>
  <c r="H659" i="4"/>
  <c r="H656" i="4"/>
  <c r="H652" i="4"/>
  <c r="H648" i="4"/>
  <c r="H644" i="4"/>
  <c r="H640" i="4"/>
  <c r="H636" i="4"/>
  <c r="H632" i="4"/>
  <c r="H628" i="4"/>
  <c r="H625" i="4"/>
  <c r="H621" i="4"/>
  <c r="H124" i="4"/>
  <c r="H616" i="4"/>
  <c r="H612" i="4"/>
  <c r="H608" i="4"/>
  <c r="H604" i="4"/>
  <c r="H600" i="4"/>
  <c r="H596" i="4"/>
  <c r="H592" i="4"/>
  <c r="H588" i="4"/>
  <c r="H584" i="4"/>
  <c r="H580" i="4"/>
  <c r="H576" i="4"/>
  <c r="H572" i="4"/>
  <c r="H568" i="4"/>
  <c r="H564" i="4"/>
  <c r="H560" i="4"/>
  <c r="H556" i="4"/>
  <c r="H552" i="4"/>
  <c r="H548" i="4"/>
  <c r="H544" i="4"/>
  <c r="H540" i="4"/>
  <c r="H536" i="4"/>
  <c r="H532" i="4"/>
  <c r="H528" i="4"/>
  <c r="H524" i="4"/>
  <c r="H520" i="4"/>
  <c r="H516" i="4"/>
  <c r="H512" i="4"/>
  <c r="H508" i="4"/>
  <c r="H504" i="4"/>
  <c r="H500" i="4"/>
  <c r="H496" i="4"/>
  <c r="H492" i="4"/>
  <c r="H488" i="4"/>
  <c r="H484" i="4"/>
  <c r="H480" i="4"/>
  <c r="H476" i="4"/>
  <c r="H472" i="4"/>
  <c r="H468" i="4"/>
  <c r="H464" i="4"/>
  <c r="H460" i="4"/>
  <c r="H456" i="4"/>
  <c r="H452" i="4"/>
  <c r="H448" i="4"/>
  <c r="H444" i="4"/>
  <c r="H440" i="4"/>
  <c r="H436" i="4"/>
  <c r="H432" i="4"/>
  <c r="H428" i="4"/>
  <c r="H425" i="4"/>
  <c r="H421" i="4"/>
  <c r="H418" i="4"/>
  <c r="H414" i="4"/>
  <c r="H410" i="4"/>
  <c r="H406" i="4"/>
  <c r="H402" i="4"/>
  <c r="H398" i="4"/>
  <c r="H394" i="4"/>
  <c r="H390" i="4"/>
  <c r="H386" i="4"/>
  <c r="H382" i="4"/>
  <c r="H378" i="4"/>
  <c r="H374" i="4"/>
  <c r="H370" i="4"/>
  <c r="H366" i="4"/>
  <c r="H362" i="4"/>
  <c r="H358" i="4"/>
  <c r="H354" i="4"/>
  <c r="H350" i="4"/>
  <c r="H346" i="4"/>
  <c r="H342" i="4"/>
  <c r="H338" i="4"/>
  <c r="H334" i="4"/>
  <c r="H6" i="4"/>
  <c r="H327" i="4"/>
  <c r="H323" i="4"/>
  <c r="H319" i="4"/>
  <c r="H315" i="4"/>
  <c r="H311" i="4"/>
  <c r="H307" i="4"/>
  <c r="H303" i="4"/>
  <c r="H299" i="4"/>
  <c r="H296" i="4"/>
  <c r="H292" i="4"/>
  <c r="H288" i="4"/>
  <c r="H284" i="4"/>
  <c r="H280" i="4"/>
  <c r="H277" i="4"/>
  <c r="H273" i="4"/>
  <c r="H269" i="4"/>
  <c r="H265" i="4"/>
  <c r="H261" i="4"/>
  <c r="H257" i="4"/>
  <c r="H253" i="4"/>
  <c r="H76" i="4"/>
  <c r="H247" i="4"/>
  <c r="H243" i="4"/>
  <c r="H239" i="4"/>
  <c r="H235" i="4"/>
  <c r="H231" i="4"/>
  <c r="H227" i="4"/>
  <c r="H223" i="4"/>
  <c r="H219" i="4"/>
  <c r="H215" i="4"/>
  <c r="H211" i="4"/>
  <c r="H208" i="4"/>
  <c r="H204" i="4"/>
  <c r="H200" i="4"/>
  <c r="H196" i="4"/>
  <c r="H192" i="4"/>
  <c r="H188" i="4"/>
  <c r="H184" i="4"/>
  <c r="H180" i="4"/>
  <c r="H176" i="4"/>
  <c r="H172" i="4"/>
  <c r="H168" i="4"/>
  <c r="H164" i="4"/>
  <c r="H160" i="4"/>
  <c r="H156" i="4"/>
  <c r="H152" i="4"/>
  <c r="H148" i="4"/>
  <c r="H144" i="4"/>
  <c r="H140" i="4"/>
  <c r="H136" i="4"/>
  <c r="H799" i="4"/>
  <c r="H795" i="4"/>
  <c r="H791" i="4"/>
  <c r="H787" i="4"/>
  <c r="H783" i="4"/>
  <c r="H107" i="4"/>
  <c r="H777" i="4"/>
  <c r="H773" i="4"/>
  <c r="H769" i="4"/>
  <c r="H765" i="4"/>
  <c r="H761" i="4"/>
  <c r="H757" i="4"/>
  <c r="H753" i="4"/>
  <c r="H749" i="4"/>
  <c r="H745" i="4"/>
  <c r="H741" i="4"/>
  <c r="H737" i="4"/>
  <c r="H733" i="4"/>
  <c r="H729" i="4"/>
  <c r="H725" i="4"/>
  <c r="H721" i="4"/>
  <c r="H717" i="4"/>
  <c r="H713" i="4"/>
  <c r="H709" i="4"/>
  <c r="H705" i="4"/>
  <c r="H701" i="4"/>
  <c r="H697" i="4"/>
  <c r="H693" i="4"/>
  <c r="H689" i="4"/>
  <c r="H686" i="4"/>
  <c r="H682" i="4"/>
  <c r="H678" i="4"/>
  <c r="H674" i="4"/>
  <c r="H670" i="4"/>
  <c r="H666" i="4"/>
  <c r="H662" i="4"/>
  <c r="H93" i="4"/>
  <c r="H655" i="4"/>
  <c r="H651" i="4"/>
  <c r="H647" i="4"/>
  <c r="H643" i="4"/>
  <c r="H639" i="4"/>
  <c r="H635" i="4"/>
  <c r="H631" i="4"/>
  <c r="H116" i="4"/>
  <c r="H624" i="4"/>
  <c r="H620" i="4"/>
  <c r="H84" i="4"/>
  <c r="H615" i="4"/>
  <c r="H611" i="4"/>
  <c r="H607" i="4"/>
  <c r="H603" i="4"/>
  <c r="H599" i="4"/>
  <c r="H595" i="4"/>
  <c r="H591" i="4"/>
  <c r="H587" i="4"/>
  <c r="H583" i="4"/>
  <c r="H579" i="4"/>
  <c r="H575" i="4"/>
  <c r="H571" i="4"/>
  <c r="H567" i="4"/>
  <c r="H563" i="4"/>
  <c r="H559" i="4"/>
  <c r="H555" i="4"/>
  <c r="H551" i="4"/>
  <c r="H547" i="4"/>
  <c r="H543" i="4"/>
  <c r="H539" i="4"/>
  <c r="H535" i="4"/>
  <c r="H531" i="4"/>
  <c r="H527" i="4"/>
  <c r="H523" i="4"/>
  <c r="H519" i="4"/>
  <c r="H515" i="4"/>
  <c r="H511" i="4"/>
  <c r="H507" i="4"/>
  <c r="H503" i="4"/>
  <c r="H499" i="4"/>
  <c r="H495" i="4"/>
  <c r="H491" i="4"/>
  <c r="H487" i="4"/>
  <c r="H483" i="4"/>
  <c r="H479" i="4"/>
  <c r="H475" i="4"/>
  <c r="H471" i="4"/>
  <c r="H467" i="4"/>
  <c r="H463" i="4"/>
  <c r="H459" i="4"/>
  <c r="H455" i="4"/>
  <c r="H451" i="4"/>
  <c r="H447" i="4"/>
  <c r="H443" i="4"/>
  <c r="H439" i="4"/>
  <c r="H435" i="4"/>
  <c r="H431" i="4"/>
  <c r="H427" i="4"/>
  <c r="H424" i="4"/>
  <c r="H420" i="4"/>
  <c r="H417" i="4"/>
  <c r="H413" i="4"/>
  <c r="H409" i="4"/>
  <c r="H405" i="4"/>
  <c r="H401" i="4"/>
  <c r="H397" i="4"/>
  <c r="H393" i="4"/>
  <c r="H389" i="4"/>
  <c r="H385" i="4"/>
  <c r="H381" i="4"/>
  <c r="H377" i="4"/>
  <c r="H373" i="4"/>
  <c r="H369" i="4"/>
  <c r="H365" i="4"/>
  <c r="H361" i="4"/>
  <c r="H357" i="4"/>
  <c r="H353" i="4"/>
  <c r="H349" i="4"/>
  <c r="H345" i="4"/>
  <c r="H341" i="4"/>
  <c r="H337" i="4"/>
  <c r="H333" i="4"/>
  <c r="H330" i="4"/>
  <c r="H326" i="4"/>
  <c r="H322" i="4"/>
  <c r="H318" i="4"/>
  <c r="H314" i="4"/>
  <c r="H310" i="4"/>
  <c r="H306" i="4"/>
  <c r="H302" i="4"/>
  <c r="H298" i="4"/>
  <c r="H295" i="4"/>
  <c r="H291" i="4"/>
  <c r="H287" i="4"/>
  <c r="H283" i="4"/>
  <c r="H279" i="4"/>
  <c r="H276" i="4"/>
  <c r="H272" i="4"/>
  <c r="H268" i="4"/>
  <c r="H264" i="4"/>
  <c r="H260" i="4"/>
  <c r="H256" i="4"/>
  <c r="H252" i="4"/>
  <c r="H75" i="4"/>
  <c r="H246" i="4"/>
  <c r="H242" i="4"/>
  <c r="H238" i="4"/>
  <c r="H234" i="4"/>
  <c r="H230" i="4"/>
  <c r="H226" i="4"/>
  <c r="H222" i="4"/>
  <c r="H218" i="4"/>
  <c r="H214" i="4"/>
  <c r="H210" i="4"/>
  <c r="H207" i="4"/>
  <c r="H203" i="4"/>
  <c r="H199" i="4"/>
  <c r="H195" i="4"/>
  <c r="H191" i="4"/>
  <c r="H187" i="4"/>
  <c r="H183" i="4"/>
  <c r="H179" i="4"/>
  <c r="H175" i="4"/>
  <c r="H171" i="4"/>
  <c r="H167" i="4"/>
  <c r="H163" i="4"/>
  <c r="H159" i="4"/>
  <c r="H155" i="4"/>
  <c r="H151" i="4"/>
  <c r="H147" i="4"/>
  <c r="H143" i="4"/>
  <c r="H139" i="4"/>
  <c r="H135" i="4"/>
  <c r="H798" i="4"/>
  <c r="H794" i="4"/>
  <c r="H790" i="4"/>
  <c r="H786" i="4"/>
  <c r="H782" i="4"/>
  <c r="H780" i="4"/>
  <c r="H776" i="4"/>
  <c r="H772" i="4"/>
  <c r="H768" i="4"/>
  <c r="H764" i="4"/>
  <c r="H760" i="4"/>
  <c r="H756" i="4"/>
  <c r="H752" i="4"/>
  <c r="H748" i="4"/>
  <c r="H744" i="4"/>
  <c r="H740" i="4"/>
  <c r="H736" i="4"/>
  <c r="H732" i="4"/>
  <c r="H728" i="4"/>
  <c r="H724" i="4"/>
  <c r="H720" i="4"/>
  <c r="H716" i="4"/>
  <c r="H712" i="4"/>
  <c r="H708" i="4"/>
  <c r="H704" i="4"/>
  <c r="H700" i="4"/>
  <c r="H696" i="4"/>
  <c r="H692" i="4"/>
  <c r="H688" i="4"/>
  <c r="H685" i="4"/>
  <c r="H681" i="4"/>
  <c r="H677" i="4"/>
  <c r="H673" i="4"/>
  <c r="H669" i="4"/>
  <c r="H665" i="4"/>
  <c r="H661" i="4"/>
  <c r="H658" i="4"/>
  <c r="H654" i="4"/>
  <c r="H650" i="4"/>
  <c r="H646" i="4"/>
  <c r="H642" i="4"/>
  <c r="H638" i="4"/>
  <c r="H634" i="4"/>
  <c r="H630" i="4"/>
  <c r="H627" i="4"/>
  <c r="H623" i="4"/>
  <c r="H619" i="4"/>
  <c r="H618" i="4"/>
  <c r="H614" i="4"/>
  <c r="H610" i="4"/>
  <c r="H606" i="4"/>
  <c r="H602" i="4"/>
  <c r="H598" i="4"/>
  <c r="H594" i="4"/>
  <c r="H590" i="4"/>
  <c r="H586" i="4"/>
  <c r="H582" i="4"/>
  <c r="H578" i="4"/>
  <c r="H574" i="4"/>
  <c r="H570" i="4"/>
  <c r="H566" i="4"/>
  <c r="H562" i="4"/>
  <c r="H558" i="4"/>
  <c r="H554" i="4"/>
  <c r="H550" i="4"/>
  <c r="H546" i="4"/>
  <c r="H542" i="4"/>
  <c r="H538" i="4"/>
  <c r="H534" i="4"/>
  <c r="H530" i="4"/>
  <c r="H526" i="4"/>
  <c r="H522" i="4"/>
  <c r="H518" i="4"/>
  <c r="H514" i="4"/>
  <c r="H510" i="4"/>
  <c r="H506" i="4"/>
  <c r="H502" i="4"/>
  <c r="H498" i="4"/>
  <c r="H494" i="4"/>
  <c r="H490" i="4"/>
  <c r="H486" i="4"/>
  <c r="H482" i="4"/>
  <c r="H478" i="4"/>
  <c r="H474" i="4"/>
  <c r="H470" i="4"/>
  <c r="H466" i="4"/>
  <c r="H462" i="4"/>
  <c r="H458" i="4"/>
  <c r="H454" i="4"/>
  <c r="H450" i="4"/>
  <c r="H446" i="4"/>
  <c r="H442" i="4"/>
  <c r="H438" i="4"/>
  <c r="H434" i="4"/>
  <c r="H430" i="4"/>
  <c r="H66" i="4"/>
  <c r="H423" i="4"/>
  <c r="H419" i="4"/>
  <c r="H416" i="4"/>
  <c r="H412" i="4"/>
  <c r="H408" i="4"/>
  <c r="H404" i="4"/>
  <c r="H400" i="4"/>
  <c r="H396" i="4"/>
  <c r="H392" i="4"/>
  <c r="H388" i="4"/>
  <c r="H384" i="4"/>
  <c r="H380" i="4"/>
  <c r="H376" i="4"/>
  <c r="H372" i="4"/>
  <c r="H368" i="4"/>
  <c r="H364" i="4"/>
  <c r="H360" i="4"/>
  <c r="H356" i="4"/>
  <c r="H352" i="4"/>
  <c r="H348" i="4"/>
  <c r="H344" i="4"/>
  <c r="H340" i="4"/>
  <c r="H336" i="4"/>
  <c r="H332" i="4"/>
  <c r="H329" i="4"/>
  <c r="H325" i="4"/>
  <c r="H321" i="4"/>
  <c r="H317" i="4"/>
  <c r="H313" i="4"/>
  <c r="H309" i="4"/>
  <c r="H305" i="4"/>
  <c r="H301" i="4"/>
  <c r="H118" i="4"/>
  <c r="H294" i="4"/>
  <c r="H290" i="4"/>
  <c r="H286" i="4"/>
  <c r="H282" i="4"/>
  <c r="H278" i="4"/>
  <c r="H275" i="4"/>
  <c r="H271" i="4"/>
  <c r="H267" i="4"/>
  <c r="H263" i="4"/>
  <c r="H259" i="4"/>
  <c r="H255" i="4"/>
  <c r="H251" i="4"/>
  <c r="H249" i="4"/>
  <c r="H245" i="4"/>
  <c r="H241" i="4"/>
  <c r="H237" i="4"/>
  <c r="H233" i="4"/>
  <c r="H229" i="4"/>
  <c r="H225" i="4"/>
  <c r="H221" i="4"/>
  <c r="H217" i="4"/>
  <c r="H213" i="4"/>
  <c r="H209" i="4"/>
  <c r="H206" i="4"/>
  <c r="H202" i="4"/>
  <c r="H198" i="4"/>
  <c r="H194" i="4"/>
  <c r="H190" i="4"/>
  <c r="H186" i="4"/>
  <c r="H182" i="4"/>
  <c r="H178" i="4"/>
  <c r="H174" i="4"/>
  <c r="H170" i="4"/>
  <c r="H166" i="4"/>
  <c r="H162" i="4"/>
  <c r="H158" i="4"/>
  <c r="H154" i="4"/>
  <c r="H150" i="4"/>
  <c r="H146" i="4"/>
  <c r="H142" i="4"/>
  <c r="H138" i="4"/>
  <c r="H134" i="4"/>
</calcChain>
</file>

<file path=xl/comments1.xml><?xml version="1.0" encoding="utf-8"?>
<comments xmlns="http://schemas.openxmlformats.org/spreadsheetml/2006/main">
  <authors>
    <author>Rameen B</author>
  </authors>
  <commentList>
    <comment ref="O14" authorId="0">
      <text>
        <r>
          <rPr>
            <b/>
            <sz val="11"/>
            <color indexed="81"/>
            <rFont val="Tahoma"/>
            <family val="2"/>
          </rPr>
          <t>Rameen B:</t>
        </r>
        <r>
          <rPr>
            <sz val="9"/>
            <color indexed="81"/>
            <rFont val="Tahoma"/>
            <family val="2"/>
          </rPr>
          <t xml:space="preserve">
</t>
        </r>
        <r>
          <rPr>
            <sz val="10"/>
            <color indexed="81"/>
            <rFont val="Tahoma"/>
            <family val="2"/>
          </rPr>
          <t>This value should be the name of a range that refers to the columns to hide in a specified report, a sheet named Report_&lt;name&gt; and a table on that sheet named ReportTable_&lt;nam&gt;</t>
        </r>
      </text>
    </comment>
  </commentList>
</comments>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ropbox\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<sst xmlns="http://schemas.openxmlformats.org/spreadsheetml/2006/main" count="22522" uniqueCount="4030">
  <si>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</si>
  <si>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</si>
  <si>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</si>
  <si>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</si>
  <si>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</si>
  <si>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</si>
  <si>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</si>
  <si>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</si>
  <si>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</si>
  <si>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</si>
  <si>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</si>
  <si>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</si>
  <si>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</si>
  <si>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</si>
  <si>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</si>
  <si>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</si>
  <si>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</si>
  <si>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</si>
  <si>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</si>
  <si>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</si>
  <si>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</si>
  <si>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</si>
  <si>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</si>
  <si>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</si>
  <si>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</si>
  <si>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</si>
  <si>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</si>
  <si>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</si>
  <si>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</si>
  <si>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</si>
  <si>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</si>
  <si>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</si>
  <si>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</si>
  <si>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</si>
  <si>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</si>
  <si>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</si>
  <si>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</si>
  <si>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</si>
  <si>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</si>
  <si>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</si>
  <si>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</si>
  <si>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</si>
  <si>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</si>
  <si>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</si>
  <si>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</si>
  <si>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</si>
  <si>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</si>
  <si>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</si>
  <si>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</si>
  <si>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</si>
  <si>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</si>
  <si>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</si>
  <si>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</si>
  <si>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</si>
  <si>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</si>
  <si>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</si>
  <si>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</si>
  <si>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</si>
  <si>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</si>
  <si>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</si>
  <si>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</si>
  <si>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</si>
  <si>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</si>
  <si>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</si>
  <si>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</si>
  <si>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</si>
  <si>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</si>
  <si>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</si>
  <si>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</si>
  <si>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</si>
  <si>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</si>
  <si>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</si>
  <si>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</si>
  <si>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</si>
  <si>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</si>
  <si>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</si>
  <si>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</si>
  <si>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</si>
  <si>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</si>
  <si>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</si>
  <si>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</si>
  <si>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</si>
  <si>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</si>
  <si>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</si>
  <si>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</si>
  <si>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</si>
  <si>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</si>
  <si>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</si>
  <si>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</si>
  <si>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</si>
  <si>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</si>
  <si>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</si>
  <si>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</si>
  <si>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</si>
  <si>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</si>
  <si>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</si>
  <si>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</si>
  <si>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</si>
  <si>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</si>
  <si>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</si>
  <si>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</si>
  <si>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</si>
  <si>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</si>
  <si>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</si>
  <si>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</si>
  <si>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</si>
  <si>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</si>
  <si>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</si>
  <si>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</si>
  <si>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</si>
  <si>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</si>
  <si>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</si>
  <si>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</si>
  <si>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</si>
  <si>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</si>
  <si>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</si>
  <si>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</si>
  <si>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</si>
  <si>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</si>
  <si>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</si>
  <si>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</si>
  <si>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</si>
  <si>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</si>
  <si>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</si>
  <si>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</si>
  <si>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</si>
  <si>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</si>
  <si>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</si>
  <si>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</si>
  <si>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</si>
  <si>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</si>
  <si>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</si>
  <si>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</si>
  <si>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</si>
  <si>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</si>
  <si>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</si>
  <si>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</si>
  <si>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</si>
  <si>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</si>
  <si>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</si>
  <si>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</si>
  <si>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</si>
  <si>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</si>
  <si>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</si>
  <si>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</si>
  <si>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</si>
  <si>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</si>
  <si>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</si>
  <si>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</si>
  <si>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</si>
  <si>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</si>
  <si>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</si>
  <si>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</si>
  <si>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</si>
  <si>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</si>
  <si>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</si>
  <si>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</si>
  <si>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</si>
  <si>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</si>
  <si>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</si>
  <si>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</si>
  <si>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</si>
  <si>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</si>
  <si>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</si>
  <si>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</si>
  <si>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</si>
  <si>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</si>
  <si>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</si>
  <si>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</si>
  <si>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</si>
  <si>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</si>
  <si>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</si>
  <si>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</si>
  <si>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</si>
  <si>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</si>
  <si>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</si>
  <si>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</si>
  <si>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</si>
  <si>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</si>
  <si>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</si>
  <si>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</si>
  <si>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</si>
  <si>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</si>
  <si>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</si>
  <si>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</si>
  <si>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</si>
  <si>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</si>
  <si>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</si>
  <si>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</si>
  <si>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</si>
  <si>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</si>
  <si>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</si>
  <si>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</si>
  <si>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</si>
  <si>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</si>
  <si>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</si>
  <si>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</si>
  <si>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</si>
  <si>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</si>
  <si>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</si>
  <si>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</si>
  <si>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</si>
  <si>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</si>
  <si>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</si>
  <si>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</si>
  <si>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</si>
  <si>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</si>
  <si>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</si>
  <si>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</si>
  <si>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</si>
  <si>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</si>
  <si>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</si>
  <si>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</si>
  <si>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</si>
  <si>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</si>
  <si>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</si>
  <si>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</si>
  <si>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</si>
  <si>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</si>
  <si>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</si>
  <si>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</si>
  <si>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</si>
  <si>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</si>
  <si>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</si>
  <si>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</si>
  <si>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</si>
  <si>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</si>
  <si>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</si>
  <si>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</si>
  <si>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</si>
  <si>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</si>
  <si>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</si>
  <si>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</si>
  <si>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</si>
  <si>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</si>
  <si>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</si>
  <si>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</si>
  <si>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</si>
  <si>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</si>
  <si>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</si>
  <si>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</si>
  <si>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</si>
  <si>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</si>
  <si>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</si>
  <si>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</si>
  <si>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</si>
  <si>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</si>
  <si>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</si>
  <si>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</si>
  <si>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</si>
  <si>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</si>
  <si>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</si>
  <si>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</si>
  <si>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</si>
  <si>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</si>
  <si>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</si>
  <si>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</si>
  <si>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</si>
  <si>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</si>
  <si>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</si>
  <si>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</si>
  <si>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</si>
  <si>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</si>
  <si>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</si>
  <si>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</si>
  <si>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</si>
  <si>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</si>
  <si>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</si>
  <si>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</si>
  <si>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</si>
  <si>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</si>
  <si>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</si>
  <si>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</si>
  <si>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</si>
  <si>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</si>
  <si>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</si>
  <si>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</si>
  <si>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</si>
  <si>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</si>
  <si>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</si>
  <si>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</si>
  <si>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</si>
  <si>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</si>
  <si>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</si>
  <si>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</si>
  <si>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</si>
  <si>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</si>
  <si>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</si>
  <si>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</si>
  <si>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</si>
  <si>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</si>
  <si>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</si>
  <si>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</si>
  <si>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</si>
  <si>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</si>
  <si>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</si>
  <si>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</si>
  <si>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</si>
  <si>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</si>
  <si>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</si>
  <si>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</si>
  <si>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</si>
  <si>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</si>
  <si>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</si>
  <si>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</si>
  <si>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</si>
  <si>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</si>
  <si>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</si>
  <si>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</si>
  <si>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</si>
  <si>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</si>
  <si>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</si>
  <si>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</si>
  <si>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</si>
  <si>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</si>
  <si>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</si>
  <si>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</si>
  <si>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</si>
  <si>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</si>
  <si>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</si>
  <si>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</si>
  <si>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</si>
  <si>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</si>
  <si>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</si>
  <si>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</si>
  <si>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</si>
  <si>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</si>
  <si>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</si>
  <si>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</si>
  <si>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</si>
  <si>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</si>
  <si>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</si>
  <si>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</si>
  <si>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</si>
  <si>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</si>
  <si>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</si>
  <si>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</si>
  <si>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</si>
  <si>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</si>
  <si>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</si>
  <si>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</si>
  <si>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</si>
  <si>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</si>
  <si>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</si>
  <si>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</si>
  <si>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</si>
  <si>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</si>
  <si>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</si>
  <si>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</si>
  <si>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</si>
  <si>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</si>
  <si>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</si>
  <si>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</si>
  <si>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</si>
  <si>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</si>
  <si>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</si>
  <si>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</si>
  <si>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</si>
  <si>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</si>
  <si>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</si>
  <si>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</si>
  <si>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</si>
  <si>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</si>
  <si>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</si>
  <si>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</si>
  <si>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</si>
  <si>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</si>
  <si>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</si>
  <si>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</si>
  <si>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</si>
  <si>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</si>
  <si>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</si>
  <si>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</si>
  <si>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</si>
  <si>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</si>
  <si>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</si>
  <si>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</si>
  <si>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</si>
  <si>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</si>
  <si>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</si>
  <si>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</si>
  <si>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</si>
  <si>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</si>
  <si>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</si>
  <si>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</si>
  <si>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</si>
  <si>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</si>
  <si>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</si>
  <si>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</si>
  <si>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</si>
  <si>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</si>
  <si>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</si>
  <si>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</si>
  <si>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</si>
  <si>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</si>
  <si>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</si>
  <si>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</si>
  <si>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</si>
  <si>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</si>
  <si>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</si>
  <si>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</si>
  <si>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</si>
  <si>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</si>
  <si>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</si>
  <si>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</si>
  <si>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</si>
  <si>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</si>
  <si>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</si>
  <si>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</si>
  <si>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</si>
  <si>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</si>
  <si>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</si>
  <si>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</si>
  <si>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</si>
  <si>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</si>
  <si>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</si>
  <si>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</si>
  <si>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</si>
  <si>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</si>
  <si>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</si>
  <si>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</si>
  <si>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</si>
  <si>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</si>
  <si>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</si>
  <si>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</si>
  <si>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</si>
  <si>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</si>
  <si>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</si>
  <si>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</si>
  <si>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</si>
  <si>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</si>
  <si>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</si>
  <si>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</si>
  <si>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</si>
  <si>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</si>
  <si>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</si>
  <si>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</si>
  <si>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</si>
  <si>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</si>
  <si>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</si>
  <si>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</si>
  <si>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</si>
  <si>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</si>
  <si>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</si>
  <si>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</si>
  <si>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</si>
  <si>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</si>
  <si>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</si>
  <si>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</si>
  <si>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</si>
  <si>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</si>
  <si>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</si>
  <si>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</si>
  <si>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</si>
  <si>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</si>
  <si>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</si>
  <si>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</si>
  <si>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</si>
  <si>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</si>
  <si>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</si>
  <si>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</si>
  <si>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</si>
  <si>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</si>
  <si>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</si>
  <si>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</si>
  <si>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</si>
  <si>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</si>
  <si>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</si>
  <si>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</si>
  <si>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</si>
  <si>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</si>
  <si>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</si>
  <si>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</si>
  <si>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</si>
  <si>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</si>
  <si>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</si>
  <si>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</si>
  <si>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</si>
  <si>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</si>
  <si>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</si>
  <si>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</si>
  <si>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</si>
  <si>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</si>
  <si>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</si>
  <si>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</si>
  <si>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</si>
  <si>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</si>
  <si>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</si>
  <si>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</si>
  <si>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</si>
  <si>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</si>
  <si>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</si>
  <si>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</si>
  <si>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</si>
  <si>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</si>
  <si>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</si>
  <si>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</si>
  <si>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</si>
  <si>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</si>
  <si>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</si>
  <si>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</si>
  <si>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</si>
  <si>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</si>
  <si>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</si>
  <si>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</si>
  <si>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</si>
  <si>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</si>
  <si>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</si>
  <si>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</si>
  <si>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</si>
  <si>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</si>
  <si>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</si>
  <si>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</si>
  <si>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</si>
  <si>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</si>
  <si>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</si>
  <si>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</si>
  <si>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</si>
  <si>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</si>
  <si>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</si>
  <si>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</si>
  <si>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</si>
  <si>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</si>
  <si>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</si>
  <si>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</si>
  <si>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</si>
  <si>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</si>
  <si>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</si>
  <si>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</si>
  <si>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</si>
  <si>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</si>
  <si>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</si>
  <si>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</si>
  <si>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</si>
  <si>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</si>
  <si>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</si>
  <si>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</si>
  <si>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</si>
  <si>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</si>
  <si>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</si>
  <si>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</si>
  <si>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</si>
  <si>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</si>
  <si>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</si>
  <si>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</si>
  <si>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</si>
  <si>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</si>
  <si>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</si>
  <si>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</si>
  <si>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</si>
  <si>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</si>
  <si>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</si>
  <si>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</si>
  <si>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</si>
  <si>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</si>
  <si>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</si>
  <si>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</si>
  <si>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</si>
  <si>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</si>
  <si>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</si>
  <si>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</si>
  <si>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</si>
  <si>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</si>
  <si>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</si>
  <si>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</si>
  <si>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</si>
  <si>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</si>
  <si>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</si>
  <si>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</si>
  <si>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</si>
  <si>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</si>
  <si>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</si>
  <si>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</si>
  <si>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</si>
  <si>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</si>
  <si>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</si>
  <si>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</si>
  <si>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</si>
  <si>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</si>
  <si>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</si>
  <si>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</si>
  <si>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</si>
  <si>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</si>
  <si>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</si>
  <si>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</si>
  <si>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</si>
  <si>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</si>
  <si>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</si>
  <si>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</si>
  <si>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</si>
  <si>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</si>
  <si>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</si>
  <si>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</si>
  <si>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</si>
  <si>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</si>
  <si>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</si>
  <si>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</si>
  <si>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</si>
  <si>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</si>
  <si>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</si>
  <si>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</si>
  <si>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</si>
  <si>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</si>
  <si>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</si>
  <si>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</si>
  <si>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</si>
  <si>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</si>
  <si>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</si>
  <si>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</si>
  <si>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</si>
  <si>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</si>
  <si>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</si>
  <si>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</si>
  <si>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</si>
  <si>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</si>
  <si>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</si>
  <si>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</si>
  <si>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</si>
  <si>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</si>
  <si>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</si>
  <si>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</si>
  <si>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</si>
  <si>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</si>
  <si>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</si>
  <si>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</si>
  <si>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</si>
  <si>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</si>
  <si>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</si>
  <si>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</si>
  <si>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</si>
  <si>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</si>
  <si>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</si>
  <si>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</si>
  <si>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</si>
  <si>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</si>
  <si>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</si>
  <si>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</si>
  <si>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</si>
  <si>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</si>
  <si>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</si>
  <si>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</si>
  <si>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</si>
  <si>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</si>
  <si>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</si>
  <si>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</si>
  <si>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</si>
  <si>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</si>
  <si>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</si>
  <si>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</si>
  <si>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</si>
  <si>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</si>
  <si>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</si>
  <si>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</si>
  <si>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</si>
  <si>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</si>
  <si>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</si>
  <si>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</si>
  <si>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</si>
  <si>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</si>
  <si>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</si>
  <si>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</si>
  <si>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</si>
  <si>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</si>
  <si>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</si>
  <si>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</si>
  <si>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</si>
  <si>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</si>
  <si>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</si>
  <si>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</si>
  <si>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</si>
  <si>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</si>
  <si>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</si>
  <si>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</si>
  <si>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</si>
  <si>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</si>
  <si>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</si>
  <si>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</si>
  <si>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</si>
  <si>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</si>
  <si>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</si>
  <si>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</si>
  <si>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</si>
  <si>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</si>
  <si>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</si>
  <si>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</si>
  <si>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</si>
  <si>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</si>
  <si>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</si>
  <si>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</si>
  <si>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</si>
  <si>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</si>
  <si>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</si>
  <si>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</si>
  <si>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</si>
  <si>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</si>
  <si>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</si>
  <si>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</si>
  <si>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</si>
  <si>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</si>
  <si>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</si>
  <si>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</si>
  <si>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</si>
  <si>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</si>
  <si>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</si>
  <si>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</si>
  <si>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</si>
  <si>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</si>
  <si>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</si>
  <si>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</si>
  <si>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</si>
  <si>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</si>
  <si>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</si>
  <si>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</si>
  <si>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</si>
  <si>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</si>
  <si>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</si>
  <si>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</si>
  <si>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</si>
  <si>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</si>
  <si>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</si>
  <si>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</si>
  <si>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</si>
  <si>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</si>
  <si>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</si>
  <si>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</si>
  <si>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</si>
  <si>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</si>
  <si>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</si>
  <si>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</si>
  <si>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</si>
  <si>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</si>
  <si>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</si>
  <si>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</si>
  <si>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</si>
  <si>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</si>
  <si>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</si>
  <si>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</si>
  <si>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</si>
  <si>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</si>
  <si>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</si>
  <si>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</si>
  <si>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</si>
  <si>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</si>
  <si>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</si>
  <si>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</si>
  <si>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</si>
  <si>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</si>
  <si>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</si>
  <si>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</si>
  <si>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</si>
  <si>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</si>
  <si>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</si>
  <si>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</si>
  <si>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</si>
  <si>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</si>
  <si>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</si>
  <si>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</si>
  <si>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</si>
  <si>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</si>
  <si>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</si>
  <si>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</si>
  <si>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</si>
  <si>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</si>
  <si>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</si>
  <si>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</si>
  <si>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</si>
  <si>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</si>
  <si>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</si>
  <si>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</si>
  <si>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</si>
  <si>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</si>
  <si>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</si>
  <si>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</si>
  <si>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</si>
  <si>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</si>
  <si>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</si>
  <si>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</si>
  <si>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</si>
  <si>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</si>
  <si>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</si>
  <si>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</si>
  <si>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</si>
  <si>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</si>
  <si>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</si>
  <si>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</si>
  <si>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</si>
  <si>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</si>
  <si>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</si>
  <si>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</si>
  <si>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</si>
  <si>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</si>
  <si>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</si>
  <si>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</si>
  <si>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</si>
  <si>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</si>
  <si>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</si>
  <si>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</si>
  <si>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</si>
  <si>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</si>
  <si>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</si>
  <si>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</si>
  <si>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</si>
  <si>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</si>
  <si>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</si>
  <si>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</si>
  <si>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</si>
  <si>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</si>
  <si>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</si>
  <si>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</si>
  <si>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</si>
  <si>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</si>
  <si>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</si>
  <si>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</si>
  <si>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</si>
  <si>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</si>
  <si>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</si>
  <si>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</si>
  <si>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</si>
  <si>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</si>
  <si>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</si>
  <si>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</si>
  <si>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</si>
  <si>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</si>
  <si>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</si>
  <si>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</si>
  <si>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</si>
  <si>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</si>
  <si>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</si>
  <si>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</si>
  <si>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</si>
  <si>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</si>
  <si>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</si>
  <si>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</si>
  <si>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</si>
  <si>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</si>
  <si>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</si>
  <si>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</si>
  <si>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</si>
  <si>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</si>
  <si>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</si>
  <si>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</si>
  <si>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</si>
  <si>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</si>
  <si>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</si>
  <si>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</si>
  <si>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</si>
  <si>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</si>
  <si>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</si>
  <si>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</si>
  <si>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</si>
  <si>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</si>
  <si>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</si>
  <si>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</si>
  <si>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</si>
  <si>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</si>
  <si>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</si>
  <si>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</si>
  <si>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</si>
  <si>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</si>
  <si>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</si>
  <si>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</si>
  <si>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</si>
  <si>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</si>
  <si>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</si>
  <si>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</si>
  <si>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</si>
  <si>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</si>
  <si>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</si>
  <si>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</si>
  <si>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</si>
  <si>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</si>
  <si>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</si>
  <si>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</si>
  <si>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</si>
  <si>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</si>
  <si>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</si>
  <si>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</si>
  <si>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</si>
  <si>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</si>
  <si>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</si>
  <si>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</si>
  <si>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</si>
  <si>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</si>
  <si>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</si>
  <si>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</si>
  <si>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</si>
  <si>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</si>
  <si>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</si>
  <si>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</si>
  <si>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</si>
  <si>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</si>
  <si>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</si>
  <si>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</si>
  <si>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</si>
  <si>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</si>
  <si>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</si>
  <si>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</si>
  <si>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</si>
  <si>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</si>
  <si>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</si>
  <si>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</si>
  <si>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</si>
  <si>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</si>
  <si>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</si>
  <si>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</si>
  <si>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</si>
  <si>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</si>
  <si>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</si>
  <si>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</si>
  <si>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</si>
  <si>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</si>
  <si>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</si>
  <si>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</si>
  <si>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</si>
  <si>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</si>
  <si>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</si>
  <si>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</si>
  <si>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</si>
  <si>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</si>
  <si>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</si>
  <si>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</si>
  <si>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</si>
  <si>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</si>
  <si>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</si>
  <si>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</si>
  <si>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</si>
  <si>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</si>
  <si>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</si>
  <si>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</si>
  <si>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</si>
  <si>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</si>
  <si>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</si>
  <si>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</si>
  <si>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</si>
  <si>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</si>
  <si>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</si>
  <si>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</si>
  <si>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</si>
  <si>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</si>
  <si>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</si>
  <si>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</si>
  <si>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</si>
  <si>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</si>
  <si>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</si>
  <si>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</si>
  <si>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</si>
  <si>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</si>
  <si>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</si>
  <si>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</si>
  <si>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</si>
  <si>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</si>
  <si>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</si>
  <si>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</si>
  <si>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</si>
  <si>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</si>
  <si>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</si>
  <si>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</si>
  <si>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</si>
  <si>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</si>
  <si>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</si>
  <si>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</si>
  <si>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</si>
  <si>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</si>
  <si>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</si>
  <si>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</si>
  <si>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</si>
  <si>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</si>
  <si>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</si>
  <si>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</si>
  <si>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</si>
  <si>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</si>
  <si>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</si>
  <si>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</si>
  <si>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</si>
  <si>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</si>
  <si>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</si>
  <si>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</si>
  <si>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</si>
  <si>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</si>
  <si>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</si>
  <si>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</si>
  <si>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</si>
  <si>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</si>
  <si>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</si>
  <si>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</si>
  <si>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</si>
  <si>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</si>
  <si>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</si>
  <si>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</si>
  <si>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</si>
  <si>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</si>
  <si>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</si>
  <si>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</si>
  <si>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</si>
  <si>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</si>
  <si>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</si>
  <si>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</si>
  <si>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</si>
  <si>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</si>
  <si>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</si>
  <si>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</si>
  <si>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</si>
  <si>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</si>
  <si>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</si>
  <si>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</si>
  <si>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</si>
  <si>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</si>
  <si>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</si>
  <si>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</si>
  <si>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</si>
  <si>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</si>
  <si>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</si>
  <si>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</si>
  <si>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</si>
  <si>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</si>
  <si>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</si>
  <si>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</si>
  <si>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</si>
  <si>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</si>
  <si>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</si>
  <si>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</si>
  <si>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</si>
  <si>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</si>
  <si>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</si>
  <si>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</si>
  <si>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</si>
  <si>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</si>
  <si>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</si>
  <si>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</si>
  <si>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</si>
  <si>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</si>
  <si>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</si>
  <si>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</si>
  <si>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</si>
  <si>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</si>
  <si>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</si>
  <si>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</si>
  <si>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</si>
  <si>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</si>
  <si>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</si>
  <si>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</si>
  <si>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</si>
  <si>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</si>
  <si>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</si>
  <si>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</si>
  <si>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</si>
  <si>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</si>
  <si>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</si>
  <si>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</si>
  <si>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</si>
  <si>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</si>
  <si>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</si>
  <si>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</si>
  <si>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</si>
  <si>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</si>
  <si>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</si>
  <si>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</si>
  <si>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</si>
  <si>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</si>
  <si>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</si>
  <si>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</si>
  <si>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</si>
  <si>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</si>
  <si>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</si>
  <si>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</si>
  <si>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</si>
  <si>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</si>
  <si>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</si>
  <si>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</si>
  <si>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</si>
  <si>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</si>
  <si>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</si>
  <si>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</si>
  <si>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</si>
  <si>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</si>
  <si>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</si>
  <si>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</si>
  <si>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</si>
  <si>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</si>
  <si>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</si>
  <si>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</si>
  <si>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</si>
  <si>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</si>
  <si>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</si>
  <si>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</si>
  <si>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</si>
  <si>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</si>
  <si>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</si>
  <si>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</si>
  <si>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</si>
  <si>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</si>
  <si>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</si>
  <si>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</si>
  <si>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</si>
  <si>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</si>
  <si>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</si>
  <si>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</si>
  <si>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</si>
  <si>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</si>
  <si>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</si>
  <si>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</si>
  <si>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</si>
  <si>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</si>
  <si>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</si>
  <si>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</si>
  <si>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</si>
  <si>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</si>
  <si>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</si>
  <si>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</si>
  <si>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</si>
  <si>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</si>
  <si>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</si>
  <si>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</si>
  <si>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</si>
  <si>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</si>
  <si>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</si>
  <si>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</si>
  <si>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</si>
  <si>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</si>
  <si>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</si>
  <si>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</si>
  <si>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</si>
  <si>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</si>
  <si>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</si>
  <si>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</si>
  <si>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</si>
  <si>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</si>
  <si>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</si>
  <si>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</si>
  <si>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</si>
  <si>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</si>
  <si>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</si>
  <si>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</si>
  <si>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</si>
  <si>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</si>
  <si>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</si>
  <si>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</si>
  <si>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</si>
  <si>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</si>
  <si>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</si>
  <si>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</si>
  <si>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</si>
  <si>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</si>
  <si>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</si>
  <si>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</si>
  <si>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</si>
  <si>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</si>
  <si>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</si>
  <si>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</si>
  <si>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</si>
  <si>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</si>
  <si>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</si>
  <si>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</si>
  <si>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</si>
  <si>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</si>
  <si>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</si>
  <si>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</si>
  <si>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</si>
  <si>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</si>
  <si>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</si>
  <si>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</si>
  <si>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</si>
  <si>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</si>
  <si>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</si>
  <si>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</si>
  <si>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</si>
  <si>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</si>
  <si>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</si>
  <si>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</si>
  <si>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</si>
  <si>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</si>
  <si>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</si>
  <si>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</si>
  <si>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</si>
  <si>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</si>
  <si>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</si>
  <si>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</si>
  <si>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</si>
  <si>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</si>
  <si>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</si>
  <si>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</si>
  <si>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</si>
  <si>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</si>
  <si>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</si>
  <si>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</si>
  <si>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</si>
  <si>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</si>
  <si>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</si>
  <si>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</si>
  <si>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</si>
  <si>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</si>
  <si>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</si>
  <si>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</si>
  <si>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</si>
  <si>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</si>
  <si>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</si>
  <si>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</si>
  <si>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</si>
  <si>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</si>
  <si>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</si>
  <si>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</si>
  <si>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</si>
  <si>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</si>
  <si>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</si>
  <si>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</si>
  <si>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</si>
  <si>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</si>
  <si>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</si>
  <si>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</si>
  <si>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</si>
  <si>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</si>
  <si>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</si>
  <si>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</si>
  <si>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</si>
  <si>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</si>
  <si>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</si>
  <si>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</si>
  <si>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</si>
  <si>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</si>
  <si>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</si>
  <si>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</si>
  <si>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</si>
  <si>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</si>
  <si>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</si>
  <si>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</si>
  <si>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</si>
  <si>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</si>
  <si>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</si>
  <si>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</si>
  <si>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</si>
  <si>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</si>
  <si>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</si>
  <si>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</si>
  <si>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</si>
  <si>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</si>
  <si>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</si>
  <si>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</si>
  <si>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</si>
  <si>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</si>
  <si>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</si>
  <si>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</si>
  <si>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</si>
  <si>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</si>
  <si>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</si>
  <si>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</si>
  <si>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</si>
  <si>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</si>
  <si>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</si>
  <si>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</si>
  <si>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</si>
  <si>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</si>
  <si>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</si>
  <si>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</si>
  <si>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</si>
  <si>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</si>
  <si>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</si>
  <si>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</si>
  <si>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</si>
  <si>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</si>
  <si>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</si>
  <si>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</si>
  <si>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</si>
  <si>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</si>
  <si>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</si>
  <si>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</si>
  <si>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</si>
  <si>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</si>
  <si>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</si>
  <si>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</si>
  <si>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</si>
  <si>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</si>
  <si>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</si>
  <si>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</si>
  <si>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</si>
  <si>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</si>
  <si>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</si>
  <si>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</si>
  <si>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</si>
  <si>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</si>
  <si>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</si>
  <si>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</si>
  <si>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</si>
  <si>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</si>
  <si>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</si>
  <si>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</si>
  <si>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</si>
  <si>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</si>
  <si>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</si>
  <si>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</si>
  <si>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</si>
  <si>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</si>
  <si>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</si>
  <si>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</si>
  <si>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</si>
  <si>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</si>
  <si>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</si>
  <si>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</si>
  <si>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</si>
  <si>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</si>
  <si>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</si>
  <si>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</si>
  <si>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</si>
  <si>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</si>
  <si>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</si>
  <si>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</si>
  <si>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</si>
  <si>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</si>
  <si>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</si>
  <si>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</si>
  <si>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</si>
  <si>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</si>
  <si>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</si>
  <si>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</si>
  <si>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</si>
  <si>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</si>
  <si>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</si>
  <si>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</si>
  <si>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</si>
  <si>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</si>
  <si>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</si>
  <si>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</si>
  <si>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</si>
  <si>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</si>
  <si>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</si>
  <si>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</si>
  <si>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</si>
  <si>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</si>
  <si>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</si>
  <si>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</si>
  <si>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</si>
  <si>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</si>
  <si>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</si>
  <si>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</si>
  <si>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</si>
  <si>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</si>
  <si>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</si>
  <si>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</si>
  <si>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</si>
  <si>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</si>
  <si>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</si>
  <si>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</si>
  <si>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</si>
  <si>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</si>
  <si>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</si>
  <si>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</si>
  <si>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</si>
  <si>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</si>
  <si>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</si>
  <si>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</si>
  <si>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</si>
  <si>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</si>
  <si>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</si>
  <si>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</si>
  <si>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</si>
  <si>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</si>
  <si>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</si>
  <si>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</si>
  <si>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</si>
  <si>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</si>
  <si>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</si>
  <si>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</si>
  <si>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</si>
  <si>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</si>
  <si>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</si>
  <si>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</si>
  <si>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</si>
  <si>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</si>
  <si>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</si>
  <si>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</si>
  <si>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</si>
  <si>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</si>
  <si>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</si>
  <si>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</si>
  <si>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</si>
  <si>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</si>
  <si>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</si>
  <si>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</si>
  <si>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</si>
  <si>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</si>
  <si>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</si>
  <si>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</si>
  <si>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</si>
  <si>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</si>
  <si>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</si>
  <si>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</si>
  <si>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</si>
  <si>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</si>
  <si>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</si>
  <si>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</si>
  <si>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</si>
  <si>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</si>
  <si>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</si>
  <si>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</si>
  <si>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</si>
  <si>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</si>
  <si>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</si>
  <si>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</si>
  <si>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</si>
  <si>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</si>
  <si>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</si>
  <si>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</si>
  <si>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</si>
  <si>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</si>
  <si>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</si>
  <si>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</si>
  <si>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</si>
  <si>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</si>
  <si>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</si>
  <si>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</si>
  <si>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</si>
  <si>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</si>
  <si>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</si>
  <si>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</si>
  <si>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</si>
  <si>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</si>
  <si>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</si>
  <si>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</si>
  <si>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</si>
  <si>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</si>
  <si>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</si>
  <si>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</si>
  <si>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</si>
  <si>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</si>
  <si>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</si>
  <si>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</si>
  <si>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</si>
  <si>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</si>
  <si>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</si>
  <si>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</si>
  <si>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</si>
  <si>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</si>
  <si>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</si>
  <si>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</si>
  <si>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</si>
  <si>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</si>
  <si>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</si>
  <si>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</si>
  <si>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</si>
  <si>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</si>
  <si>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</si>
  <si>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</si>
  <si>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</si>
  <si>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</si>
  <si>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</si>
  <si>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</si>
  <si>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</si>
  <si>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</si>
  <si>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</si>
  <si>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</si>
  <si>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</si>
  <si>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</si>
  <si>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</si>
  <si>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</si>
  <si>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</si>
  <si>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</si>
  <si>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</si>
  <si>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</si>
  <si>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</si>
  <si>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</si>
  <si>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</si>
  <si>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</si>
  <si>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</si>
  <si>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</si>
  <si>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</si>
  <si>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</si>
  <si>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</si>
  <si>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</si>
  <si>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</si>
  <si>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</si>
  <si>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</si>
  <si>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</si>
  <si>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</si>
  <si>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</si>
  <si>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</si>
  <si>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</si>
  <si>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</si>
  <si>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</si>
  <si>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</si>
  <si>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</si>
  <si>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</si>
  <si>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</si>
  <si>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</si>
  <si>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</si>
  <si>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</si>
  <si>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</si>
  <si>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</si>
  <si>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</si>
  <si>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</si>
  <si>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</si>
  <si>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</si>
  <si>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</si>
  <si>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</si>
  <si>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</si>
  <si>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</si>
  <si>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</si>
  <si>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</si>
  <si>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</si>
  <si>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</si>
  <si>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</si>
  <si>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</si>
  <si>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</si>
  <si>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</si>
  <si>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</si>
  <si>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</si>
  <si>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</si>
  <si>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</si>
  <si>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</si>
  <si>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</si>
  <si>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</si>
  <si>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</si>
  <si>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</si>
  <si>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</si>
  <si>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</si>
  <si>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</si>
  <si>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</si>
  <si>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</si>
  <si>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</si>
  <si>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</si>
  <si>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</si>
  <si>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</si>
  <si>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</si>
  <si>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</si>
  <si>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</si>
  <si>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</si>
  <si>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</si>
  <si>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</si>
  <si>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</si>
  <si>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</si>
  <si>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</si>
  <si>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</si>
  <si>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</si>
  <si>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</si>
  <si>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</si>
  <si>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</si>
  <si>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</si>
  <si>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</si>
  <si>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</si>
  <si>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</si>
  <si>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</si>
  <si>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</si>
  <si>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</si>
  <si>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</si>
  <si>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</si>
  <si>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</si>
  <si>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</si>
  <si>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</si>
  <si>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</si>
  <si>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</si>
  <si>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</si>
  <si>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</si>
  <si>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</si>
  <si>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</si>
  <si>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</si>
  <si>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</si>
  <si>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</si>
  <si>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</si>
  <si>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</si>
  <si>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</si>
  <si>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</si>
  <si>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</si>
  <si>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</si>
  <si>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</si>
  <si>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</si>
  <si>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</si>
  <si>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</si>
  <si>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</si>
  <si>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</si>
  <si>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</si>
  <si>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</si>
  <si>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</si>
  <si>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</si>
  <si>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</si>
  <si>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</si>
  <si>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</si>
  <si>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</si>
  <si>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</si>
  <si>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</si>
  <si>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</si>
  <si>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</si>
  <si>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</si>
  <si>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</si>
  <si>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</si>
  <si>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</si>
  <si>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</si>
  <si>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</si>
  <si>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</si>
  <si>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</si>
  <si>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</si>
  <si>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</si>
  <si>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</si>
  <si>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</si>
  <si>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</si>
  <si>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</si>
  <si>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</si>
  <si>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</si>
  <si>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</si>
  <si>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</si>
  <si>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</si>
  <si>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</si>
  <si>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</si>
  <si>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</si>
  <si>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</si>
  <si>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</si>
  <si>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</si>
  <si>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</si>
  <si>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</si>
  <si>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</si>
  <si>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</si>
  <si>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</si>
  <si>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</si>
  <si>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</si>
  <si>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</si>
  <si>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</si>
  <si>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</si>
  <si>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</si>
  <si>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</si>
  <si>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</si>
  <si>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</si>
  <si>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</si>
  <si>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</si>
  <si>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</si>
  <si>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</si>
  <si>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</si>
  <si>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</si>
  <si>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</si>
  <si>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</si>
  <si>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</si>
  <si>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</si>
  <si>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</si>
  <si>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</si>
  <si>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</si>
  <si>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</si>
  <si>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</si>
  <si>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</si>
  <si>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</si>
  <si>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</si>
  <si>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</si>
  <si>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</si>
  <si>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</si>
  <si>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</si>
  <si>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</si>
  <si>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</si>
  <si>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</si>
  <si>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</si>
  <si>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</si>
  <si>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</si>
  <si>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</si>
  <si>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</si>
  <si>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</si>
  <si>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</si>
  <si>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</si>
  <si>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</si>
  <si>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</si>
  <si>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</si>
  <si>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</si>
  <si>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</si>
  <si>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</si>
  <si>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</si>
  <si>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</si>
  <si>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</si>
  <si>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</si>
  <si>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</si>
  <si>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</si>
  <si>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</si>
  <si>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</si>
  <si>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</si>
  <si>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</si>
  <si>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</si>
  <si>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</si>
  <si>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</si>
  <si>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</si>
  <si>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</si>
  <si>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</si>
  <si>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</si>
  <si>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</si>
  <si>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</si>
  <si>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</si>
  <si>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</si>
  <si>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</si>
  <si>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</si>
  <si>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</si>
  <si>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</si>
  <si>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</si>
  <si>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</si>
  <si>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</si>
  <si>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</si>
  <si>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</si>
  <si>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</si>
  <si>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</si>
  <si>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</si>
  <si>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</si>
  <si>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</si>
  <si>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</si>
  <si>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</si>
  <si>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</si>
  <si>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</si>
  <si>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</si>
  <si>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</si>
  <si>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</si>
  <si>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</si>
  <si>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</si>
  <si>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</si>
  <si>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</si>
  <si>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</si>
  <si>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</si>
  <si>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</si>
  <si>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</si>
  <si>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</si>
  <si>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</si>
  <si>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</si>
  <si>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</si>
  <si>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</si>
  <si>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</si>
  <si>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</si>
  <si>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</si>
  <si>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</si>
  <si>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</si>
  <si>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</si>
  <si>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</si>
  <si>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</si>
  <si>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</si>
  <si>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</si>
  <si>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</si>
  <si>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</si>
  <si>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</si>
  <si>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</si>
  <si>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</si>
  <si>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</si>
  <si>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</si>
  <si>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</si>
  <si>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</si>
  <si>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</si>
  <si>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</si>
  <si>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</si>
  <si>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</si>
  <si>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</si>
  <si>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</si>
  <si>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</si>
  <si>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</si>
  <si>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</si>
  <si>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</si>
  <si>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</si>
  <si>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</si>
  <si>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</si>
  <si>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</si>
  <si>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</si>
  <si>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</si>
  <si>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</si>
  <si>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</si>
  <si>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</si>
  <si>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</si>
  <si>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</si>
  <si>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</si>
  <si>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</si>
  <si>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</si>
  <si>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</si>
  <si>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</si>
  <si>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</si>
  <si>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</si>
  <si>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</si>
  <si>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</si>
  <si>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</si>
  <si>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</si>
  <si>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</si>
  <si>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</si>
  <si>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</si>
  <si>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</si>
  <si>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</si>
  <si>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</si>
  <si>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</si>
  <si>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</si>
  <si>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</si>
  <si>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</si>
  <si>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</si>
  <si>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</si>
  <si>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</si>
  <si>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</si>
  <si>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</si>
  <si>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</si>
  <si>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</si>
  <si>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</si>
  <si>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</si>
  <si>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</si>
  <si>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</si>
  <si>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</si>
  <si>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</si>
  <si>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</si>
  <si>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</si>
  <si>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</si>
  <si>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</si>
  <si>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</si>
  <si>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</si>
  <si>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</si>
  <si>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</si>
  <si>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</si>
  <si>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</si>
  <si>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</si>
  <si>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</si>
  <si>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</si>
  <si>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</si>
  <si>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</si>
  <si>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</si>
  <si>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</si>
  <si>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</si>
  <si>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</si>
  <si>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</si>
  <si>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</si>
  <si>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</si>
  <si>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</si>
  <si>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</si>
  <si>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</si>
  <si>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</si>
  <si>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</si>
  <si>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</si>
  <si>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</si>
  <si>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</si>
  <si>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</si>
  <si>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</si>
  <si>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</si>
  <si>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</si>
  <si>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</si>
  <si>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</si>
  <si>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</si>
  <si>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</si>
  <si>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</si>
  <si>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</si>
  <si>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</si>
  <si>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</si>
  <si>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</si>
  <si>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</si>
  <si>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</si>
  <si>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</si>
  <si>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</si>
  <si>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</si>
  <si>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</si>
  <si>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</si>
  <si>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</si>
  <si>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</si>
  <si>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</si>
  <si>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</si>
  <si>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</si>
  <si>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</si>
  <si>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</si>
  <si>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</si>
  <si>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</si>
  <si>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</si>
  <si>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</si>
  <si>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</si>
  <si>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</si>
  <si>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</si>
  <si>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</si>
  <si>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</si>
  <si>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</si>
  <si>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</si>
  <si>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</si>
  <si>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</si>
  <si>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</si>
  <si>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</si>
  <si>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</si>
  <si>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</si>
  <si>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</si>
  <si>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</si>
  <si>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</si>
  <si>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</si>
  <si>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</si>
  <si>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</si>
  <si>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</si>
  <si>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</si>
  <si>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</si>
  <si>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</si>
  <si>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</si>
  <si>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</si>
  <si>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</si>
  <si>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</si>
  <si>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</si>
  <si>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</si>
  <si>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</si>
  <si>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</si>
  <si>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</si>
  <si>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</si>
  <si>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</si>
  <si>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</si>
  <si>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</si>
  <si>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</si>
  <si>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</si>
  <si>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</si>
  <si>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</si>
  <si>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</si>
  <si>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</si>
  <si>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</si>
  <si>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</si>
  <si>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</si>
  <si>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</si>
  <si>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</si>
  <si>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</si>
  <si>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</si>
  <si>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</si>
  <si>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</si>
  <si>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</si>
  <si>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</si>
  <si>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</si>
  <si>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</si>
  <si>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</si>
  <si>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</si>
  <si>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</si>
  <si>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</si>
  <si>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</si>
  <si>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</si>
  <si>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</si>
  <si>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</si>
  <si>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</si>
  <si>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</si>
  <si>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</si>
  <si>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</si>
  <si>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</si>
  <si>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</si>
  <si>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</si>
  <si>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</si>
  <si>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</si>
  <si>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</si>
  <si>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</si>
  <si>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</si>
  <si>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</si>
  <si>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</si>
  <si>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</si>
  <si>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</si>
  <si>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</si>
  <si>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</si>
  <si>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</si>
  <si>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</si>
  <si>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</si>
  <si>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</si>
  <si>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</si>
  <si>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</si>
  <si>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</si>
  <si>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</si>
  <si>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</si>
  <si>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</si>
  <si>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</si>
  <si>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</si>
  <si>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</si>
  <si>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</si>
  <si>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</si>
  <si>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</si>
  <si>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</si>
  <si>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</si>
  <si>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</si>
  <si>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</si>
  <si>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</si>
  <si>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</si>
  <si>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</si>
  <si>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</si>
  <si>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</si>
  <si>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</si>
  <si>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</si>
  <si>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</si>
  <si>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</si>
  <si>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</si>
  <si>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</si>
  <si>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</si>
  <si>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</si>
  <si>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</si>
  <si>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</si>
  <si>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</si>
  <si>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</si>
  <si>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</si>
  <si>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</si>
  <si>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</si>
  <si>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</si>
  <si>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</si>
  <si>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</si>
  <si>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</si>
  <si>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</si>
  <si>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</si>
  <si>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</si>
  <si>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</si>
  <si>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</si>
  <si>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</si>
  <si>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</si>
  <si>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</si>
  <si>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</si>
  <si>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</si>
  <si>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</si>
  <si>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</si>
  <si>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</si>
  <si>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</si>
  <si>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</si>
  <si>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</si>
  <si>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</si>
  <si>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</si>
  <si>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</si>
  <si>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</si>
  <si>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</si>
  <si>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</si>
  <si>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</si>
  <si>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</si>
  <si>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</si>
  <si>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</si>
  <si>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</si>
  <si>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</si>
  <si>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</si>
  <si>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</si>
  <si>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</si>
  <si>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</si>
  <si>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</si>
  <si>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</si>
  <si>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</si>
  <si>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</si>
  <si>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</si>
  <si>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</si>
  <si>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</si>
  <si>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</si>
  <si>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</si>
  <si>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</si>
  <si>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</si>
  <si>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</si>
  <si>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</si>
  <si>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</si>
  <si>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</si>
  <si>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</si>
  <si>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</si>
  <si>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</si>
  <si>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</si>
  <si>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</si>
  <si>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</si>
  <si>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</si>
  <si>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</si>
  <si>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</si>
  <si>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</si>
  <si>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</si>
  <si>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</si>
  <si>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</si>
  <si>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</si>
  <si>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</si>
  <si>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</si>
  <si>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</si>
  <si>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</si>
  <si>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</si>
  <si>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</si>
  <si>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</si>
  <si>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</si>
  <si>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</si>
  <si>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</si>
  <si>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</si>
  <si>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</si>
  <si>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</si>
  <si>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</si>
  <si>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</si>
  <si>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</si>
  <si>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</si>
  <si>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</si>
  <si>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</si>
  <si>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</si>
  <si>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</si>
  <si>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</si>
  <si>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</si>
  <si>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</si>
  <si>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</si>
  <si>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</si>
  <si>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</si>
  <si>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</si>
  <si>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</si>
  <si>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</si>
  <si>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</si>
  <si>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</si>
  <si>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</si>
  <si>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</si>
  <si>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</si>
  <si>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</si>
  <si>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</si>
  <si>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</si>
  <si>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</si>
  <si>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</si>
  <si>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</si>
  <si>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</si>
  <si>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</si>
  <si>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</si>
  <si>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</si>
  <si>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</si>
  <si>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</si>
  <si>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</si>
  <si>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</si>
  <si>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</si>
  <si>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</si>
  <si>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</si>
  <si>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</si>
  <si>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</si>
  <si>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</si>
  <si>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</si>
  <si>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</si>
  <si>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</si>
  <si>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</si>
  <si>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</si>
  <si>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</si>
  <si>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</si>
  <si>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</si>
  <si>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</si>
  <si>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</si>
  <si>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</si>
  <si>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</si>
  <si>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</si>
  <si>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</si>
  <si>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</si>
  <si>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</si>
  <si>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</si>
  <si>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</si>
  <si>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</si>
  <si>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</si>
  <si>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</si>
  <si>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</si>
  <si>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</si>
  <si>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</si>
  <si>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</si>
  <si>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</si>
  <si>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</si>
  <si>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</si>
  <si>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</si>
  <si>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</si>
  <si>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</si>
  <si>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</si>
  <si>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</si>
  <si>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</si>
  <si>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</si>
  <si>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</si>
  <si>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</si>
  <si>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</si>
  <si>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</si>
  <si>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</si>
  <si>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</si>
  <si>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</si>
  <si>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</si>
  <si>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</si>
  <si>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</si>
  <si>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</si>
  <si>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</si>
  <si>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</si>
  <si>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</si>
  <si>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</si>
  <si>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</si>
  <si>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</si>
  <si>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</si>
  <si>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</si>
  <si>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</si>
  <si>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</si>
  <si>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</si>
  <si>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</si>
  <si>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</si>
  <si>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</si>
  <si>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</si>
  <si>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</si>
  <si>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</si>
  <si>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</si>
  <si>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</si>
  <si>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</si>
  <si>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</si>
  <si>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</si>
  <si>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</si>
  <si>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</si>
  <si>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</si>
  <si>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</si>
  <si>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</si>
  <si>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</si>
  <si>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</si>
  <si>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</si>
  <si>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</si>
  <si>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</si>
  <si>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</si>
  <si>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</si>
  <si>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</si>
  <si>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</si>
  <si>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</si>
  <si>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</si>
  <si>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</si>
  <si>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</si>
  <si>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</si>
  <si>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</si>
  <si>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</si>
  <si>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</si>
  <si>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</si>
  <si>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</si>
  <si>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</si>
  <si>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</si>
  <si>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</si>
  <si>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</si>
  <si>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</si>
  <si>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</si>
  <si>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</si>
  <si>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</si>
  <si>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</si>
  <si>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</si>
  <si>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</si>
  <si>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</si>
  <si>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</si>
  <si>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</si>
  <si>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</si>
  <si>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</si>
  <si>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</si>
  <si>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</si>
  <si>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</si>
  <si>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</si>
  <si>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</si>
  <si>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</si>
  <si>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</si>
  <si>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</si>
  <si>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</si>
  <si>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</si>
  <si>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</si>
  <si>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</si>
  <si>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</si>
  <si>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</si>
  <si>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</si>
  <si>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</si>
  <si>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</si>
  <si>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</si>
  <si>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</si>
  <si>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</si>
  <si>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</si>
  <si>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</si>
  <si>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</si>
  <si>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</si>
  <si>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</si>
  <si>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</si>
  <si>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</si>
  <si>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</si>
  <si>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</si>
  <si>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</si>
  <si>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</si>
  <si>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</si>
  <si>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</si>
  <si>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</si>
  <si>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</si>
  <si>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</si>
  <si>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</si>
  <si>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</si>
  <si>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</si>
  <si>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</si>
  <si>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</si>
  <si>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</si>
  <si>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</si>
  <si>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</si>
  <si>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</si>
  <si>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</si>
  <si>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</si>
  <si>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</si>
  <si>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</si>
  <si>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</si>
  <si>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</si>
  <si>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</si>
  <si>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</si>
  <si>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</si>
  <si>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</si>
  <si>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</si>
  <si>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</si>
  <si>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</si>
  <si>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</si>
  <si>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</si>
  <si>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</si>
  <si>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</si>
  <si>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</si>
  <si>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</si>
  <si>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</si>
  <si>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</si>
  <si>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</si>
  <si>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</si>
  <si>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</si>
  <si>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</si>
  <si>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</si>
  <si>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</si>
  <si>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</si>
  <si>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</si>
  <si>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</si>
  <si>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</si>
  <si>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</si>
  <si>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</si>
  <si>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</si>
  <si>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</si>
  <si>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</si>
  <si>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</si>
  <si>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</si>
  <si>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</si>
  <si>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</si>
  <si>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</si>
  <si>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</si>
  <si>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</si>
  <si>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</si>
  <si>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</si>
  <si>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</si>
  <si>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</si>
  <si>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</si>
  <si>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</si>
  <si>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</si>
  <si>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</si>
  <si>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</si>
  <si>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</si>
  <si>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</si>
  <si>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</si>
  <si>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</si>
  <si>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</si>
  <si>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</si>
  <si>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</si>
  <si>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</si>
  <si>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</si>
  <si>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</si>
  <si>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</si>
  <si>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</si>
  <si>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</si>
  <si>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</si>
  <si>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</si>
  <si>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</si>
  <si>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</si>
  <si>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</si>
  <si>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</si>
  <si>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</si>
  <si>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</si>
  <si>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</si>
  <si>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</si>
  <si>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</si>
  <si>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</si>
  <si>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</si>
  <si>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</si>
  <si>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</si>
  <si>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</si>
  <si>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</si>
  <si>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</si>
  <si>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</si>
  <si>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</si>
  <si>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</si>
  <si>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</si>
  <si>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</si>
  <si>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</si>
  <si>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</si>
  <si>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</si>
  <si>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</si>
  <si>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</si>
  <si>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</si>
  <si>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</si>
  <si>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</si>
  <si>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</si>
  <si>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</si>
  <si>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</si>
  <si>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</si>
  <si>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</si>
  <si>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</si>
  <si>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</si>
  <si>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</si>
  <si>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</si>
  <si>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</si>
  <si>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</si>
  <si>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</si>
  <si>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</si>
  <si>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</si>
  <si>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</si>
  <si>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</si>
  <si>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</si>
  <si>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</si>
  <si>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</si>
  <si>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</si>
  <si>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</si>
  <si>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</si>
  <si>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</si>
  <si>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</si>
  <si>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</si>
  <si>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</si>
  <si>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</si>
  <si>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</si>
  <si>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</si>
  <si>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</si>
  <si>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</si>
  <si>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</si>
  <si>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</si>
  <si>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</si>
  <si>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</si>
  <si>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</si>
  <si>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</si>
  <si>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</si>
  <si>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</si>
  <si>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</si>
  <si>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</si>
  <si>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</si>
  <si>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</si>
  <si>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</si>
  <si>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</si>
  <si>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</si>
  <si>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</si>
  <si>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</si>
  <si>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</si>
  <si>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</si>
  <si>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</si>
  <si>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</si>
  <si>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</si>
  <si>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</si>
  <si>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</si>
  <si>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</si>
  <si>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</si>
  <si>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</si>
  <si>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</si>
  <si>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</si>
  <si>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</si>
  <si>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</si>
  <si>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</si>
  <si>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</si>
  <si>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</si>
  <si>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</si>
  <si>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</si>
  <si>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</si>
  <si>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</si>
  <si>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</si>
  <si>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</si>
  <si>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</si>
  <si>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</si>
  <si>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</si>
  <si>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</si>
  <si>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</si>
  <si>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</si>
  <si>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</si>
  <si>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</si>
  <si>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</si>
  <si>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</si>
  <si>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</si>
  <si>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</si>
  <si>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</si>
  <si>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</si>
  <si>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</si>
  <si>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</si>
  <si>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</si>
  <si>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</si>
  <si>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</si>
  <si>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</si>
  <si>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</si>
  <si>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</si>
  <si>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</si>
  <si>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</si>
  <si>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</si>
  <si>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</si>
  <si>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</si>
  <si>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</si>
  <si>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</si>
  <si>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</si>
  <si>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</si>
  <si>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</si>
  <si>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</si>
  <si>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</si>
  <si>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</si>
  <si>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</si>
  <si>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</si>
  <si>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</si>
  <si>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</si>
  <si>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</si>
  <si>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</si>
  <si>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</si>
  <si>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</si>
  <si>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</si>
  <si>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</si>
  <si>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</si>
  <si>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</si>
  <si>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</si>
  <si>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</si>
  <si>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</si>
  <si>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</si>
  <si>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</si>
  <si>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</si>
  <si>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</si>
  <si>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</si>
  <si>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</si>
  <si>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</si>
  <si>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</si>
  <si>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</si>
  <si>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</si>
  <si>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</si>
  <si>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</si>
  <si>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</si>
  <si>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</si>
  <si>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</si>
  <si>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</si>
  <si>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</si>
  <si>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</si>
  <si>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</si>
  <si>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</si>
  <si>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</si>
  <si>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</si>
  <si>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</si>
  <si>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</si>
  <si>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</si>
  <si>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</si>
  <si>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</si>
  <si>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</si>
  <si>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</si>
  <si>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</si>
  <si>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</si>
  <si>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</si>
  <si>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734308</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</si>
  <si>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</si>
  <si>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</si>
  <si>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</si>
  <si>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</si>
  <si>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</si>
  <si>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</si>
  <si>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</si>
  <si>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</si>
  <si>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</si>
  <si>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</si>
  <si>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</si>
  <si>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</si>
  <si>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</si>
  <si>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</si>
  <si>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</si>
  <si>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</si>
  <si>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</si>
  <si>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</si>
  <si>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</si>
  <si>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</si>
  <si>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</si>
  <si>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</si>
  <si>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</si>
  <si>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</si>
  <si>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</si>
  <si>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</si>
  <si>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</si>
  <si>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</si>
  <si>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</si>
  <si>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</si>
  <si>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</si>
  <si>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</si>
  <si>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</si>
  <si>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</si>
  <si>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</si>
  <si>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</si>
  <si>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</si>
  <si>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</si>
  <si>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</si>
  <si>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</si>
  <si>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732970</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</si>
  <si>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</si>
  <si>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</si>
  <si>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</si>
  <si>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</si>
  <si>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</si>
  <si>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</si>
  <si>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</si>
  <si>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</si>
  <si>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</si>
  <si>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</si>
  <si>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</si>
  <si>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</si>
  <si>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</si>
  <si>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</si>
  <si>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</si>
  <si>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</si>
  <si>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</si>
  <si>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</si>
  <si>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</si>
  <si>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</si>
  <si>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</si>
  <si>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</si>
  <si>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</si>
  <si>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</si>
  <si>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</si>
  <si>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</si>
  <si>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</si>
  <si>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</si>
  <si>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</si>
  <si>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</si>
  <si>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</si>
  <si>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</si>
  <si>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</si>
  <si>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</si>
  <si>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</si>
  <si>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</si>
  <si>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</si>
  <si>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</si>
  <si>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</si>
  <si>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</si>
  <si>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</si>
  <si>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</si>
  <si>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</si>
  <si>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</si>
  <si>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</si>
  <si>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</si>
  <si>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</si>
  <si>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736083</t>
  </si>
  <si>
    <t>728440</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</si>
  <si>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</si>
  <si>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</si>
  <si>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</si>
  <si>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</si>
  <si>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</si>
  <si>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</si>
  <si>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</si>
  <si>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</si>
  <si>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</si>
  <si>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</si>
  <si>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</si>
  <si>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</si>
  <si>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</si>
  <si>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</si>
  <si>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</si>
  <si>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</si>
  <si>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</si>
  <si>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</si>
  <si>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</si>
  <si>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729048</t>
  </si>
  <si>
    <t>Checking</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</si>
  <si>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</si>
  <si>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</si>
  <si>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</si>
  <si>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</si>
  <si>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</si>
  <si>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</si>
  <si>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</si>
  <si>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</si>
  <si>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</si>
  <si>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</si>
  <si>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</si>
  <si>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</si>
  <si>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</si>
  <si>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</si>
  <si>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</si>
  <si>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</si>
  <si>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</si>
  <si>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</si>
  <si>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</si>
  <si>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</si>
  <si>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</si>
  <si>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</si>
  <si>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725200</t>
  </si>
  <si>
    <t>ExxonMobil - ENL</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</si>
  <si>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</si>
  <si>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</si>
  <si>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</si>
  <si>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</si>
  <si>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</si>
  <si>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</si>
  <si>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</si>
  <si>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</si>
  <si>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</si>
  <si>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</si>
  <si>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</si>
  <si>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</si>
  <si>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</si>
  <si>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</si>
  <si>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</si>
  <si>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</si>
  <si>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</si>
  <si>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</si>
  <si>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</si>
  <si>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</si>
  <si>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</si>
  <si>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</si>
  <si>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</si>
  <si>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</si>
  <si>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</si>
  <si>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28:</t>
  </si>
  <si>
    <t>20:  splt=N/A</t>
  </si>
  <si>
    <t>18:</t>
  </si>
  <si>
    <t>PMT</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</si>
  <si>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</si>
  <si>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</si>
  <si>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</si>
  <si>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</si>
  <si>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</si>
  <si>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</si>
  <si>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</si>
  <si>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</si>
  <si>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</si>
  <si>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</si>
  <si>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</si>
  <si>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</si>
  <si>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</si>
  <si>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</si>
  <si>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</si>
  <si>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</si>
  <si>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737804</t>
  </si>
  <si>
    <t>737859</t>
  </si>
  <si>
    <t>703289</t>
  </si>
  <si>
    <t>634112</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</si>
  <si>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</si>
  <si>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</si>
  <si>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</si>
  <si>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</si>
  <si>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</si>
  <si>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</si>
  <si>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</si>
  <si>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</si>
  <si>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</si>
  <si>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</si>
  <si>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</si>
  <si>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</si>
  <si>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</si>
  <si>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</si>
  <si>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</si>
  <si>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</si>
  <si>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</si>
  <si>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</si>
  <si>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</si>
  <si>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</si>
  <si>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</si>
  <si>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</si>
  <si>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</si>
  <si>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</si>
  <si>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</si>
  <si>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</si>
  <si>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</si>
  <si>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</si>
  <si>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</si>
  <si>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</si>
  <si>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</si>
  <si>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</si>
  <si>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741011</t>
  </si>
  <si>
    <t>PN 102113356  - Need pertinent documents created with PN 102113356 released to production by Friday. (12/19/11)   We have part coming in next week and can not goods receipt with out release of part number.</t>
  </si>
  <si>
    <t>746558</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</si>
  <si>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</si>
  <si>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</si>
  <si>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</si>
  <si>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</si>
  <si>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</si>
  <si>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</si>
  <si>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</si>
  <si>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</si>
  <si>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</si>
  <si>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</si>
  <si>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</si>
  <si>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</si>
  <si>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</si>
  <si>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</si>
  <si>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</si>
  <si>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</si>
  <si>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</si>
  <si>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</si>
  <si>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</si>
  <si>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</si>
  <si>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</si>
  <si>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</si>
  <si>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</si>
  <si>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</si>
  <si>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</si>
  <si>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</si>
  <si>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</si>
  <si>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</si>
  <si>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</si>
  <si>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</si>
  <si>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</si>
  <si>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</si>
  <si>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</si>
  <si>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</si>
  <si>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</si>
  <si>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</si>
  <si>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</si>
  <si>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</si>
  <si>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</si>
  <si>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</si>
  <si>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744468</t>
  </si>
  <si>
    <t>CORRECT PAGE NUMBERING FOR ES-A-540.</t>
  </si>
  <si>
    <t>744765</t>
  </si>
  <si>
    <t>744460</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</si>
  <si>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</si>
  <si>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</si>
  <si>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</si>
  <si>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</si>
  <si>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</si>
  <si>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</si>
  <si>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</si>
  <si>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</si>
  <si>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</si>
  <si>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</si>
  <si>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</si>
  <si>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</si>
  <si>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</si>
  <si>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</si>
  <si>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</si>
  <si>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</si>
  <si>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</si>
  <si>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</si>
  <si>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</si>
  <si>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</si>
  <si>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</si>
  <si>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</si>
  <si>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</si>
  <si>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</si>
  <si>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</si>
  <si>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</si>
  <si>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</si>
  <si>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</si>
  <si>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</si>
  <si>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</si>
  <si>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</si>
  <si>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</si>
  <si>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</si>
  <si>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</si>
  <si>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</si>
  <si>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</si>
  <si>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</si>
  <si>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</si>
  <si>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</si>
  <si>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</si>
  <si>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</si>
  <si>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</si>
  <si>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</si>
  <si>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</si>
  <si>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</si>
  <si>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</si>
  <si>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</si>
  <si>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</si>
  <si>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</si>
  <si>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</si>
  <si>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</si>
  <si>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</si>
  <si>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</si>
  <si>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</si>
  <si>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</si>
  <si>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</si>
  <si>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</si>
  <si>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</si>
  <si>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</si>
  <si>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</si>
  <si>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</si>
  <si>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</si>
  <si>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</si>
  <si>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</si>
  <si>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</si>
  <si>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</si>
  <si>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</si>
  <si>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</si>
  <si>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</si>
  <si>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</si>
  <si>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</si>
  <si>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</si>
  <si>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</si>
  <si>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</si>
  <si>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</si>
  <si>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</si>
  <si>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</si>
  <si>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</si>
  <si>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</si>
  <si>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</si>
  <si>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</si>
  <si>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</si>
  <si>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</si>
  <si>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</si>
  <si>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</si>
  <si>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</si>
  <si>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</si>
  <si>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</si>
  <si>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</si>
  <si>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</si>
  <si>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</si>
  <si>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</si>
  <si>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</si>
  <si>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</si>
  <si>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</si>
  <si>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</si>
  <si>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</si>
  <si>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</si>
  <si>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</si>
  <si>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</si>
  <si>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</si>
  <si>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</si>
  <si>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</si>
  <si>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</si>
  <si>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</si>
  <si>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</si>
  <si>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</si>
  <si>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</si>
  <si>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</si>
  <si>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</si>
  <si>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</si>
  <si>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</si>
  <si>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</si>
  <si>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</si>
  <si>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</si>
  <si>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</si>
  <si>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</si>
  <si>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</si>
  <si>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</si>
  <si>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</si>
  <si>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</si>
  <si>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</si>
  <si>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</si>
  <si>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</si>
  <si>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</si>
  <si>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</si>
  <si>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</si>
  <si>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</si>
  <si>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</si>
  <si>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</si>
  <si>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</si>
  <si>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</si>
  <si>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</si>
  <si>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</si>
  <si>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</si>
  <si>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</si>
  <si>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</si>
  <si>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</si>
  <si>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</si>
  <si>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</si>
  <si>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</si>
  <si>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</si>
  <si>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</si>
  <si>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</si>
  <si>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</si>
  <si>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</si>
  <si>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</si>
  <si>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</si>
  <si>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</si>
  <si>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Kasey Boutte</t>
  </si>
  <si>
    <t>Abdallah A. Abdulhalim</t>
  </si>
  <si>
    <t>Rhalina Duguid</t>
  </si>
  <si>
    <t>Elward Gardner</t>
  </si>
  <si>
    <t>Blake Arabie</t>
  </si>
  <si>
    <t>Joe Requestor</t>
  </si>
  <si>
    <t>Fabio Cervini</t>
  </si>
  <si>
    <t>Simon White</t>
  </si>
  <si>
    <t>Paul Terry</t>
  </si>
  <si>
    <t>Brian Stolz</t>
  </si>
  <si>
    <t>Basheer Al-Felfel</t>
  </si>
  <si>
    <t>Jerry Hutsen</t>
  </si>
  <si>
    <t>Rob Pounds</t>
  </si>
  <si>
    <t>Nassim Mesaoudi</t>
  </si>
  <si>
    <t>Cesar Ricardo Marin1</t>
  </si>
  <si>
    <t>Bryan Norrie</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</si>
  <si>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</si>
  <si>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</si>
  <si>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</si>
  <si>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</si>
  <si>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David.Mills@welldynamics.com</t>
  </si>
  <si>
    <t>kasey.boutte@halliburton.com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</si>
  <si>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</si>
  <si>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</si>
  <si>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</si>
  <si>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</si>
  <si>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</si>
  <si>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</si>
  <si>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</si>
  <si>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</si>
  <si>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</si>
  <si>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</si>
  <si>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</si>
  <si>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</si>
  <si>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</si>
  <si>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</si>
  <si>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</si>
  <si>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</si>
  <si>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</si>
  <si>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</si>
  <si>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</si>
  <si>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</si>
  <si>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</si>
  <si>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</si>
  <si>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</si>
  <si>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</si>
  <si>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</si>
  <si>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</si>
  <si>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</si>
  <si>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</si>
  <si>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</si>
  <si>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</si>
  <si>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</si>
  <si>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</si>
  <si>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</si>
  <si>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</si>
  <si>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</si>
  <si>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</si>
  <si>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</si>
  <si>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</si>
  <si>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</si>
  <si>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</si>
  <si>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</si>
  <si>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</si>
  <si>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</si>
  <si>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</si>
  <si>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</si>
  <si>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</si>
  <si>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</si>
  <si>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</si>
  <si>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</si>
  <si>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</si>
  <si>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</si>
  <si>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</si>
  <si>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</si>
  <si>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</si>
  <si>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</si>
  <si>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</si>
  <si>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</si>
  <si>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</si>
  <si>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</si>
  <si>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</si>
  <si>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</si>
  <si>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</si>
  <si>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</si>
  <si>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</si>
  <si>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</si>
  <si>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</si>
  <si>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</si>
  <si>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</si>
  <si>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</si>
  <si>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</si>
  <si>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</si>
  <si>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</si>
  <si>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</si>
  <si>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</si>
  <si>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</si>
  <si>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</si>
  <si>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</si>
  <si>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</si>
  <si>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</si>
  <si>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</si>
  <si>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</si>
  <si>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</si>
  <si>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</si>
  <si>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</si>
  <si>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</si>
  <si>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</si>
  <si>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</si>
  <si>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</si>
  <si>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</si>
  <si>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</si>
  <si>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</si>
  <si>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</si>
  <si>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</si>
  <si>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</si>
  <si>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</si>
  <si>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</si>
  <si>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</si>
  <si>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</si>
  <si>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</si>
  <si>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</si>
  <si>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</si>
  <si>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</si>
  <si>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</si>
  <si>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</si>
  <si>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</si>
  <si>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</si>
  <si>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</si>
  <si>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</si>
  <si>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</si>
  <si>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</si>
  <si>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</si>
  <si>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</si>
  <si>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</si>
  <si>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</si>
  <si>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</si>
  <si>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</si>
  <si>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</si>
  <si>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</si>
  <si>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</si>
  <si>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</si>
  <si>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</si>
  <si>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</si>
  <si>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</si>
  <si>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</si>
  <si>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</si>
  <si>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</si>
  <si>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</si>
  <si>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</si>
  <si>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</si>
  <si>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</si>
  <si>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</si>
  <si>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</si>
  <si>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</si>
  <si>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</si>
  <si>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</si>
  <si>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</si>
  <si>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</si>
  <si>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</si>
  <si>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</si>
  <si>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</si>
  <si>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</si>
  <si>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</si>
  <si>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</si>
  <si>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</si>
  <si>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</si>
  <si>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</si>
  <si>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</si>
  <si>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</si>
  <si>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</si>
  <si>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</si>
  <si>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</si>
  <si>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</si>
  <si>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</si>
  <si>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</si>
  <si>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</si>
  <si>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</si>
  <si>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</si>
  <si>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</si>
  <si>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</si>
  <si>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</si>
  <si>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</si>
  <si>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</si>
  <si>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</si>
  <si>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</si>
  <si>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</si>
  <si>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</si>
  <si>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</si>
  <si>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</si>
  <si>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</si>
  <si>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</si>
  <si>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</si>
  <si>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Jameel.Rahman@welldynamics.com</t>
  </si>
  <si>
    <t>MAYRA.HADLEY@HALLIBURTON.COM</t>
  </si>
  <si>
    <t>Dyane.Henson@welldynamics.com</t>
  </si>
  <si>
    <t>Michel.LeBlanc@halliburton.com</t>
  </si>
  <si>
    <t>Gloria.Macias@halliburton.com</t>
  </si>
  <si>
    <t>craig.yeates@halliburton.com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</si>
  <si>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</si>
  <si>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</si>
  <si>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</si>
  <si>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</si>
  <si>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</si>
  <si>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</si>
  <si>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</si>
  <si>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</si>
  <si>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</si>
  <si>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</si>
  <si>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</si>
  <si>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</si>
  <si>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</si>
  <si>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</si>
  <si>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</si>
  <si>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</si>
  <si>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</si>
  <si>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</si>
  <si>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</si>
  <si>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</si>
  <si>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</si>
  <si>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</si>
  <si>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</si>
  <si>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</si>
  <si>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</si>
  <si>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</si>
  <si>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</si>
  <si>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</si>
  <si>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</si>
  <si>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</si>
  <si>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</si>
  <si>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</si>
  <si>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</si>
  <si>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</si>
  <si>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</si>
  <si>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</si>
  <si>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</si>
  <si>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</si>
  <si>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</si>
  <si>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</si>
  <si>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</si>
  <si>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</si>
  <si>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</si>
  <si>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</si>
  <si>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</si>
  <si>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</si>
  <si>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Kieth.wee@hallilburton.com</t>
  </si>
  <si>
    <t>Waqar.ahmed@halliburton.com</t>
  </si>
  <si>
    <t>Cole.Grandjean@halliburton.com</t>
  </si>
  <si>
    <t>Doug.finley@halliburton.com</t>
  </si>
  <si>
    <t>Kelechi.ezennaya@halliburton.com</t>
  </si>
  <si>
    <t>Theodore Soules</t>
  </si>
  <si>
    <t>Khoa Pham</t>
  </si>
  <si>
    <t>Manager/Lead</t>
  </si>
  <si>
    <t>pmSub</t>
  </si>
  <si>
    <t>Pmgroups</t>
  </si>
  <si>
    <t>PMgrpDelim</t>
  </si>
  <si>
    <t>FCgroups</t>
  </si>
  <si>
    <t>FCgrpDelim</t>
  </si>
  <si>
    <t>DIgroups</t>
  </si>
  <si>
    <t>DIgrpDelim</t>
  </si>
  <si>
    <t>Sgroups</t>
  </si>
  <si>
    <t>SgrpDelim</t>
  </si>
  <si>
    <t>746999</t>
  </si>
  <si>
    <t>747301</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</si>
  <si>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</si>
  <si>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</si>
  <si>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</si>
  <si>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</si>
  <si>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</si>
  <si>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Statoil Visund S V3</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</si>
  <si>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</si>
  <si>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</si>
  <si>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</si>
  <si>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</si>
  <si>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</si>
  <si>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747404</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</si>
  <si>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</si>
  <si>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</si>
  <si>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</si>
  <si>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</si>
  <si>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</si>
  <si>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747933</t>
  </si>
  <si>
    <t>Jim.MacDonald@halliburton.com</t>
  </si>
  <si>
    <t>747529</t>
  </si>
  <si>
    <t>Shell  Perdido GA6</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</si>
  <si>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</si>
  <si>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</si>
  <si>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</si>
  <si>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Same As: 722HF1763904-SB2; PKR ASSY,7639 TY HF1,WITH KNOCK -SB2
Except: 
1. Flow wetted parts to be made of Inconel 718
2. Rest of parts made of 25Cr, to be made of 13Cr</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</si>
  <si>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</si>
  <si>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</si>
  <si>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</si>
  <si>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</si>
  <si>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747719</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</si>
  <si>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</si>
  <si>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</si>
  <si>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</si>
  <si>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</si>
  <si>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</si>
  <si>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</si>
  <si>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</si>
  <si>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</si>
  <si>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748001</t>
  </si>
  <si>
    <t>ECR - 3.5 direct HS integration, MN 102085302
The item numbers in the BOM in CWI do not match the item numbers on the drawing, 316916-04-01.
IN ENGINEERING DESIGN_A.BERRET_01/09/2012.
FOLDER RETURNED TO O. EWUMI FOR CHECKING_A. BERRET_01/13/2012.</t>
  </si>
  <si>
    <t>ELEC</t>
  </si>
  <si>
    <t>627101</t>
  </si>
  <si>
    <t>748377</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</si>
  <si>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</si>
  <si>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748374</t>
  </si>
  <si>
    <t>748366</t>
  </si>
  <si>
    <t>UPDATE SAP PART NUMBER 594585 AND ITS ASSOCIATED DRAWING (ENG CONTROL) REQUESTED BY K. MOE (SEE ATTACHED EMAIL)</t>
  </si>
  <si>
    <t>katie.moe@welldynamics.com</t>
  </si>
  <si>
    <t>748258</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</si>
  <si>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</si>
  <si>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</si>
  <si>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748591</t>
  </si>
  <si>
    <t>748592</t>
  </si>
  <si>
    <t>ELEC - UPDATE SAP NUMBER 614829 AT REQUEST OF K. PEGODA (SEE EMAILS ATTACHED). PIN PART NUMBER SA3350/1 NEEDS TO BE ADDED TO THE BOM (SEE EMAIL 2 ATTACHED)</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</si>
  <si>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</si>
  <si>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</si>
  <si>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748788</t>
  </si>
  <si>
    <t>Larry Crocker</t>
  </si>
  <si>
    <t>749120</t>
  </si>
  <si>
    <t>SPLT=N/A</t>
  </si>
  <si>
    <t>42: SPLT=140 Cancelling per attached email from submitter.  1/18/12 DM</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</si>
  <si>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</si>
  <si>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</si>
  <si>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749730</t>
  </si>
  <si>
    <t>MAKE CORRECTIONS TO BOMS WHICH CONTAIN INCORRECT QUANTITIES, WHICH SHOULD BE IN METERS, FOR P/N 101805944, 101805975.</t>
  </si>
  <si>
    <t>ted.soules@welldynamics.com</t>
  </si>
  <si>
    <t>Shell Habanero</t>
  </si>
  <si>
    <t>Christopher.Tawse@Halliburton.com</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</si>
  <si>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</si>
  <si>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</si>
  <si>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</si>
  <si>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</si>
  <si>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</si>
  <si>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</si>
  <si>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</si>
  <si>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</si>
  <si>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751401</t>
  </si>
  <si>
    <t>750550</t>
  </si>
  <si>
    <t>Achmigaz</t>
  </si>
  <si>
    <t>update the 71CA118 to include the Autoclave 15MX44K8 adapter fitting</t>
  </si>
  <si>
    <t>Assign to Robert T Class A  1/23/12 DM</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</si>
  <si>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</si>
  <si>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</si>
  <si>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</si>
  <si>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</si>
  <si>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</si>
  <si>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</si>
  <si>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750022</t>
  </si>
  <si>
    <t>Shell Caisson</t>
  </si>
  <si>
    <t>R Smith contacting submitter.  Duplicate request being handled on another RTA.  Will cancel after contact has been made.  1/23/12 DM</t>
  </si>
  <si>
    <t>751704</t>
  </si>
  <si>
    <t>751721</t>
  </si>
  <si>
    <t>ADTI/Enquest-Heather</t>
  </si>
  <si>
    <t>751994</t>
  </si>
  <si>
    <t>Ref.part 216HA00745U3O00 VLV,INTEGD,HS,ACCUPULSE,4-1/2,UNSHRDD
Except:
- Flow Trim - use 316612-01
- 2 off External slots for FMJ splices
- Bypass for 1 off 1/4in line
- Change material to 13Cr
- Threads to be 4,5in 12,6PPF
- Quality Plan to be SB2</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</si>
  <si>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</si>
  <si>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</si>
  <si>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1/4 X .049, ALLOY 825 TEC
CREATE NEW PART NUMBER FOR (1 SPOOL 6600M) TEC, 1/4 X .049, ALLOY 825, P-06 FILLER FEP INSULATION, 16 GA SOLID COPPER CONDUCTOR, CP-1, 0.41
Quality plan KZ1</t>
  </si>
  <si>
    <t>752250</t>
  </si>
  <si>
    <t>750831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</si>
  <si>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</si>
  <si>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</si>
  <si>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</si>
  <si>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750072</t>
  </si>
  <si>
    <t>Chevron Angola Blk 0</t>
  </si>
  <si>
    <t>same as part number 102036908, but with a change in threads from the current T3SB to Tenaris Blue.</t>
  </si>
  <si>
    <t>Cancelled per attached email from C McKay.  1/23/12 DM</t>
  </si>
  <si>
    <t>751185</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</si>
  <si>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</si>
  <si>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</si>
  <si>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</si>
  <si>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</si>
  <si>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</si>
  <si>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</si>
  <si>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</si>
  <si>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</si>
  <si>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</si>
  <si>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</si>
  <si>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</si>
  <si>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</si>
  <si>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</si>
  <si>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</si>
  <si>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</si>
  <si>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</si>
  <si>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</si>
  <si>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</si>
  <si>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751317</t>
  </si>
  <si>
    <t>MN 101903675
Create packer envelope for 722HF1965346 and attach in CWI.</t>
  </si>
  <si>
    <t>751764</t>
  </si>
  <si>
    <t>751278</t>
  </si>
  <si>
    <t>ECR-9290-2786.Gauge Mandrel 9290-2786 there is a missing dimension for the face of the slot to the centre at the left hand side grid C7.E-Mail sent by Mark Guy that the dimension from the pin centre to the slot bottom at grid C7 should be 2.470.</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</si>
  <si>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</si>
  <si>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</si>
  <si>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Dan Taylor</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</si>
  <si>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</si>
  <si>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</si>
  <si>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</si>
  <si>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SPLT=210  No customer PO until end of year. May need to VSF long lead items once this is received. Design waiting for development of 4.5 multi-function ftg kit which is underway. Email attached.  10/13/11 DM  Changed AIS date per PMT mtg.  1/13/12 DM</t>
  </si>
  <si>
    <t>SPLT=154 Emailed field with existing part number to verify new design is still required.  Waiting for response. Email attached.  1/4/12 DM  Customer wants to go to tender so placing RTA on hold per attached email from submitter.  1/10/12 DM</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</si>
  <si>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</si>
  <si>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</si>
  <si>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750781</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</si>
  <si>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</si>
  <si>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</si>
  <si>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</si>
  <si>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</si>
  <si>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</si>
  <si>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</si>
  <si>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</si>
  <si>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</si>
  <si>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</si>
  <si>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</si>
  <si>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</si>
  <si>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</si>
  <si>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</si>
  <si>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</si>
  <si>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t>
  </si>
  <si>
    <t>ECR - STANDARD WORK, PRESERVATION - Create and release a document that is a standard work for the preservation process for top level assemblies in the Spring facility. Paul Lively 11/18/2011</t>
  </si>
  <si>
    <t>Test MSE seals for 4 1/2 inch HS
3.5- RTA 646073</t>
  </si>
  <si>
    <t>752811</t>
  </si>
  <si>
    <t>752838</t>
  </si>
  <si>
    <t>Same As: 235SF0703550; SUB,SPLC,7035,S13CR,3 1/2-9.20 VAMTOP BO
Except: in 13Cr 80k Material
Tech Start Date is in the past
Project Name: Angsi
Special Quality Plan Required?: No
Material: (7) 13 CR 80 MY 22HRC (ES-MA-58-7)
Mating Infomation:</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</si>
  <si>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</si>
  <si>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</si>
  <si>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</si>
  <si>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</si>
  <si>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</si>
  <si>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</si>
  <si>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</si>
  <si>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</si>
  <si>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</si>
  <si>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</si>
  <si>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</si>
  <si>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</si>
  <si>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</si>
  <si>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752628</t>
  </si>
  <si>
    <t>752454</t>
  </si>
  <si>
    <t>Nguyen Quang Hung</t>
  </si>
  <si>
    <t>Nguyenquang.hung@Halliburton.com</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</si>
  <si>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</si>
  <si>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</si>
  <si>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</si>
  <si>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</si>
  <si>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</si>
  <si>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</si>
  <si>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</si>
  <si>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</si>
  <si>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</si>
  <si>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</si>
  <si>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</si>
  <si>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</si>
  <si>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</si>
  <si>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753285</t>
  </si>
  <si>
    <t>Ellen McGuinness</t>
  </si>
  <si>
    <t>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</si>
  <si>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</si>
  <si>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753373</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</si>
  <si>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</si>
  <si>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</si>
  <si>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</si>
  <si>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</si>
  <si>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</si>
  <si>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</si>
  <si>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</si>
  <si>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</si>
  <si>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</si>
  <si>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</si>
  <si>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</si>
  <si>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</si>
  <si>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</si>
  <si>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</si>
  <si>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</si>
  <si>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</si>
  <si>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</si>
  <si>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</si>
  <si>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</si>
  <si>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</si>
  <si>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</si>
  <si>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</si>
  <si>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</si>
  <si>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</si>
  <si>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</si>
  <si>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</si>
  <si>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</si>
  <si>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</si>
  <si>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</si>
  <si>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</si>
  <si>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</si>
  <si>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</si>
  <si>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</si>
  <si>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</si>
  <si>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</si>
  <si>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</si>
  <si>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</si>
  <si>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</si>
  <si>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</si>
  <si>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</si>
  <si>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</si>
  <si>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</si>
  <si>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</si>
  <si>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</si>
  <si>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</si>
  <si>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</si>
  <si>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</si>
  <si>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</si>
  <si>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</si>
  <si>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</si>
  <si>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</si>
  <si>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</si>
  <si>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</si>
  <si>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</si>
  <si>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</si>
  <si>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</si>
  <si>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</si>
  <si>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</si>
  <si>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</si>
  <si>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</si>
  <si>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</si>
  <si>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</si>
  <si>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</si>
  <si>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</si>
  <si>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</si>
  <si>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</si>
  <si>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</si>
  <si>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</si>
  <si>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</si>
  <si>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</si>
  <si>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</si>
  <si>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</si>
  <si>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</si>
  <si>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</si>
  <si>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</si>
  <si>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</si>
  <si>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</si>
  <si>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</si>
  <si>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</si>
  <si>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</si>
  <si>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</si>
  <si>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</si>
  <si>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</si>
  <si>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</si>
  <si>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</si>
  <si>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</si>
  <si>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</si>
  <si>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</si>
  <si>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</si>
  <si>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</si>
  <si>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</si>
  <si>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</si>
  <si>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</si>
  <si>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</si>
  <si>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</si>
  <si>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</si>
  <si>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</si>
  <si>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</si>
  <si>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</si>
  <si>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</si>
  <si>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</si>
  <si>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</si>
  <si>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</si>
  <si>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</si>
  <si>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</si>
  <si>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</si>
  <si>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</si>
  <si>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t>753829</t>
  </si>
  <si>
    <t>ECR-316167-02-01. CAN PRE-PLATING AND POST PLATING DIMENSIONS BE ADDED TO THE DRG AS DONE ON PREVIOUS DRAWINGS THAT REQUIRE PLATING.</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</si>
  <si>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</si>
  <si>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</si>
  <si>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</si>
  <si>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</si>
  <si>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</si>
  <si>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Esmeralda.McLeane@welldynamics.com</t>
  </si>
  <si>
    <t>753831</t>
  </si>
  <si>
    <t>ECR-314543-02-01. CAN PRE-PLATING AND POST PLATING DIMENSIONS BE ADDED TO THE DRG AS DONE ON PREVIOUS DRAWINGS THAT REQUIRE PLATING.</t>
  </si>
  <si>
    <t>753833</t>
  </si>
  <si>
    <t>FMC/Petrolog</t>
  </si>
  <si>
    <t>753823</t>
  </si>
  <si>
    <t>ECR-M.N.588463 PART HAS THE DESCRIPTION AS HEXAGONAL SOCKET SET SCREW ISO 3506 A2/A4 NACE 3/8 UNC X 3/8 LONG, SS.
THIS SHOULD BE 3/8 -24 UNF.  SEE PARTS THAT THIS IS USED ON AND THE LEGACY NUMBER.</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</si>
  <si>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</si>
  <si>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</si>
  <si>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</si>
  <si>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</si>
  <si>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754004</t>
  </si>
  <si>
    <t>754025</t>
  </si>
  <si>
    <t>ECR - MFG READINESS DOC - Create documentation that defines Manufacturing Readiness and the details regarding the minimum necessities associated with BOMs, Drawings, Assy Procedures, and Test Procedures used to communicate product definition to MFG Assembly.</t>
  </si>
  <si>
    <t>ECR - RCCA FORM - Create a form to be used for documenting Root Cause and Corrective Action (RCCA)notes during RCCA meetings. Paul Lively 2/2/2012</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</si>
  <si>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</si>
  <si>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754126</t>
  </si>
  <si>
    <t>Please issue SAP number for the GCDT TEC with Safety Strip. Description below and Specs attached. 
GCDT Part Number 16944 Rev A 
Description: TEC Line with Safety ¿¿ Strip
1/4inch x 0.049inch A825 16AWG Double Extruded Core with FEP insulation &amp; PP secondary extrusion 
Printed on the Line: Husky White Rose Project and length remaining (meters) printed on the line.
Quote Price, 3.90 per ft USD, (12.79 per m USD) - see attached quote</t>
  </si>
  <si>
    <t>Chris Quinton</t>
  </si>
  <si>
    <t>Chris.Quinton@Halliburton.com</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</si>
  <si>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</si>
  <si>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</si>
  <si>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</si>
  <si>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</si>
  <si>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754154</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</si>
  <si>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</si>
  <si>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754378</t>
  </si>
  <si>
    <t>755659</t>
  </si>
  <si>
    <t>This RTA is a request to create a SAP number for the Completion Products 7in 26lb.ft VAMTOP Clamp Protector (Part number AS-7000-3-1604-M1), Carbon Steel Material.
MATERIAL DESCRIPTION: 7in, 26lb.ft VAM TOP, SSSV-Cross Coupling Protector (p/n: AS-7000-3-1604-M1), 9.736in Running OD, two Slots for 11mm rounded encapsulated 0.250 lines, Carbon Steel material.
NOTE: THIS MATERIAL MUST BE SHIPPED STRAIGHT FROM VENDOR MANUFACTURE (UK)TO HCT-BRAZIL (MACAE/RJ) WITH THE HALLIBURTON CUSTOMER SERVICE PSL SUPPORT (DO NOT PASS THIS MATERIAL THROUGH THE WELLDYNAMICS SPRING/TX FACILITY IN ORDER TO ALLOW MATCH THE CLIENT DELIVERY TIME AND COST ESTIMATION).   
PROJECT NAME: STATOIL PEREGRINO - BR11193</t>
  </si>
  <si>
    <t>755647</t>
  </si>
  <si>
    <t>ECR-9450-7004 9102103217)MISSING DIMENSIONS FOR THE ANGLE FACES AND CBORE TEXT DEPTH OF .35 SHOULD BE REMOVED AS THIS IS DIMENSIONED AS .15 AT END VIEW.</t>
  </si>
  <si>
    <t>755804</t>
  </si>
  <si>
    <t>Al Ahlia Oilfields Development Co</t>
  </si>
  <si>
    <t>Abdallah.Abdulhalim@halliburton.com</t>
  </si>
  <si>
    <t>755180</t>
  </si>
  <si>
    <t>Shell Brazil</t>
  </si>
  <si>
    <t>Dual Gauge Mandrel for ROC150.  
4 1/2 inch 12.6lb VAM TOP BxP, 
with (2) bypass slots to secure 1 each 0.535 inch line
Material Inc 718
SE-1 Quality Plan
9290-6841 is same mandrel already in Inc 718 with SE-1 quality plan - can use this and add bypass slots</t>
  </si>
  <si>
    <t>755934</t>
  </si>
  <si>
    <t>755996</t>
  </si>
  <si>
    <t>REQ - MAKE A CUSTOM FIXTURE TO HOLD CHECK VALVE FOR TORQUE - FIXTURE USED ON STATION 6
PLEASE DISREGARD THIS IS ONLY A TEST....TESTING</t>
  </si>
  <si>
    <t>755503</t>
  </si>
  <si>
    <t>MFGR SPEC - EMS JOB BOOK - Create a mfgr spec for EMS job book associated with the Fluid Transfer project (WBS CI-10-HCPT-WDSP-02) Paul Lively 2/8/2012</t>
  </si>
  <si>
    <t>755809</t>
  </si>
  <si>
    <t>Drawing 308091-08-01 is missing Dimension G which is called out in Doc. 309840-01-01 Rev. 16 page 12, step 6. This dimension is necessary to set the Setting Chamber in the right position. This issue applies to Material Number 101849346.</t>
  </si>
  <si>
    <t>Statoil Brazil</t>
  </si>
  <si>
    <t>755387</t>
  </si>
  <si>
    <t>UPDATE OBJECTS TITLE BLOCK TO MATCH FIRST PAGE.</t>
  </si>
  <si>
    <t>756133</t>
  </si>
  <si>
    <t>When communicating with a ROC gauge, we have noticed a software lockup (freeze) after a few minutes of running Pdx software using a laptop connected to a PAU. To our knowledge, this happens only when using a laptop or a PC running Windows 7. This RTA is to investigate the issue and layout options for eliminating the problem.</t>
  </si>
  <si>
    <t>756169</t>
  </si>
  <si>
    <t>Same As: 722MC1702600; PKR,MC1,7026,TBG SET,SHIFT REL,4140 LAS,
Except: Need to change material of shift profile from 4140 to Inconel 718.  Item 30 on drawing.
Project Name: LDOR - Shaybah
Special Quality Plan Required?: No
Material: 
Technical Support Deliverables:
Preliminary Design Specifications
Reference Assembly Drawing
Reference BDMI
Reserve SAP Material Number
ZZ Drawing
Operating Envelope</t>
  </si>
  <si>
    <t>Manesh Mathew</t>
  </si>
  <si>
    <t>755890</t>
  </si>
  <si>
    <t>Same As: 235AC2965501-SB2; CLP,TPR LOCK,9655,13CR,5 1/2-23.00 -SB2
Except: 1. Require 4,5 inch size TLC Assy.
2. Requesting two wedges to accommodate 2 flat packs, both with 4 0.25inch hydraulic lines + bumper.
3. Material 13CR
4. SB2 Quality plan.
Tech Start Date is in the past
Project Name: Fast Track Stjerne M14
Special Quality Plan Required?: Yes
Quality Plan Identifier: SB2
Material: (9) 13 CR 105 MY 35 HRC (ES-MA-585)
Mating Infomation:</t>
  </si>
  <si>
    <t>755703</t>
  </si>
  <si>
    <t>Mukul Agnihotri</t>
  </si>
  <si>
    <t>755478</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</si>
  <si>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4500mts/reel. Includes: Metal Reel 54in x 32in x 32in, 3 1/4 Arbor + Metal Shipping Skid.
PROJECT NAME: Statoil Peregrino
WELDYNAMICS QUOTE NUMBER: BR11193</t>
  </si>
  <si>
    <t>756164</t>
  </si>
  <si>
    <t>Procedure 023578-09-00 Rev. O does not reflect a complete build. Parts (65),(32) and (57) from material 102089587 Build Of Materials is not mentioned. Suggestion:
Modify step 41 from:
41. 	Fit O-Ring (62) to Release Adapter (26) and butt out against the Upper Body (22)
Modify too:
41. Install O-ring (55) to the Upper Body (22) then	fit O-Ring (62) to Release Adapter (26) and butt out against the Upper Body (22).
Next insert a step after 42.
New step 43: Install O-ring (65) to Lower body (15) then install Release Collet Support (32). Once Release Collet Support (32) is bottomed out against the Lower body (15), install quantity 4 set screws (57) through the Release Collet Support (32) until they bottom out to the Lower Body(15).
This fix will allow the technician a complete build and minimize on missing parts to the assembly and possible less rework. Christopher Vancamp 2-10-2012</t>
  </si>
  <si>
    <t>755888</t>
  </si>
  <si>
    <t>BHPBilliton</t>
  </si>
  <si>
    <t>754990</t>
  </si>
  <si>
    <t>755193</t>
  </si>
  <si>
    <t>Broussard office raised a CPI for this issue.  This is regarding SAP No 597816 for a current order from Broussard.  The actual vendor number is DHCE-B30-BB-01P-000-00.  SAP has it listed as DHCE-B30-BQ-1S-000-
00.  Please correct SAP description.  Also attached is the installation procedure for this item.  If possible, please have this document loaded into CWI under the SAP No and correct part number description so that the field can access it.</t>
  </si>
  <si>
    <t>754929</t>
  </si>
  <si>
    <t>Proposed well head outlet design for all future platform/land completions required for gauge TEC line. Product line engineering to review and qualify the design Supplier - Antech
Tim Mitchell
AnTech Ltd
Tel: +44 (0) 1392 440332
Fax: +44 (0) 1392 440301
Email: timm@antech.co.uk
Web:  www.antech.co.uk</t>
  </si>
  <si>
    <t>OBSOLETE ES-SP-23 STANDARD OBJECT AND CREATE ES-SP-23 SPECIFICATION OBJECT.
------
11/2/2011 ST - SENT TO R. BAKHTIARY FOR APPROVAL.
TSG NOTES 02-09-2012 TO TSG FOR PROCESSING J. CALLAWAY PER SAM TEHVEN NEEDS MORE REVIEW 02-10-2012 JCC END</t>
  </si>
  <si>
    <t>756109</t>
  </si>
  <si>
    <t>754866</t>
  </si>
  <si>
    <t>Part drawing states mark part with part number and info, suggest bag and tag as part is small and round. Part numbers affected are 598243,598239,598223,598221.</t>
  </si>
  <si>
    <t>Nicholas Webster</t>
  </si>
  <si>
    <t>Nick.Webster@Halliburton.com</t>
  </si>
  <si>
    <t xml:space="preserve">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 Waiting for AIS date from customer for 30 upcoming wells. Follow up with Ahmed.  2/6/12 DM </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</si>
  <si>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  Follow up w/Bill re: AIS date.  2/6/12 DM</t>
  </si>
  <si>
    <t>New ROC Mdrl: JFE, DR, ROC 150
Drawings for a 3 1/2  ROC 150 Dual Redundant 13Cr Mandrel
Gauge (p/n: 9381-6142) (SAP No. 101953598)
Threads to be 3 1/2 x 9.2 JFE Bear
Casing 7 - 32 751524
----
1/26/2012 RB - Design circle completed and attached to RTA. Mandrel design fits within specified drift. Design does not fit concentrically; requestor should verify that this is acceptable.
2/6/2012 MG - DESIGN &amp; DRGS COMPLETE, FORWARDED TO SAM FOR CHECKING.
------
2012-02-06 ST - SENT BACK TO M. GUY FOR CORRECTIONS
2012-02-07 MG - CORRECTIONS MADE, RETURNED TO SAM FOR FINAL CHECKING.
------
2012-02-07 ST - SENT TO R. BAKHTIARY FOR APPROVAL</t>
  </si>
  <si>
    <t>Same As: 71SSS1; SFTY SYS STD RTA DESIGN REQ
Except: Set up SAP P/N for Check Valve 1/2 inch FNPT X 1/2 inch FNPT, 6,000 PSI 
Project Name: 
Special Quality Plan Required?: No
Material: 
Mating Infomation:
2012-02--08, TS: Send to be checked tomorrow. To be sent to TSG by Friday 02-10.</t>
  </si>
  <si>
    <t>0.5416666666666666</t>
  </si>
  <si>
    <t>754992</t>
  </si>
  <si>
    <t>754870</t>
  </si>
  <si>
    <t>Kuwait Oil Company</t>
  </si>
  <si>
    <t>755309</t>
  </si>
  <si>
    <t>ECR - Revise drawings for 6 line multi-valve control system to as-built status. Top level MN 102106951</t>
  </si>
  <si>
    <t>WD specific PR3 and PR4 tools
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</si>
  <si>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755188</t>
  </si>
  <si>
    <t>Need design circle for the mandrels submitted in RTA 755180 and 755179.  Need worst case scenario - ie, bellies are at 180 degrees to each other.  They will be run inside 9 7/8 inch 62.8 lb casing
2/8/2012 MG - x-section complete, forward to James for checking.</t>
  </si>
  <si>
    <t>755179</t>
  </si>
  <si>
    <t>756409</t>
  </si>
  <si>
    <t>756428</t>
  </si>
  <si>
    <t>ECR-102033432 Clamp calls raw material spec ES-MA-58-4. Can this be changed as unable to source flat bar to this spec. Concessed before to use ES-MA-134-23 but if can be changed to use ES-MA-89-4 would be better. Ref clamp 102103217 calls up ES-MA-89-4 material.</t>
  </si>
  <si>
    <t>Current (last) Sheet Filter Prefix</t>
  </si>
  <si>
    <t>Sheet build version number</t>
  </si>
  <si>
    <t>SPLT= 140 Emailed submitter for requirements doc.  2/13/12 DM</t>
  </si>
  <si>
    <t>759818</t>
  </si>
  <si>
    <t>Same as 214scv350000 except: add deflector
See requirements document for details
It is not necessary to modify the tool.  If it would be simpler to accomplish designing a clamp on deflector (such as a modified Cannon Clamp) that would be an acceptable solution.
Erosion testing the Deflector is not included in the scope of this RTA.  It will be up to engineering to determine what temperature testing (if any) is necessary.</t>
  </si>
  <si>
    <t>SPLT=N/A  Manufacturing locally in Canada. 2/23/12 DM</t>
  </si>
  <si>
    <t>Joel.shaw2@halliburton.com</t>
  </si>
  <si>
    <t>ECR - Request drawing 304097-00-00 to be issued a material number and set up as a part in CWI. Also, see attached marked up drawing 304097-00-00 for suggested changes, by adding QPQ coating to part to reduce corrosion and galling of the ID thread during test.
THIS RTA WILL BE CANCELLED DUE TO DUPLICATE REQUEST ON RTA 754377 (OEWUMI 13FEB12)</t>
  </si>
  <si>
    <t>756689</t>
  </si>
  <si>
    <t>Same As: 101678747; DSPL,BEKA,PNL MTD,IS,SER TEXT
Except: Adjust PLC firmware to handle an option of degrees C and Bar in the display.
Project Name: Grane
Special Quality Plan Required?: No
Material: 
Mating Infomation:
Work With item with RTA Number 00000682094
2012-02-24, TS: In the queue to be worked.</t>
  </si>
  <si>
    <t>13: SPLT=N/A</t>
  </si>
  <si>
    <t>760679</t>
  </si>
  <si>
    <t>Nexen (GEAD)would like Halliburton to provide the splice sub for a 4 x 1/4 hydraulic flatpack (36x12mm) and have a slot machined for the Weatherford splice of Fibre Optic pigtail. This would be used on every 7in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</si>
  <si>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Steve.Ewens@welldynamics.com</t>
  </si>
  <si>
    <t>757214</t>
  </si>
  <si>
    <t>REVISE M/N 102085390 TO INCORPORATE NEW FLATPACK SYSTEM</t>
  </si>
  <si>
    <t>758416</t>
  </si>
  <si>
    <t>CREATE AMS TEMPLATE FOR DI - CONTROL SYSTEM</t>
  </si>
  <si>
    <t>760923</t>
  </si>
  <si>
    <t>Drawing W.302273-00-01 on pg2 Section B-B the R.32 is pointing to a sharp corner and the fillets on the other end of the slot are not there. Need to fix the solid model to add the missing fillets and fix the sharp corners at the other end and Rev the drawing up to Z.</t>
  </si>
  <si>
    <t>760678</t>
  </si>
  <si>
    <t>Nexen (GEAD)</t>
  </si>
  <si>
    <t>Nexen (GEAD)would like Halliburton to provide the splice sub for a 4 x 1/4 hydraulic flatpack (36x12mm) and have a slot machined for the Weatherford splice of Fibre Optic pigtail. This would be used on every 9 5/8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</si>
  <si>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022312 RCVD. FILE BACK FOR REVIEW OF CORRECTIONS. SENDING FILE BACK FOR FURTHER CORRECTIONS. RCVD. FILE BACK FOR CORRECTIONS CHECK. ALL CORRECTIONS COMPLETED. (KEN) END</t>
  </si>
  <si>
    <t>758581</t>
  </si>
  <si>
    <t>I need a design circle for 5.5IN 26PPF Inconel 718 125Ksi MY VAM Top KP Gauge Mandrel made to suit a fully redundant ROC 175 25Ksi Gauge. Bypass slots to allow 3/8IN encapsulated control line to bypass on either side of the mandrel.</t>
  </si>
  <si>
    <t>758817</t>
  </si>
  <si>
    <t>COPC</t>
  </si>
  <si>
    <t>To Create an HSB 2 7/8 HS ICV with accupulse module in 4140/718 material. HS Series Numbering will be 226HA0F07285UO</t>
  </si>
  <si>
    <t>SPLT=126 PLM requested requirements document from submitter.  2/21/12 DM Emailed submitter for requirements document.  2/28/12 DM</t>
  </si>
  <si>
    <t>760935</t>
  </si>
  <si>
    <t>Tri-wire WHO with 1/2 NPT connection (reference Part Number 9895-6004)
Require new design based on above part number but with:
1.   1/2 NPT pin thread to suit VETCO Control Line Assy - R75380-1 (drawing attached)
2.   Ability to terminate 3 wires
3.   Test port to confirm connection (as per reference)</t>
  </si>
  <si>
    <t>Bruce.gavin@halliburton.com</t>
  </si>
  <si>
    <t>To Create a 3.5 HSB with SHROUD kit with CARBIDE insert and a multi purpose fitting kit. Integration level number will be 226HA0F07355SO</t>
  </si>
  <si>
    <t>758872</t>
  </si>
  <si>
    <t>HOT:  REVISE M/N 102131825 TO INCORPORATE FEP INSULATION AND FILLER MATERIAL.</t>
  </si>
  <si>
    <t>ECR - 9 5/8 HF1 packer consumable kit, 101903556, does not have test keys in the BOM. Please add 4 each test keys, MN 595085, to the BOM in CWI.
FOLDER IN T. BORMAN BOX_A. BERRET_02/22/2012------------END</t>
  </si>
  <si>
    <t>759598</t>
  </si>
  <si>
    <t>758573</t>
  </si>
  <si>
    <t>I need technical details and a design circle regarding a 5/8IN Chemical Injection Check Valve installed into a 5.5IN 26PPF Inconel 718 125Ksi MY VAM TOP KP mandrel to fit inside 8.5IN Drift casing with bypass slots big enough to pass 2 off 3/8IN encapsulated control lines on one side of the mandrel, 1 off 11mm encapsulated TEC, and a triple 1/4IN encapsulated flatpack along the other side of the mandrel. The timeframe of this request is being driven by BP Mad Dog which is going to tender by the end of the year.</t>
  </si>
  <si>
    <t>760293</t>
  </si>
  <si>
    <t>Same As: FP-301404-BL; 3 LINE FLATPACK, 1/4 X .049 SS316, WELDE
Except: Please find attached Quote. IT HAS TO BE GCDT with safety strip. Per meter
Tech Start Date is in the past
Project Name: Angsi SmartWell
Special Quality Plan Required?: No
Material: (16) Customer Supplied - Supply detail in description
Mating Infomation:</t>
  </si>
  <si>
    <t>CREATE AMS TEMPLATE FOR SOFTWARE</t>
  </si>
  <si>
    <t>Create Drawings for all (4) plastic inserts (2-7/8, 3-1/2, 4-1/2, 5-1/2) Travis Bordman has all the SolidWorks models to be used for the drawings.
FOLDER WITH T. BORDMAN WITH DRAWINGS FROM A. RIVERA_A. BERRET--------------------------------------------------END</t>
  </si>
  <si>
    <t>758051</t>
  </si>
  <si>
    <t>HES Venezuela</t>
  </si>
  <si>
    <t>Correct Bill of Material for SAP P/N 101069756 (71GS3)to agree with drawing. No BOM in CWI or on Drawing.</t>
  </si>
  <si>
    <t>Jay Bissell/Juan Carlos Rodriguez</t>
  </si>
  <si>
    <t>756833</t>
  </si>
  <si>
    <t>Evaluate whether 596863 - 722HF1965375 can have a pressure rating of 7.5K from current 6K based on where used structural components and packing element assembly (w.302248-01)</t>
  </si>
  <si>
    <t>760294</t>
  </si>
  <si>
    <t>Same As: TEC11221; TEC, 16, A825, 1/4 X .049, TPR, ROUND
Except: Please USE QUOTE ATTACHED HAS TO BE GCDT with Safety Strip.
Per Meter
Tech Start Date is in the past
Project Name: Angsi SmartWell
Special Quality Plan Required?: No
Material: (16) Customer Supplied - Supply detail in description
Mating Infomation:</t>
  </si>
  <si>
    <t>758618</t>
  </si>
  <si>
    <t>OBSOLETE PART NUMBER 596056 IN ORDER TO CREATE NEW PART NUMBER AND CHANGE UNIT OF MEASURE FROM EA TO GAL. THERE IS A QUANTITY OF 4 IN STOCK SO STOCK WILL HAVE TO BE MOVED TO THE NEW PART BEFORE THE OLD PART CAN BE OBSOLETED.</t>
  </si>
  <si>
    <t>Same As: 71SSS1; SFTY SYS STD RTA DESIGN REQ
Except: Please update purchasing information for
SAP P/N 101470816, Legacy P/N 93F1714, Lorimer P/N 50 996 00
Hose, 316 braided, 1/2 OD, w/3/8 tube end X 3/8 tube end  to reflect the new Lorimer P/N will be 50 996 00, Rev. b. design
Project Name: 
Special Quality Plan Required?: No
Material: 
Technical Support Deliverables:
Preliminary Design Specifications
Reference Assembly Drawing
2012-02-20, TS: CHANGE TO ECR</t>
  </si>
  <si>
    <t>759165</t>
  </si>
  <si>
    <t>Petronas CariGali</t>
  </si>
  <si>
    <t>Same As: 101799339; WHD FEED THRU KIT,ASSY,W/ 1/2 IN. NPT,6
Except: I want to use ANTECH and was told that I need an RTA to be raised for it to be qualified. I have attached the WHO and Quote.
Tech Start Date is in the past
Project Name: Angsi SmartWell
Special Quality Plan Required?: No
Material: (16) Customer Supplied - Supply detail in description
Mating Infomation:</t>
  </si>
  <si>
    <t>759167</t>
  </si>
  <si>
    <t>758956</t>
  </si>
  <si>
    <t>ECR-BODY CROSSOVER M/N: 593222 (DRG: 311389-00-01) IS TO BE MOLYKOTED AS PER FIND NO 0808.
ADDITIONAL CHANGES WERE PERFORMED AS PER ATTACHED MARKUP FROM RTA 734622 (OEWUMI 22FEB12)</t>
  </si>
  <si>
    <t>Jim Macdonald</t>
  </si>
  <si>
    <t xml:space="preserve">1:  SIT has been completed successfully at Berwick, LA - AGS 7/31/11 Documentation to be completed early next year.  11/14/11 DM  Meeting held with Accelemetrics to determine schedule for delivery of remaining internal documents. New schedule added to project - AGS 27 Feb 2012 </t>
  </si>
  <si>
    <t>758006</t>
  </si>
  <si>
    <t>M/N-102054551, Drawing D00508665 Rev.B
Please remove NOTE-2 form the drawing and BOM.
Please add a 16-63 surface finish to the .2500/.2505 bore shown in SECTION R-R, page 2.
IN ENG. DESIGN_A. BERRET_02/27/2012---------------------END</t>
  </si>
  <si>
    <t>OBSOLETE AND SUPERCEDE -SG1 STATOIL 3-DIGIT IDENTIFIER- QA REQUEST DUE TO AGREEMENT ON SB2_SB3 GLOBAL QUALITY PLAN PER D. HICKMAN
TSG NOTES 022711 ON HOLD</t>
  </si>
  <si>
    <t>760404</t>
  </si>
  <si>
    <t>Create layout and inform submitter if design is mechanically feasible.  4-1/2 in 8 RD 13.5 lb API LTC Box X Pin SFrac Valve, Shiftable
Same as existing design with shifting capabilities.
See requirements document and attached drawing for additional details and suggested layout.</t>
  </si>
  <si>
    <t>ELEC - MAKE CHANGES TO THE BUILD FOR MN 597467 BASED ON THE DEVIATION APPROVALS IN ATTACHED MEMO REQUESTED BY KELLEY PEGODA. SEE ATTACHED AMENDED DEVIATIONS PER K. PEGODA 02-13-2012</t>
  </si>
  <si>
    <t>UPDATE REFERENCE NUMBER TO READ SAP PART NUMBER FOR 595765 AND 595767 AND ALSO OBSOLETE PN 595765 AND 595767 BECAUSE THE UNIT OF MEASURE WAS EA. A NEW PART NUMBER WAS CREATED FOR 595765 REF 316417-GU AND 595767 REF 316417-GU-ST0 TO CHANGE THE UOM TO MST.
IN ENG. DESIGN_A. BERRET_02/28/2012---------------------END</t>
  </si>
  <si>
    <t>759749</t>
  </si>
  <si>
    <t>M/N-102117708, Drawing D00586689
The part geometry produces a very thin wall cross section on the lower half at the left side of the 30 deg. ID bevel.
This produced an issue during machining in Livingston, Ref. Qnote 200693295. Please see the attachment in this RTA for an example of a resolution for this issue.
IN ENG. DESIGN_A. BERRET_02/27/2012---------------------END</t>
  </si>
  <si>
    <t>760677</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</si>
  <si>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
IN ENGINEERING DESIGN_A. BERRET_02/23/2012--------------END
DESIGN FOLDER IN T. BORDMAN BOX. CONCERNING CHANGES TO DWG 307019-00-01, ENGINEERING WILL NOT PURSUE THE SUGGESTED IMPROVEMENTS AT THIS TIME AS PER O. EWUMI_A. BERRET_02/23/2012---------------------------------------END</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</si>
  <si>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
FOLDER IN T. BORDMAN BOX_A. BERRET_02/17/2012</t>
  </si>
  <si>
    <t>RTA TO CREATE TEMPLATE FOR AMS SERVERS AND PCS</t>
  </si>
  <si>
    <t>757343</t>
  </si>
  <si>
    <t>Exxon Indonesia</t>
  </si>
  <si>
    <t>Quote Only - EZ-Gauge Surface equipment for Exxon Indonesia.  Main components in place, but need SKID mounted system.  Please see attached e-mails.
2012-02-20, TS:Still working. Awaiting quote for skid and assembly.
2012-02-27, TS: Dana to check status.</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</si>
  <si>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
2012-02-14 WM: An issue with DxDesigner part lister was addressed.  The CL is being generated.  2012-02-14 AB
2012-02-21 WM: Schematic to PCB transfer is in progress.  The design is in the finalization stage.  2012-02-21 AB
2012-02-28 WM: Design review was completed.  The meeting minutes were emailed.  All follow up actions are expected to be completed by March 15.  The PCB layout will be outsourced.  2012-02-28 AB</t>
  </si>
  <si>
    <t>759394</t>
  </si>
  <si>
    <t>All of our hybrid gauges run as single gauges have a dowel pin for support with the exception of the dual redundant gauge.  This came up in a meeting with Shell that they were concerned that their single dual redundant gauge would not have the support of a dowel pin.  We need to look into the possibility of adding this feature to all dual redundant gauges run in single gauge applications.  Shell is soon to place order for this.
2012-02-27, WM: Dual red. mountsub to be analyzed to determine feasibility of adding dowel pin and the best way to proceed with this issue.</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</si>
  <si>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
Review other Packer sizes could utilize similar gages.</t>
  </si>
  <si>
    <t>757399</t>
  </si>
  <si>
    <t>HES Germany</t>
  </si>
  <si>
    <t>Same As: 71SSS1; SFTY SYS STD RTA DESIGN REQ
Except: part number 101010289 and drawing 93FA138 need to be updated to show Norgren part number 11 002 013 2A.
change the top of the adjusting stem from a T bar to a knob.
Project Name: 
Special Quality Plan Required?: No
Material: 
Technical Support Deliverables:
Preliminary Design Specifications
Reference Assembly Drawing</t>
  </si>
  <si>
    <t>Placed in WD3 after discussions with Aswin. His group will take care of this internally - AGS 27 Feb 2012</t>
  </si>
  <si>
    <t>760905</t>
  </si>
  <si>
    <t>760914</t>
  </si>
  <si>
    <t>ECR-316436-00-01.On sheet 2 can the .63 scallop dimension be changed to .79 (20mm) with us moving the scallop ONLY pitch out by .08 to compensate.  
This will allow us to use a larger cutter to give us more reach down the body.
Okayed by Paul James with comment I do not have a problem with that.  probably helps tooling issues a lot.  
We will still have plenty of clearance for the bolt.  Effectively all that is happening is that the scallop is getting a bit wider. 18-03-2009
DESIGN FOLDER WITH T. BORDMAN_A. BERRET_02/22/2012------END</t>
  </si>
  <si>
    <t>CHANGE INTERNAL TEST PRESSURE VALUE IN FAT PROCEDURES AND DESIGN DATA SHEETS FOR 70XX MC1 PACKERS FROM 7500 PSI TO 5500 PSI (THE SS CONTROL LINE TUBES 313298-FC THAT SEE COLLAPSE PRESSURE DURING THE FAT ARE RATED ONLY TO 6000 PSI IN COLLAPSE AT AMBIENT)- RAVI VAYEDA
REVISE BURST AND COLLAPSE PRESSURE ON ALL 70XX PACKERS DDS AND AMS TO 5,000 PSI EACH (BASED ON SS CONTROL LINE TUBES) AS DISCUSSED WITH RAVI &amp; DAMON. (OEWUMI 23FEB12)</t>
  </si>
  <si>
    <t>759633</t>
  </si>
  <si>
    <t>ECR-9290-2831. At the VAM BOX thread end the description says PIN. Should say BOX.</t>
  </si>
  <si>
    <t>759885</t>
  </si>
  <si>
    <t>ECR- 9290-2793 REV A
WRONG MATERIAL IN MATERIAL SPEC BOX.
DIFFERENT TO BOM.</t>
  </si>
  <si>
    <t>760555</t>
  </si>
  <si>
    <t>760475</t>
  </si>
  <si>
    <t>REMOVE DDS (DESIGN DATA SHEET) FROM ASSEMBLY PARTS WHICH HAVE NEWLY-CREATED AMS SHEETS.</t>
  </si>
  <si>
    <t>damon.trahan@welldynamics.com</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</si>
  <si>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
DESIGN FOLDER WITH MARK-UPS PLACED IN T. BORDMAN BOX_A. BERRET_02/21_2012---------------------------------------END</t>
  </si>
  <si>
    <t>756682</t>
  </si>
  <si>
    <t>Requesting Assembly and Test doc. 309840-01-01 Rev.16 is updated to reflect the Internal body test as an optional but not required test for punch release packers. The premium connections are under warranty and do not require testing advisable by Paul James per email inserted. This change would also need to be made to the Spec. Sheet of the following material : 101832627,101935977,101917896,101915813,101849346,101838492. This change would eliminate hours thus decreasing the cost and help maintain the original integrity of the premium threads. Change to the Spec. Sheet would clear up questions with T.P.I. And Production. Christopher Vancamp 2-13-2012 
To Whom It May Concern,
I have asked this question a few times, Do we test Premium Connections? Tools typically affected are Gauge Mandrels for example  and Punch release packers to my current knowledge. Specifically material 101849346 has two premium connections. The setting Chamber is tested well in advance and charted. So my other question is why do a body test. A straddle is installed to protect the setting chamber from seeing pressure. Is the reason because the router,  procedure 309840-01-01 Rev. 16 page 19 and the Spec. Sheet calls out a internal body test. What are we testing? Typically in an KO HF1 we are checking the KO plugs, thus is why out test practices have reverted back to the flow of the procedure. Valves get an internal to check the Metal to metal seals or choke. The point is, are we testing the premium connections when we do an internal body test for a PUNCH RELEASE Packer? This is new territory and would like feedback. 
Thank you,
Christopher Vancamp
Elec./Mech. Technician
Night Shift Back-Up Lead
WD/Halliburton Completion Tools
Cell: 281-732-7486
Chris,
                I am probably as qualified as anyone to answer this question?..
                The answer to your question is that we do not require that premium connections be tested.  As this is a licensed geometry and carries a warranty from the manufacturer, it is not necessary to test the connections.  Further unnecessary torquing and removal of test caps shortens the life of the customer connections.
                There are a few product lines that require a body test ? This is mostly a hold-over from the old ways ? This is most notably gauge and chemical injection mandrels.  This will probably not change significantly in the near future, but it would probably be wise to work to eliminate this test.
                We do not body test valve integrations.
                For the knock-out plug packers, we are testing the knock-outs.  Arguably that could be done on the body-crossover prior to assembly if we wanted to go to that length.
                I agree that the body test on the punch release packers is a holdover and of little value.
Omotayo,
                Please get with Debra and see what (if any) ramifications there would be if we removed this from the punch release packer assembly instructions.  If there is no compelling reason to maintain the test, please remove it from the procedure.
                                Paul
IN ENG. DESIGN_A. BERRET_02/27/2012---------------------END</t>
  </si>
  <si>
    <t>756766</t>
  </si>
  <si>
    <t>M/N-102030585, Drawing D00436079-04 Rev.B
M/N-102030581, Drawing D00436071-03 Rev.B
Please change the material requirement from ES-MA-46-2 to AMS-5596 for Inconel 718 plate. I spoke will Paul James about this and he agrees that it will make material procurement for these parts much easier.</t>
  </si>
  <si>
    <t>For drawing D00425903 open up the all (3) .44 inch dia. counter sink holes by .010 inch. The new diameter should be .045 inches to allow the head to drop through.
Anthony Rivera 1/30/2012
FOLDER WITH T. BORDMAN_A. BERRET_02/20/2012-------------END</t>
  </si>
  <si>
    <t>ELEC and MECH - ICE - Non-Intrusive Flow Meter MOC</t>
  </si>
  <si>
    <t>758786</t>
  </si>
  <si>
    <t>ECR-9290-2846. O/DIA BLANKING DIMENSION FOR 7-29 TENARIS HYDRIL BLUE THREAD BOX COUPLING IS INCORRECT. 7.697  .000/-.047 SHOULD BE 7.697  .000/-.040.
------
2012-02-21 ST - SENT TO J. SEALE FOR CHECKING
------
2012-02-28 ST - SENT TO R. BAKHTIARY FOR APPROVAL</t>
  </si>
  <si>
    <t>ECR - Request drawing 304097-00-00 to be issued a material number and set up as a part in CWI. Also, see attached marked up drawing 304097-00-00 for suggested changes, by adding QPQ coating to part to reduce corrosion and galling of the ID thread during test.
FOLDER RETURNED TO T. BORDMAN_A. BERRET_02/15/2012_ END</t>
  </si>
  <si>
    <t>760014</t>
  </si>
  <si>
    <t>Adx Energy, Alpine Oil and Gas</t>
  </si>
  <si>
    <t>Same As: 71SSS1; SFTY SYS STD RTA DESIGN REQ
Except: Review Safety Panel Request Form submitted by Nassim for ADX Energy and Apline Oil and Gas.  Please advise if we have an existing panel design that will work or design a new panel to these specifications if we do not.
Project Name: 
Special Quality Plan Required?: No
Material: 
Technical Support Deliverables:
Preliminary Design Specifications
Reference Assembly Drawing</t>
  </si>
  <si>
    <t>760834</t>
  </si>
  <si>
    <t>Require engineering confirmation and dwg for combined gauge mandrel and cable protector running OD inside a 9 5/8in 53.5lb with a drift ID of 8.379 (api standard). Cable protector to be positioned 2 meters above the gauge mandrel and we are concerned that the combined offset will present a running OD outwith the ID of the casing. If this is the case, we would like a dwg illustrating a barretting angle that would allow the assemblies to fit.
Please find Shell Glider Running OD dwg attached as a barretting reference. Also attached is ref mandrel 9290-SCH2853 (7in 29lb dual ROC mandrel assy) and SCH-5961 (7in CCP).</t>
  </si>
  <si>
    <t>Next Generation ICV development
See requirements document.
ZEWO     103896446
Network  HTWF602103</t>
  </si>
  <si>
    <t>759824</t>
  </si>
  <si>
    <t>CHANGE INTERNAL TEST PRESSURE VALUE IN FAT PROCEDURES, AMS AND DESIGN DATA SHEETS FOR 96XX MC1 PACKERS FROM 7500 PSI TO 5500 PSI (THE SS CONTROL LINE TUBES 313298-FC THAT SEE COLLAPSE PRESSURE DURING THE FAT ARE RATED ONLY TO 6000 PSI IN COLLAPSE AT AMBIENT)- RAVI VAYEDA
REVISE BURST AND COLLAPSE PRESSURE ON ALL 96XX PACKERS DDS AND AMS TO 5,000 PSI EACH (BASED ON SS CONTROL LINE TUBES) AS DISCUSSED WITH RAVI &amp; DAMON. (OEWUMI 23FEB12)
IN ENG. DESIGN_A. BERRET_02/27/2012---------------------END</t>
  </si>
  <si>
    <t>ERIC.MORRELL@welldynamics.com</t>
  </si>
  <si>
    <t>Add position sensor simulator to the existing ramping gauge simulator software/hardware package.
ADD A SERIAL CABLE TO THE FINAL KIT</t>
  </si>
  <si>
    <t>760918</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</si>
  <si>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
2012-02-14 WM: Design meeting with AMC was held for capacitor quotes.  Mechanical engineering design for inductor-capacitor arranement has been conceptualized.  2012-02-14 AB
2012-02-21 WM: The schematic has been reviewed and has been placed in FTP site for CMAC.  The design from CMAC will be ongoing process followed by finalization of architecture.  2012-02-21 WM
2012-02-28 WM: CMAC have completed a preliminary part fit layout.  The schematic is being inherited into CMAC CAD database.  The test board for the power supply is being designed to verify functionality.  Sensor Design will be engaged during testing phase.  2012-02-28 AB</t>
  </si>
  <si>
    <t>TASK TO RELEASE NEW PARTS (HF1 PACKERS). ADD DRAWINGS TO RESPECTIVE PARTS. BOM NOT REQUIRED AT THIS TIME. UPON  PARTS RELEASE, THEY ARE TO BE PLACED ON TECHNOLOGY HOLD AS PER P. JAMES
IN ENG. DESIGN_A.BERRET_02/28/2012----------------------END</t>
  </si>
  <si>
    <t>758813</t>
  </si>
  <si>
    <t>To Create a HSB 2 7/8 HS ICV with Digi hydraulics and accupulse modules in 4140/718 material. HS series numbering will be 226HDAF07285U (A-F)</t>
  </si>
  <si>
    <t>SPLT=126 PLM requested requirements document from submitter.  2/21/12 DM  Emailed submitter for requirements document.  2/28/12 DM</t>
  </si>
  <si>
    <t>760944</t>
  </si>
  <si>
    <t>Total AWYN</t>
  </si>
  <si>
    <t>5in 23.2ppf, 13Cr 85Ksi, VT Chemical Injection Mandrel.
13CR 85ksi Vam Top x Vam Top
1/4 control line- 9 5/8 53.5lb Casing
1/4 FMJ-H for control line connection to the CV 
Coated Mandrel ID- Coating Material to be confirmed
Mandrel to be supplied Filter sub for down-hole filtration.</t>
  </si>
  <si>
    <t>SPLT=126 Emailed submitter re: AIS date and quality identifier.  2/28/12 DM</t>
  </si>
  <si>
    <t>Kelechi Ezennaya@halliburton.com</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</si>
  <si>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
FOLDER IN T. BORDMAN BOX_A. BERRET_02/16/2012-----------END</t>
  </si>
  <si>
    <t>757314</t>
  </si>
  <si>
    <t>Need to get GUIs updated for Accupulse Test Station.  We currently have an order for a test station, and need to get the software completed to work with the system.  The Think and Do software we have needs to be upgraded, and the GUIs are not transferrable to the new version.</t>
  </si>
  <si>
    <t>ELEC - eSSSV Development
2012-02-07 WM: Review of the design is under progress.  Surface unit design is being evaluated and necessary test equipment are being procured. 2012-02-07 AB
2012-02-14 WM: Review meeting is being held in Carrollton on the roadmap for eSSSV project.  The surface unit and downhole PCB assembly are being tested for handover of design to Joseph.  2012-02-14 AB
2012-02-21 WM: The meeting was completed and a road map to trial well followed by electronics redesign.  The project kick off will be held in March.
2012-02-28 WM: The surface equipment, downhole PCB testing and MCM design specification are being conceptualized.  The project kick off is on schedule to be in March.  2012-02-28 AB</t>
  </si>
  <si>
    <t>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</si>
  <si>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Drawing W.304236-00-00 Rev.J
17 associated material numbers.
Please add a note to the drawing that states,
KEEP ALL 6 PIECES TOGETHER AS A MATCHED SET.
FOLDER IN T. BORDMAN BOX_A. BERRET_02/15/2012_END</t>
  </si>
  <si>
    <t>M/N-102081455, Drawing 313771-10-01 Rev.A
Please move the triangle NOTE 1 at the diameter dimension 3.5995/3.6000 to the length dimension 2.85.
FOLDER IN TRAVIS BOX FOR DISTRIBUTION_A.BERRET_02/15/2012</t>
  </si>
  <si>
    <t>756692</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</si>
  <si>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t>
  </si>
  <si>
    <t>ECR 307019 00 01 PLEASE ADD THE CORRECT BLANKING DIMENSIONS FOR THE NSCC THREAD. SEE ATTACHED EMAIL.
FOLDER IN T. BORMAN BOX_A. BERRET_02/21/2012------------END</t>
  </si>
  <si>
    <t>758582</t>
  </si>
  <si>
    <t>Design Circle - 5.5IN 26 ppf 125 ksi 3/8IN Check Valve
I need a design circle for 5.5IN 26PPF Inconel 718 125Ksi VAM Top KP CIM with a 3/8IN check valve installed and bypass slots for 3/8IN encapsulated control lines on either side of the mandrel.
------
2012-02-23 ST - SENT TO M. GUY FOR CHECKING</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</si>
  <si>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
2012-02-07 WM: A consultant will be engaged on this project in February.  2012-02-07 AB
2012-02-28 WM: A low level debugger action has been initiated.  A Linux based debugger is in the works.  2012-02-28 AB</t>
  </si>
  <si>
    <t>ECR 316850-00-01 REV B CAN THE LENGTH OF THE NATIONAL THREAD BE ADDED BACK IN TO DRAWING. LENGTH SHOWS AS BEING 3.95 INCHES IN REV 1
FOLDER IN T. BORDMAN BOX_A. BERRET_02/17/2012</t>
  </si>
  <si>
    <t>759408</t>
  </si>
  <si>
    <t>ECR - Change the MAX. HYDRAULIC PRESSURE from 10,000PSI to 7,500 PSI on the Design Data Sheet 216H000745U1O00
FOLDER IN ENG. DESIGN_A. BERRET_02/24/2012--------------END</t>
  </si>
  <si>
    <t>ECR - request a new part number pre-swage tool, new design. Please find the attached red-lined drawing to create new pre-swage tool for shop use in Spring. The handle is longer and thicker to make use easier.
DESIGN FOLDER WITH T. BORDMAN_A. BERRET_02/23/2012------END</t>
  </si>
  <si>
    <t>759196</t>
  </si>
  <si>
    <t>ECR-9290-2496 (597044 and 102135263)The drg calls up spec A-213. The BOM calls ES-MA-20-31.  Can the BOMs and drg be changed to call up spec ES-MA-89-4 as the L80 13Cr for this Gauge Mandrel is difficult to source.</t>
  </si>
  <si>
    <t>CHANGE DRG 315685-02-01 TO HAVE THE MIN WALL THICKNESS ADDED AND RUN OUT TOL TO THE SAME AS ON DRGS 315685-00-01- AND -01-01.
FOLDER WITH T. BORDMAN_A. BERRET_02/20/2012-------------END</t>
  </si>
  <si>
    <t>M/N-593899 Drawing 313151-00-01 Rev.D and M/N-593901 Drawing 313152-00-01 Rev.C
Please update the End and Center Element drawings to reflect the approved dimensional deviations for Custom Rubber Products. Please reference attached deviations...
FOLDER RET. TO T. BORDMAN_A. BERRET_02/20/2012----------END</t>
  </si>
  <si>
    <t>758628</t>
  </si>
  <si>
    <t>Please create a SAP number for an unthread mandrel of 597044.  Order has been submitted and is due in April.  Need part number released ASAP.</t>
  </si>
  <si>
    <t>4 1/2 inch Multi-Conductor Electro-Hydraulic Disconnect Development for Maersk Qatar
ZEWO     103898982
Network  HTWF602098</t>
  </si>
  <si>
    <t>759860</t>
  </si>
  <si>
    <t>Same As: A5500-W02-S2-SM1; 5-1/2IN CBL PRTR ASSY JFE BEAR - SM1
Except: I need an SAP number for the GCDT 41/2 LT Protectors. Quote and drwg as attached.
Tech Start Date is in the past
Project Name: Angsi
Special Quality Plan Required?: No
Material: (16) Customer Supplied - Supply detail in description
Mating Infomation:</t>
  </si>
  <si>
    <t>759861</t>
  </si>
  <si>
    <t>Same As: A5500-W02-S2-SM1; 5-1/2IN CBL PRTR ASSY JFE BEAR - SM1
Except: 31/2 HD Protectors from GCDT. Quote and drwg as attached
Tech Start Date is in the past
Project Name: Angsi
Special Quality Plan Required?: No
Material: (16) Customer Supplied - Supply detail in description
Mating Infomation:</t>
  </si>
  <si>
    <t>760681</t>
  </si>
  <si>
    <t>Same as 102089847  3.5 Shrouded HSB ICV w/multi purpose fitting kit except:
Change trim to D00548300-01
Process as ECN- See attached trim info
Original valve design on RTA 712290</t>
  </si>
  <si>
    <t>Kevin Wood</t>
  </si>
  <si>
    <t>Kevin.wood2@halliburton.com</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</si>
  <si>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
2012-01-24 WM: The design review for metallization layer for second round of ASIC was completed.  The ROC-X automated testing is in conceptual stage. 2012-01-24 AB
2012-01-31 WM: XFAB is manufacturing second batch of ASIC.  The bug fixes were analyzed and accepted.  The ASIC is expected to be delivered on Feb 14.  A QD Simulator will be procured for testing from Avanti. 2012-01-31 AB
2012-02-07 WM: Prototype hybrids are being built and expected to be delivered in February.  Test kit will be assembled for prototype testing. 2012-02-07 AB
2012-02-14 WM: The hybrids are expected to be delivered on Feb 24th.  The simulators from Avanti are being evaluated.  Avanti simulators will be used for ROC-X hybrid testing.  The QD ASIC will be used to build the transducer simulator later.  2012-02-14 AB
2012-02-21 WM: The simulator PCB schematic has been completed.  ASIC are on order for the simulator.  The Hybrids are due this week and testing will be started next Monday.  2012-02-21 AB
2012-02-28 WM: ROC-X hybrid test at ambient was completed successfully.  The TX Main fix on second batch of ASICs was verified by Quartzdyne.  Test kits builds will be started and an open lid Hybrid will be probed for characterization.  2012-02-28 AB</t>
  </si>
  <si>
    <t>760700</t>
  </si>
  <si>
    <t>ECR D00591417 REV A. THE 8.0-8 STUB ACME PIN THREAD SHOULD HAVE-LEFT HAND THREAD ON THE THREAD CALL OUT.</t>
  </si>
  <si>
    <t>758588</t>
  </si>
  <si>
    <t>758637</t>
  </si>
  <si>
    <t>ECR TO ADD MISSING DIMENSIONS PER EMAIL</t>
  </si>
  <si>
    <t>757463</t>
  </si>
  <si>
    <t>ECR-9450-2400 DRG HAS A BORE DIMENSION FOR THE 5.75-10 ACME THREAD AS 5.625 +.002-.000. THIS CAN NOT BE ACHIEVED AS THE BORE TOLEARANCE FOR THIS THREAD IS 5.6550-5.6500.</t>
  </si>
  <si>
    <t>Description:  UPDATE DRAWINGS 312660-00-01, 312087-00-01 AND 311046-00-01;
TASK 724775 HAS COMPLETED THE REQEUST ABOVE, PLEASE CANCEL RTA. (OEWUMI 14FEB12)
TSG NOTES 021412 RCVD FILE TO BE PROCESSED. TO BE CANCELLED REF. TASK NUMBER 724775. (KEN) END</t>
  </si>
  <si>
    <t>759385</t>
  </si>
  <si>
    <t>ECR - TEST CELL CAPABILITY CHART - Request that a chart be created that provides details of the pressure limitations, lengths of casings, insided diameters and other necessary information to determine capability of the test cell. Paul Lively 2/22/12</t>
  </si>
  <si>
    <t>For drawing 308091-09-01, section (N-N) requires a call out change. Change it from 33/18 to 33/9. This reflects a shorter screw length for item 9 that will avoid protrusion in the assembly.
IN ENGINEERING DESIGN_A. BERRET_02/24/2012--------------END</t>
  </si>
  <si>
    <t>SPLT=112 Emailed submitter re: completion date and clarification of Code 4 shift sleeve metallurgy.  2/21/12 DM</t>
  </si>
  <si>
    <t>ECR-031092-12-01 SHEET 2 GRID REF E9. 3/8-24 UNC HOLES SHOULD BE 3/8-14 UNF.
FOLDER IN T. BORDMAN BOX_A. BERRET_02/15/2012_END</t>
  </si>
  <si>
    <t>758402</t>
  </si>
  <si>
    <t>CNR Ivory Coast</t>
  </si>
  <si>
    <t>5.5 - 17 TSH Blue ROC 150 Mand.
Same As: 9290-2479; MANDREL ASSY 5-1/2 17 ROC-S TENARIS BLUE
Except: This RTA is required for a ROC 150 gauge mandrel with tenaris blue thread and 5.5 inch size connection. The gauge to be used with the mandrel is a ROC 150 dual redundant gauge to measure tubing only.
Tech Start Date is in the past
Project Name: Espoir
Special Quality Plan Required?: No
Material: (7) 13 CR 80 MY 22HRC (ES-MA-58-7)
Mating Infomation:
Work With item with Part Number 9381-6142
2012-02-27, WM: Assign to James, class B</t>
  </si>
  <si>
    <t>ECR-D00515022. Missing dimension on sheet 2 grid ref G3 for position and width of radial slot. Taken dimension from solidworks drg as 2.16 and .77 wide.
FOLDER PLACED IN T. BORDMAN BOX FOR DISTRIBUTION_A. BERRET_02/15/2012---------------------------------------END</t>
  </si>
  <si>
    <t>Upper Level M/N-101840913 Carrier, Inner Carbide Assy.
M/N-101840320, Drawing D00390756 Rev.C
Please change the 7X 2.899/2.901 reference OD at the right side of DETAIL-B to 7X 2.8995/2.9000, leave the triangle 1 associated with this dimension.
FOLDER IN T. BODMAN BOX FOR DISTRIBUTION_A. BERRET_02/15/2012</t>
  </si>
  <si>
    <t>756691</t>
  </si>
  <si>
    <t>Same As: 101678747; DSPL,BEKA,PNL MTD,IS,SER TEXT
Except: Adjust Single Well Application software to handle an option of degrees C and Bar in the display.
Project Name: Grane
Special Quality Plan Required?: No
Material: 
Mating Infomation:
Work With item with RTA Number 00000682094</t>
  </si>
  <si>
    <t>760673</t>
  </si>
  <si>
    <t>Same as 102091428 3.5 HSB ICV w/deflector except:
Change trim to D00548300-01
Process as ECN- See attached trim info
Original valve design on RTA 712307</t>
  </si>
  <si>
    <t>UPDATE DRAWING W.302548-00-00 PER CWI STANDARDS. UPDATE ALL CORRESPONDING PARTS WITH W. PREFIX
TSG NOTES 022812 RECD FOR PROCESSING (GMC) END</t>
  </si>
  <si>
    <t>760762</t>
  </si>
  <si>
    <t>REVISE MN 101873800 TO CHANGE WORKING PRESSURE TO 7.5K.  
HS VALVE ITSELF IS GOOD FOR 10K, BUT THE INTEGRATION IS LIMITED TO 7.5K DUE TO 9.20 LB/FT VAM TOP THREADS.
ALSO ADD SPLICE KIT TO BOM TO TERMINATE THE POSITION SENSOR PIGTAIL IN THE NON-ACTIVE HALF.  A NEW 25CR NON-ACTIVE HALF (D00409422-NL) WILL NEED TO BE CREATED.</t>
  </si>
  <si>
    <t>M/N-591124 and 591126, Drawing W.302243-00-00
Please remove the 6.995/7.000 dimension as this is not necessary for manufacturing the part and meeting geometry requirements.
FOLDER IN T. BORDMAN BOX FOR DISTRIBUTION_A.BERRET_02/15/2012------------------------END</t>
  </si>
  <si>
    <t>DH 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</si>
  <si>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SPLT=84 On hold waiting for quality requirements to be agreed by submitter.  1/8/12 DM  2/20/2012 DM, follow up with Valerie for status update</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</si>
  <si>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
2012-01-24 WM: The functionality has been tested.  The digital functionality is being finalized.  The final layout will be completed and will be used for qualification.  2012-01-24 AB
2012-01-31 WM: The optimization of the power supply is being further investigated by Sensor Design.  The schematic has been updated and the IWIS card is in a state similarto previous generation.  The firmware updates will be addressed after finalizing the specifications with PLM. 2012-01-31 AB
2012-02-07 WM: The optimization of power supply will be worked on this week.  The optimized design will be held in design folder.  2012-02-07 AB
2012-02-14 WM: The power supply optimization and TDR implementation is continuing.  2012-02-14 AB
2012-02-21 WM: Sensor Design is testing the optimization.  The firmware testing to verify all functionality similar to previous IWIS cards has been completed.  2012-02-21 AB
2012-02-28 WM: Sensor Design are currently working on AEM power supply.  IWIS optimization will be picked up after AEM power supply design has been completed.  2012-02-28 AB</t>
  </si>
  <si>
    <t>42: SPLT=154 Well cancelled.  Design far enough along it will be completed for future needs. 4/18/11 DM</t>
  </si>
  <si>
    <t>The assembly requires two (P/N 313566-00 SAP 594282) key stocks.  The BOM Drawing, 313285-02-01 Rev. 2 Item 42, only has a qty of one.  Reference parts; (Upper Body 316310-00-01 Section P-P)and (Lower Body 316309-00-01 Detail C).  There needs to be two keys to secure the two bodies together.
FOLDER IN T. BORDMAN BOX_A.BERRET_02/15/2012 END</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</si>
  <si>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
ZEWO  103896444
Network  HTWM602104</t>
  </si>
  <si>
    <t>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
2012-02-03, TS: Requested original design. to be reviewed today. Same as 753074
2012-02-08, TS: To be sent out for quote on 02-17
2012-02-20, TS: Design review on Wednesday
2012-02-24, TS: Design review on Tuesday the 28th.
2012-02-27, TS: Due to workload push back design review to Tuesday March 6.</t>
  </si>
  <si>
    <t>15: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 Jay to follow up onAIS date.2/20/12 DM</t>
  </si>
  <si>
    <t>40: SPLT=N/A On design hold waiting for designs by Carrollton FC. RTA 707224-718 Landing Nipple, 707227-718 Lock Mandrel, 707231-718 Equalizing Valve/Prong.  8/22/11 DM Pushed out AIS date and TRDD per P James.  9/20/11 DM</t>
  </si>
  <si>
    <t>41: SPLT=N/A On design hold waiting for designs by Carrollton FC. RTA 707224-718 Landing Nipple, 707227-718 Lock Mandrel, 707231-718 Equalizing Valve/Prong.  8/22/11 DM Pushed out AIS date and TRDD per P James.  9/20/11 DM</t>
  </si>
  <si>
    <t>39: SPLT=N/A  On design hold waiting for designs by Carrollton FC. RTA 707224-718 Landing Nipple, 707227-718 Lock Mandrel, 707231-718 Equalizing Valve/Prong.  8/22/11 DM Pushed out AIS date and TRDD per P James.  9/20/11 DM Revised AIS and TRDD per P James.  10/5/11 DM</t>
  </si>
  <si>
    <t>38: SPLT=N/A On design hold waiting for designs by Carrollton FC. RTA 707224-718 Landing Nipple, 707227-718 Lock Mandrel, 707231-718 Equalizing Valve/Prong.  8/22/11 DM Pushed out AIS date and TRDD per P James.  9/20/11 DM Revised AIS and TRDD per P James.  10/5/11 DM</t>
  </si>
  <si>
    <t>DH 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
2012-02-20, WM: Dana to place into desgin hold and follow up on most recent attached email</t>
  </si>
  <si>
    <t>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  Emailed Colton again for response.  2/250/12 DM</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</si>
  <si>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
2012-02-20, WM: Rameen to get with Jim and contact submitter</t>
  </si>
  <si>
    <t>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  2/20/2012 DM: Place in design hold; design circle does not fit</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</si>
  <si>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2012-02-28 WM - Qty 2 PCB assembled and conformal coated for evaluation.  A document highlighting all testing requirements have been started.  Visual inspection, voltage rails tests, programming and communication establishment has been performed.  A review meeting will be scheduled this week for sign off on Gate 3 and Gate 4.  2012-02-28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
2012-01-24 WM: The PCB Assemblies for testing is expected to come in during first week of March.  2012-01-24 AB
2012-01-31 WM: The delivery date will be confirmed this week for Qty 2 PCB assemblies Untested and conformal coated. 2012-01-31 AB
2012-02-07 WM: Hunting Innova have not confirmed a delivery date.  This is expected to be by first week of March.  Characterization and long term testing will be started once the boards are delivered.  2012-02-07 AB
2012-02-14 WM: Hunting Innova have started the assembly.  The delivery is expected to be on schedule.  Qty 5 PDGIC PCB assembly is ready for qualification testing.  2012-02-14 AB
2012-02-21 WM: Hunting innova confirmed delivery by end of February.  Testing will commence as soon as the Qty 2 PCBA are received.  2012-02-21 AB</t>
  </si>
  <si>
    <t>3: OPC interface document received from Aker, PLC logic change review meeting has been performed and project plan has been updated to include all steps required for project completion - AGS 7/31/11  Anticipate completion mid March 2012.  11/14/11 DM  2012-02-21 AGS: Added new project schedule for software configuration and testing of software</t>
  </si>
  <si>
    <t>1: SPLT=N/A    Dan/Josh to be ready for vendor quote by 12/31.  11/28/11 DM  Documentation to be completed and forwarded to Ted for approval.  1/16/12 DM  Submitter asked for revision of technical report.  Mtg to review 1/24.  1/23/12 DM  T Soules to approve and push.  2/13/12 DM</t>
  </si>
  <si>
    <t>43: SPLT=N/A</t>
  </si>
  <si>
    <t>SPLT=168  Emailed submitter and requested a requirements document.  10/27/11 DM  Recd and attached requirements document.  11/2/11 DM  Placing on design hold until field supplies metallurgy confirmation per S Saldanha.  12/9/11  DM  Cancelling per attached email from S Saldanha.  2/22/12 DM</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</si>
  <si>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 Cancelling per attached email from S Saldanha.  2/22/12</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</si>
  <si>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
2012-02-08, TS: Drawings to be sent to FM today. Meeting Friday.
2012-02-14, TS: Creating spreadsheet for components. FM is coming to vist on 5th. Meeitng to be set up with QAN person at FM
2012-02-20 TS: Dan about halfway done with table. FM sent quote for certification. To be started after evaluation with FM week of March 5.
2012-02-24, TS: Kelley creating NDA for FM. Ted to call and confirm their visit on March 5.</t>
  </si>
  <si>
    <t>11: SPLT=196 @@ Dan working on design and will contact SIRA for ATEX certification once design is complete.  11/28/11 DM  Waiting for Lorimer quote with ATEX certification.  12/9/11 DM  Ted sending info to alternate ATEX approved supplier.  1/16/12 DM  Mtg w/FM 1/24.  1/23/12 DM  FM coming to Spring to assess sample of our systems week of 3/5.  FM to set up design control meetings with T Soules and D Hickman. Dan preparing table of ATEX cert requirements. 2/13/12 DM</t>
  </si>
  <si>
    <t>Review attached Control Panel designs.  create new halliburton designed panels with same or equal inputs and outputs.  Bid Due date has not been advised at this time.
2012-01-03 Still awaiting response from field. Rta needs to be put on DH
2012-02-08, TS: take off design hold. RObert T. and Hakeem to review drawings and complete design. ready to be sent out for quote by March 2.
2012-02-15, TS: Started working again. will schedule a design review tomorrow.
2012-02-20, TS: will have design review this week.
2012-02-24, TS; will have design review as time allows.
2012-02-27, TS: Design review tomorrow 02-28</t>
  </si>
  <si>
    <t>6: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 Design review this week. .  2/13/12 DM. Jay to follow up with AIS date. 2/20/2012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</si>
  <si>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
2012-01-24 WM: SolidWorks documentation was reviewed, expected completion end of this week.  CWI BOM will be reviewed this week. 2012-01-24 AB
2012-01-31 WM: The review was completed on the Assembly Drawing and on AC-DC Detector Circuit.  The part structure was checked.  The project will near prototyping after completion of PDGIC upgrade RTA.2012-01-31 AB
2012-02-07 WM: PDGIC customization RTA and ECR on cable simulator has placed this project on hold.  This will be restarted by end of this week.  2012-02-07 AB
2012-02-21 WM: All parts for prototyping are on order or purchase requests have been created.  All documentation has been updated and loaded in CWI.  The AD red lines will be provided to Josh after prototyping.  2012-02-21 AB
2012-02-28 WM: All purchase requests have been released along with overlay and purchase parts.  Hai has been setup to test the AC DC Detector and DC power PCB assembly.  Rack Mount XPIO and Dual Power XPIO will be worked on simultaneously.  2012-02-28 AB</t>
  </si>
  <si>
    <t>SPLT=140  Attached updated requirements document reflecting thread changes to Tenaris Blue.  11/17/11 DM  Placing on design hold until field supplies metallurgy confirmation per S Saldanha.  12/9/11 DM  Cancelling per attached email from S Saldanha.  2/22/12 DM</t>
  </si>
  <si>
    <t>Same As: 235SF0967018-SB2; CLP,SPLC,9670,13CR,7-29.00 VAMTOP  -SB2
Except: 1. Six Slots Required
2. 4 hyd.lines x 1/4 0,049 WT Inc 825, 1 hyd.line x 3/8 Inc 825, 1 el.line x 1/4 0,035 WT Inc 825
3. SB2 Qulaity Plan Required.
Tech Start Date is in the past
Project Name: Visund South
Special Quality Plan Required?: Yes
Quality Plan Identifier: SB2
Material: (9) 13 CR 105 MY 35 HRC (ES-MA-585)
Mating Infomation:
TSG NOTES 022712 RECD FOR PROCESSING; QUALITY PROVIDED DRAWING FOR MARK UP (GMC) END</t>
  </si>
  <si>
    <t>35: SPLT=140  Emailed submitter regarding 5/12/12 delivery date per PMT. Waiting for confirmation from field to change AIS date.  1/19/12 DM Confirmation from field to push AIS date-email attached. 1/20/12 DM  Emailed submitter for splice orientation details.  1/25/12 DM  Customer markup of splice orientaiton attached.  1/26/12 DM</t>
  </si>
  <si>
    <t>12: @@ SPLT=168 Emailed submitter regarding 9/1/12 delivery date per PMT. Waiting for confirmation from field to change AIS date.  1/19/12 DM</t>
  </si>
  <si>
    <t>13: SPLT=168 @@ Emailed submitter regarding 9/1/12 delivery date per PMT. Waiting for confirmation from field to change AIS date.  1/19/12 DM Emailed Marius regarding shroud adapter threads.  2/20/12 DM Submitter confirmed threads. Design proceeding.  2/21/2012 DM</t>
  </si>
  <si>
    <t>Not required for order
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</si>
  <si>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2: SPLT=168 @@ Emailed submitter regarding 9/1/12 delivery date per PMT. Waiting for confirmation from field to change AIS date.  1/19/12 DM</t>
  </si>
  <si>
    <t>17: SPLT=168 Emailed submitter regarding 9/1/12 delivery date per PMT. Waiting for confirmation from field to change AIS date.  1/19/12 DM EMailed submitter re: splice orientation.  2/13/12 DM</t>
  </si>
  <si>
    <t>14: SPLT=168 @@ Emailed submitter regarding 9/1/12 delivery date per PMT. Waiting for confirmation from field to change AIS date.  1/19/12 DM</t>
  </si>
  <si>
    <t>6: SPLT=140</t>
  </si>
  <si>
    <t>33: SPLT=168  Changed AIS date per PMT.  Need to finish design asap for field design reviews.  1/13/12 DM</t>
  </si>
  <si>
    <t>34: SPLT=168  Called submitter re: attached email from S Saldanha. Left message.  1/16/12 DM  Emailed submitter re: AIS date...well completing end of Oct,2012. 2/21/12 DM</t>
  </si>
  <si>
    <t>Control System - 6 Well SHS
Same As: C05SHS36310100; SHS 6 WELL,460/3/60,AUTO,ATEX,6K,BSP
Except: Request for creating MN for a 6well SHS for CPWJ40. Please refer to attached document for specifications. Note that this item needs to be same as MN 101893613 but with qty 6x 5Line WCMs101875079
Tech Start Date is in the past
Project Name: CPWJ40
Special Quality Plan Required?: No
Material: 
Mating Infomation:
2012-01-26, DC: BOM/ Part Structure should be complete in CWI.  Just need to update the SHS-level drawings.
2012-01-30, WM: Complete drawing for six well cabinet with six WCMs -Josh
2012-02-01, TS: Design Review on Wed Feb 8.
2012-02-08, TS: Design Review today.
2012-02-15, TS: To Ted to approve
2012-02-20, TS: Changed from cabinet with 6 modules to cabinet with 2 modules. Drawings and BOMs being changed.
2012-02-24, TS: should be ready to be sent for approval Monday. Check on fiber-ethernet issue.</t>
  </si>
  <si>
    <t>8: SPLT=126 Design should be released by end of week.  2/13/12 DM</t>
  </si>
  <si>
    <t>Safety System - Quote Only - Achimgaz
Same As: 71SSS1; SFTY SYS STD RTA DESIGN REQ
Except: Redesign Six Achimgaz systems as per Olga s instructions and obtain quotes.
No due date advised.
Project Name: 
Special Quality Plan Required?: No
Material: 
Technical Support Deliverables:
Preliminary Design Specifications
Reference Assembly Drawing
2012-02-03; TS, Assigned to Josh. Initial design reveiw with changes next Friday 02-10
2012-02-08: TS, Awaiting on vendors for information Preliminary design review scheduled for Firday 02-10.
2012-02-15: TS, Sent out for quote. asked for quotes to be returned Monday. Finishing list of changes to be sent to Olga by Friday.
2012-02-20: TS, Quotes due in Wed
2012-02-24, TS, Still awaiting quotes. Should have today.
2012--02-27, TS, Add quotes to project file and release.</t>
  </si>
  <si>
    <t>5: SPLT=N/A Waiting for vendor quotes.  Initial design review held.  2/13/12 DM</t>
  </si>
  <si>
    <t>Same As: 71SSS1; SFTY SYS STD RTA DESIGN REQ
Except: Please redesign 71ZZ3107, 71ZZ3108, 71ZZ3109, 71ZZ3110 as per Chandrans
attached email dtd feb. 1 see attached
Bid due date Feb 16.
Project Name: 
Special Quality Plan Required?: No
Material: 
Technical Support Deliverables:
Preliminary Design Specifications
Reference Assembly Drawing
2012-02-03: TS, assign to Hakeem. Due date 2-16
2012-02-08: TS, Send out for quote on Friday 02-10. Request one week extension.
2012-02-15: TS, Received extension till the 23rd. To be sent out for quote Friday Feb 17.
2012-02-20: TS, design review first thing in morning. Will ask for extension after assessment.
2012-02-24: TS, quotes due in on 28th. T. soules to responde to Chandrans e-mail.
2012-02-27: TS, responded to E-mail. awaiting a response.</t>
  </si>
  <si>
    <t>7: SPLT=N/A Recd extension to 2/23.  Design in process.  2/13/12 DM</t>
  </si>
  <si>
    <t>QUOTATION ONLY
Same As: 71SSS1; SFTY SYS STD RTA DESIGN REQ
Except: Update drawing package for 71PP3
Project Name: 
Special Quality Plan Required?: No
Material: 
Technical Support Deliverables:
Preliminary Design Specifications
Reference Assembly Drawing
02-08-2012, TS: Redesign should be ready to be sent out for quote on Friday 02-10.
02-15-2012, TS: wrote e-mail to Khaled El-Amir for clarifications yesterday. Awaitng response.
02-20-2012, TS: no response. resent e-mail today.
02-27-2012, TS: sent out quote to customer. Need to close out RTA.</t>
  </si>
  <si>
    <t>14: SPLT=N/A  Out for quote.  2/13/12 DM</t>
  </si>
  <si>
    <t>24: SPLT=N/A  Emailed submitter for clarification. RTA description conflicts with requirements document.  2/13/12 DM  Emailed submitter to confirm single line.  2/20/12 DM</t>
  </si>
  <si>
    <t>Same As: 71SSS1; SFTY SYS STD RTA DESIGN REQ
Except: Set up Haskel pump model no. 4B55, Otis legacy P/N 93ST1532 with SAP P/N.
Project Name: 
Special Quality Plan Required?: No
Material: 
Mating Infomation:
2012-02--08, TS: Send to be checked tomorrow. To be sent to TSG by Friday 02-10
2012-2-24, TS: sent e-mail to Chandran to clarify pump requirement. Awaiting response.</t>
  </si>
  <si>
    <t>11: To T Soules to approve.  2/13/12 DM</t>
  </si>
  <si>
    <t>Chemical Injection Mandrel with 3/8 inch Check Valve.  
4 1/2 inch 12.6lb VAM TOP BxP, 
with (2) bypass slots to secure 1 each 11 mm TEC line
Material Inc 718
SE-1 Quality Plan
2-09-2012 MG - Assigned to Mark for design.
2-13-2012 MG - Design complete.
2-14-2012 MG - Forward to Sam for checking
------
2012-02-14 ST - SENT BACK TO M. GUY FOR CORRECTIONS
2012-02-14 MG - CORRECTIONS COMPLETE, FORWARD TO SAM FOR FINAL CHECK</t>
  </si>
  <si>
    <t>SPLT=168  Emailed submitter re: AIS date...well completing end of Oct,2012. 2/21/12 DM  Placing on hold per attached email from field.  2/22/12 DM</t>
  </si>
  <si>
    <t>37: SPLT=N/A</t>
  </si>
  <si>
    <t>757064</t>
  </si>
  <si>
    <t>Shell Europa</t>
  </si>
  <si>
    <t>4IN 13.2PPF S13CR110Ksi Class B VAM DRS Chemical Injection Mandrel. 1/2IN Chemical Injection. No bypass slots. SE1 Quality Plan. EDS Required. EFD Required. CERT Documentation Required.
2012-02-20, WM: Assign to James, class B; std. lead time.</t>
  </si>
  <si>
    <t>757062</t>
  </si>
  <si>
    <t>4IN 13.2PPF S13CR110Ksi MY Class B VAM DRS Gauge Mandrel to suit ROC 175 20Ksi rated Fully Redundant Gauge Assembly. This mandrel should have bypass slots to accommodate 0.66IN Control Line. SE1 Quality Plan. EDS required. EFD required. CERT Documentation required.
2012-02-20, WM: Assign to Mark class B; standard lead time
2012-02-21, MG: Design complete, forward to James for checking
2012-02-23, J. SEALE checking completed small changes, sending back to M. GUY for correction.
2012-02-24, MG: Changes complete, forward to James for checking corrections.
2012-02-24, J. SEALE sending to R. BAKHTIARY for approval</t>
  </si>
  <si>
    <t>17: SPLT=98 @@</t>
  </si>
  <si>
    <t>756490</t>
  </si>
  <si>
    <t>mark.bedry@halliburton.com</t>
  </si>
  <si>
    <t>757556</t>
  </si>
  <si>
    <t>1/4 OD x 0.049 WT Alloy 825 welded?? &amp; cold drawn annealed tubing
Encapsulated as 11mm 11mm in red TT260 thermoplastic, 800 ft
TUBE TEC	T-17562</t>
  </si>
  <si>
    <t>Emailed submitter for requirements document again.  2/21/12 DM Emailed submitter with third request for requirements document.  2/28/12 DM</t>
  </si>
  <si>
    <t>Ray Taylor</t>
  </si>
  <si>
    <t>Ray.taylo2r@halliburton.com</t>
  </si>
  <si>
    <t>757068</t>
  </si>
  <si>
    <t>Shell Olympus</t>
  </si>
  <si>
    <t>4IN 13.2PPF S13CR110Ksi Class B VAM DRS Gauge Mandrel to suit ROC 175 25Ksi Fully Redundant Gauge. Bypass slots to accommodate bare 3/8IN Control Line. SE1 Quality Plan, EFD required. EFS required. CERT documentation required.
2012-02-20, WM: Assign to James, class B; std. lead time.</t>
  </si>
  <si>
    <t>756903</t>
  </si>
  <si>
    <t>Woodside Australia</t>
  </si>
  <si>
    <t>DH SAP PART NUMBER REQUIRED
In order to supply a proposal to Woodside for 14 off EFS stsyems a SAP number is required for the new tubing hnager connector.
The Tronic part number is DHCE-B36-BD-01P-1534-135.
The deatiled drawing will be supplied when released by Tronic.
The unit cost as per Tronic Quote is 21,727
021412 PRE-RELEASED PART REQUESTED AND RELEASED REF 102133441 DSH
2012-02-20, WM: Assign to Sam, class A; standard lead time</t>
  </si>
  <si>
    <t>756694</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</si>
  <si>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
2012-2-20, TS: Dan to send e-mail to Keith Wee to clarify requirements.
2012-02-24, TS: still working Keith to get specifications clarified.</t>
  </si>
  <si>
    <t>10: SPLT=126</t>
  </si>
  <si>
    <t>757067</t>
  </si>
  <si>
    <t>4IN 13.2PPF S13CR110Ksi Class B VAM DRS Chemical Injection Mandrel using 3/8IN Check Valve. No bypass slots. SE1 Quality Plan. EFD required. EDS required. CERT documentation required. Update: 02/16/2012 - According to Shell Completion Engineer, we will need to make the running OD of the CIM 5.68IN if possible. Also, the ID of the mandrel design circle does not match nominal 4IN 13.2PPF tubing dimensions according to the Shell CE. Lastly, Shell wants the ability to straddle the CIM port as contingency. We will use a landing nipple above the mandrel and a sub with a polished bore below the mandrel. Carrollton will design this portion.  Mandrel design only. Carrollton will handle straddle design. 
2012-02-20, WM: Assign to James class B, standard lead time.</t>
  </si>
  <si>
    <t>758623</t>
  </si>
  <si>
    <t>757882</t>
  </si>
  <si>
    <t>Statoil Visund Sor V4</t>
  </si>
  <si>
    <t>Same as 105XO0554504-SB2 with the follwing modifications:
1. Change Box thread in top to 4 1/2inch 12,6 lbs/ft VT
2. Change Pin thread in bottom to 5 1/2inch 23 lbs/ft VT HC
3. Quality Plan SB2
Essentially we just need the reverse of reference x-over 105XO0554504-SB2</t>
  </si>
  <si>
    <t>16: SPLT=140 @@</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</si>
  <si>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2012-01-10 AB.
2012-01-24 WM:A version of QT Rack Mount unit is available.  This unit can be used as base for completing the design.  The depth of the enclosure should be increased 1 inch.  The unit will be designed as AC unit.  The AIS date will be updated.  2012-01-24 AB
2012-01-31 WM: This RTA will be kicked off this week after a scope and review of existing information. 2012-01-31 AB
2012-02-07 WM: The Cable Simulator ECR will be completed, following which this RTA will be simultaneously worked on along with Dual Power XPIO.  2012-02-07 AB
2012-02-21 WM: The cable simulator ECR has been completed.  The Dual Power XPIO is being prototyped and will transition to rack mount XPIO.  The AD will be completed after CWI and completion of all documentation.  2012-02-21 AB
2012-02-28 WM: The CWI structure has been started.  The bridge card has been entered in CWI.  The Wiring Diagram will be completed next.  2012-02-28 AB</t>
  </si>
  <si>
    <t>756703</t>
  </si>
  <si>
    <t>Part Number creation for Control Line Flatpack SS316 filled with Red Oil and tested to 10500PSI</t>
  </si>
  <si>
    <t>23: SPLT=N/A</t>
  </si>
  <si>
    <t>756732</t>
  </si>
  <si>
    <t>Statoil FT Hyme C4</t>
  </si>
  <si>
    <t>Same As: 022083-18-SB2; SHROUDED X-OVER ASSY,ECC - SB2
Except: 1. Requesting a NON SHROUDED xover.
2. Change threads to 7 inch 29 lbs ft box X 5,5 inch 20 lbs ft pin.
3. Change Material to 25 Chrome.
4. Quality Plan SB2.
Tech Start Date is in the past
Project Name: Hyme C4
Special Quality Plan Required?: Yes
Quality Plan Identifier: SB2
Material: (12) 25 CR  AF918 85 MY (ES-MA-66-49)
Mating Infomation:</t>
  </si>
  <si>
    <t>36: SPLT=140 Emailed submitter re: TR061 and Code 7.  2/14/12 DM Latest release of TR06 attached.  2/17/12 DM  Emailed submitter for confirmation of completion date as Hyme C2 does not complete until December 2012.  2/21/12 DM  Pushed AIS date to 2013 per attached email from submitter.  2/22/12 DM</t>
  </si>
  <si>
    <t>Statoil Stjerne M14</t>
  </si>
  <si>
    <t>30: SPLT=140  Emailed submitter re: AIS date...well completing end of Oct,2012. 2/21/12 DM</t>
  </si>
  <si>
    <t>758773</t>
  </si>
  <si>
    <t>7inch-5.5inch ShroudedCrossover
Change top connection to 7inch 29pound Vam Top HC
Change bottom connection to 5.5inch 23pound Vam Top HC</t>
  </si>
  <si>
    <t>20: SPLT=140 @@ Emailed submitter re: AIS date, project, RTA code and quality plan.  2/21/12 DM  Emailed field for info again.  2/27/12 DM</t>
  </si>
  <si>
    <t>Kare.Hognestad@halliburton.com</t>
  </si>
  <si>
    <t>Flatpack
Create Part Number against Vendor Quoted Part
A825, 0.25in OD, 0.049in Thickness, 11mm x 11mm Nylon Encapsulation Black, 500 Ft
020912 PRE-RELEASED PART 102132197 PER ATTACHED REQUEST DSH</t>
  </si>
  <si>
    <t>SPLT=N/A  Emailed submitter for requirements doc.  2/13/12 DM  Emailed submitter for requirements doc.  2/21/12 DM  Recd spool info from submitter. 2/28/12 DM</t>
  </si>
  <si>
    <t>760641</t>
  </si>
  <si>
    <t>Perenco</t>
  </si>
  <si>
    <t>4.5-12.6 VamTop ChemInj, 500psi CV
Chemical Injection Mandrel, 500 PSI Check Valve
Please see attached Requirment Doc. 
Project:	Perenco Dissoni
Project Number:	TBC
Required by Date:	1st May 2012
Size (in.): 	4 1/2 in
Weight (lb./ft.):	12.6Ib/ft 
Material:	4140, L-80
Yield (psi):	80ksi
Thread type (If pin/box to be left unthreaded then state intended thread(s).  Design review will check suitability of pin/box for swaging/thread-cutting):	Vam Top
Thread cut or uncut:	Cut
Casing size/weight:	9 5/8 in 53.5ppf
Casing drift (if non-standard):	Standard
By-Pass slots cable dimensions:	11 x 11mm slot to suit TEC line
End Configuration Type (e.g., Box x Pin)	Box (coupling) x Pin
Gauge/Chemical Inj. Configuration (e.g., single, dual, feed-through, other)	Single
Gauge Porting:	Tubing
Gauge/Chemical Injection Type:	500psi Check dual check valve for 3/8 control line
Gauge/Chemical Injection Part Number:	2225-0054
Please see attached Input Sheets
------------------
2/28/2012 RB - RTA inputs reviewed &amp; verified. 
Prioritized per C.McKay; Assign to James, Class B</t>
  </si>
  <si>
    <t>David Christie</t>
  </si>
  <si>
    <t>760822</t>
  </si>
  <si>
    <t>3 Line flatpack w/2 1/4 in 0.049 wt hydraulic lines and 1 1/4 TEC line.  See attached requirements document.</t>
  </si>
  <si>
    <t>760643</t>
  </si>
  <si>
    <t>760861</t>
  </si>
  <si>
    <t>Same As: 71SSS1; SFTY SYS STD RTA DESIGN REQ
Except: Please see Aramco specification for Safaniya platforms SFNY 116/131 andSFNY 118/132, specification no. EWO 11T008A/EDR16489.  Please review this specification, design control panel and obtain costs for quote from our vendors.  For due date Aramco just advises Urgent.
Project Name: 
Special Quality Plan Required?: No
Material: 
Technical Support Deliverables:
Preliminary Design Specifications
Reference Assembly Drawing</t>
  </si>
  <si>
    <t>758769</t>
  </si>
  <si>
    <t>Statoil Grane</t>
  </si>
  <si>
    <t>5.5inch Crimp clamp assy
Change to 13Cr 80 KSI MY
Change to PxB 5.5inch 23pound Vam Top HC
see attached doc for more info
SB2 quality plan</t>
  </si>
  <si>
    <t>Emailed submitter re: AIS date, project, RTA code and quality plan.  2/21/12 DM Emailed field for info again.  2/27/12 DM 2/28/12 Recd required info from field.  2/28/12 DM</t>
  </si>
  <si>
    <t>758770</t>
  </si>
  <si>
    <t>7inch Crimp Clamp assy
Change BxP Connection to 7inch 29pound Vam Top HC
SB2 quality plan</t>
  </si>
  <si>
    <t>Emailed submitter re: AIS date, project, RTA code and quality plan.  2/21/12 DM  Emailed field for info again.  2/27/12 DM</t>
  </si>
  <si>
    <t>759159</t>
  </si>
  <si>
    <t>Exxon Tapis</t>
  </si>
  <si>
    <t>Same As: 722HF1702610; PKR,HF1,7026,TBG SET,KO PLUG,25CR,5 FE
Except: 1. 23ppf.
2. Vam Top DDLAA BB
3. Aflas.
4. 80k yield sufficient
Tech Start Date is in the past
Project Name: Tapis
Special Quality Plan Required?: No
Material: (12) 25 CR  AF918 85 MY (ES-MA-66-49)
Mating Infomation:</t>
  </si>
  <si>
    <t>Flatpack
Set up SAP MN in specific length per meter FOR FLATPACK CONTROL LINES 3-LINE.</t>
  </si>
  <si>
    <t>SPLT=N/A  Emailed submitter re: second RTA and requirements docs for each.  2/17/12 DM  Emailed submitter re: requirements document.  2/21/12 DM Attached requirements document 2/28/12 DM</t>
  </si>
  <si>
    <t>759794</t>
  </si>
  <si>
    <t>Modify existing 4 pin WHO (9895-6004) to be used for fluid filled SmartPlex tri-wire spooler during installation.</t>
  </si>
  <si>
    <t>SPLT=98</t>
  </si>
  <si>
    <t>19: SPLT=168 Emailed submitter for requirements document.  2/13/12 DM  Emailed submitter again for requirements document.  2/21/12 DM. Requirements document attached with previous well schematic 2/22/12</t>
  </si>
  <si>
    <t>12.9: SPLT=N/A</t>
  </si>
  <si>
    <t>18: SPLT=168  Emailed submitter for requirements document.  2/13/12 DM  Attached requirements document.  2/29/12 DM</t>
  </si>
  <si>
    <t>UPDATE DRAWING W.302272-00-00 PER CWI STANDARDS. UPDATE ALL CORRESPONDING PARTS WITH W. PREFIX
TSG NOTES 022912 RCVD. FILE FOR PROCESSING. (KEN) END</t>
  </si>
  <si>
    <t>761141</t>
  </si>
  <si>
    <t>Create a SAP MN for a 0.25 in Control Line 0.049 WT with 11 x 11 mm encapsulation Santoprene, Tube A 825 pre-filled with Transaqua HT2.</t>
  </si>
  <si>
    <t>761145</t>
  </si>
  <si>
    <t>Update Packer RIH and Retrieval Document (316255-00-01) to clear up the Retreival section and add Shift and Pull method.
Obsolete Engr Drawing 316255-00-01 Rev 2 in CWI and release this new Document as a Specification (Rev E).</t>
  </si>
  <si>
    <t>761027</t>
  </si>
  <si>
    <t>Statoil Visund S V4</t>
  </si>
  <si>
    <t>Same As: 215HVLV INTEGD,HVC,ACCUPULSE,5-1/2 -SB2
Except: 
1. Flow Trim to be 311537-31
2. By-pass for 4 x 1/4in lines</t>
  </si>
  <si>
    <t>12.9: SPLT=168</t>
  </si>
  <si>
    <t>761122</t>
  </si>
  <si>
    <t>Update the Design Data sheet for M/N: 101943136 to have the exisiting  VAM torque specifications changed to the current values. This refelect the 3-1/2 10.2 lb VAM TOP and VAM PIN
Anthony Rivera 2/29/2012.</t>
  </si>
  <si>
    <t>760983</t>
  </si>
  <si>
    <t>Need to make changes to splice clamp 235SF0965569-SB2 to fit four 1/4inch hyd line splices and one Roxar E-line splice. The E-line splice needs to be at the far left when looking at the splice assy standing in the table.</t>
  </si>
  <si>
    <t>Stian Larsen</t>
  </si>
  <si>
    <t>Stian.Larsen@halliburton.com</t>
  </si>
  <si>
    <t>REVISE WD2 ENGINEERING DRAWINGS/DOCUMENTS TO MOVE FROM ENGINEERING CONTROLLED STATE TO RELEASED STATE:
ENGR DWG 313569-00-01; ENG DWG 313571-00-01; ENGR DWG 313583-00-01
PER ATTACHED EMAIL FROM HOLLY MARBACK 06/11/11</t>
  </si>
  <si>
    <t>15: SPLT=168</t>
  </si>
  <si>
    <t>761143</t>
  </si>
  <si>
    <t>ECR - LVDT TEST FIXTURE &amp; KIT - Request that a revised process for calibrating every size of valve integration is established. Request also to develop a new test insert that follows the interal translation of the carbide carrier in the absence of a view window that has been removed from the design. This insert is to be attached to the Linear Variable Differention Transducer (LVDT) sensor so that measurements from outside the tool can be made. A new method/fixture should be designed to improve repeatability of the LVDT measurement. Paul Lively 2/29/2012</t>
  </si>
  <si>
    <t>761038</t>
  </si>
  <si>
    <t>Same As: 215HA0550023-SB2; VLV INTEGD,HVC,ACCUPULSE,5-1/2 -SB2
Except: 
1. Need to include multifunction fitting kit:
Bypass for 1 x 1/4in lines
3 x External slots for FMJ splices
1 el splice for PSA line
2. Flow trim customized for 311537-21
3. Incoporate Position Sensor</t>
  </si>
  <si>
    <t>31: SPLT=168</t>
  </si>
  <si>
    <t>760988</t>
  </si>
  <si>
    <t>Statoil, Grane</t>
  </si>
  <si>
    <t>For Statoil Grane project. SB2 QA
see attached document for spesification</t>
  </si>
  <si>
    <t>761029</t>
  </si>
  <si>
    <t>ECR-9290-2793 MISSING DIMENSION FROM SEAL FACE TO SLOT FACE. HAVE MADE THIS .295  .005/-.000 AS ON REF DRG 9290-2603
------
2012-02-29 ST - SENT TO R. BAKHTIARY FOR APPROVAL</t>
  </si>
  <si>
    <t>REVISE WD3 ENGINEERING DRAWINGS/DOCUMENTS TO MOVE FROM ENGINEERING CONTROLLED STATE TO RELEASED STATE: 
ENGR DWG 305638-00-01; DOCUMENT 306042-00-00; DOCUMENT 306144-00-00; ENGR DWG 306148-00-00
PER ATTACHED EMAIL FROM HOLLY MARBACK 06/11/11</t>
  </si>
  <si>
    <t>Same as: 235SF0967018-SB2;  CLP,SPLC,9670,13CR,7-29.00 VAMTOP -SB2
Except: Change Material to 25Cr
TSG NOTES 021612 RECD FOR PROCESSING; QUALITY PROVIDED DRAWING FOR MARKUP; 022712 RECD MARKUPS FROM QUALITY; RTA SENT FOR REVIEW AND APPROVAL 022912 RTA PLACED ON DESIGN HOLD-FOLDER RETURNED TO D. MOE (GMC) END</t>
  </si>
  <si>
    <t>Gauge mandrel 2 b mfd. in Canada
This is being created for Mark Bedry.  Please address all questions to him.
He only requires the design, the carriers will be built in Alberta at a Halliburton Approved Machine Shop.
SO No. 9275368
The WD parts we require:
	WellDynamics					
	Material Number	Legacy Number	Description	QTY	  	
	101863926	9381-6034	GAUGE SUB-ASSEMBLY, ROC-175, 0.75IN OD,  0-16K PSIA, 25-177C	1	  	
	101865405	9381-6026	GAUGE SUB-ASSEMBLY, ROC-175, FEEDTHRU,  1.125 INCH OD, 0-16K PSIA, 25-177C	  2	  	
	598392	9388-6038	ROC-S CABLE TERMINATION ASSEMBLY  (MP35N)	5	  	
Each gauge is in its own carrier.  The gauges will be about 500m apart. All are in the horizontal portion of the well.
There will be a 0.25 in. bare DTS line run to the toe of the well. The carriers must have a bypass channel for this cable.
Material is standard P110
Tubing will be 114.3mm 20.09kg/m P110
Tubing connection will be LT and C
OH size is 216mm
NOTE from Martin Staelens: If it would help to get this design done this week, please concentrate on one mandrel - the feed-thru mandrel if the single sensor can be fitted to this mandrel too.
------
2012-02-20 ST - SENT TO J. SEALE FOR CHECKING
------
2012-02-29 ST - SENT TO R. BAKHTIARY FOR APPROVAL
2012-02-20, WM: Dana to follow up with requirements document and Rameen to clarify RTA scope with Martin Staelens. Dana put into WIP</t>
  </si>
  <si>
    <t>12.8: SPLT=N/A</t>
  </si>
  <si>
    <t>12.6: SPLT=84 Emailed submitter for requirements document and code/quality.  1/16/12 DM  Attached req doc. Emailed submitter re: standard lead time. 2/21/12 DM</t>
  </si>
  <si>
    <t>12.7: SPLT=84 Emailed submitter for requirements doc and code/quality clarification.  1/16/12 DM Attached req doc. Emailed submitter re: standard lead time. 2/21/12 DM</t>
  </si>
  <si>
    <t>Non-Feed Thru Variant
WellDynamics Material Legacy Number 101863926
Description GAUGE SUB-ASSEMBLY, ROC-175, 0.75IN OD,  0-16K PSIA, 25-177C	
101865405	9381-6026	GAUGE SUB-ASSEMBLY, ROC-175, FEEDTHRU,  1.125 INCH OD, 0-16K PSIA, 25-177C	  	  	
598392	9388-6038	ROC-S CABLE TERMINATION ASSEMBLY  (MP35N)		  	
Each gauge is in its own carrier.  The gauges will be about 500m apart. All are in the horizontal portion of the well.
There will be a 0.25 in. bare DTS line run to the toe of the well. The carriers must have a bypass channel for this cable.
Material is standard P110
Tubing will be 114.3mm 20.09kg/m P110
Tubing connection will be LT and C
------
2012-02-29 ST - SENT TO J. SEALE FOR CHECKING
OH size is 216mm</t>
  </si>
  <si>
    <t>SPLT=N/A Emailed submitter for completion date, Customer name, Project name.  2/29/12 DM</t>
  </si>
  <si>
    <t>CREATE DOCUMENTATION RELATED TO PSA ASSEMBLY THAT DID NOT CARRY OVER CORRECTLY DURING INTEGRATION. UPDATE PSA AND VMA ASSEMBLIES WITH THE RIGHT REFERENCE DOCUMENTATION. 
TSG WILL REQUEST THE FOLLOWING PARTS BE BACKFILLED: 595965, 595967 02-29-2012 JCC</t>
  </si>
  <si>
    <t>761192</t>
  </si>
  <si>
    <t>MAERSK</t>
  </si>
  <si>
    <t>ECR RTA TO CHANGE MATERIAL ON PART NUMBER 102127990 FROM ES-MA-18-9 (4140 LAS) TO ES-MA-175-1 (1CR).  MATERIAL WHEN PART ORIGINALLY CREATED WAS NOT EXACT TYPE REQUIRED BY RTA - R756902.</t>
  </si>
  <si>
    <t>Same As: 235SF0703550; SUB,SPLC,7035,S13CR,3 1/2-9.20 VAMTOP BO
Except: in 13Cr 80k Material
Tech Start Date is in the past
Project Name: Angsi
Special Quality Plan Required?: No
Material: (7) 13 CR 80 MY 22HRC (ES-MA-58-7)
Mating Infomation:
TSG NOTES 022912 RCVD. FILE FOR PROCESSING. (KEN) END</t>
  </si>
  <si>
    <t>Michael Nguyen</t>
  </si>
  <si>
    <t>SPLT=126 Emailed submitter re:standard lead and thread clarification.  2/27/12 DM  Emailed submitter suggesting Nitrile in lieu of AFLAS for element and O-rings. 2/29/12 DM</t>
  </si>
  <si>
    <t>761254</t>
  </si>
  <si>
    <t>Change the material to 25CR-7NI-4MO 80KSI; Change quality plan to PQ-3. Lower the mandrel legth to allow just one thread re-cut on the top side. Lower the mandrel legth to allow just one thread re-cut on the Bottom side. Keep one by-pass slot and remove the second by-pass slot.
PROJECT NAME: BSM 9&amp;11_BR11158
QUALITY PLAN REQUIRED?: YES
QUALITY PLAN IDENTIFIER: PQ3 PETROBRAS BRAZIL (TYPE A)</t>
  </si>
  <si>
    <t>lorenzzobreda.minassa@halliburton.com</t>
  </si>
  <si>
    <t>ConocoPhilips require a Single ROC Gauge Mandrel of the following specification:
4 1/2 in x 13.5 LB/FT 13Cr80 Tenaris Blue Pin x Pin
Gauge will be ROC- 175 16k single gauge 0.75 OD SAP No 101863926
------
2012-02-27 ST - SENT TO M.GUY FOR CHECKING.
2012-02-28 MG - CHECKED, RETURNED TO SAM FOR SMALL MODS.
------
2012-02-28 ST - SENT TO R. BAKHTIARY FOR APPROVAL
No quality required.  2/29/12 DM</t>
  </si>
  <si>
    <t>2/29/2012 - SCOPE OF THIS RTA EXPANDED TO COVER CHANGING MATERIAL SPEC ON ALL RELEVANT PARTS ON MAERSK SMARTPLEX PROJECT RTAS 698242, 756622, 756625, AND 756902.  BY: SCOTT HOADLEY</t>
  </si>
  <si>
    <t>761223</t>
  </si>
  <si>
    <t>Change the material to 25CR-7NI-4MO 80KSI; Change quality plan to PQ-3. Lower the mandrel legth to allow just one thread re-cut on the top side. Lower the mandrel legth to allow just one thread re-cut on the Bottom side.
PROJECT NAME: BSM 9&amp;11_BR11158
QUALITY PLAN REQUIRED?: YES
QUALITY PLAN IDENTIFIER: PQ3 PETROBRAS BRAZIL (TYPE A)</t>
  </si>
  <si>
    <t>761238</t>
  </si>
  <si>
    <t>FMC Stjerne</t>
  </si>
  <si>
    <t>Need FAR for RMA-000895, MN 101892578 SN:2118</t>
  </si>
  <si>
    <t>99: SPLT=168  Cancelling per submitter customer wants HS instead of HVC valves. Completed most of design so will go ahead and complete. 1/27/12 DM  Emailed submitter re: AIS date...well completing end of Oct,2012. 2/21/12 DM</t>
  </si>
  <si>
    <t>6 foot pup joint with Vam Top box (coupling) on one side and T3SB box on the other
Per Paul James, the TenarisHydril 3SB for the 4-1/2 OD is 12.75, not 12.6. (CMN 2/29/12)
No quality required.  2/29/12 DM</t>
  </si>
  <si>
    <t>6 foot pup joint with Vam Top box (coupling) on one end and T3SB pin on the other.
Confirmed with Paul James that bottom connection thread is really T3SB 4.5 12.75ppf. (CMN 2/28/12)
No quality required.  2/29/12 DM</t>
  </si>
  <si>
    <t>761291</t>
  </si>
  <si>
    <t>Same As: 296SF0472801; 4.750 ECC SEAL STACK ASSY WITH MULTI-LIN
Except: RTA same except change number of ports to 1 FMJ feedthrough for I Wire 11x11mm. Use same material as 296SF0472801.
Project Name: Bubut Danau
Special Quality Plan Required?: No
Material: (1) Low Alloy Steel 80 MY 22HRC (ES-MA-18-9)
Mating Infomation:</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</si>
  <si>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2012-02-21 WM: Final drawings for acoustic version is being loaded.  The test setup for long term testing has been completed.  The firmware version for long term testing will be completed this week.  2012-02-21 AB
2012-02-28 WM: A quote on tool build has been received from Quartzdyne.  Drawings have been loaded in CWI.  Test fixture for hydrophone testing is under review.  The test fixture is ready for oven testing.  The firmware is being finalized and PCBs will be programmed after finalization.  Oven testing will begin by end of this week.  Surface equipment BOM is being built.  2012-02-28 AB</t>
  </si>
  <si>
    <t>Statoil Stjerne M-14</t>
  </si>
  <si>
    <t>Wildcards * and ? May be used
Type to filter by name:</t>
  </si>
  <si>
    <t>Table Controls</t>
  </si>
  <si>
    <t>Std. Prod. Lead Time</t>
  </si>
  <si>
    <t>Remaining Lead Time</t>
  </si>
  <si>
    <t>Available In Stock Date</t>
  </si>
  <si>
    <t>pm</t>
  </si>
  <si>
    <t>761517</t>
  </si>
  <si>
    <t>Nexen Buzzard</t>
  </si>
  <si>
    <t>7in 29ppf inc 925 mandrel for a Single redundant gauge with Vam top box x Box DDL-AA. The gauge to be used is MN 101953598</t>
  </si>
  <si>
    <t>761350</t>
  </si>
  <si>
    <t>322364</t>
  </si>
  <si>
    <t>Same As: 296SF0472800; 4.750 ECC SEAL ASSY WITH MULT LINE FEEDT
Except: need to be 4.750 FEEDTHROUGH SEAL ASSY 7 LineTo fit  seal inside 4.750 ID Seal Bore
Tech Start Date is in the past
Project Name: South belut 
Special Quality Plan Required?: Yes
Quality Plan Identifier: AZF
Material: 
Mating Infomation:</t>
  </si>
  <si>
    <t>Madandas</t>
  </si>
  <si>
    <t>761353</t>
  </si>
  <si>
    <t>ECR W.302548-00-00 REV Q MN 101827966 CAN THE BOM BE UPDATED TO REFLECT THE LATEST DRAWING CHANGES?</t>
  </si>
  <si>
    <t>761351</t>
  </si>
  <si>
    <t>Same As: 296SF0472800; 4.750 ECC SEAL ASSY WITH MULT LINE FEEDT
Except: need to be 4.750 FEEDTHROUGH SEAL ASSY 5 LineTo fit  seal inside 4.750 ID Seal Bore
Tech Start Date is in the past
Project Name: South belut 
Special Quality Plan Required?: Yes
Quality Plan Identifier: AZF 
Material: 
Mating Infomation:</t>
  </si>
  <si>
    <t>SPLT=N/A Attached requirements document.  3/1/12 DM</t>
  </si>
  <si>
    <t>Petrobel Seth</t>
  </si>
  <si>
    <t>761387</t>
  </si>
  <si>
    <t>Requesting Material Number for the following FlatPack. Price and full description recieved from Tube Tech in Aberdeen. All relevant documents attached to RTA.
2 - 0.25 Hyd Lines.
No Bumper.</t>
  </si>
  <si>
    <t>4: SPLT=N/A</t>
  </si>
  <si>
    <t>761423</t>
  </si>
  <si>
    <t>Requesting Material Number for the following FlatPack. Price and full description recieved from Tube Tech in Aberdeen. All relevant documents attached to RTA.
4 - 0.25 Hyd Lines.
1 - Bumper.</t>
  </si>
  <si>
    <t>Design Circle - 4.5IN 17ppf 125 ksi Triple ROC-175 Gauge
I need a design circle for 4.5IN 17PPF Inconel 718 125Ksi MY VAM Top Triple Gauge Mandrel with ROC 175 25Ksi triple gauge assembly. Bypass slots to accommodate 35mm on either side.
------
2012-03-01 ST - SENT TO R. BAKHTIARY FOR APPROVAL</t>
  </si>
  <si>
    <t>3: SPLT=N/A  2/27/2012 DM, Contact Wolfy to clarify gauge requirements  Emailed submitter regarding thread qualification.  3/1/12 DM</t>
  </si>
  <si>
    <t>5: SPLT=126 Email to submitter re: requirements document and quality requirements. 2/8/12 DM; Follow up on requirements and quality 2/13/12 DM Emailed follow up to submitter.  2/15/12 DM</t>
  </si>
  <si>
    <t>760985</t>
  </si>
  <si>
    <t>For Statoil Grane Project
35inch 92pound Roc P2 gauge assy
Replace annulus port with Snorkel port.
Se attached Document for more info</t>
  </si>
  <si>
    <t>1) Material is to be made out of: Acrylic Plastic EX20  2) Set this up as a single source supplier: Hallmarks Laser Imaging (Vendor number: 1237055) TMB 3/1/12</t>
  </si>
  <si>
    <t>SPLT=168 Emailed field for requirement documents.  2/13/12 DM  Emailed submitter again for requirements document.  2/21/12 DM Added requirements document and tubing tally.  3/1/12 DM</t>
  </si>
  <si>
    <t>761425</t>
  </si>
  <si>
    <t>761337</t>
  </si>
  <si>
    <t>Same As: 9290-2590; MDRL,4-1/2-13.5 PPF,SNGL ROC-HS,VAMTOP H
Except: Need a mandrel to use with ROC175 gauge whose part number is 9381_6022 or 101849791 and its cable termination. Mandrel requirement as mentioned below
SOLID GAUGE MANDREL
SIZE : 4.500 INCH.
MAX OD : 5.761 INCH.
MIN ID : 3.837 INCH.
DRIFT ID: 3.795 INCH.
MATERIAL : S13CR, 95KPSI
THREADS : VAM TOP HC.
LENGTH : 59 INCH.
BURST PRESSURE : 9,300 PSI.
SENSOR PORTING : TUBING.
SHOULD FIT INSIDE 95/8, 58.4LB/FT CASING
Project Name: 
Special Quality Plan Required?: No
Material: (10) Super 13 CR 95 MY 22 HRC (ES-MA-134-3)
Technical Support Deliverables:
Preliminary Design Specifications
Reference Assembly Drawing
Reference BDMI
Reserve SAP Material Number
ZZ Drawing
Operating Envelope</t>
  </si>
  <si>
    <t>761349</t>
  </si>
  <si>
    <t>Same As: 235SF0286403; 2-7/8 SPLICE SUB, QTY 3 SPLICE, QTY 1 B-
Except: RTA need to be 2 7/8 Splice Sub  6 hyd + 1 TEC splices 8 Splice Sub Requirements 
Project Name: South belut 
Special Quality Plan Required?: Yes
Quality Plan Identifier: AZF
Material: 
Mating Infomation:</t>
  </si>
  <si>
    <t>12: splt=N/A</t>
  </si>
  <si>
    <t>2: SPLT=N/A</t>
  </si>
  <si>
    <t>UPDATE DRAWING W.302169-00-00 PER CWI STANDARDS. UPDATE ALL CORRESPONDING PARTS WITH W. PREFIX
TSG NOTES 022412 RCVD. FILE FOR PROCESSING. 030112 WAS IS TO QUALITY FOR APPROVAL. (KEN) END</t>
  </si>
  <si>
    <t>13: SPLT=112  Emailed submitter re: standard lead time.  2/20/12 DM  Recd response from customer and adjusted AIS date. Email attached.  2/21/12 DM</t>
  </si>
  <si>
    <t>23: SPLT=84 Assigned to Mark G, Change class to C, changed request design complete date to 2/21/2012- 1/3/2012 RB</t>
  </si>
  <si>
    <t>27: SPLT= N/A @@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</si>
  <si>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28: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</si>
  <si>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29: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</si>
  <si>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New ROC-D Mdrl: Dual ROC-D
Need 4-1/2in, 15.1ppf, S-13Cr110, ROC-D Gauge Mandrel with Vam DRS Pin x Pin connection, bypass slot at 1.25W x .82D. Dual ROC Gauge side by side, both redundant ported to tubular. Need to work with 3rd party TEC-598418.
Must release unthreaded variant.
Customer:  Shell
Project:   Habanero
Quality:   SE1
------
2011-12-13 ST - SENT EMAIL TO CUSTOMER REQUESTING INFO OR REQ DOC.
2012-01-03, WM: Assign to Sam, class B. Tech rev due date to be 1/20/2012. Requirements docs requested and to be followed up on by Sam.
----
1/6/2012 RB - Requirements: Dual ROC-D, 1.25W x .82D Bypass
2012-01-09, WM: Assign to Sam, class B. Dana looking into whether or not gauge type has been changed and if gauges are available
---
01/10/2012 RB - Uploaded email sent to Kasey on 1/6/2012 requesting mandrel req. doc
------
2012-01-18 ST - SENT TO J. SEALE FOR CHECKING
------
2012-02-01 ST - SENT TO R. BAKHTIARY FOR APPROVAL
TSG NOTES 022312 RECD FOR PROCESSING; 022412 QUALTIY PROVIDED TDRs FOR MARKUP; 022712 REQUESTED THREAD CLASS FROM G. BREERWOOD FOR 9290-2854; PER T.TAYLOR, THREAD CLASS B; 030112 RECD MARKUPS FROM QUALITY; RTA SENT FOR REVIEW AN APPROVAL  (GMC) END</t>
  </si>
  <si>
    <t>14: SPLT=126 Waiting for response from field re: using ROC-175 on both this and 728465 and confirmation of AIS date.  1/4/12 DM  ROC D will be used per T Taylor. Attached requirements document.  1/16/12 DM  Contacted Rameen and changed description to release unthreaded variant per PMT mtg.  1/19/12 DM  Changed AIS date per Shell rig schedule and confirmation by T Taylor.  1/19/12 DM</t>
  </si>
  <si>
    <t>16: SPLT=126 Called submitter to follow up on requirements document request.  1/16/12 DM  Attached requirements document recd from submitter.  1/16/12 DM Per phone conversation with submitter single cable terms w/dual gauge assy required.  1/17/12 DM  Contacted Rameen and changed description to release unthreaded variant per PMT mtg.  1/19/12 DM  Changed AIS date per Shell rig schedule and confirmation by T Taylor.  1/19/12 DM</t>
  </si>
  <si>
    <t>1: SPLT=126  2/27/2012 DM, Using design on Visund V4</t>
  </si>
  <si>
    <t>21: SPLT=126  Changed AIS date per Shell rig schedule and confirmation of G Breerwood. Confirmation email attched.  1/19/12 DM</t>
  </si>
  <si>
    <t>7: SPLT=126 Changed AIS date per Shell rig schedule and confirmation of G Breerwood.  Confirmation email attached. 1/19/12 DM</t>
  </si>
  <si>
    <t>6: SPLT= 126 Emailed field re: AIS date and quality requirements.  1/26/12 DM  Email attached regarding AIS date from submitter.  1/26/12 DM</t>
  </si>
  <si>
    <t>15: SPLT=126</t>
  </si>
  <si>
    <t>17: SPLT=84</t>
  </si>
  <si>
    <t>19: SPLT=126</t>
  </si>
  <si>
    <t>20: SPLT=126</t>
  </si>
  <si>
    <t>8: SPLT=N/A  To be machined locally.  2/17/12 DM</t>
  </si>
  <si>
    <t>18: SPLT=84</t>
  </si>
  <si>
    <t>22: SPLT=84  2/20/2012 DM: verify quality plan. No quality applied per P Allardyce.  2/20/12 DM</t>
  </si>
  <si>
    <t>25: SPLT=126</t>
  </si>
  <si>
    <t>24:  SPLT=126  2/27/2012 DM, Contact Wolfy to veryify and update RTA requirements regarding nipple profile in mandrel.</t>
  </si>
  <si>
    <t>9: SPLT=N/A Mandrel to be machined locally,  2/22 MS.</t>
  </si>
  <si>
    <t>26: SPLT=98 Changed to code 2 see attached email from submitter.  12/8/11 DM</t>
  </si>
  <si>
    <t>4.5-12.6 VamTop,Sngl Roc-150 10K
ROC-150 SERIES, 9381-XXXX with Dual MTM seal
Project:	Perenco Dissoni
Project Number:	TBC
Required by Date:	
Size (in.): 	4 1/2 in
Weight (lb./ft.):	12.6Ib/ft 
Material:	4140, L-80
Yield (psi):	80ksi
Thread type (If pin/box to be left unthreaded then state intended thread(s).  Design review will check suitability of pin/box for swaging/thread-cutting):	Vam Top
Thread cut or uncut:	Cut
Casing size/weight:	7 in 29ppf
Casing drift (if non-standard):	Standard
By-Pass slots cable dimensions:	None
End Configuration Type (e.g., Box x Pin)	Box (coupling) x Pin
Gauge/Chemical Inj. Configuration (e.g., single, dual, feed-through, other)	Single
Gauge Porting:	Tubing
Gauge/Chemical Injection Type:	ROC-150
Gauge/Chemical Injection Part Number:	101863921    9381-6031
Other Pertinent information:	Ref P No 101952065     9290-6765
Please see attached Input Sheets
2012-02-28, MWS:  AIS date updated to 5/21 per Colin McKay.
------------------
2/28/2012 RB - RTA inputs reviewed &amp; verified. Required AIS Date verified; The Gauge assembly required is 101954620 (9381-6144).
Prioritized per C.McKay. Assign to Sam, Class B
------
2012-03-01 ST - SENT TO J. SEALE FOR CHECKING</t>
  </si>
  <si>
    <t>10: SPLT=112</t>
  </si>
  <si>
    <t>11: SPLT=112</t>
  </si>
  <si>
    <t>3/1/2012 Permanent Monitoring RTA Priority Report</t>
  </si>
  <si>
    <t>Tech Rev. Due Date</t>
  </si>
  <si>
    <t>761647</t>
  </si>
  <si>
    <t>UPDATE PURCHASE SPECIFICATION DOCUMENT D00587829 FOR M/N 102119213 TO CALL OUT GULF COAST DOWNHOLE TECHNOLOGIES AS A VENDOR;
UPDATE PURCHASE SPECIFICATION DOCUMENT D00587551 FOR M/N 102118521 TO CALL OUT GULF COAST DOWNHOLE TECHNOLOGIES AS A VENDOR</t>
  </si>
  <si>
    <t>Emailed submitter regarding project name, completion date, and standard lead time.  3/1/12 DM</t>
  </si>
  <si>
    <t>761622</t>
  </si>
  <si>
    <t>ConocoPhillips Test Well</t>
  </si>
  <si>
    <t>Request a new part number for the following control line: 
3/4 inch x 0.065 inch Wall Thickness SS316L 
Line to be supplied to Conoco Phillips for test well purposes.
Mid-South control line spec sheet attached.</t>
  </si>
  <si>
    <t>761641</t>
  </si>
  <si>
    <t>Proposed well head outlet design for all future platform/land completions required for gauge TEC line. Product line engineering to review and qualify the design Supplier - Antech</t>
  </si>
  <si>
    <t>Darren.cortes@halliburton.com</t>
  </si>
  <si>
    <t>BHP Billiton Pakistan</t>
  </si>
  <si>
    <t>The reference Gauge Mandrel is the 9290-2853, RTA changes as follows:
(a)	Change material to 13Cr 80K
(c)	Final assembly needs be under the 8.5in casing drift.  
This mandrel will be run inside the 9 5/8in 53.5lb casing.</t>
  </si>
  <si>
    <t>SPLT=126</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</si>
  <si>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
2011-12-15, WM: -  Dan to take lead - 20 well control system quote that is 70-80 per cent complete. Still awaiting official RFQ from customer. E-mail from Alan McLauchlan dated 12/14 indicated any day now. This may slip into first week of 2012 depending on when RFQ received and customer due date.
2012-01-03, WM: Had meeting with Alan M. Required bid date is 01-13-2012. Send out for bid on 01-06-2012 (complete design). New specs recieved today. Considering different DCV options to reduce cost.
2012-01-09, WM: Sent out for quote today. Need to release drawings into CWI.
2012-02-01, TS: Awaiting to affirm final technical overview document was or will be sent to customer in project data file then RTA relased. Should have by Friday 02-03.
2012-02-03, TS: Meeting scheduled with Graham for Monday 02-06.
2012-02-08, TS: task promoted. To Ted to approve.
022812 RTA WAS ASSIGNED TO DYANE HENSON WITH NO NOTIFICATION THE LOWER LEVEL TASK IS NOT COMPLETED T00000728594.PENDING APPROVAL FROM TED SOULES.
TSG NOTES 030112 RCVD. FILE FOR PROCESSING. MANY ERRORS FOUND, SENDING BACK TO ENGINEER FOR CORRECTIONS. (KEN) END
Halliburton HPP quality plan cannot be applied in Spring. Per D. Hickman WD standard quality plan will apply.  3/1/12 DM</t>
  </si>
  <si>
    <t>New ROC Mdrl: Dual ROC175
Need 4-1/2in, 15.1ppf, S-13Cr100, ROC-175 Gauge Mandrel with Vam DRS Pin x Pin connection, bypass slot at 1.25W x .82D. Dual ROC-175 Gauges side by side, both redundant ported to tubular. Needs to work with 3rd part TEC-598418.
Must release unthreaded variant.
Customer:  Shell
Project:   Habanero
Quality:   SE1
2012-01-03, WM: Assign to Sam, class B. Tech rev due date to be 1/20/2012. Requirements docs to be requested and to be followed up on by Sam.
---
01/10/2012 RB - Uploaded email sent to Kasey on 1/6/2012 requesting mandrel req. doc
------
2012-01-18 ST - TRANSFERED TO M. GUY FOR DESIGN
------
23012-01-24 MG - DESIGN COMPLETE, FORWARDED TO SAM FOR CHECKING.
------
2012-01-27 ST - SENT EMAIL TO SUBMITTER REQUESTING REASON FOR USING SINGLE METAL SEAL CABLE TERMINATION ON 20K GAUGE. WAITING FOR REPLY.
------
2015-01-27 ST - DUAL METAL SEAL WILL BE USED PER SUBMITTER
------
2012-01-27 ST - SENT BACK TO M. GUY FOR CORRECTIONS
------
2012-01-30 MG - CORRECTIONS COMPLETED, FORWARDED TO SAM FOR RE-CHECKING.
------
2012-01-31 ST - SENT TO R. BAKHTIARY FOR APPROVAL
TSG NOTES 022412 RECD FOR PROCESSING; 022712 QUALITY PROVIDED TDRs FOR MARKUP; 022712 REQUESTED THREAD CLASS FROM G. BREERWOOD FOR 9290-2799; PER T.TAYLOR, THREAD CLASS B; 030112 RECD MARKUPS FROM QUALITY(GMC) END</t>
  </si>
  <si>
    <t>New ROC Mdrl 2 b used on Stjerne M-14
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
1/17/2012: MG - Job complete forwarded to james for checking
-----
1/25/2012 J. SEALE - CHECKING COMPLETED, CHANGES TO DRAWING IS NEEDED SENDING BACK TO M. GUY FOR CORRECTION
1/26/2012 MG - BACKDRAFT COMPLETE, FORWARD TO JAMES FOR RE-CHECK
------
2012-02-02 JS - SENT TO R. BAKHTIARY FOR APPROVAL.
TSG NOTES: TO TSG FOR PROCESSING; DWGS TO QUALITY FOR MARKUP 03-01-2012 JCC END</t>
  </si>
  <si>
    <t>Same As: 216HAP1035U3O00SB2; VLV INTEGD HS ACCUPULSE,3-1/2 -SB2
Except: 
All flow wetted parts to be made of Inc.718.
Rest ?? 13Cr.
TSG NOTES: TO TSG FOR PROCESSING. DWGS TO QUALITY FOR MARKUP 02-28-2012. DWGS BACK FROM QUALITY AND BACK TO QUALITY FOR REVIEW/APPROVAL 03-01-2012 JCC END</t>
  </si>
  <si>
    <t>Same As: 722HF1106504; PKR,HF1,1065,TBG SET,KO PLUG,25CR
Except: 
1. Material to be 13Cr
2. Quality plan to be SB2
TSG NOTES TO TSG FOR PROCESSING; DWGS TO QUALITY FOR MARKUP. MARKUPS BACK TO TSG. TO QUALITY FOR REVIEW AND APPROVAL 02-16-2012. CORRECTION MADE; BACK TO QUALITY FOR APPROVAL 03-01-2012 J. CALLAWAY END</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</si>
  <si>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
TSG NOTES 022812 RCVD. FILE FOR PROCESSING. SENDING BACK TO ENGINEER FOR CORRECTIONS. 030112 RCVD. FILE BACK FOR CORRECTION REVIEW. ALL CORRECTIONS COMPLETED. (KEN) END</t>
  </si>
  <si>
    <t>PDF Report Format Option</t>
  </si>
  <si>
    <t>4.2.2.1</t>
  </si>
  <si>
    <t>3/2/2012 Permanent Monitoring RTA Priority Report</t>
  </si>
  <si>
    <t>reportBlue</t>
  </si>
</sst>
</file>

<file path=xl/styles.xml><?xml version="1.0" encoding="utf-8"?>
<styleSheet xmlns="http://schemas.openxmlformats.org/spreadsheetml/2006/main" xmlns:mc="http://schemas.openxmlformats.org/markup-compatibility/2006" xmlns:x14ac="http://schemas.microsoft.com/office/spreadsheetml/2009/9/ac" mc:Ignorable="x14ac">
  <fonts count="38">
    <font>
      <sz val="11"/>
      <color theme="1"/>
      <name val="Arial"/>
      <family val="2"/>
    </font>
    <font>
      <sz val="11"/>
      <color theme="1"/>
      <name val="Century Gothic"/>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sz val="11"/>
      <name val="Arial"/>
      <family val="2"/>
    </font>
    <font>
      <sz val="11"/>
      <color theme="1"/>
      <name val="Century Gothic"/>
      <family val="2"/>
    </font>
    <font>
      <b/>
      <sz val="26"/>
      <color theme="1" tint="0.34998626667073579"/>
      <name val="Arial"/>
      <family val="2"/>
    </font>
    <font>
      <sz val="11"/>
      <color theme="1" tint="0.34998626667073579"/>
      <name val="Arial"/>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ry"/>
    </font>
    <font>
      <sz val="11"/>
      <color theme="1"/>
      <name val="Arial"/>
      <family val="2"/>
    </font>
    <font>
      <sz val="10.5"/>
      <color theme="1"/>
      <name val="Arial"/>
      <family val="2"/>
    </font>
    <font>
      <sz val="10.5"/>
      <name val="Arial"/>
      <family val="2"/>
    </font>
    <font>
      <b/>
      <sz val="10.5"/>
      <color theme="1"/>
      <name val="Arial"/>
      <family val="2"/>
    </font>
    <font>
      <sz val="13"/>
      <color theme="1"/>
      <name val="Arial"/>
      <family val="2"/>
    </font>
    <font>
      <sz val="13"/>
      <color theme="1"/>
      <name val="Century Gothic"/>
      <family val="2"/>
    </font>
    <font>
      <sz val="11"/>
      <color theme="1"/>
      <name val="Arial"/>
    </font>
    <font>
      <sz val="10.5"/>
      <color theme="1"/>
      <name val="Arial"/>
    </font>
    <font>
      <sz val="10"/>
      <color theme="1"/>
      <name val="Arial"/>
      <family val="2"/>
    </font>
    <font>
      <sz val="9"/>
      <color indexed="81"/>
      <name val="Tahoma"/>
      <family val="2"/>
    </font>
    <font>
      <sz val="10"/>
      <color indexed="81"/>
      <name val="Tahoma"/>
      <family val="2"/>
    </font>
    <font>
      <b/>
      <sz val="11"/>
      <color indexed="81"/>
      <name val="Tahoma"/>
      <family val="2"/>
    </font>
  </fonts>
  <fills count="10">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theme="0" tint="-0.14999847407452621"/>
        <bgColor indexed="64"/>
      </patternFill>
    </fill>
    <fill>
      <patternFill patternType="solid">
        <fgColor rgb="FFE4E4E4"/>
        <bgColor indexed="64"/>
      </patternFill>
    </fill>
  </fills>
  <borders count="33">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top/>
      <bottom style="thin">
        <color indexed="64"/>
      </bottom>
      <diagonal/>
    </border>
  </borders>
  <cellStyleXfs count="1">
    <xf numFmtId="0" fontId="0" fillId="0" borderId="0"/>
  </cellStyleXfs>
  <cellXfs count="170">
    <xf numFmtId="0" fontId="0" fillId="0" borderId="0" xfId="0"/>
    <xf numFmtId="0" fontId="0" fillId="4" borderId="0" xfId="0" applyFill="1"/>
    <xf numFmtId="0" fontId="0" fillId="0" borderId="0" xfId="0" applyBorder="1" applyAlignment="1">
      <alignment horizontal="center" vertical="center" wrapText="1"/>
    </xf>
    <xf numFmtId="0" fontId="4"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2" fillId="4" borderId="0" xfId="0" applyFont="1" applyFill="1" applyAlignment="1">
      <alignment horizontal="center" vertical="center" wrapText="1"/>
    </xf>
    <xf numFmtId="0" fontId="4"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7" fillId="3" borderId="21" xfId="0" applyFont="1" applyFill="1" applyBorder="1" applyAlignment="1">
      <alignment horizontal="center" vertical="center" wrapText="1"/>
    </xf>
    <xf numFmtId="0" fontId="8" fillId="0" borderId="21" xfId="0" applyFont="1" applyBorder="1" applyAlignment="1">
      <alignment horizontal="center" vertical="center" wrapText="1"/>
    </xf>
    <xf numFmtId="0" fontId="8" fillId="0" borderId="21" xfId="0" applyFont="1" applyFill="1" applyBorder="1" applyAlignment="1">
      <alignment horizontal="center" vertical="center" wrapText="1"/>
    </xf>
    <xf numFmtId="0" fontId="8" fillId="0" borderId="21" xfId="0" applyFont="1" applyBorder="1" applyAlignment="1">
      <alignment horizontal="center" vertical="center"/>
    </xf>
    <xf numFmtId="0" fontId="10" fillId="5" borderId="11" xfId="0" applyFont="1" applyFill="1" applyBorder="1" applyAlignment="1">
      <alignment horizontal="center" vertical="center"/>
    </xf>
    <xf numFmtId="0" fontId="10" fillId="5" borderId="4" xfId="0" applyFont="1" applyFill="1" applyBorder="1" applyAlignment="1">
      <alignment horizontal="center" vertical="center"/>
    </xf>
    <xf numFmtId="0" fontId="10" fillId="5" borderId="5" xfId="0" applyFont="1" applyFill="1" applyBorder="1" applyAlignment="1">
      <alignment horizontal="center" vertical="center"/>
    </xf>
    <xf numFmtId="0" fontId="10" fillId="5" borderId="12"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7" xfId="0" applyFont="1" applyFill="1" applyBorder="1" applyAlignment="1">
      <alignment horizontal="center" vertical="center"/>
    </xf>
    <xf numFmtId="0" fontId="9" fillId="3" borderId="14" xfId="0" applyFont="1" applyFill="1" applyBorder="1" applyAlignment="1">
      <alignment horizontal="right" vertical="center"/>
    </xf>
    <xf numFmtId="0" fontId="9" fillId="3" borderId="15" xfId="0" applyFont="1" applyFill="1" applyBorder="1" applyAlignment="1">
      <alignment horizontal="right" vertical="center"/>
    </xf>
    <xf numFmtId="0" fontId="9"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10" fillId="5" borderId="12" xfId="0" applyNumberFormat="1" applyFont="1" applyFill="1" applyBorder="1" applyAlignment="1">
      <alignment horizontal="center" vertical="center"/>
    </xf>
    <xf numFmtId="1" fontId="10" fillId="5" borderId="13" xfId="0" applyNumberFormat="1" applyFont="1" applyFill="1" applyBorder="1" applyAlignment="1">
      <alignment horizontal="center" vertical="center"/>
    </xf>
    <xf numFmtId="0" fontId="10" fillId="5" borderId="25" xfId="0" applyFont="1" applyFill="1" applyBorder="1" applyAlignment="1">
      <alignment horizontal="center" vertical="center"/>
    </xf>
    <xf numFmtId="0" fontId="10" fillId="5" borderId="26" xfId="0" applyFont="1" applyFill="1" applyBorder="1" applyAlignment="1">
      <alignment horizontal="center" vertical="center"/>
    </xf>
    <xf numFmtId="0" fontId="10" fillId="5" borderId="27"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7" borderId="0" xfId="0" applyFont="1" applyFill="1" applyAlignment="1" applyProtection="1">
      <alignment horizontal="center" vertical="center"/>
      <protection locked="0"/>
    </xf>
    <xf numFmtId="0" fontId="13" fillId="7" borderId="0" xfId="0" applyFont="1" applyFill="1"/>
    <xf numFmtId="0" fontId="19" fillId="7" borderId="0" xfId="0" applyFont="1" applyFill="1"/>
    <xf numFmtId="0" fontId="18" fillId="7" borderId="0" xfId="0" applyFont="1" applyFill="1" applyAlignment="1">
      <alignment vertical="center"/>
    </xf>
    <xf numFmtId="0" fontId="18" fillId="7" borderId="0" xfId="0" applyFont="1" applyFill="1" applyAlignment="1">
      <alignment horizontal="center" vertical="center"/>
    </xf>
    <xf numFmtId="0" fontId="20" fillId="7" borderId="0" xfId="0" applyFont="1" applyFill="1"/>
    <xf numFmtId="0" fontId="21" fillId="7" borderId="0" xfId="0" applyFont="1" applyFill="1"/>
    <xf numFmtId="0" fontId="22" fillId="7" borderId="0" xfId="0" applyFont="1" applyFill="1"/>
    <xf numFmtId="0" fontId="23" fillId="7" borderId="0" xfId="0" applyFont="1" applyFill="1"/>
    <xf numFmtId="0" fontId="20" fillId="7" borderId="0" xfId="0" applyFont="1" applyFill="1" applyAlignment="1">
      <alignment horizontal="left" vertical="center"/>
    </xf>
    <xf numFmtId="0" fontId="21" fillId="7" borderId="0" xfId="0" applyFont="1" applyFill="1" applyAlignment="1">
      <alignment horizontal="left" vertical="center"/>
    </xf>
    <xf numFmtId="0" fontId="24" fillId="7" borderId="0" xfId="0" applyFont="1" applyFill="1"/>
    <xf numFmtId="0" fontId="0" fillId="7" borderId="0" xfId="0" applyFill="1"/>
    <xf numFmtId="0" fontId="25" fillId="7" borderId="0" xfId="0" applyFont="1" applyFill="1"/>
    <xf numFmtId="0" fontId="17" fillId="7" borderId="0" xfId="0" applyFont="1" applyFill="1"/>
    <xf numFmtId="0" fontId="26" fillId="0" borderId="0" xfId="0" applyFont="1" applyFill="1" applyAlignment="1">
      <alignment horizontal="center" vertical="center" wrapText="1"/>
    </xf>
    <xf numFmtId="0" fontId="0" fillId="0" borderId="0" xfId="0" applyFont="1" applyFill="1" applyBorder="1" applyAlignment="1" applyProtection="1">
      <alignment horizontal="left" vertical="top" wrapText="1"/>
      <protection locked="0"/>
    </xf>
    <xf numFmtId="0" fontId="0" fillId="9" borderId="29" xfId="0" applyFont="1" applyFill="1" applyBorder="1" applyAlignment="1" applyProtection="1">
      <alignment horizontal="center" vertical="center" wrapText="1"/>
      <protection locked="0"/>
    </xf>
    <xf numFmtId="0" fontId="27" fillId="7" borderId="0" xfId="0" applyFont="1" applyFill="1" applyAlignment="1" applyProtection="1">
      <alignment horizontal="center" vertical="top"/>
    </xf>
    <xf numFmtId="0" fontId="28" fillId="7" borderId="0" xfId="0" applyFont="1" applyFill="1" applyAlignment="1" applyProtection="1">
      <alignment horizontal="center" vertical="top"/>
    </xf>
    <xf numFmtId="0" fontId="27" fillId="7" borderId="0" xfId="0" applyFont="1" applyFill="1" applyAlignment="1" applyProtection="1">
      <alignment horizontal="center" vertical="top"/>
      <protection locked="0"/>
    </xf>
    <xf numFmtId="0" fontId="27" fillId="7" borderId="0" xfId="0" applyFont="1" applyFill="1" applyAlignment="1" applyProtection="1">
      <alignment horizontal="left" vertical="top"/>
      <protection locked="0"/>
    </xf>
    <xf numFmtId="0" fontId="0" fillId="0" borderId="0" xfId="0" applyNumberFormat="1" applyFont="1" applyFill="1" applyBorder="1" applyAlignment="1" applyProtection="1">
      <alignment horizontal="center" vertical="center" wrapText="1"/>
    </xf>
    <xf numFmtId="0" fontId="0" fillId="0" borderId="0" xfId="0" applyNumberFormat="1" applyFont="1" applyFill="1" applyAlignment="1" applyProtection="1">
      <alignment horizontal="center" vertical="center" wrapText="1"/>
    </xf>
    <xf numFmtId="0" fontId="27" fillId="7" borderId="30" xfId="0" applyFont="1" applyFill="1" applyBorder="1" applyAlignment="1" applyProtection="1">
      <alignment horizontal="left" vertical="top"/>
    </xf>
    <xf numFmtId="14" fontId="27" fillId="7" borderId="0" xfId="0" applyNumberFormat="1" applyFont="1" applyFill="1" applyAlignment="1" applyProtection="1">
      <alignment horizontal="center" vertical="top"/>
    </xf>
    <xf numFmtId="0" fontId="27" fillId="7" borderId="31" xfId="0" applyFont="1" applyFill="1" applyBorder="1" applyAlignment="1" applyProtection="1">
      <alignment horizontal="left" vertical="top"/>
    </xf>
    <xf numFmtId="14" fontId="27" fillId="7" borderId="0" xfId="0" applyNumberFormat="1" applyFont="1" applyFill="1" applyBorder="1" applyAlignment="1" applyProtection="1">
      <alignment horizontal="center" vertical="top"/>
    </xf>
    <xf numFmtId="0" fontId="28" fillId="7" borderId="31" xfId="0" applyFont="1" applyFill="1" applyBorder="1" applyAlignment="1" applyProtection="1">
      <alignment horizontal="left" vertical="top"/>
    </xf>
    <xf numFmtId="14" fontId="28" fillId="7" borderId="0" xfId="0" applyNumberFormat="1" applyFont="1" applyFill="1" applyAlignment="1" applyProtection="1">
      <alignment horizontal="center" vertical="top"/>
    </xf>
    <xf numFmtId="0" fontId="27" fillId="0" borderId="0" xfId="0" applyFont="1" applyFill="1" applyBorder="1" applyAlignment="1" applyProtection="1">
      <alignment horizontal="center" vertical="top" wrapText="1"/>
      <protection locked="0"/>
    </xf>
    <xf numFmtId="0" fontId="27" fillId="0" borderId="0" xfId="0" applyFont="1" applyFill="1" applyBorder="1" applyAlignment="1" applyProtection="1">
      <alignment horizontal="left" vertical="top" wrapText="1"/>
      <protection locked="0"/>
    </xf>
    <xf numFmtId="14" fontId="27" fillId="0" borderId="0" xfId="0" applyNumberFormat="1" applyFont="1" applyFill="1" applyBorder="1" applyAlignment="1" applyProtection="1">
      <alignment horizontal="center" vertical="top" wrapText="1"/>
    </xf>
    <xf numFmtId="49" fontId="27" fillId="0" borderId="0" xfId="0" applyNumberFormat="1" applyFont="1" applyFill="1" applyBorder="1" applyAlignment="1" applyProtection="1">
      <alignment horizontal="center" vertical="top" wrapText="1"/>
      <protection locked="0"/>
    </xf>
    <xf numFmtId="0" fontId="27" fillId="0" borderId="0" xfId="0" applyFont="1" applyFill="1" applyBorder="1" applyAlignment="1">
      <alignment horizontal="center" vertical="top" wrapText="1"/>
    </xf>
    <xf numFmtId="0" fontId="27" fillId="0" borderId="0" xfId="0" applyFont="1" applyFill="1" applyBorder="1" applyAlignment="1">
      <alignment horizontal="left" vertical="top" wrapText="1"/>
    </xf>
    <xf numFmtId="49" fontId="27" fillId="0" borderId="0" xfId="0" applyNumberFormat="1" applyFont="1" applyFill="1" applyBorder="1" applyAlignment="1">
      <alignment horizontal="center" vertical="top" wrapText="1"/>
    </xf>
    <xf numFmtId="0" fontId="29" fillId="7" borderId="0" xfId="0" applyFont="1" applyFill="1" applyAlignment="1" applyProtection="1">
      <alignment horizontal="center" vertical="top"/>
      <protection locked="0"/>
    </xf>
    <xf numFmtId="0" fontId="27" fillId="0" borderId="0" xfId="0" applyFont="1" applyFill="1" applyAlignment="1" applyProtection="1">
      <alignment horizontal="center" vertical="top" wrapText="1"/>
      <protection locked="0"/>
    </xf>
    <xf numFmtId="0" fontId="27" fillId="0" borderId="0" xfId="0" applyFont="1" applyFill="1" applyAlignment="1" applyProtection="1">
      <alignment horizontal="left" vertical="top" wrapText="1"/>
      <protection locked="0"/>
    </xf>
    <xf numFmtId="14" fontId="27" fillId="0" borderId="0" xfId="0" applyNumberFormat="1" applyFont="1" applyFill="1" applyAlignment="1" applyProtection="1">
      <alignment horizontal="center" vertical="top" wrapText="1"/>
    </xf>
    <xf numFmtId="49" fontId="27" fillId="0" borderId="0" xfId="0" applyNumberFormat="1" applyFont="1" applyFill="1" applyAlignment="1" applyProtection="1">
      <alignment horizontal="center" vertical="top" wrapText="1"/>
      <protection locked="0"/>
    </xf>
    <xf numFmtId="49" fontId="27" fillId="0" borderId="0" xfId="0" quotePrefix="1" applyNumberFormat="1" applyFont="1" applyFill="1" applyBorder="1" applyAlignment="1" applyProtection="1">
      <alignment horizontal="center" vertical="top" wrapText="1"/>
      <protection locked="0"/>
    </xf>
    <xf numFmtId="14" fontId="27" fillId="7" borderId="0" xfId="0" applyNumberFormat="1" applyFont="1" applyFill="1" applyAlignment="1" applyProtection="1">
      <alignment horizontal="center" vertical="top"/>
      <protection locked="0"/>
    </xf>
    <xf numFmtId="0" fontId="0" fillId="7" borderId="0" xfId="0" applyFont="1" applyFill="1" applyAlignment="1" applyProtection="1">
      <alignment horizontal="center" vertical="center"/>
    </xf>
    <xf numFmtId="0" fontId="16" fillId="7" borderId="0" xfId="0" applyFont="1" applyFill="1" applyAlignment="1" applyProtection="1">
      <alignment horizontal="center" vertical="center"/>
    </xf>
    <xf numFmtId="14" fontId="0" fillId="0" borderId="0" xfId="0" applyNumberFormat="1" applyFont="1" applyFill="1" applyBorder="1" applyAlignment="1" applyProtection="1">
      <alignment horizontal="center" vertical="center" wrapText="1"/>
      <protection locked="0"/>
    </xf>
    <xf numFmtId="14" fontId="0" fillId="0" borderId="0" xfId="0" applyNumberFormat="1" applyFont="1" applyFill="1" applyBorder="1" applyAlignment="1">
      <alignment horizontal="center" vertical="center" wrapText="1"/>
    </xf>
    <xf numFmtId="14" fontId="0" fillId="0" borderId="0" xfId="0" applyNumberFormat="1" applyFont="1" applyFill="1" applyAlignment="1" applyProtection="1">
      <alignment horizontal="center" vertical="center" wrapText="1"/>
      <protection locked="0"/>
    </xf>
    <xf numFmtId="14" fontId="0" fillId="7" borderId="0" xfId="0" applyNumberFormat="1" applyFont="1" applyFill="1" applyAlignment="1" applyProtection="1">
      <alignment horizontal="center" vertical="center"/>
    </xf>
    <xf numFmtId="14" fontId="16" fillId="7" borderId="0" xfId="0" applyNumberFormat="1" applyFont="1" applyFill="1" applyAlignment="1" applyProtection="1">
      <alignment horizontal="center" vertical="center"/>
    </xf>
    <xf numFmtId="14" fontId="0" fillId="7" borderId="0" xfId="0" applyNumberFormat="1" applyFont="1" applyFill="1" applyAlignment="1" applyProtection="1">
      <alignment horizontal="center" vertical="center"/>
      <protection locked="0"/>
    </xf>
    <xf numFmtId="0" fontId="0" fillId="7" borderId="0" xfId="0" applyFont="1" applyFill="1" applyAlignment="1">
      <alignment horizontal="center" vertical="center"/>
    </xf>
    <xf numFmtId="0" fontId="0" fillId="7" borderId="0" xfId="0" applyFont="1" applyFill="1" applyAlignment="1" applyProtection="1">
      <alignment horizontal="center" vertical="center" wrapText="1"/>
    </xf>
    <xf numFmtId="0" fontId="16" fillId="8" borderId="30" xfId="0" applyFont="1" applyFill="1" applyBorder="1" applyAlignment="1" applyProtection="1">
      <alignment horizontal="center" vertical="center"/>
    </xf>
    <xf numFmtId="1" fontId="0" fillId="0" borderId="0" xfId="0" applyNumberFormat="1" applyFont="1" applyFill="1" applyBorder="1" applyAlignment="1" applyProtection="1">
      <alignment horizontal="center" vertical="center" wrapText="1"/>
    </xf>
    <xf numFmtId="0" fontId="0" fillId="0" borderId="0" xfId="0" applyFont="1" applyFill="1" applyBorder="1" applyAlignment="1" applyProtection="1">
      <alignment horizontal="center" vertical="center" wrapText="1"/>
      <protection locked="0"/>
    </xf>
    <xf numFmtId="1" fontId="0" fillId="0" borderId="0" xfId="0" applyNumberFormat="1" applyFont="1" applyFill="1" applyBorder="1" applyAlignment="1" applyProtection="1">
      <alignment horizontal="center" vertical="center" wrapText="1"/>
      <protection locked="0"/>
    </xf>
    <xf numFmtId="1" fontId="0" fillId="0" borderId="0" xfId="0" applyNumberFormat="1" applyFont="1" applyFill="1" applyBorder="1" applyAlignment="1">
      <alignment horizontal="center" vertical="center" wrapText="1"/>
    </xf>
    <xf numFmtId="1" fontId="0" fillId="0" borderId="0" xfId="0" applyNumberFormat="1" applyFont="1" applyFill="1" applyAlignment="1" applyProtection="1">
      <alignment horizontal="center" vertical="center" wrapText="1"/>
    </xf>
    <xf numFmtId="0" fontId="0" fillId="0" borderId="0" xfId="0" applyFont="1" applyFill="1" applyAlignment="1" applyProtection="1">
      <alignment horizontal="center" vertical="center" wrapText="1"/>
      <protection locked="0"/>
    </xf>
    <xf numFmtId="0" fontId="27" fillId="0" borderId="0" xfId="0" applyFont="1" applyFill="1" applyBorder="1" applyAlignment="1">
      <alignment horizontal="center" vertical="center"/>
    </xf>
    <xf numFmtId="0" fontId="27" fillId="0" borderId="0" xfId="0" applyFont="1" applyFill="1" applyBorder="1" applyAlignment="1" applyProtection="1">
      <alignment horizontal="center" vertical="center"/>
      <protection locked="0"/>
    </xf>
    <xf numFmtId="0" fontId="27" fillId="0" borderId="0" xfId="0" applyFont="1" applyFill="1" applyAlignment="1" applyProtection="1">
      <alignment horizontal="center" vertical="center"/>
      <protection locked="0"/>
    </xf>
    <xf numFmtId="0" fontId="27" fillId="0" borderId="0" xfId="0" applyFont="1" applyFill="1" applyBorder="1" applyAlignment="1" applyProtection="1">
      <alignment horizontal="left" vertical="top"/>
      <protection locked="0"/>
    </xf>
    <xf numFmtId="0" fontId="31" fillId="0" borderId="0" xfId="0" applyFont="1" applyFill="1" applyBorder="1" applyAlignment="1">
      <alignment horizontal="center" vertical="center"/>
    </xf>
    <xf numFmtId="0" fontId="31" fillId="0" borderId="0" xfId="0" applyFont="1" applyFill="1" applyBorder="1" applyAlignment="1">
      <alignment horizontal="center" vertical="center" wrapText="1"/>
    </xf>
    <xf numFmtId="0" fontId="0" fillId="0" borderId="0" xfId="0" applyFont="1" applyFill="1" applyBorder="1" applyAlignment="1" applyProtection="1">
      <alignment horizontal="center" vertical="top" wrapText="1"/>
      <protection locked="0"/>
    </xf>
    <xf numFmtId="0" fontId="0" fillId="0" borderId="0" xfId="0" applyFont="1" applyFill="1" applyBorder="1" applyAlignment="1">
      <alignment horizontal="center" vertical="top" wrapText="1"/>
    </xf>
    <xf numFmtId="0" fontId="0" fillId="0" borderId="0" xfId="0" applyFont="1" applyFill="1" applyAlignment="1" applyProtection="1">
      <alignment horizontal="center" vertical="top" wrapText="1"/>
      <protection locked="0"/>
    </xf>
    <xf numFmtId="0" fontId="1" fillId="0" borderId="0" xfId="0" applyFont="1" applyFill="1" applyBorder="1" applyAlignment="1">
      <alignment horizontal="center" vertical="center"/>
    </xf>
    <xf numFmtId="0" fontId="1" fillId="0" borderId="0" xfId="0" applyFont="1" applyFill="1" applyBorder="1" applyAlignment="1">
      <alignment horizontal="center" vertical="center" wrapText="1"/>
    </xf>
    <xf numFmtId="0" fontId="0" fillId="0" borderId="0" xfId="0" applyFont="1" applyFill="1" applyBorder="1" applyAlignment="1" applyProtection="1">
      <alignment horizontal="center" vertical="center" wrapText="1"/>
    </xf>
    <xf numFmtId="0" fontId="0" fillId="7" borderId="0" xfId="0" applyFont="1" applyFill="1" applyBorder="1" applyAlignment="1" applyProtection="1">
      <alignment horizontal="center" vertical="center"/>
      <protection locked="0"/>
    </xf>
    <xf numFmtId="0" fontId="31" fillId="0" borderId="0" xfId="0" applyFont="1" applyAlignment="1">
      <alignment horizontal="center" vertical="center"/>
    </xf>
    <xf numFmtId="0" fontId="0" fillId="7" borderId="0" xfId="0" applyFont="1" applyFill="1" applyAlignment="1" applyProtection="1">
      <alignment vertical="center" wrapText="1"/>
    </xf>
    <xf numFmtId="0" fontId="0" fillId="0" borderId="0" xfId="0" applyFont="1" applyFill="1" applyBorder="1" applyAlignment="1">
      <alignment horizontal="left" vertical="top" wrapText="1"/>
    </xf>
    <xf numFmtId="14" fontId="0" fillId="0" borderId="0" xfId="0" applyNumberFormat="1" applyFont="1" applyFill="1" applyBorder="1" applyAlignment="1">
      <alignment horizontal="center" vertical="top" wrapText="1"/>
    </xf>
    <xf numFmtId="14" fontId="0" fillId="0" borderId="0" xfId="0" applyNumberFormat="1" applyFont="1" applyFill="1" applyBorder="1" applyAlignment="1" applyProtection="1">
      <alignment horizontal="left" vertical="center" wrapText="1"/>
      <protection locked="0"/>
    </xf>
    <xf numFmtId="0" fontId="27" fillId="0" borderId="0" xfId="0" applyNumberFormat="1" applyFont="1" applyFill="1" applyBorder="1" applyAlignment="1">
      <alignment horizontal="center" vertical="center" wrapText="1"/>
    </xf>
    <xf numFmtId="14" fontId="0" fillId="0" borderId="0" xfId="0" applyNumberFormat="1" applyFont="1" applyFill="1" applyAlignment="1" applyProtection="1">
      <alignment horizontal="left" vertical="center" wrapText="1"/>
      <protection locked="0"/>
    </xf>
    <xf numFmtId="14" fontId="0" fillId="0" borderId="0" xfId="0" applyNumberFormat="1" applyFont="1" applyFill="1" applyBorder="1" applyAlignment="1">
      <alignment horizontal="left" vertical="center" wrapText="1"/>
    </xf>
    <xf numFmtId="0" fontId="32" fillId="0" borderId="0" xfId="0" applyNumberFormat="1" applyFont="1" applyFill="1" applyAlignment="1" applyProtection="1">
      <alignment horizontal="center" vertical="center" wrapText="1"/>
    </xf>
    <xf numFmtId="0" fontId="32" fillId="9" borderId="29" xfId="0" applyFont="1" applyFill="1" applyBorder="1" applyAlignment="1" applyProtection="1">
      <alignment horizontal="center" vertical="center" wrapText="1"/>
      <protection locked="0"/>
    </xf>
    <xf numFmtId="0" fontId="33" fillId="0" borderId="0" xfId="0" applyFont="1" applyFill="1" applyAlignment="1" applyProtection="1">
      <alignment horizontal="center" vertical="center"/>
      <protection locked="0"/>
    </xf>
    <xf numFmtId="0" fontId="33" fillId="0" borderId="0" xfId="0" applyFont="1" applyFill="1" applyAlignment="1" applyProtection="1">
      <alignment horizontal="left" vertical="top" wrapText="1"/>
      <protection locked="0"/>
    </xf>
    <xf numFmtId="14" fontId="32" fillId="0" borderId="0" xfId="0" applyNumberFormat="1" applyFont="1" applyFill="1" applyAlignment="1" applyProtection="1">
      <alignment horizontal="center" vertical="center" wrapText="1"/>
      <protection locked="0"/>
    </xf>
    <xf numFmtId="1" fontId="32" fillId="0" borderId="0" xfId="0" applyNumberFormat="1" applyFont="1" applyFill="1" applyAlignment="1" applyProtection="1">
      <alignment horizontal="center" vertical="center" wrapText="1"/>
    </xf>
    <xf numFmtId="0" fontId="32" fillId="0" borderId="0" xfId="0" applyFont="1" applyFill="1" applyAlignment="1" applyProtection="1">
      <alignment horizontal="center" vertical="top" wrapText="1"/>
      <protection locked="0"/>
    </xf>
    <xf numFmtId="0" fontId="32" fillId="0" borderId="0" xfId="0" applyFont="1" applyFill="1" applyAlignment="1" applyProtection="1">
      <alignment horizontal="center" vertical="center" wrapText="1"/>
      <protection locked="0"/>
    </xf>
    <xf numFmtId="14" fontId="33" fillId="0" borderId="0" xfId="0" applyNumberFormat="1" applyFont="1" applyFill="1" applyAlignment="1" applyProtection="1">
      <alignment horizontal="center" vertical="top" wrapText="1"/>
    </xf>
    <xf numFmtId="14" fontId="32" fillId="0" borderId="0" xfId="0" applyNumberFormat="1" applyFont="1" applyFill="1" applyAlignment="1" applyProtection="1">
      <alignment horizontal="left" vertical="center" wrapText="1"/>
      <protection locked="0"/>
    </xf>
    <xf numFmtId="49" fontId="33" fillId="0" borderId="0" xfId="0" applyNumberFormat="1" applyFont="1" applyFill="1" applyAlignment="1" applyProtection="1">
      <alignment horizontal="center" vertical="top" wrapText="1"/>
      <protection locked="0"/>
    </xf>
    <xf numFmtId="0" fontId="33" fillId="0" borderId="0" xfId="0" applyFont="1" applyFill="1" applyAlignment="1" applyProtection="1">
      <alignment horizontal="center" vertical="top" wrapText="1"/>
      <protection locked="0"/>
    </xf>
    <xf numFmtId="0" fontId="34" fillId="0" borderId="0" xfId="0" applyFont="1" applyAlignment="1">
      <alignment horizontal="center" vertical="top"/>
    </xf>
    <xf numFmtId="0" fontId="0" fillId="0" borderId="0" xfId="0" applyFont="1" applyFill="1" applyBorder="1" applyAlignment="1">
      <alignment horizontal="center" vertical="center"/>
    </xf>
    <xf numFmtId="14" fontId="0" fillId="0" borderId="0" xfId="0" applyNumberFormat="1" applyAlignment="1">
      <alignment horizontal="center" vertical="top" wrapText="1"/>
    </xf>
    <xf numFmtId="14" fontId="27" fillId="0" borderId="0" xfId="0" applyNumberFormat="1" applyFont="1" applyFill="1" applyBorder="1" applyAlignment="1">
      <alignment horizontal="center" vertical="center" wrapText="1"/>
    </xf>
    <xf numFmtId="0" fontId="4" fillId="0" borderId="0" xfId="0" applyFont="1" applyFill="1" applyBorder="1" applyAlignment="1">
      <alignment horizontal="center" vertical="center" wrapText="1"/>
    </xf>
    <xf numFmtId="49" fontId="20" fillId="7" borderId="0" xfId="0" applyNumberFormat="1" applyFont="1" applyFill="1" applyAlignment="1">
      <alignment horizontal="left" vertical="center"/>
    </xf>
    <xf numFmtId="0" fontId="15" fillId="7" borderId="0" xfId="0" applyFont="1" applyFill="1" applyAlignment="1">
      <alignment horizontal="center" vertical="center"/>
    </xf>
    <xf numFmtId="0" fontId="18" fillId="7" borderId="0" xfId="0" applyFont="1" applyFill="1" applyAlignment="1">
      <alignment horizontal="center" vertical="center"/>
    </xf>
    <xf numFmtId="0" fontId="2" fillId="7" borderId="0" xfId="0" applyFont="1" applyFill="1" applyBorder="1" applyAlignment="1" applyProtection="1">
      <alignment horizontal="center" vertical="center"/>
      <protection locked="0"/>
    </xf>
    <xf numFmtId="0" fontId="30" fillId="8" borderId="32" xfId="0" applyFont="1" applyFill="1" applyBorder="1" applyAlignment="1">
      <alignment horizontal="center" vertical="center" wrapText="1"/>
    </xf>
    <xf numFmtId="0" fontId="30" fillId="8" borderId="25" xfId="0" applyFont="1" applyFill="1" applyBorder="1" applyAlignment="1">
      <alignment horizontal="center" vertical="center" wrapText="1"/>
    </xf>
    <xf numFmtId="0" fontId="0" fillId="0" borderId="0" xfId="0" applyAlignment="1">
      <alignment horizontal="center" vertical="center" wrapText="1"/>
    </xf>
    <xf numFmtId="0" fontId="0" fillId="0" borderId="29" xfId="0" applyBorder="1" applyAlignment="1">
      <alignment horizontal="center" vertical="center" wrapText="1"/>
    </xf>
    <xf numFmtId="0" fontId="0" fillId="0" borderId="31" xfId="0" applyBorder="1" applyAlignment="1">
      <alignment horizontal="center" vertical="center" wrapText="1"/>
    </xf>
    <xf numFmtId="0" fontId="3" fillId="2" borderId="19"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3" fillId="2" borderId="20"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3" xfId="0" applyFont="1" applyFill="1" applyBorder="1" applyAlignment="1">
      <alignment horizontal="center" vertical="center" wrapText="1"/>
    </xf>
    <xf numFmtId="0" fontId="3" fillId="2" borderId="22"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3" xfId="0" applyFont="1" applyFill="1" applyBorder="1" applyAlignment="1">
      <alignment horizontal="center" vertical="center"/>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2" fillId="5" borderId="18" xfId="0" applyFont="1" applyFill="1" applyBorder="1" applyAlignment="1">
      <alignment horizontal="center" vertical="center" wrapText="1"/>
    </xf>
    <xf numFmtId="0" fontId="2" fillId="5" borderId="0" xfId="0" applyFont="1" applyFill="1" applyBorder="1" applyAlignment="1">
      <alignment horizontal="center" vertical="center" wrapText="1"/>
    </xf>
    <xf numFmtId="0" fontId="2" fillId="5" borderId="17" xfId="0" applyFont="1" applyFill="1" applyBorder="1" applyAlignment="1">
      <alignment horizontal="center" vertical="center" wrapText="1"/>
    </xf>
    <xf numFmtId="0" fontId="2" fillId="2" borderId="28" xfId="0" applyFont="1" applyFill="1" applyBorder="1" applyAlignment="1">
      <alignment horizontal="center" vertical="center" wrapText="1"/>
    </xf>
    <xf numFmtId="0" fontId="12" fillId="0" borderId="0" xfId="0" applyFont="1" applyAlignment="1">
      <alignment horizontal="center" vertical="center" wrapText="1"/>
    </xf>
  </cellXfs>
  <cellStyles count="1">
    <cellStyle name="Normal" xfId="0" builtinId="0"/>
  </cellStyles>
  <dxfs count="111">
    <dxf>
      <fill>
        <patternFill>
          <bgColor rgb="FFDEDEDE"/>
        </patternFill>
      </fill>
    </dxf>
    <dxf>
      <fill>
        <patternFill>
          <bgColor rgb="FFE4E4E4"/>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629AEC"/>
        </patternFill>
      </fill>
      <border>
        <left/>
        <top style="thin">
          <color auto="1"/>
        </top>
        <bottom style="thin">
          <color auto="1"/>
        </bottom>
        <vertical/>
      </border>
    </dxf>
    <dxf>
      <border>
        <top style="thin">
          <color theme="1"/>
        </top>
        <bottom style="thin">
          <color theme="1"/>
        </bottom>
        <vertical/>
        <horizontal style="hair">
          <color theme="1"/>
        </horizontal>
      </border>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 formatCode="0"/>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solid">
          <fgColor indexed="64"/>
          <bgColor rgb="FFE4E4E4"/>
        </patternFill>
      </fill>
      <alignment horizontal="center" vertical="center" textRotation="0" wrapText="1"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numFmt numFmtId="19" formatCode="m/d/yyyy"/>
    </dxf>
    <dxf>
      <numFmt numFmtId="19" formatCode="m/d/yyyy"/>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sz val="10.5"/>
        <color theme="1"/>
        <name val="Arial"/>
        <scheme val="none"/>
      </font>
      <alignment vertical="top" textRotation="0" wrapText="1" indent="0" justifyLastLine="0" shrinkToFit="0" readingOrder="0"/>
    </dxf>
    <dxf>
      <font>
        <strike val="0"/>
        <outline val="0"/>
        <shadow val="0"/>
        <u val="none"/>
        <vertAlign val="baseline"/>
        <sz val="11"/>
        <color theme="1"/>
        <name val="Arial"/>
        <scheme val="none"/>
      </font>
      <alignment horizontal="center" vertical="center" textRotation="0" wrapText="1" indent="0" justifyLastLine="0" shrinkToFit="0" readingOrder="0"/>
    </dxf>
    <dxf>
      <font>
        <color theme="0"/>
      </font>
      <fill>
        <patternFill>
          <bgColor rgb="FFD26865"/>
        </patternFill>
      </fill>
    </dxf>
    <dxf>
      <font>
        <color theme="1"/>
      </font>
      <fill>
        <patternFill>
          <bgColor rgb="FFFFFFA7"/>
        </patternFill>
      </fill>
    </dxf>
    <dxf>
      <font>
        <color theme="1"/>
      </font>
      <fill>
        <patternFill>
          <bgColor rgb="FFB5E69A"/>
        </patternFill>
      </fill>
    </dxf>
    <dxf>
      <font>
        <b val="0"/>
        <i val="0"/>
        <color rgb="FFD04340"/>
      </font>
    </dxf>
    <dxf>
      <font>
        <b val="0"/>
        <i/>
        <color rgb="FF929292"/>
      </font>
    </dxf>
    <dxf>
      <font>
        <color theme="0"/>
      </font>
      <fill>
        <patternFill>
          <bgColor rgb="FFD26865"/>
        </patternFill>
      </fill>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ont>
        <b/>
        <color theme="1"/>
      </font>
      <border>
        <top style="thin">
          <color theme="1"/>
        </top>
        <bottom/>
      </border>
    </dxf>
    <dxf>
      <font>
        <color rgb="FF408CE8"/>
      </font>
      <fill>
        <patternFill>
          <bgColor theme="0" tint="-0.14996795556505021"/>
        </patternFill>
      </fill>
      <border>
        <top style="thin">
          <color rgb="FF408CE8"/>
        </top>
        <bottom style="thin">
          <color rgb="FF408CE8"/>
        </bottom>
        <vertical/>
        <horizontal/>
      </border>
    </dxf>
    <dxf>
      <border>
        <bottom style="thin">
          <color rgb="FF408CE8"/>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
      <fill>
        <patternFill patternType="solid">
          <fgColor theme="0" tint="-0.14999847407452621"/>
          <bgColor theme="0" tint="-0.14999847407452621"/>
        </patternFill>
      </fill>
    </dxf>
    <dxf>
      <fill>
        <patternFill patternType="solid">
          <fgColor theme="0" tint="-0.14996795556505021"/>
          <bgColor rgb="FFC7C7C7"/>
        </patternFill>
      </fill>
    </dxf>
    <dxf>
      <font>
        <b/>
        <color theme="1"/>
      </font>
    </dxf>
    <dxf>
      <font>
        <b/>
        <color theme="1"/>
      </font>
    </dxf>
    <dxf>
      <font>
        <b/>
        <color theme="1"/>
      </font>
      <border>
        <top style="thin">
          <color theme="1"/>
        </top>
      </border>
    </dxf>
    <dxf>
      <font>
        <b/>
        <color theme="1"/>
      </font>
      <border>
        <bottom style="thin">
          <color theme="1"/>
        </bottom>
      </border>
    </dxf>
    <dxf>
      <font>
        <color theme="1"/>
      </font>
      <border>
        <top style="thin">
          <color theme="1"/>
        </top>
        <bottom style="thin">
          <color theme="1"/>
        </bottom>
      </border>
    </dxf>
    <dxf>
      <fill>
        <patternFill>
          <bgColor rgb="FFEAEAEA"/>
        </patternFill>
      </fill>
    </dxf>
    <dxf>
      <fill>
        <patternFill>
          <bgColor rgb="FFE4E4E4"/>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629AEC"/>
        </patternFill>
      </fill>
      <border>
        <vertical style="thin">
          <color theme="0"/>
        </vertical>
      </border>
    </dxf>
    <dxf>
      <fill>
        <patternFill>
          <bgColor theme="0"/>
        </patternFill>
      </fill>
      <border diagonalUp="0" diagonalDown="0">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s>
  <tableStyles count="8" defaultTableStyle="TableStyleMedium9" defaultPivotStyle="PivotStyleLight16">
    <tableStyle name="Report_Blue" pivot="0" count="5">
      <tableStyleElement type="wholeTable" dxfId="110"/>
      <tableStyleElement type="headerRow" dxfId="109"/>
      <tableStyleElement type="totalRow" dxfId="108"/>
      <tableStyleElement type="firstColumn" dxfId="107"/>
      <tableStyleElement type="firstRowStripe" dxfId="106"/>
    </tableStyle>
    <tableStyle name="Report_Blue 2" pivot="0" count="5">
      <tableStyleElement type="wholeTable" dxfId="4"/>
      <tableStyleElement type="headerRow" dxfId="3"/>
      <tableStyleElement type="totalRow" dxfId="2"/>
      <tableStyleElement type="firstColumn" dxfId="1"/>
      <tableStyleElement type="firstRowStripe" dxfId="0"/>
    </tableStyle>
    <tableStyle name="reportMain" pivot="0" count="7">
      <tableStyleElement type="wholeTable" dxfId="105"/>
      <tableStyleElement type="headerRow" dxfId="104"/>
      <tableStyleElement type="totalRow" dxfId="103"/>
      <tableStyleElement type="firstColumn" dxfId="102"/>
      <tableStyleElement type="lastColumn" dxfId="101"/>
      <tableStyleElement type="firstRowStripe" dxfId="100"/>
      <tableStyleElement type="firstColumnStripe" dxfId="99"/>
    </tableStyle>
    <tableStyle name="TableStyleDark9 2" pivot="0" count="7">
      <tableStyleElement type="wholeTable" dxfId="98"/>
      <tableStyleElement type="headerRow" dxfId="97"/>
      <tableStyleElement type="totalRow" dxfId="96"/>
      <tableStyleElement type="firstColumn" dxfId="95"/>
      <tableStyleElement type="lastColumn" dxfId="94"/>
      <tableStyleElement type="firstRowStripe" dxfId="93"/>
      <tableStyleElement type="firstColumnStripe" dxfId="92"/>
    </tableStyle>
    <tableStyle name="TableStyleLight1 2" pivot="0" count="3">
      <tableStyleElement type="wholeTable" dxfId="91"/>
      <tableStyleElement type="headerRow" dxfId="90"/>
      <tableStyleElement type="totalRow" dxfId="89"/>
    </tableStyle>
    <tableStyle name="TableStyleMedium16 2" pivot="0" count="7">
      <tableStyleElement type="wholeTable" dxfId="88"/>
      <tableStyleElement type="headerRow" dxfId="87"/>
      <tableStyleElement type="totalRow" dxfId="86"/>
      <tableStyleElement type="firstColumn" dxfId="85"/>
      <tableStyleElement type="lastColumn" dxfId="84"/>
      <tableStyleElement type="firstRowStripe" dxfId="83"/>
      <tableStyleElement type="firstColumnStripe" dxfId="82"/>
    </tableStyle>
    <tableStyle name="TableStyleMedium22 2" pivot="0" count="7">
      <tableStyleElement type="wholeTable" dxfId="81"/>
      <tableStyleElement type="headerRow" dxfId="80"/>
      <tableStyleElement type="totalRow" dxfId="79"/>
      <tableStyleElement type="firstColumn" dxfId="78"/>
      <tableStyleElement type="lastColumn" dxfId="77"/>
      <tableStyleElement type="firstRowStripe" dxfId="76"/>
      <tableStyleElement type="firstColumnStripe" dxfId="75"/>
    </tableStyle>
    <tableStyle name="TableStyleMedium23 2" pivot="0" count="8">
      <tableStyleElement type="wholeTable" dxfId="74"/>
      <tableStyleElement type="headerRow" dxfId="73"/>
      <tableStyleElement type="totalRow" dxfId="72"/>
      <tableStyleElement type="firstColumn" dxfId="71"/>
      <tableStyleElement type="lastColumn" dxfId="70"/>
      <tableStyleElement type="firstRowStripe" dxfId="69"/>
      <tableStyleElement type="firstColumnStripe" dxfId="68"/>
      <tableStyleElement type="secondColumnStripe" dxfId="67"/>
    </tableStyle>
  </tableStyles>
  <colors>
    <mruColors>
      <color rgb="FFDEDEDE"/>
      <color rgb="FFE8E8E8"/>
      <color rgb="FFE6E6E6"/>
      <color rgb="FF408CE8"/>
      <color rgb="FFDCDCDC"/>
      <color rgb="FFCDCDCD"/>
      <color rgb="FFC7C7C7"/>
      <color rgb="FFD2D2D2"/>
      <color rgb="FFB5E69A"/>
      <color rgb="FFBAE19F"/>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oneCellAnchor>
    <xdr:from>
      <xdr:col>0</xdr:col>
      <xdr:colOff>262304</xdr:colOff>
      <xdr:row>0</xdr:row>
      <xdr:rowOff>0</xdr:rowOff>
    </xdr:from>
    <xdr:ext cx="5920080" cy="1150403"/>
    <xdr:grpSp>
      <xdr:nvGrpSpPr>
        <xdr:cNvPr id="2" name="Group 1"/>
        <xdr:cNvGrpSpPr>
          <a:grpSpLocks noChangeAspect="1"/>
        </xdr:cNvGrpSpPr>
      </xdr:nvGrpSpPr>
      <xdr:grpSpPr>
        <a:xfrm>
          <a:off x="2623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06025" y="879154"/>
                <a:ext cx="228600" cy="219075"/>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3</xdr:col>
          <xdr:colOff>590550</xdr:colOff>
          <xdr:row>8</xdr:row>
          <xdr:rowOff>142875</xdr:rowOff>
        </xdr:from>
        <xdr:to>
          <xdr:col>6</xdr:col>
          <xdr:colOff>19050</xdr:colOff>
          <xdr:row>11</xdr:row>
          <xdr:rowOff>114300</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238125</xdr:rowOff>
        </xdr:from>
        <xdr:to>
          <xdr:col>3</xdr:col>
          <xdr:colOff>2381250</xdr:colOff>
          <xdr:row>1</xdr:row>
          <xdr:rowOff>581025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619125</xdr:rowOff>
        </xdr:from>
        <xdr:to>
          <xdr:col>3</xdr:col>
          <xdr:colOff>2381250</xdr:colOff>
          <xdr:row>2</xdr:row>
          <xdr:rowOff>142875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180975</xdr:rowOff>
        </xdr:from>
        <xdr:to>
          <xdr:col>3</xdr:col>
          <xdr:colOff>2381250</xdr:colOff>
          <xdr:row>2</xdr:row>
          <xdr:rowOff>523875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571500</xdr:rowOff>
        </xdr:from>
        <xdr:to>
          <xdr:col>3</xdr:col>
          <xdr:colOff>2381250</xdr:colOff>
          <xdr:row>3</xdr:row>
          <xdr:rowOff>38100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2</xdr:row>
          <xdr:rowOff>762000</xdr:rowOff>
        </xdr:from>
        <xdr:to>
          <xdr:col>2</xdr:col>
          <xdr:colOff>1123950</xdr:colOff>
          <xdr:row>3</xdr:row>
          <xdr:rowOff>161925</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1162050</xdr:colOff>
          <xdr:row>2</xdr:row>
          <xdr:rowOff>733425</xdr:rowOff>
        </xdr:from>
        <xdr:to>
          <xdr:col>2</xdr:col>
          <xdr:colOff>1543050</xdr:colOff>
          <xdr:row>3</xdr:row>
          <xdr:rowOff>171450</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xdr:row>
          <xdr:rowOff>152400</xdr:rowOff>
        </xdr:from>
        <xdr:to>
          <xdr:col>2</xdr:col>
          <xdr:colOff>1781175</xdr:colOff>
          <xdr:row>1</xdr:row>
          <xdr:rowOff>542925</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xdr:row>
          <xdr:rowOff>590550</xdr:rowOff>
        </xdr:from>
        <xdr:to>
          <xdr:col>2</xdr:col>
          <xdr:colOff>1781175</xdr:colOff>
          <xdr:row>2</xdr:row>
          <xdr:rowOff>161925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xdr:row>
          <xdr:rowOff>209550</xdr:rowOff>
        </xdr:from>
        <xdr:to>
          <xdr:col>2</xdr:col>
          <xdr:colOff>1781175</xdr:colOff>
          <xdr:row>2</xdr:row>
          <xdr:rowOff>600075</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xdr:row>
          <xdr:rowOff>495300</xdr:rowOff>
        </xdr:from>
        <xdr:to>
          <xdr:col>1</xdr:col>
          <xdr:colOff>571500</xdr:colOff>
          <xdr:row>2</xdr:row>
          <xdr:rowOff>142875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xdr:row>
          <xdr:rowOff>95250</xdr:rowOff>
        </xdr:from>
        <xdr:to>
          <xdr:col>1</xdr:col>
          <xdr:colOff>571500</xdr:colOff>
          <xdr:row>1</xdr:row>
          <xdr:rowOff>428625</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209550</xdr:rowOff>
        </xdr:from>
        <xdr:to>
          <xdr:col>1</xdr:col>
          <xdr:colOff>704850</xdr:colOff>
          <xdr:row>2</xdr:row>
          <xdr:rowOff>571500</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628650</xdr:rowOff>
        </xdr:from>
        <xdr:to>
          <xdr:col>1</xdr:col>
          <xdr:colOff>704850</xdr:colOff>
          <xdr:row>3</xdr:row>
          <xdr:rowOff>123825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0</xdr:row>
          <xdr:rowOff>38100</xdr:rowOff>
        </xdr:from>
        <xdr:to>
          <xdr:col>2</xdr:col>
          <xdr:colOff>1543050</xdr:colOff>
          <xdr:row>1</xdr:row>
          <xdr:rowOff>104775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1</xdr:row>
          <xdr:rowOff>247650</xdr:rowOff>
        </xdr:from>
        <xdr:to>
          <xdr:col>3</xdr:col>
          <xdr:colOff>2743200</xdr:colOff>
          <xdr:row>1</xdr:row>
          <xdr:rowOff>571500</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1</xdr:row>
          <xdr:rowOff>628650</xdr:rowOff>
        </xdr:from>
        <xdr:to>
          <xdr:col>3</xdr:col>
          <xdr:colOff>2743200</xdr:colOff>
          <xdr:row>2</xdr:row>
          <xdr:rowOff>133350</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2</xdr:row>
          <xdr:rowOff>190500</xdr:rowOff>
        </xdr:from>
        <xdr:to>
          <xdr:col>3</xdr:col>
          <xdr:colOff>2743200</xdr:colOff>
          <xdr:row>2</xdr:row>
          <xdr:rowOff>514350</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2</xdr:row>
          <xdr:rowOff>581025</xdr:rowOff>
        </xdr:from>
        <xdr:to>
          <xdr:col>3</xdr:col>
          <xdr:colOff>2743200</xdr:colOff>
          <xdr:row>3</xdr:row>
          <xdr:rowOff>28575</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34" unboundColumnsLeft="1">
    <queryTableFields count="27">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A1487" tableType="queryTable" totalsRowShown="0" headerRowDxfId="60" dataDxfId="59">
  <sortState ref="A6:AA1487">
    <sortCondition ref="A5:A1487"/>
  </sortState>
  <tableColumns count="27">
    <tableColumn id="17" uniqueName="17" name=" " queryTableFieldId="17" dataDxfId="38">
      <calculatedColumnFormula>IF(priority(Main[[#This Row],[Comments]])&lt;&gt;0, priority(Main[[#This Row],[Comments]]),"")</calculatedColumnFormula>
    </tableColumn>
    <tableColumn id="1" uniqueName="1" name="RTA" queryTableFieldId="1" dataDxfId="37"/>
    <tableColumn id="2" uniqueName="2" name="Customer" queryTableFieldId="2" dataDxfId="36"/>
    <tableColumn id="3" uniqueName="3" name="Description" queryTableFieldId="3" dataDxfId="35"/>
    <tableColumn id="4" uniqueName="4" name="Submitted" queryTableFieldId="4" dataDxfId="34"/>
    <tableColumn id="5" uniqueName="5" name="In Stock Date" queryTableFieldId="5" dataDxfId="33"/>
    <tableColumn id="19" uniqueName="19" name="Std. Prod. Lead Time" queryTableFieldId="19" dataDxfId="32">
      <calculatedColumnFormula>IF(stdProdLT(Main[[#This Row],[Comments]])=0.1,"N/A",IF(stdProdLT(Main[[#This Row],[Comments]])=0,"",TRIM(stdProdLT(Main[[#This Row],[Comments]]))))</calculatedColumnFormula>
    </tableColumn>
    <tableColumn id="18" uniqueName="18" name="Remaining Lead Time" queryTableFieldId="18" dataDxfId="31">
      <calculatedColumnFormula>IF(Main[[#This Row],[Std. Prod. Lead Time]]="N/A", "",IF(AND(Main[[#This Row],[In Stock Date]]&lt;&gt;"",Main[[#This Row],[Revised Due Date]]&lt;&gt;"",Main[[#This Row],[In Stock Date]]&lt;&gt;""),Main[[#This Row],[In Stock Date]]-Main[[#This Row],[Revised Due Date]],""))</calculatedColumnFormula>
    </tableColumn>
    <tableColumn id="6" uniqueName="6" name="Assigned To" queryTableFieldId="6" dataDxfId="30"/>
    <tableColumn id="7" uniqueName="7" name="Current Status" queryTableFieldId="7" dataDxfId="29"/>
    <tableColumn id="12" uniqueName="12" name="Class" queryTableFieldId="12" dataDxfId="28"/>
    <tableColumn id="9" uniqueName="9" name="Tech Start Date" queryTableFieldId="9" dataDxfId="27"/>
    <tableColumn id="22" uniqueName="22" name="Design" queryTableFieldId="23" dataDxfId="26">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25">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24">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23">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22"/>
    <tableColumn id="11" uniqueName="11" name="Revised Due Date" queryTableFieldId="11" dataDxfId="21"/>
    <tableColumn id="13" uniqueName="13" name="Type" queryTableFieldId="13" dataDxfId="20"/>
    <tableColumn id="14" uniqueName="14" name="Comments" queryTableFieldId="14" dataDxfId="19"/>
    <tableColumn id="15" uniqueName="15" name="State" queryTableFieldId="15" dataDxfId="18"/>
    <tableColumn id="8" uniqueName="8" name="Lab Office" queryTableFieldId="8" dataDxfId="17"/>
    <tableColumn id="16" uniqueName="16" name="Code" queryTableFieldId="16" dataDxfId="16"/>
    <tableColumn id="24" uniqueName="24" name="Submitted By" queryTableFieldId="29" dataDxfId="15"/>
    <tableColumn id="25" uniqueName="25" name="Requestor Email" queryTableFieldId="30" dataDxfId="14"/>
    <tableColumn id="27" uniqueName="27" name="Manager/Lead" queryTableFieldId="32" dataDxfId="13"/>
    <tableColumn id="26" uniqueName="26" name="Requestor Name" queryTableFieldId="33" dataDxfId="12"/>
  </tableColumns>
  <tableStyleInfo name="Report_Blue" showFirstColumn="1"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58" dataDxfId="57">
  <tableColumns count="1">
    <tableColumn id="1" uniqueName="1" name="Assigned To" queryTableFieldId="1" headerRowDxfId="56" dataDxfId="5"/>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3" tableType="queryTable" headerRowCount="0" totalsRowShown="0" headerRowDxfId="55" dataDxfId="54">
  <tableColumns count="1">
    <tableColumn id="1" uniqueName="1" name="Assigned To" queryTableFieldId="1" headerRowDxfId="53" dataDxfId="6"/>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52" dataDxfId="51">
  <tableColumns count="1">
    <tableColumn id="1" uniqueName="1" name="Assigned To" queryTableFieldId="1" headerRowDxfId="50" dataDxfId="7"/>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9" tableType="queryTable" headerRowCount="0" totalsRowShown="0">
  <tableColumns count="1">
    <tableColumn id="1" uniqueName="1" name="Assigned To" queryTableFieldId="1" headerRowDxfId="49" dataDxfId="8"/>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48">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47" dataDxfId="46">
  <autoFilter ref="I28:I36"/>
  <sortState ref="I29:I36">
    <sortCondition ref="I2:I10"/>
  </sortState>
  <tableColumns count="1">
    <tableColumn id="1" uniqueName="1" name="State" queryTableFieldId="1" dataDxfId="9"/>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5">
  <autoFilter ref="J28:J35"/>
  <sortState ref="J29:J35">
    <sortCondition ref="J24:J31"/>
  </sortState>
  <tableColumns count="1">
    <tableColumn id="1" uniqueName="1" name="Code" queryTableFieldId="2" dataDxfId="10"/>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44" dataDxfId="43" tableBorderDxfId="42">
  <autoFilter ref="H28:H36"/>
  <tableColumns count="1">
    <tableColumn id="1" uniqueName="1" name="Type" queryTableFieldId="1" dataDxfId="11"/>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41">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ReportTable_reportMain" displayName="ReportTable_reportMain" ref="A2:H3" insertRow="1" totalsRowShown="0">
  <tableColumns count="8">
    <tableColumn id="1" name="#"/>
    <tableColumn id="2" name="RTA"/>
    <tableColumn id="3" name="Customer"/>
    <tableColumn id="4" name="Description"/>
    <tableColumn id="5" name="Available In Stock"/>
    <tableColumn id="11" name="Assigned To"/>
    <tableColumn id="8" name="Status"/>
    <tableColumn id="9" name="Tech Rev. Due Date"/>
  </tableColumns>
  <tableStyleInfo name="reportMain" showFirstColumn="0" showLastColumn="0" showRowStripes="1" showColumnStripes="0"/>
</table>
</file>

<file path=xl/tables/table12.xml><?xml version="1.0" encoding="utf-8"?>
<table xmlns="http://schemas.openxmlformats.org/spreadsheetml/2006/main" id="11" name="ReportTable_reportBlue" displayName="ReportTable_reportBlue" ref="A2:H3" insertRow="1" totalsRowShown="0">
  <tableColumns count="8">
    <tableColumn id="1" name="#"/>
    <tableColumn id="2" name="RTA"/>
    <tableColumn id="3" name="Customer"/>
    <tableColumn id="4" name="Description"/>
    <tableColumn id="5" name="Available In Stock Date" dataDxfId="40"/>
    <tableColumn id="11" name="Assigned To"/>
    <tableColumn id="8" name="Status"/>
    <tableColumn id="9" name="Tech Rev. Due Date" dataDxfId="39"/>
  </tableColumns>
  <tableStyleInfo name="Report_Blu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outlinePr showOutlineSymbols="0"/>
  </sheetPr>
  <dimension ref="A1:AA32"/>
  <sheetViews>
    <sheetView showGridLines="0" showRowColHeaders="0" showZeros="0" tabSelected="1" showOutlineSymbols="0" zoomScaleNormal="100" workbookViewId="0"/>
  </sheetViews>
  <sheetFormatPr defaultRowHeight="15.95" customHeight="1"/>
  <cols>
    <col min="1" max="1" width="8.375" style="56" customWidth="1"/>
    <col min="2" max="2" width="8.375" style="57" customWidth="1"/>
    <col min="3" max="9" width="8.375" style="55" customWidth="1"/>
    <col min="10" max="10" width="9.75" style="55" customWidth="1"/>
    <col min="11" max="11" width="8.375" style="44" customWidth="1"/>
    <col min="12" max="16384" width="9" style="44"/>
  </cols>
  <sheetData>
    <row r="1" spans="1:11" ht="14.25">
      <c r="A1" s="44"/>
      <c r="B1" s="44"/>
      <c r="C1" s="44"/>
      <c r="D1" s="44"/>
      <c r="E1" s="44"/>
      <c r="F1" s="44"/>
      <c r="G1" s="44"/>
      <c r="H1" s="44"/>
      <c r="I1" s="44"/>
      <c r="J1" s="44"/>
    </row>
    <row r="2" spans="1:11" ht="14.25">
      <c r="A2" s="44"/>
      <c r="B2" s="143" t="s">
        <v>2060</v>
      </c>
      <c r="C2" s="143"/>
      <c r="D2" s="143"/>
      <c r="E2" s="143"/>
      <c r="F2" s="143"/>
      <c r="G2" s="143"/>
      <c r="H2" s="143"/>
      <c r="I2" s="143"/>
      <c r="J2" s="143"/>
    </row>
    <row r="3" spans="1:11" ht="14.25">
      <c r="A3" s="44"/>
      <c r="B3" s="143"/>
      <c r="C3" s="143"/>
      <c r="D3" s="143"/>
      <c r="E3" s="143"/>
      <c r="F3" s="143"/>
      <c r="G3" s="143"/>
      <c r="H3" s="143"/>
      <c r="I3" s="143"/>
      <c r="J3" s="143"/>
    </row>
    <row r="4" spans="1:11" ht="15" customHeight="1">
      <c r="A4" s="44"/>
      <c r="B4" s="143"/>
      <c r="C4" s="143"/>
      <c r="D4" s="143"/>
      <c r="E4" s="143"/>
      <c r="F4" s="143"/>
      <c r="G4" s="143"/>
      <c r="H4" s="143"/>
      <c r="I4" s="143"/>
      <c r="J4" s="143"/>
    </row>
    <row r="5" spans="1:11" ht="14.25" customHeight="1">
      <c r="A5" s="44"/>
      <c r="B5" s="143"/>
      <c r="C5" s="143"/>
      <c r="D5" s="143"/>
      <c r="E5" s="143"/>
      <c r="F5" s="143"/>
      <c r="G5" s="143"/>
      <c r="H5" s="143"/>
      <c r="I5" s="143"/>
      <c r="J5" s="143"/>
    </row>
    <row r="6" spans="1:11" ht="14.25" customHeight="1">
      <c r="A6" s="44"/>
      <c r="B6" s="143"/>
      <c r="C6" s="143"/>
      <c r="D6" s="143"/>
      <c r="E6" s="143"/>
      <c r="F6" s="143"/>
      <c r="G6" s="143"/>
      <c r="H6" s="143"/>
      <c r="I6" s="143"/>
      <c r="J6" s="143"/>
    </row>
    <row r="7" spans="1:11" ht="80.25" customHeight="1">
      <c r="A7" s="44"/>
      <c r="B7" s="144" t="s">
        <v>2034</v>
      </c>
      <c r="C7" s="144"/>
      <c r="D7" s="144"/>
      <c r="E7" s="144"/>
      <c r="F7" s="144"/>
      <c r="G7" s="144"/>
      <c r="H7" s="144"/>
      <c r="I7" s="144"/>
      <c r="J7" s="46"/>
      <c r="K7" s="46"/>
    </row>
    <row r="8" spans="1:11" ht="20.25" customHeight="1">
      <c r="A8" s="44"/>
      <c r="B8" s="47"/>
      <c r="C8" s="47"/>
      <c r="D8" s="47"/>
      <c r="E8" s="47"/>
      <c r="F8" s="47"/>
      <c r="G8" s="47"/>
      <c r="H8" s="47"/>
      <c r="I8" s="47"/>
      <c r="J8" s="46"/>
      <c r="K8" s="46"/>
    </row>
    <row r="9" spans="1:11" ht="15.95" customHeight="1">
      <c r="K9" s="45"/>
    </row>
    <row r="10" spans="1:11" s="49" customFormat="1" ht="15.95" customHeight="1">
      <c r="A10" s="56"/>
      <c r="B10" s="57"/>
      <c r="C10" s="55"/>
      <c r="D10" s="55"/>
      <c r="E10" s="55"/>
      <c r="F10" s="55"/>
      <c r="G10" s="55"/>
      <c r="H10" s="55"/>
      <c r="I10" s="55"/>
      <c r="J10" s="55"/>
      <c r="K10" s="48"/>
    </row>
    <row r="11" spans="1:11" s="51" customFormat="1" ht="15.95" customHeight="1">
      <c r="A11" s="56"/>
      <c r="B11" s="57"/>
      <c r="C11" s="55"/>
      <c r="D11" s="55"/>
      <c r="E11" s="55"/>
      <c r="F11" s="55"/>
      <c r="G11" s="55"/>
      <c r="H11" s="55"/>
      <c r="I11" s="55"/>
      <c r="J11" s="55"/>
      <c r="K11" s="50"/>
    </row>
    <row r="12" spans="1:11" s="49" customFormat="1" ht="15.95" customHeight="1">
      <c r="A12" s="56"/>
      <c r="B12" s="57"/>
      <c r="C12" s="55"/>
      <c r="D12" s="55"/>
      <c r="E12" s="55"/>
      <c r="F12" s="55"/>
      <c r="G12" s="55"/>
      <c r="H12" s="55"/>
      <c r="I12" s="55"/>
      <c r="J12" s="55"/>
      <c r="K12" s="48"/>
    </row>
    <row r="13" spans="1:11" s="49" customFormat="1" ht="15.95" customHeight="1">
      <c r="A13" s="56"/>
      <c r="B13" s="57"/>
      <c r="C13" s="55"/>
      <c r="D13" s="55"/>
      <c r="E13" s="55"/>
      <c r="F13" s="55"/>
      <c r="G13" s="55"/>
      <c r="H13" s="55"/>
      <c r="I13" s="55"/>
      <c r="J13" s="55"/>
      <c r="K13" s="48"/>
    </row>
    <row r="14" spans="1:11" s="53" customFormat="1" ht="15.95" customHeight="1">
      <c r="A14" s="56"/>
      <c r="B14" s="57"/>
      <c r="C14" s="55"/>
      <c r="D14" s="55"/>
      <c r="E14" s="55"/>
      <c r="F14" s="55"/>
      <c r="G14" s="55"/>
      <c r="H14" s="55"/>
      <c r="I14" s="55"/>
      <c r="J14" s="55"/>
      <c r="K14" s="52"/>
    </row>
    <row r="15" spans="1:11" s="53" customFormat="1" ht="15.95" customHeight="1">
      <c r="A15" s="56"/>
      <c r="B15" s="57"/>
      <c r="C15" s="55"/>
      <c r="D15" s="55"/>
      <c r="E15" s="55"/>
      <c r="F15" s="55"/>
      <c r="G15" s="55"/>
      <c r="H15" s="55"/>
      <c r="I15" s="55"/>
      <c r="J15" s="55"/>
      <c r="K15" s="52"/>
    </row>
    <row r="16" spans="1:11" s="53" customFormat="1" ht="15.95" customHeight="1">
      <c r="A16" s="56"/>
      <c r="B16" s="57"/>
      <c r="C16" s="55"/>
      <c r="D16" s="55"/>
      <c r="E16" s="55"/>
      <c r="F16" s="55"/>
      <c r="G16" s="55"/>
      <c r="H16" s="55"/>
      <c r="I16" s="55"/>
      <c r="J16" s="55"/>
      <c r="K16" s="52"/>
    </row>
    <row r="17" spans="1:27" s="49" customFormat="1" ht="15.95" customHeight="1">
      <c r="A17" s="56"/>
      <c r="B17" s="57"/>
      <c r="C17" s="55"/>
      <c r="D17" s="55"/>
      <c r="E17" s="55"/>
      <c r="F17" s="55"/>
      <c r="G17" s="55"/>
      <c r="H17" s="55"/>
      <c r="I17" s="55"/>
      <c r="J17" s="55"/>
      <c r="K17" s="54"/>
    </row>
    <row r="18" spans="1:27" s="49" customFormat="1" ht="15.95" customHeight="1">
      <c r="A18" s="56"/>
      <c r="B18" s="57"/>
      <c r="C18" s="55"/>
      <c r="D18" s="55"/>
      <c r="E18" s="55"/>
      <c r="F18" s="55"/>
      <c r="G18" s="55"/>
      <c r="H18" s="55"/>
      <c r="I18" s="55"/>
      <c r="J18" s="55"/>
    </row>
    <row r="19" spans="1:27" s="49" customFormat="1" ht="15.95" customHeight="1">
      <c r="A19" s="56"/>
      <c r="B19" s="57"/>
      <c r="C19" s="55"/>
      <c r="D19" s="55"/>
      <c r="E19" s="55"/>
      <c r="F19" s="55"/>
      <c r="G19" s="55"/>
      <c r="H19" s="55"/>
      <c r="I19" s="55"/>
      <c r="J19" s="55"/>
    </row>
    <row r="20" spans="1:27" s="49" customFormat="1" ht="15.95" customHeight="1">
      <c r="A20" s="56"/>
      <c r="B20" s="57"/>
      <c r="C20" s="55"/>
      <c r="D20" s="55"/>
      <c r="E20" s="55"/>
      <c r="F20" s="55"/>
      <c r="G20" s="55"/>
      <c r="H20" s="55"/>
      <c r="I20" s="55"/>
      <c r="J20" s="55"/>
    </row>
    <row r="21" spans="1:27" s="49" customFormat="1" ht="15.95" customHeight="1">
      <c r="A21" s="56"/>
      <c r="B21" s="57"/>
      <c r="C21" s="55"/>
      <c r="D21" s="55"/>
      <c r="E21" s="55"/>
      <c r="F21" s="55"/>
      <c r="G21" s="55"/>
      <c r="H21" s="55"/>
      <c r="I21" s="55"/>
      <c r="J21" s="55"/>
    </row>
    <row r="22" spans="1:27" s="49" customFormat="1" ht="15.95" customHeight="1">
      <c r="A22" s="56"/>
      <c r="B22" s="57"/>
      <c r="C22" s="55"/>
      <c r="D22" s="55"/>
      <c r="E22" s="55"/>
      <c r="F22" s="55"/>
      <c r="G22" s="55"/>
      <c r="H22" s="55"/>
      <c r="I22" s="55"/>
      <c r="J22" s="55"/>
    </row>
    <row r="23" spans="1:27" s="49" customFormat="1" ht="15.95" customHeight="1">
      <c r="A23" s="56"/>
      <c r="B23" s="57"/>
      <c r="C23" s="55"/>
      <c r="D23" s="55"/>
      <c r="E23" s="55"/>
      <c r="F23" s="55"/>
      <c r="G23" s="55"/>
      <c r="H23" s="55"/>
      <c r="I23" s="55"/>
      <c r="J23" s="55"/>
    </row>
    <row r="24" spans="1:27" s="49" customFormat="1" ht="15.95" customHeight="1">
      <c r="A24" s="56"/>
      <c r="B24" s="57"/>
      <c r="C24" s="55"/>
      <c r="D24" s="55"/>
      <c r="E24" s="55"/>
      <c r="F24" s="55"/>
      <c r="G24" s="55"/>
      <c r="H24" s="55"/>
      <c r="I24" s="55"/>
      <c r="J24" s="55"/>
    </row>
    <row r="25" spans="1:27" s="49" customFormat="1" ht="15.95" customHeight="1">
      <c r="A25" s="56"/>
      <c r="B25" s="57"/>
      <c r="C25" s="55"/>
      <c r="D25" s="55"/>
      <c r="E25" s="55"/>
      <c r="F25" s="55"/>
      <c r="G25" s="55"/>
      <c r="H25" s="55"/>
      <c r="I25" s="55"/>
      <c r="J25" s="55"/>
    </row>
    <row r="26" spans="1:27" s="49" customFormat="1" ht="15.95" customHeight="1">
      <c r="A26" s="56"/>
      <c r="B26" s="57"/>
      <c r="C26" s="55"/>
      <c r="D26" s="55"/>
      <c r="E26" s="55"/>
      <c r="F26" s="55"/>
      <c r="G26" s="55"/>
      <c r="H26" s="55"/>
      <c r="I26" s="55"/>
      <c r="J26" s="55"/>
    </row>
    <row r="27" spans="1:27" s="49" customFormat="1" ht="15.95" customHeight="1">
      <c r="A27" s="56"/>
      <c r="B27" s="57"/>
      <c r="C27" s="55"/>
      <c r="D27" s="55"/>
      <c r="E27" s="55"/>
      <c r="F27" s="55"/>
      <c r="G27" s="55"/>
      <c r="H27" s="55"/>
      <c r="I27" s="55"/>
      <c r="J27" s="55"/>
    </row>
    <row r="28" spans="1:27" s="49" customFormat="1" ht="15.95" customHeight="1">
      <c r="A28" s="56"/>
      <c r="B28" s="57"/>
      <c r="C28" s="55"/>
      <c r="D28" s="55"/>
      <c r="E28" s="55"/>
      <c r="F28" s="55"/>
      <c r="G28" s="55"/>
      <c r="H28" s="55"/>
      <c r="I28" s="55"/>
      <c r="J28" s="55"/>
    </row>
    <row r="29" spans="1:27" s="49" customFormat="1" ht="15.95" customHeight="1">
      <c r="A29" s="56"/>
      <c r="B29" s="57"/>
      <c r="C29" s="55"/>
      <c r="D29" s="55"/>
      <c r="E29" s="55"/>
      <c r="F29" s="55"/>
      <c r="G29" s="55"/>
      <c r="H29" s="55"/>
      <c r="I29" s="55"/>
      <c r="J29" s="55"/>
      <c r="R29" s="142"/>
      <c r="S29" s="142"/>
      <c r="T29" s="142"/>
      <c r="U29" s="142"/>
      <c r="V29" s="142"/>
      <c r="W29" s="142"/>
      <c r="X29" s="142"/>
      <c r="Y29" s="142"/>
      <c r="Z29" s="142"/>
      <c r="AA29" s="142"/>
    </row>
    <row r="30" spans="1:27" s="49" customFormat="1" ht="15.95" customHeight="1">
      <c r="A30" s="56"/>
      <c r="B30" s="57"/>
      <c r="C30" s="55"/>
      <c r="D30" s="55"/>
      <c r="E30" s="55"/>
      <c r="F30" s="55"/>
      <c r="G30" s="55"/>
      <c r="H30" s="55"/>
      <c r="I30" s="55"/>
      <c r="J30" s="55"/>
    </row>
    <row r="31" spans="1:27" s="49" customFormat="1" ht="15.95" customHeight="1">
      <c r="A31" s="56"/>
      <c r="B31" s="57"/>
      <c r="C31" s="55"/>
      <c r="D31" s="55"/>
      <c r="E31" s="55"/>
      <c r="F31" s="55"/>
      <c r="G31" s="55"/>
      <c r="H31" s="55"/>
      <c r="I31" s="55"/>
      <c r="J31" s="55"/>
    </row>
    <row r="32" spans="1:27" s="49" customFormat="1" ht="15.95" customHeight="1">
      <c r="A32" s="56"/>
      <c r="B32" s="57"/>
      <c r="C32" s="55"/>
      <c r="D32" s="55"/>
      <c r="E32" s="55"/>
      <c r="F32" s="55"/>
      <c r="G32" s="55"/>
      <c r="H32" s="55"/>
      <c r="I32" s="55"/>
      <c r="J32" s="55"/>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ommandButton1">
          <controlPr defaultSize="0" autoLine="0" r:id="rId5">
            <anchor moveWithCells="1">
              <from>
                <xdr:col>3</xdr:col>
                <xdr:colOff>590550</xdr:colOff>
                <xdr:row>8</xdr:row>
                <xdr:rowOff>142875</xdr:rowOff>
              </from>
              <to>
                <xdr:col>6</xdr:col>
                <xdr:colOff>19050</xdr:colOff>
                <xdr:row>11</xdr:row>
                <xdr:rowOff>114300</xdr:rowOff>
              </to>
            </anchor>
          </controlPr>
        </control>
      </mc:Choice>
      <mc:Fallback>
        <control shapeId="10242" r:id="rId4" name="CommandButton1"/>
      </mc:Fallback>
    </mc:AlternateContent>
    <mc:AlternateContent xmlns:mc="http://schemas.openxmlformats.org/markup-compatibility/2006">
      <mc:Choice Requires="x14">
        <control shapeId="10241" r:id="rId6" name="sheetRev">
          <controlPr defaultSize="0" autoLine="0" r:id="rId7">
            <anchor moveWithCells="1">
              <from>
                <xdr:col>9</xdr:col>
                <xdr:colOff>57150</xdr:colOff>
                <xdr:row>4</xdr:row>
                <xdr:rowOff>133350</xdr:rowOff>
              </from>
              <to>
                <xdr:col>9</xdr:col>
                <xdr:colOff>276225</xdr:colOff>
                <xdr:row>5</xdr:row>
                <xdr:rowOff>161925</xdr:rowOff>
              </to>
            </anchor>
          </controlPr>
        </control>
      </mc:Choice>
      <mc:Fallback>
        <control shapeId="1024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pageSetUpPr fitToPage="1"/>
  </sheetPr>
  <dimension ref="A1:AI1487"/>
  <sheetViews>
    <sheetView showGridLines="0" zoomScaleNormal="100" workbookViewId="0">
      <pane xSplit="4" ySplit="5" topLeftCell="E6" activePane="bottomRight" state="frozen"/>
      <selection pane="topRight" activeCell="E1" sqref="E1"/>
      <selection pane="bottomLeft" activeCell="A6" sqref="A6"/>
      <selection pane="bottomRight" sqref="A1:B1"/>
    </sheetView>
  </sheetViews>
  <sheetFormatPr defaultColWidth="9" defaultRowHeight="17.25" customHeight="1"/>
  <cols>
    <col min="1" max="1" width="6.75" style="43" customWidth="1"/>
    <col min="2" max="2" width="10.125" style="43" customWidth="1"/>
    <col min="3" max="3" width="24.875" style="63" customWidth="1"/>
    <col min="4" max="4" width="38.5" style="64" customWidth="1"/>
    <col min="5" max="5" width="11.375" style="43" hidden="1" customWidth="1"/>
    <col min="6" max="8" width="9.875" style="43" customWidth="1"/>
    <col min="9" max="9" width="21.75" style="43" hidden="1" customWidth="1"/>
    <col min="10" max="10" width="19" style="43" customWidth="1"/>
    <col min="11" max="11" width="6.25" style="43" hidden="1" customWidth="1"/>
    <col min="12" max="12" width="10.5" style="94" hidden="1" customWidth="1"/>
    <col min="13" max="16" width="13.5" style="86" hidden="1" customWidth="1"/>
    <col min="17" max="17" width="12.5" style="95" hidden="1" customWidth="1"/>
    <col min="18" max="18" width="12.375" style="94" customWidth="1"/>
    <col min="19" max="19" width="17.375" style="43" hidden="1" customWidth="1"/>
    <col min="20" max="20" width="31" style="63" hidden="1" customWidth="1"/>
    <col min="21" max="21" width="13.375" style="43" hidden="1" customWidth="1"/>
    <col min="22" max="22" width="11.5" style="43" hidden="1" customWidth="1"/>
    <col min="23" max="23" width="6.375" style="43" hidden="1" customWidth="1"/>
    <col min="24" max="24" width="24.875" style="43" hidden="1" customWidth="1"/>
    <col min="25" max="26" width="24.875" style="63" hidden="1" customWidth="1"/>
    <col min="27" max="27" width="24.875" style="43" hidden="1" customWidth="1"/>
    <col min="28" max="28" width="24.875" style="63" customWidth="1"/>
    <col min="29" max="29" width="13.875" style="63" customWidth="1"/>
    <col min="30" max="30" width="5.875" style="63" customWidth="1"/>
    <col min="31" max="31" width="7.75" style="63" customWidth="1"/>
    <col min="32" max="32" width="5.75" style="63" customWidth="1"/>
    <col min="33" max="33" width="22.375" style="63" customWidth="1"/>
    <col min="34" max="36" width="9" style="63" customWidth="1"/>
    <col min="37" max="16384" width="9" style="63"/>
  </cols>
  <sheetData>
    <row r="1" spans="1:35" s="61" customFormat="1" ht="18" customHeight="1">
      <c r="A1" s="146" t="s">
        <v>3942</v>
      </c>
      <c r="B1" s="147"/>
      <c r="C1" s="150"/>
      <c r="D1" s="67"/>
      <c r="E1" s="87"/>
      <c r="F1" s="87"/>
      <c r="G1" s="87"/>
      <c r="H1" s="87"/>
      <c r="I1" s="87"/>
      <c r="J1" s="87"/>
      <c r="K1" s="87"/>
      <c r="L1" s="92"/>
      <c r="M1" s="68"/>
      <c r="N1" s="68"/>
      <c r="O1" s="68"/>
      <c r="P1" s="68"/>
      <c r="Q1" s="92"/>
      <c r="R1" s="87"/>
      <c r="S1" s="87"/>
      <c r="U1" s="87"/>
      <c r="V1" s="87"/>
      <c r="W1" s="87"/>
      <c r="X1" s="87"/>
      <c r="AA1" s="87"/>
    </row>
    <row r="2" spans="1:35" s="61" customFormat="1" ht="64.5" customHeight="1">
      <c r="A2" s="148"/>
      <c r="B2" s="149"/>
      <c r="C2" s="150"/>
      <c r="D2" s="69"/>
      <c r="E2" s="87"/>
      <c r="F2" s="87"/>
      <c r="G2" s="87"/>
      <c r="H2" s="87"/>
      <c r="I2" s="87"/>
      <c r="J2" s="87"/>
      <c r="K2" s="87"/>
      <c r="L2" s="92"/>
      <c r="M2" s="68"/>
      <c r="N2" s="68"/>
      <c r="O2" s="68"/>
      <c r="P2" s="68"/>
      <c r="Q2" s="92"/>
      <c r="R2" s="87"/>
      <c r="S2" s="87"/>
      <c r="U2" s="87"/>
      <c r="V2" s="87"/>
      <c r="W2" s="87"/>
      <c r="X2" s="87"/>
      <c r="AA2" s="87"/>
    </row>
    <row r="3" spans="1:35" s="61" customFormat="1" ht="69" customHeight="1">
      <c r="A3" s="148"/>
      <c r="B3" s="149"/>
      <c r="C3" s="150"/>
      <c r="D3" s="69"/>
      <c r="E3" s="87"/>
      <c r="F3" s="87"/>
      <c r="G3" s="87"/>
      <c r="H3" s="87"/>
      <c r="I3" s="96" t="s">
        <v>3941</v>
      </c>
      <c r="J3" s="118"/>
      <c r="K3" s="87"/>
      <c r="L3" s="92"/>
      <c r="M3" s="70"/>
      <c r="N3" s="68"/>
      <c r="O3" s="68"/>
      <c r="P3" s="68"/>
      <c r="Q3" s="92"/>
      <c r="R3" s="87"/>
      <c r="S3" s="87"/>
      <c r="U3" s="87"/>
      <c r="V3" s="87"/>
      <c r="W3" s="87"/>
      <c r="X3" s="87"/>
      <c r="AA3" s="87"/>
    </row>
    <row r="4" spans="1:35" s="62" customFormat="1" ht="18" customHeight="1">
      <c r="A4" s="148"/>
      <c r="B4" s="149"/>
      <c r="C4" s="150"/>
      <c r="D4" s="71"/>
      <c r="E4" s="88"/>
      <c r="F4" s="88"/>
      <c r="G4" s="88"/>
      <c r="H4" s="88"/>
      <c r="I4" s="97"/>
      <c r="J4" s="88"/>
      <c r="K4" s="88"/>
      <c r="L4" s="93"/>
      <c r="M4" s="72"/>
      <c r="N4" s="72"/>
      <c r="O4" s="72"/>
      <c r="P4" s="72"/>
      <c r="Q4" s="93"/>
      <c r="R4" s="88"/>
      <c r="S4" s="88"/>
      <c r="U4" s="88"/>
      <c r="V4" s="88"/>
      <c r="W4" s="88"/>
      <c r="X4" s="88"/>
      <c r="AA4" s="88"/>
    </row>
    <row r="5" spans="1:35" s="116" customFormat="1" ht="43.5" customHeight="1">
      <c r="A5" s="12" t="s">
        <v>86</v>
      </c>
      <c r="B5" s="117" t="s">
        <v>963</v>
      </c>
      <c r="C5" s="108" t="s">
        <v>1002</v>
      </c>
      <c r="D5" s="109" t="s">
        <v>0</v>
      </c>
      <c r="E5" s="12" t="s">
        <v>7</v>
      </c>
      <c r="F5" s="12" t="s">
        <v>1003</v>
      </c>
      <c r="G5" s="122" t="s">
        <v>3943</v>
      </c>
      <c r="H5" s="122" t="s">
        <v>3944</v>
      </c>
      <c r="I5" s="114" t="s">
        <v>1912</v>
      </c>
      <c r="J5" s="113" t="s">
        <v>1004</v>
      </c>
      <c r="K5" s="12" t="s">
        <v>966</v>
      </c>
      <c r="L5" s="12" t="s">
        <v>1005</v>
      </c>
      <c r="M5" s="115" t="s">
        <v>964</v>
      </c>
      <c r="N5" s="115" t="s">
        <v>965</v>
      </c>
      <c r="O5" s="115" t="s">
        <v>977</v>
      </c>
      <c r="P5" s="115" t="s">
        <v>978</v>
      </c>
      <c r="Q5" s="12" t="s">
        <v>1006</v>
      </c>
      <c r="R5" s="12" t="s">
        <v>1911</v>
      </c>
      <c r="S5" s="12" t="s">
        <v>967</v>
      </c>
      <c r="T5" s="12" t="s">
        <v>2</v>
      </c>
      <c r="U5" s="12" t="s">
        <v>3</v>
      </c>
      <c r="V5" s="12" t="s">
        <v>1</v>
      </c>
      <c r="W5" s="12" t="s">
        <v>1007</v>
      </c>
      <c r="X5" s="12" t="s">
        <v>2808</v>
      </c>
      <c r="Y5" s="12" t="s">
        <v>2920</v>
      </c>
      <c r="Z5" s="12" t="s">
        <v>3155</v>
      </c>
      <c r="AA5" s="12" t="s">
        <v>3364</v>
      </c>
      <c r="AB5" s="145"/>
      <c r="AC5" s="145"/>
      <c r="AD5" s="145"/>
      <c r="AE5" s="145"/>
      <c r="AF5" s="145"/>
      <c r="AG5" s="145"/>
      <c r="AH5" s="145"/>
      <c r="AI5" s="145"/>
    </row>
    <row r="6" spans="1:35" ht="17.25" customHeight="1">
      <c r="A6" s="65">
        <f>IF(priority(Main[[#This Row],[Comments]])&lt;&gt;0, priority(Main[[#This Row],[Comments]]),"")</f>
        <v>1</v>
      </c>
      <c r="B6" s="60" t="s">
        <v>1169</v>
      </c>
      <c r="C6" s="105" t="s">
        <v>137</v>
      </c>
      <c r="D6" s="74" t="s">
        <v>224</v>
      </c>
      <c r="E6" s="89"/>
      <c r="F6" s="89">
        <v>40770</v>
      </c>
      <c r="G6" s="65" t="str">
        <f>IF(stdProdLT(Main[[#This Row],[Comments]])=0.1,"N/A",IF(stdProdLT(Main[[#This Row],[Comments]])=0,"",TRIM(stdProdLT(Main[[#This Row],[Comments]]))))</f>
        <v/>
      </c>
      <c r="H6" s="98" t="str">
        <f>IF(Main[[#This Row],[Std. Prod. Lead Time]]="N/A", "",IF(AND(Main[[#This Row],[In Stock Date]]&lt;&gt;"",Main[[#This Row],[Revised Due Date]]&lt;&gt;"",Main[[#This Row],[In Stock Date]]&lt;&gt;""),Main[[#This Row],[In Stock Date]]-Main[[#This Row],[Revised Due Date]],""))</f>
        <v/>
      </c>
      <c r="I6" s="110" t="s">
        <v>4</v>
      </c>
      <c r="J6" s="99" t="s">
        <v>28</v>
      </c>
      <c r="K6" s="99" t="s">
        <v>1925</v>
      </c>
      <c r="L6" s="89"/>
      <c r="M6" s="75" t="str">
        <f>IF(Main[[#This Row],[Tech Start Date]]&lt;1/1/1990,"",IF(Main[[#This Row],[Class]]="C",WORKDAY(Main[[#This Row],[Tech Start Date]],9),IF(Main[[#This Row],[Class]]="B", WORKDAY(Main[[#This Row],[Tech Start Date]],6),IF(Main[[#This Row],[Class]]="A",WORKDAY(Main[[#This Row],[Tech Start Date]],2),""))))</f>
        <v/>
      </c>
      <c r="N6" s="75" t="str">
        <f>IF(Main[[#This Row],[Tech Start Date]]&lt;1/1/1990,"",IF(Main[[#This Row],[Class]]="C",WORKDAY(Main[[#This Row],[Tech Start Date]],19),IF(Main[[#This Row],[Class]]="B", WORKDAY(Main[[#This Row],[Tech Start Date]],12),IF(Main[[#This Row],[Class]]="A",WORKDAY(Main[[#This Row],[Tech Start Date]],4),""))))</f>
        <v/>
      </c>
      <c r="O6" s="75" t="str">
        <f>IF(Main[[#This Row],[Tech Start Date]]&lt;1/1/1990,"",IF(Main[[#This Row],[Class]]="C",WORKDAY(Main[[#This Row],[Tech Start Date]],23),IF(Main[[#This Row],[Class]]="B", WORKDAY(Main[[#This Row],[Tech Start Date]],15),IF(Main[[#This Row],[Class]]="A",WORKDAY(Main[[#This Row],[Tech Start Date]],5),""))))</f>
        <v/>
      </c>
      <c r="P6" s="75" t="str">
        <f>IF(Main[[#This Row],[Tech Start Date]]&lt;1/1/1990,"",IF(Main[[#This Row],[Class]]="C",WORKDAY(Main[[#This Row],[Tech Start Date]],28),IF(Main[[#This Row],[Class]]="B", WORKDAY(Main[[#This Row],[Tech Start Date]],19),IF(Main[[#This Row],[Class]]="A",WORKDAY(Main[[#This Row],[Tech Start Date]],9),""))))</f>
        <v/>
      </c>
      <c r="Q6" s="89">
        <v>40585</v>
      </c>
      <c r="R6" s="121"/>
      <c r="S6" s="99" t="s">
        <v>11</v>
      </c>
      <c r="T6" s="76" t="s">
        <v>225</v>
      </c>
      <c r="U6" s="99" t="s">
        <v>14</v>
      </c>
      <c r="V6" s="99" t="s">
        <v>1914</v>
      </c>
      <c r="W6" s="99" t="s">
        <v>1918</v>
      </c>
      <c r="X6" s="99" t="s">
        <v>2833</v>
      </c>
      <c r="Y6" s="73" t="s">
        <v>3002</v>
      </c>
      <c r="Z6" s="73" t="s">
        <v>129</v>
      </c>
      <c r="AA6" s="99" t="s">
        <v>2833</v>
      </c>
    </row>
    <row r="7" spans="1:35" ht="17.25" customHeight="1">
      <c r="A7" s="65">
        <f>IF(priority(Main[[#This Row],[Comments]])&lt;&gt;0, priority(Main[[#This Row],[Comments]]),"")</f>
        <v>1</v>
      </c>
      <c r="B7" s="60" t="s">
        <v>3208</v>
      </c>
      <c r="C7" s="105" t="s">
        <v>72</v>
      </c>
      <c r="D7" s="74" t="s">
        <v>240</v>
      </c>
      <c r="E7" s="89">
        <v>40461.111585648148</v>
      </c>
      <c r="F7" s="89"/>
      <c r="G7" s="65" t="str">
        <f>IF(stdProdLT(Main[[#This Row],[Comments]])=0.1,"N/A",IF(stdProdLT(Main[[#This Row],[Comments]])=0,"",TRIM(stdProdLT(Main[[#This Row],[Comments]]))))</f>
        <v/>
      </c>
      <c r="H7" s="98" t="str">
        <f>IF(Main[[#This Row],[Std. Prod. Lead Time]]="N/A", "",IF(AND(Main[[#This Row],[In Stock Date]]&lt;&gt;"",Main[[#This Row],[Revised Due Date]]&lt;&gt;"",Main[[#This Row],[In Stock Date]]&lt;&gt;""),Main[[#This Row],[In Stock Date]]-Main[[#This Row],[Revised Due Date]],""))</f>
        <v/>
      </c>
      <c r="I7" s="110" t="s">
        <v>74</v>
      </c>
      <c r="J7" s="99" t="s">
        <v>4</v>
      </c>
      <c r="K7" s="99" t="s">
        <v>1925</v>
      </c>
      <c r="L7" s="89"/>
      <c r="M7" s="75" t="str">
        <f>IF(Main[[#This Row],[Tech Start Date]]&lt;1/1/1990,"",IF(Main[[#This Row],[Class]]="C",WORKDAY(Main[[#This Row],[Tech Start Date]],9),IF(Main[[#This Row],[Class]]="B", WORKDAY(Main[[#This Row],[Tech Start Date]],6),IF(Main[[#This Row],[Class]]="A",WORKDAY(Main[[#This Row],[Tech Start Date]],2),""))))</f>
        <v/>
      </c>
      <c r="N7" s="75" t="str">
        <f>IF(Main[[#This Row],[Tech Start Date]]&lt;1/1/1990,"",IF(Main[[#This Row],[Class]]="C",WORKDAY(Main[[#This Row],[Tech Start Date]],19),IF(Main[[#This Row],[Class]]="B", WORKDAY(Main[[#This Row],[Tech Start Date]],12),IF(Main[[#This Row],[Class]]="A",WORKDAY(Main[[#This Row],[Tech Start Date]],4),""))))</f>
        <v/>
      </c>
      <c r="O7" s="75" t="str">
        <f>IF(Main[[#This Row],[Tech Start Date]]&lt;1/1/1990,"",IF(Main[[#This Row],[Class]]="C",WORKDAY(Main[[#This Row],[Tech Start Date]],23),IF(Main[[#This Row],[Class]]="B", WORKDAY(Main[[#This Row],[Tech Start Date]],15),IF(Main[[#This Row],[Class]]="A",WORKDAY(Main[[#This Row],[Tech Start Date]],5),""))))</f>
        <v/>
      </c>
      <c r="P7" s="75" t="str">
        <f>IF(Main[[#This Row],[Tech Start Date]]&lt;1/1/1990,"",IF(Main[[#This Row],[Class]]="C",WORKDAY(Main[[#This Row],[Tech Start Date]],28),IF(Main[[#This Row],[Class]]="B", WORKDAY(Main[[#This Row],[Tech Start Date]],19),IF(Main[[#This Row],[Class]]="A",WORKDAY(Main[[#This Row],[Tech Start Date]],9),""))))</f>
        <v/>
      </c>
      <c r="Q7" s="89"/>
      <c r="R7" s="121">
        <v>40836</v>
      </c>
      <c r="S7" s="99" t="s">
        <v>17</v>
      </c>
      <c r="T7" s="76" t="s">
        <v>241</v>
      </c>
      <c r="U7" s="99" t="s">
        <v>29</v>
      </c>
      <c r="V7" s="99" t="s">
        <v>1916</v>
      </c>
      <c r="W7" s="99" t="s">
        <v>1921</v>
      </c>
      <c r="X7" s="99" t="s">
        <v>2841</v>
      </c>
      <c r="Y7" s="73" t="s">
        <v>2972</v>
      </c>
      <c r="Z7" s="73" t="s">
        <v>415</v>
      </c>
      <c r="AA7" s="99" t="s">
        <v>2841</v>
      </c>
    </row>
    <row r="8" spans="1:35" ht="17.25" customHeight="1">
      <c r="A8" s="65">
        <f>IF(priority(Main[[#This Row],[Comments]])&lt;&gt;0, priority(Main[[#This Row],[Comments]]),"")</f>
        <v>1</v>
      </c>
      <c r="B8" s="60" t="s">
        <v>1045</v>
      </c>
      <c r="C8" s="105" t="s">
        <v>72</v>
      </c>
      <c r="D8" s="74" t="s">
        <v>73</v>
      </c>
      <c r="E8" s="89">
        <v>40461.12232638889</v>
      </c>
      <c r="F8" s="89"/>
      <c r="G8" s="65" t="str">
        <f>IF(stdProdLT(Main[[#This Row],[Comments]])=0.1,"N/A",IF(stdProdLT(Main[[#This Row],[Comments]])=0,"",TRIM(stdProdLT(Main[[#This Row],[Comments]]))))</f>
        <v/>
      </c>
      <c r="H8" s="98" t="str">
        <f>IF(Main[[#This Row],[Std. Prod. Lead Time]]="N/A", "",IF(AND(Main[[#This Row],[In Stock Date]]&lt;&gt;"",Main[[#This Row],[Revised Due Date]]&lt;&gt;"",Main[[#This Row],[In Stock Date]]&lt;&gt;""),Main[[#This Row],[In Stock Date]]-Main[[#This Row],[Revised Due Date]],""))</f>
        <v/>
      </c>
      <c r="I8" s="110" t="s">
        <v>74</v>
      </c>
      <c r="J8" s="99" t="s">
        <v>75</v>
      </c>
      <c r="K8" s="99" t="s">
        <v>1925</v>
      </c>
      <c r="L8" s="89"/>
      <c r="M8" s="75" t="str">
        <f>IF(Main[[#This Row],[Tech Start Date]]&lt;1/1/1990,"",IF(Main[[#This Row],[Class]]="C",WORKDAY(Main[[#This Row],[Tech Start Date]],9),IF(Main[[#This Row],[Class]]="B", WORKDAY(Main[[#This Row],[Tech Start Date]],6),IF(Main[[#This Row],[Class]]="A",WORKDAY(Main[[#This Row],[Tech Start Date]],2),""))))</f>
        <v/>
      </c>
      <c r="N8" s="75" t="str">
        <f>IF(Main[[#This Row],[Tech Start Date]]&lt;1/1/1990,"",IF(Main[[#This Row],[Class]]="C",WORKDAY(Main[[#This Row],[Tech Start Date]],19),IF(Main[[#This Row],[Class]]="B", WORKDAY(Main[[#This Row],[Tech Start Date]],12),IF(Main[[#This Row],[Class]]="A",WORKDAY(Main[[#This Row],[Tech Start Date]],4),""))))</f>
        <v/>
      </c>
      <c r="O8" s="75" t="str">
        <f>IF(Main[[#This Row],[Tech Start Date]]&lt;1/1/1990,"",IF(Main[[#This Row],[Class]]="C",WORKDAY(Main[[#This Row],[Tech Start Date]],23),IF(Main[[#This Row],[Class]]="B", WORKDAY(Main[[#This Row],[Tech Start Date]],15),IF(Main[[#This Row],[Class]]="A",WORKDAY(Main[[#This Row],[Tech Start Date]],5),""))))</f>
        <v/>
      </c>
      <c r="P8" s="75" t="str">
        <f>IF(Main[[#This Row],[Tech Start Date]]&lt;1/1/1990,"",IF(Main[[#This Row],[Class]]="C",WORKDAY(Main[[#This Row],[Tech Start Date]],28),IF(Main[[#This Row],[Class]]="B", WORKDAY(Main[[#This Row],[Tech Start Date]],19),IF(Main[[#This Row],[Class]]="A",WORKDAY(Main[[#This Row],[Tech Start Date]],9),""))))</f>
        <v/>
      </c>
      <c r="Q8" s="89"/>
      <c r="R8" s="121">
        <v>40849</v>
      </c>
      <c r="S8" s="99" t="s">
        <v>17</v>
      </c>
      <c r="T8" s="76" t="s">
        <v>76</v>
      </c>
      <c r="U8" s="99" t="s">
        <v>29</v>
      </c>
      <c r="V8" s="99" t="s">
        <v>1916</v>
      </c>
      <c r="W8" s="99" t="s">
        <v>1921</v>
      </c>
      <c r="X8" s="99" t="s">
        <v>2841</v>
      </c>
      <c r="Y8" s="73" t="s">
        <v>2972</v>
      </c>
      <c r="Z8" s="73" t="s">
        <v>415</v>
      </c>
      <c r="AA8" s="99" t="s">
        <v>2841</v>
      </c>
    </row>
    <row r="9" spans="1:35" ht="17.25" customHeight="1">
      <c r="A9" s="65">
        <f>IF(priority(Main[[#This Row],[Comments]])&lt;&gt;0, priority(Main[[#This Row],[Comments]]),"")</f>
        <v>1</v>
      </c>
      <c r="B9" s="60" t="s">
        <v>2674</v>
      </c>
      <c r="C9" s="105" t="s">
        <v>19</v>
      </c>
      <c r="D9" s="74" t="s">
        <v>2599</v>
      </c>
      <c r="E9" s="89">
        <v>40487.36078703704</v>
      </c>
      <c r="F9" s="89"/>
      <c r="G9" s="65" t="str">
        <f>IF(stdProdLT(Main[[#This Row],[Comments]])=0.1,"N/A",IF(stdProdLT(Main[[#This Row],[Comments]])=0,"",TRIM(stdProdLT(Main[[#This Row],[Comments]]))))</f>
        <v/>
      </c>
      <c r="H9" s="98" t="str">
        <f>IF(Main[[#This Row],[Std. Prod. Lead Time]]="N/A", "",IF(AND(Main[[#This Row],[In Stock Date]]&lt;&gt;"",Main[[#This Row],[Revised Due Date]]&lt;&gt;"",Main[[#This Row],[In Stock Date]]&lt;&gt;""),Main[[#This Row],[In Stock Date]]-Main[[#This Row],[Revised Due Date]],""))</f>
        <v/>
      </c>
      <c r="I9" s="110" t="s">
        <v>2014</v>
      </c>
      <c r="J9" s="99" t="s">
        <v>28</v>
      </c>
      <c r="K9" s="99" t="s">
        <v>1925</v>
      </c>
      <c r="L9" s="89"/>
      <c r="M9" s="75" t="str">
        <f>IF(Main[[#This Row],[Tech Start Date]]&lt;1/1/1990,"",IF(Main[[#This Row],[Class]]="C",WORKDAY(Main[[#This Row],[Tech Start Date]],9),IF(Main[[#This Row],[Class]]="B", WORKDAY(Main[[#This Row],[Tech Start Date]],6),IF(Main[[#This Row],[Class]]="A",WORKDAY(Main[[#This Row],[Tech Start Date]],2),""))))</f>
        <v/>
      </c>
      <c r="N9" s="75" t="str">
        <f>IF(Main[[#This Row],[Tech Start Date]]&lt;1/1/1990,"",IF(Main[[#This Row],[Class]]="C",WORKDAY(Main[[#This Row],[Tech Start Date]],19),IF(Main[[#This Row],[Class]]="B", WORKDAY(Main[[#This Row],[Tech Start Date]],12),IF(Main[[#This Row],[Class]]="A",WORKDAY(Main[[#This Row],[Tech Start Date]],4),""))))</f>
        <v/>
      </c>
      <c r="O9" s="75" t="str">
        <f>IF(Main[[#This Row],[Tech Start Date]]&lt;1/1/1990,"",IF(Main[[#This Row],[Class]]="C",WORKDAY(Main[[#This Row],[Tech Start Date]],23),IF(Main[[#This Row],[Class]]="B", WORKDAY(Main[[#This Row],[Tech Start Date]],15),IF(Main[[#This Row],[Class]]="A",WORKDAY(Main[[#This Row],[Tech Start Date]],5),""))))</f>
        <v/>
      </c>
      <c r="P9" s="75" t="str">
        <f>IF(Main[[#This Row],[Tech Start Date]]&lt;1/1/1990,"",IF(Main[[#This Row],[Class]]="C",WORKDAY(Main[[#This Row],[Tech Start Date]],28),IF(Main[[#This Row],[Class]]="B", WORKDAY(Main[[#This Row],[Tech Start Date]],19),IF(Main[[#This Row],[Class]]="A",WORKDAY(Main[[#This Row],[Tech Start Date]],9),""))))</f>
        <v/>
      </c>
      <c r="Q9" s="89">
        <v>40862</v>
      </c>
      <c r="R9" s="121">
        <v>40862</v>
      </c>
      <c r="S9" s="99" t="s">
        <v>17</v>
      </c>
      <c r="T9" s="76" t="s">
        <v>3630</v>
      </c>
      <c r="U9" s="99" t="s">
        <v>29</v>
      </c>
      <c r="V9" s="99" t="s">
        <v>1928</v>
      </c>
      <c r="W9" s="99" t="s">
        <v>1921</v>
      </c>
      <c r="X9" s="99" t="s">
        <v>129</v>
      </c>
      <c r="Y9" s="73" t="s">
        <v>2927</v>
      </c>
      <c r="Z9" s="73" t="s">
        <v>2207</v>
      </c>
      <c r="AA9" s="99" t="s">
        <v>129</v>
      </c>
    </row>
    <row r="10" spans="1:35" ht="17.25" customHeight="1">
      <c r="A10" s="65">
        <f>IF(priority(Main[[#This Row],[Comments]])&lt;&gt;0, priority(Main[[#This Row],[Comments]]),"")</f>
        <v>1</v>
      </c>
      <c r="B10" s="60" t="s">
        <v>1880</v>
      </c>
      <c r="C10" s="105" t="s">
        <v>931</v>
      </c>
      <c r="D10" s="74" t="s">
        <v>932</v>
      </c>
      <c r="E10" s="89"/>
      <c r="F10" s="89">
        <v>40787</v>
      </c>
      <c r="G10" s="65" t="str">
        <f>IF(stdProdLT(Main[[#This Row],[Comments]])=0.1,"N/A",IF(stdProdLT(Main[[#This Row],[Comments]])=0,"",TRIM(stdProdLT(Main[[#This Row],[Comments]]))))</f>
        <v/>
      </c>
      <c r="H10" s="98">
        <f>IF(Main[[#This Row],[Std. Prod. Lead Time]]="N/A", "",IF(AND(Main[[#This Row],[In Stock Date]]&lt;&gt;"",Main[[#This Row],[Revised Due Date]]&lt;&gt;"",Main[[#This Row],[In Stock Date]]&lt;&gt;""),Main[[#This Row],[In Stock Date]]-Main[[#This Row],[Revised Due Date]],""))</f>
        <v>91</v>
      </c>
      <c r="I10" s="110" t="s">
        <v>489</v>
      </c>
      <c r="J10" s="99" t="s">
        <v>70</v>
      </c>
      <c r="K10" s="99" t="s">
        <v>1922</v>
      </c>
      <c r="L10" s="89">
        <v>40658</v>
      </c>
      <c r="M10" s="75">
        <f>IF(Main[[#This Row],[Tech Start Date]]&lt;1/1/1990,"",IF(Main[[#This Row],[Class]]="C",WORKDAY(Main[[#This Row],[Tech Start Date]],9),IF(Main[[#This Row],[Class]]="B", WORKDAY(Main[[#This Row],[Tech Start Date]],6),IF(Main[[#This Row],[Class]]="A",WORKDAY(Main[[#This Row],[Tech Start Date]],2),""))))</f>
        <v>40660</v>
      </c>
      <c r="N10" s="75">
        <f>IF(Main[[#This Row],[Tech Start Date]]&lt;1/1/1990,"",IF(Main[[#This Row],[Class]]="C",WORKDAY(Main[[#This Row],[Tech Start Date]],19),IF(Main[[#This Row],[Class]]="B", WORKDAY(Main[[#This Row],[Tech Start Date]],12),IF(Main[[#This Row],[Class]]="A",WORKDAY(Main[[#This Row],[Tech Start Date]],4),""))))</f>
        <v>40662</v>
      </c>
      <c r="O10" s="75">
        <f>IF(Main[[#This Row],[Tech Start Date]]&lt;1/1/1990,"",IF(Main[[#This Row],[Class]]="C",WORKDAY(Main[[#This Row],[Tech Start Date]],23),IF(Main[[#This Row],[Class]]="B", WORKDAY(Main[[#This Row],[Tech Start Date]],15),IF(Main[[#This Row],[Class]]="A",WORKDAY(Main[[#This Row],[Tech Start Date]],5),""))))</f>
        <v>40665</v>
      </c>
      <c r="P10" s="75">
        <f>IF(Main[[#This Row],[Tech Start Date]]&lt;1/1/1990,"",IF(Main[[#This Row],[Class]]="C",WORKDAY(Main[[#This Row],[Tech Start Date]],28),IF(Main[[#This Row],[Class]]="B", WORKDAY(Main[[#This Row],[Tech Start Date]],19),IF(Main[[#This Row],[Class]]="A",WORKDAY(Main[[#This Row],[Tech Start Date]],9),""))))</f>
        <v>40669</v>
      </c>
      <c r="Q10" s="89">
        <v>40696</v>
      </c>
      <c r="R10" s="121">
        <v>40696</v>
      </c>
      <c r="S10" s="99" t="s">
        <v>11</v>
      </c>
      <c r="T10" s="76" t="s">
        <v>933</v>
      </c>
      <c r="U10" s="99" t="s">
        <v>14</v>
      </c>
      <c r="V10" s="99" t="s">
        <v>1916</v>
      </c>
      <c r="W10" s="99" t="s">
        <v>1919</v>
      </c>
      <c r="X10" s="99" t="s">
        <v>2866</v>
      </c>
      <c r="Y10" s="73" t="s">
        <v>2990</v>
      </c>
      <c r="Z10" s="73" t="s">
        <v>2047</v>
      </c>
      <c r="AA10" s="99" t="s">
        <v>2866</v>
      </c>
    </row>
    <row r="11" spans="1:35" ht="17.25" customHeight="1">
      <c r="A11" s="65">
        <f>IF(priority(Main[[#This Row],[Comments]])&lt;&gt;0, priority(Main[[#This Row],[Comments]]),"")</f>
        <v>1</v>
      </c>
      <c r="B11" s="60" t="s">
        <v>2615</v>
      </c>
      <c r="C11" s="105" t="s">
        <v>2616</v>
      </c>
      <c r="D11" s="74" t="s">
        <v>2793</v>
      </c>
      <c r="E11" s="89"/>
      <c r="F11" s="89">
        <v>40855</v>
      </c>
      <c r="G11" s="65" t="str">
        <f>IF(stdProdLT(Main[[#This Row],[Comments]])=0.1,"N/A",IF(stdProdLT(Main[[#This Row],[Comments]])=0,"",TRIM(stdProdLT(Main[[#This Row],[Comments]]))))</f>
        <v>N/A</v>
      </c>
      <c r="H11" s="98" t="str">
        <f>IF(Main[[#This Row],[Std. Prod. Lead Time]]="N/A", "",IF(AND(Main[[#This Row],[In Stock Date]]&lt;&gt;"",Main[[#This Row],[Revised Due Date]]&lt;&gt;"",Main[[#This Row],[In Stock Date]]&lt;&gt;""),Main[[#This Row],[In Stock Date]]-Main[[#This Row],[Revised Due Date]],""))</f>
        <v/>
      </c>
      <c r="I11" s="110" t="s">
        <v>937</v>
      </c>
      <c r="J11" s="99" t="s">
        <v>28</v>
      </c>
      <c r="K11" s="99" t="s">
        <v>1922</v>
      </c>
      <c r="L11" s="89">
        <v>40834</v>
      </c>
      <c r="M11" s="75">
        <f>IF(Main[[#This Row],[Tech Start Date]]&lt;1/1/1990,"",IF(Main[[#This Row],[Class]]="C",WORKDAY(Main[[#This Row],[Tech Start Date]],9),IF(Main[[#This Row],[Class]]="B", WORKDAY(Main[[#This Row],[Tech Start Date]],6),IF(Main[[#This Row],[Class]]="A",WORKDAY(Main[[#This Row],[Tech Start Date]],2),""))))</f>
        <v>40836</v>
      </c>
      <c r="N11" s="75">
        <f>IF(Main[[#This Row],[Tech Start Date]]&lt;1/1/1990,"",IF(Main[[#This Row],[Class]]="C",WORKDAY(Main[[#This Row],[Tech Start Date]],19),IF(Main[[#This Row],[Class]]="B", WORKDAY(Main[[#This Row],[Tech Start Date]],12),IF(Main[[#This Row],[Class]]="A",WORKDAY(Main[[#This Row],[Tech Start Date]],4),""))))</f>
        <v>40840</v>
      </c>
      <c r="O11" s="75">
        <f>IF(Main[[#This Row],[Tech Start Date]]&lt;1/1/1990,"",IF(Main[[#This Row],[Class]]="C",WORKDAY(Main[[#This Row],[Tech Start Date]],23),IF(Main[[#This Row],[Class]]="B", WORKDAY(Main[[#This Row],[Tech Start Date]],15),IF(Main[[#This Row],[Class]]="A",WORKDAY(Main[[#This Row],[Tech Start Date]],5),""))))</f>
        <v>40841</v>
      </c>
      <c r="P11" s="75">
        <f>IF(Main[[#This Row],[Tech Start Date]]&lt;1/1/1990,"",IF(Main[[#This Row],[Class]]="C",WORKDAY(Main[[#This Row],[Tech Start Date]],28),IF(Main[[#This Row],[Class]]="B", WORKDAY(Main[[#This Row],[Tech Start Date]],19),IF(Main[[#This Row],[Class]]="A",WORKDAY(Main[[#This Row],[Tech Start Date]],9),""))))</f>
        <v>40847</v>
      </c>
      <c r="Q11" s="89">
        <v>40855</v>
      </c>
      <c r="R11" s="121">
        <v>40939</v>
      </c>
      <c r="S11" s="99" t="s">
        <v>11</v>
      </c>
      <c r="T11" s="76" t="s">
        <v>2794</v>
      </c>
      <c r="U11" s="99" t="s">
        <v>14</v>
      </c>
      <c r="V11" s="99" t="s">
        <v>1913</v>
      </c>
      <c r="W11" s="99" t="s">
        <v>1915</v>
      </c>
      <c r="X11" s="99" t="s">
        <v>2825</v>
      </c>
      <c r="Y11" s="73" t="s">
        <v>2948</v>
      </c>
      <c r="Z11" s="73" t="s">
        <v>129</v>
      </c>
      <c r="AA11" s="99" t="s">
        <v>2825</v>
      </c>
    </row>
    <row r="12" spans="1:35" ht="17.25" customHeight="1">
      <c r="A12" s="65">
        <f>IF(priority(Main[[#This Row],[Comments]])&lt;&gt;0, priority(Main[[#This Row],[Comments]]),"")</f>
        <v>1</v>
      </c>
      <c r="B12" s="60" t="s">
        <v>2624</v>
      </c>
      <c r="C12" s="105" t="s">
        <v>2625</v>
      </c>
      <c r="D12" s="74" t="s">
        <v>4020</v>
      </c>
      <c r="E12" s="89">
        <v>40835.462650462963</v>
      </c>
      <c r="F12" s="89">
        <v>40928</v>
      </c>
      <c r="G12" s="65" t="str">
        <f>IF(stdProdLT(Main[[#This Row],[Comments]])=0.1,"N/A",IF(stdProdLT(Main[[#This Row],[Comments]])=0,"",TRIM(stdProdLT(Main[[#This Row],[Comments]]))))</f>
        <v>N/A</v>
      </c>
      <c r="H12" s="98" t="str">
        <f>IF(Main[[#This Row],[Std. Prod. Lead Time]]="N/A", "",IF(AND(Main[[#This Row],[In Stock Date]]&lt;&gt;"",Main[[#This Row],[Revised Due Date]]&lt;&gt;"",Main[[#This Row],[In Stock Date]]&lt;&gt;""),Main[[#This Row],[In Stock Date]]-Main[[#This Row],[Revised Due Date]],""))</f>
        <v/>
      </c>
      <c r="I12" s="110" t="s">
        <v>940</v>
      </c>
      <c r="J12" s="99" t="s">
        <v>21</v>
      </c>
      <c r="K12" s="99" t="s">
        <v>1926</v>
      </c>
      <c r="L12" s="89">
        <v>40848</v>
      </c>
      <c r="M12" s="75">
        <f>IF(Main[[#This Row],[Tech Start Date]]&lt;1/1/1990,"",IF(Main[[#This Row],[Class]]="C",WORKDAY(Main[[#This Row],[Tech Start Date]],9),IF(Main[[#This Row],[Class]]="B", WORKDAY(Main[[#This Row],[Tech Start Date]],6),IF(Main[[#This Row],[Class]]="A",WORKDAY(Main[[#This Row],[Tech Start Date]],2),""))))</f>
        <v>40861</v>
      </c>
      <c r="N12" s="75">
        <f>IF(Main[[#This Row],[Tech Start Date]]&lt;1/1/1990,"",IF(Main[[#This Row],[Class]]="C",WORKDAY(Main[[#This Row],[Tech Start Date]],19),IF(Main[[#This Row],[Class]]="B", WORKDAY(Main[[#This Row],[Tech Start Date]],12),IF(Main[[#This Row],[Class]]="A",WORKDAY(Main[[#This Row],[Tech Start Date]],4),""))))</f>
        <v>40875</v>
      </c>
      <c r="O12" s="75">
        <f>IF(Main[[#This Row],[Tech Start Date]]&lt;1/1/1990,"",IF(Main[[#This Row],[Class]]="C",WORKDAY(Main[[#This Row],[Tech Start Date]],23),IF(Main[[#This Row],[Class]]="B", WORKDAY(Main[[#This Row],[Tech Start Date]],15),IF(Main[[#This Row],[Class]]="A",WORKDAY(Main[[#This Row],[Tech Start Date]],5),""))))</f>
        <v>40879</v>
      </c>
      <c r="P12" s="75">
        <f>IF(Main[[#This Row],[Tech Start Date]]&lt;1/1/1990,"",IF(Main[[#This Row],[Class]]="C",WORKDAY(Main[[#This Row],[Tech Start Date]],28),IF(Main[[#This Row],[Class]]="B", WORKDAY(Main[[#This Row],[Tech Start Date]],19),IF(Main[[#This Row],[Class]]="A",WORKDAY(Main[[#This Row],[Tech Start Date]],9),""))))</f>
        <v>40886</v>
      </c>
      <c r="Q12" s="89">
        <v>40857</v>
      </c>
      <c r="R12" s="121">
        <v>40968</v>
      </c>
      <c r="S12" s="99" t="s">
        <v>11</v>
      </c>
      <c r="T12" s="76" t="s">
        <v>3775</v>
      </c>
      <c r="U12" s="99" t="s">
        <v>29</v>
      </c>
      <c r="V12" s="99" t="s">
        <v>1914</v>
      </c>
      <c r="W12" s="99" t="s">
        <v>1915</v>
      </c>
      <c r="X12" s="99" t="s">
        <v>2866</v>
      </c>
      <c r="Y12" s="73" t="s">
        <v>2990</v>
      </c>
      <c r="Z12" s="73" t="s">
        <v>2049</v>
      </c>
      <c r="AA12" s="99" t="s">
        <v>2866</v>
      </c>
    </row>
    <row r="13" spans="1:35" ht="17.25" customHeight="1">
      <c r="A13" s="65">
        <f>IF(priority(Main[[#This Row],[Comments]])&lt;&gt;0, priority(Main[[#This Row],[Comments]]),"")</f>
        <v>1</v>
      </c>
      <c r="B13" s="60" t="s">
        <v>3165</v>
      </c>
      <c r="C13" s="105" t="s">
        <v>3940</v>
      </c>
      <c r="D13" s="74" t="s">
        <v>4022</v>
      </c>
      <c r="E13" s="89">
        <v>40919.073576388888</v>
      </c>
      <c r="F13" s="89">
        <v>41153</v>
      </c>
      <c r="G13" s="65" t="str">
        <f>IF(stdProdLT(Main[[#This Row],[Comments]])=0.1,"N/A",IF(stdProdLT(Main[[#This Row],[Comments]])=0,"",TRIM(stdProdLT(Main[[#This Row],[Comments]]))))</f>
        <v>126</v>
      </c>
      <c r="H13" s="98">
        <f>IF(Main[[#This Row],[Std. Prod. Lead Time]]="N/A", "",IF(AND(Main[[#This Row],[In Stock Date]]&lt;&gt;"",Main[[#This Row],[Revised Due Date]]&lt;&gt;"",Main[[#This Row],[In Stock Date]]&lt;&gt;""),Main[[#This Row],[In Stock Date]]-Main[[#This Row],[Revised Due Date]],""))</f>
        <v>180</v>
      </c>
      <c r="I13" s="110" t="s">
        <v>102</v>
      </c>
      <c r="J13" s="99" t="s">
        <v>75</v>
      </c>
      <c r="K13" s="99" t="s">
        <v>1920</v>
      </c>
      <c r="L13" s="89">
        <v>40920</v>
      </c>
      <c r="M13" s="75">
        <f>IF(Main[[#This Row],[Tech Start Date]]&lt;1/1/1990,"",IF(Main[[#This Row],[Class]]="C",WORKDAY(Main[[#This Row],[Tech Start Date]],9),IF(Main[[#This Row],[Class]]="B", WORKDAY(Main[[#This Row],[Tech Start Date]],6),IF(Main[[#This Row],[Class]]="A",WORKDAY(Main[[#This Row],[Tech Start Date]],2),""))))</f>
        <v>40928</v>
      </c>
      <c r="N13" s="75">
        <f>IF(Main[[#This Row],[Tech Start Date]]&lt;1/1/1990,"",IF(Main[[#This Row],[Class]]="C",WORKDAY(Main[[#This Row],[Tech Start Date]],19),IF(Main[[#This Row],[Class]]="B", WORKDAY(Main[[#This Row],[Tech Start Date]],12),IF(Main[[#This Row],[Class]]="A",WORKDAY(Main[[#This Row],[Tech Start Date]],4),""))))</f>
        <v>40938</v>
      </c>
      <c r="O13" s="75">
        <f>IF(Main[[#This Row],[Tech Start Date]]&lt;1/1/1990,"",IF(Main[[#This Row],[Class]]="C",WORKDAY(Main[[#This Row],[Tech Start Date]],23),IF(Main[[#This Row],[Class]]="B", WORKDAY(Main[[#This Row],[Tech Start Date]],15),IF(Main[[#This Row],[Class]]="A",WORKDAY(Main[[#This Row],[Tech Start Date]],5),""))))</f>
        <v>40941</v>
      </c>
      <c r="P13" s="75">
        <f>IF(Main[[#This Row],[Tech Start Date]]&lt;1/1/1990,"",IF(Main[[#This Row],[Class]]="C",WORKDAY(Main[[#This Row],[Tech Start Date]],28),IF(Main[[#This Row],[Class]]="B", WORKDAY(Main[[#This Row],[Tech Start Date]],19),IF(Main[[#This Row],[Class]]="A",WORKDAY(Main[[#This Row],[Tech Start Date]],9),""))))</f>
        <v>40947</v>
      </c>
      <c r="Q13" s="89">
        <v>40926</v>
      </c>
      <c r="R13" s="121">
        <v>40973</v>
      </c>
      <c r="S13" s="99" t="s">
        <v>11</v>
      </c>
      <c r="T13" s="76" t="s">
        <v>3988</v>
      </c>
      <c r="U13" s="99" t="s">
        <v>29</v>
      </c>
      <c r="V13" s="99" t="s">
        <v>1913</v>
      </c>
      <c r="W13" s="99" t="s">
        <v>1924</v>
      </c>
      <c r="X13" s="99" t="s">
        <v>2840</v>
      </c>
      <c r="Y13" s="73" t="s">
        <v>4</v>
      </c>
      <c r="Z13" s="73" t="s">
        <v>129</v>
      </c>
      <c r="AA13" s="99" t="s">
        <v>2840</v>
      </c>
    </row>
    <row r="14" spans="1:35" ht="17.25" customHeight="1">
      <c r="A14" s="65">
        <f>IF(priority(Main[[#This Row],[Comments]])&lt;&gt;0, priority(Main[[#This Row],[Comments]]),"")</f>
        <v>1.01</v>
      </c>
      <c r="B14" s="60" t="s">
        <v>1879</v>
      </c>
      <c r="C14" s="105" t="s">
        <v>113</v>
      </c>
      <c r="D14" s="74" t="s">
        <v>3762</v>
      </c>
      <c r="E14" s="89">
        <v>40633.588854166665</v>
      </c>
      <c r="F14" s="89">
        <v>40674</v>
      </c>
      <c r="G14" s="65" t="str">
        <f>IF(stdProdLT(Main[[#This Row],[Comments]])=0.1,"N/A",IF(stdProdLT(Main[[#This Row],[Comments]])=0,"",TRIM(stdProdLT(Main[[#This Row],[Comments]]))))</f>
        <v/>
      </c>
      <c r="H14" s="98">
        <f>IF(Main[[#This Row],[Std. Prod. Lead Time]]="N/A", "",IF(AND(Main[[#This Row],[In Stock Date]]&lt;&gt;"",Main[[#This Row],[Revised Due Date]]&lt;&gt;"",Main[[#This Row],[In Stock Date]]&lt;&gt;""),Main[[#This Row],[In Stock Date]]-Main[[#This Row],[Revised Due Date]],""))</f>
        <v>-355</v>
      </c>
      <c r="I14" s="110" t="s">
        <v>937</v>
      </c>
      <c r="J14" s="99" t="s">
        <v>28</v>
      </c>
      <c r="K14" s="99" t="s">
        <v>1925</v>
      </c>
      <c r="L14" s="89">
        <v>40666</v>
      </c>
      <c r="M14" s="75" t="str">
        <f>IF(Main[[#This Row],[Tech Start Date]]&lt;1/1/1990,"",IF(Main[[#This Row],[Class]]="C",WORKDAY(Main[[#This Row],[Tech Start Date]],9),IF(Main[[#This Row],[Class]]="B", WORKDAY(Main[[#This Row],[Tech Start Date]],6),IF(Main[[#This Row],[Class]]="A",WORKDAY(Main[[#This Row],[Tech Start Date]],2),""))))</f>
        <v/>
      </c>
      <c r="N14" s="75" t="str">
        <f>IF(Main[[#This Row],[Tech Start Date]]&lt;1/1/1990,"",IF(Main[[#This Row],[Class]]="C",WORKDAY(Main[[#This Row],[Tech Start Date]],19),IF(Main[[#This Row],[Class]]="B", WORKDAY(Main[[#This Row],[Tech Start Date]],12),IF(Main[[#This Row],[Class]]="A",WORKDAY(Main[[#This Row],[Tech Start Date]],4),""))))</f>
        <v/>
      </c>
      <c r="O14" s="75" t="str">
        <f>IF(Main[[#This Row],[Tech Start Date]]&lt;1/1/1990,"",IF(Main[[#This Row],[Class]]="C",WORKDAY(Main[[#This Row],[Tech Start Date]],23),IF(Main[[#This Row],[Class]]="B", WORKDAY(Main[[#This Row],[Tech Start Date]],15),IF(Main[[#This Row],[Class]]="A",WORKDAY(Main[[#This Row],[Tech Start Date]],5),""))))</f>
        <v/>
      </c>
      <c r="P14" s="75" t="str">
        <f>IF(Main[[#This Row],[Tech Start Date]]&lt;1/1/1990,"",IF(Main[[#This Row],[Class]]="C",WORKDAY(Main[[#This Row],[Tech Start Date]],28),IF(Main[[#This Row],[Class]]="B", WORKDAY(Main[[#This Row],[Tech Start Date]],19),IF(Main[[#This Row],[Class]]="A",WORKDAY(Main[[#This Row],[Tech Start Date]],9),""))))</f>
        <v/>
      </c>
      <c r="Q14" s="89">
        <v>40939</v>
      </c>
      <c r="R14" s="121">
        <v>41029</v>
      </c>
      <c r="S14" s="99" t="s">
        <v>17</v>
      </c>
      <c r="T14" s="76" t="s">
        <v>2605</v>
      </c>
      <c r="U14" s="99" t="s">
        <v>29</v>
      </c>
      <c r="V14" s="99" t="s">
        <v>1913</v>
      </c>
      <c r="W14" s="99" t="s">
        <v>1924</v>
      </c>
      <c r="X14" s="99" t="s">
        <v>2827</v>
      </c>
      <c r="Y14" s="73" t="s">
        <v>2933</v>
      </c>
      <c r="Z14" s="73" t="s">
        <v>129</v>
      </c>
      <c r="AA14" s="99" t="s">
        <v>2827</v>
      </c>
    </row>
    <row r="15" spans="1:35" ht="17.25" customHeight="1">
      <c r="A15" s="65">
        <f>IF(priority(Main[[#This Row],[Comments]])&lt;&gt;0, priority(Main[[#This Row],[Comments]]),"")</f>
        <v>2</v>
      </c>
      <c r="B15" s="60" t="s">
        <v>1155</v>
      </c>
      <c r="C15" s="105" t="s">
        <v>19</v>
      </c>
      <c r="D15" s="74" t="s">
        <v>2423</v>
      </c>
      <c r="E15" s="89">
        <v>40487.363657407404</v>
      </c>
      <c r="F15" s="89"/>
      <c r="G15" s="65" t="str">
        <f>IF(stdProdLT(Main[[#This Row],[Comments]])=0.1,"N/A",IF(stdProdLT(Main[[#This Row],[Comments]])=0,"",TRIM(stdProdLT(Main[[#This Row],[Comments]]))))</f>
        <v/>
      </c>
      <c r="H15" s="98" t="str">
        <f>IF(Main[[#This Row],[Std. Prod. Lead Time]]="N/A", "",IF(AND(Main[[#This Row],[In Stock Date]]&lt;&gt;"",Main[[#This Row],[Revised Due Date]]&lt;&gt;"",Main[[#This Row],[In Stock Date]]&lt;&gt;""),Main[[#This Row],[In Stock Date]]-Main[[#This Row],[Revised Due Date]],""))</f>
        <v/>
      </c>
      <c r="I15" s="110" t="s">
        <v>2014</v>
      </c>
      <c r="J15" s="99" t="s">
        <v>28</v>
      </c>
      <c r="K15" s="99" t="s">
        <v>4</v>
      </c>
      <c r="L15" s="89"/>
      <c r="M15" s="75" t="str">
        <f>IF(Main[[#This Row],[Tech Start Date]]&lt;1/1/1990,"",IF(Main[[#This Row],[Class]]="C",WORKDAY(Main[[#This Row],[Tech Start Date]],9),IF(Main[[#This Row],[Class]]="B", WORKDAY(Main[[#This Row],[Tech Start Date]],6),IF(Main[[#This Row],[Class]]="A",WORKDAY(Main[[#This Row],[Tech Start Date]],2),""))))</f>
        <v/>
      </c>
      <c r="N15" s="75" t="str">
        <f>IF(Main[[#This Row],[Tech Start Date]]&lt;1/1/1990,"",IF(Main[[#This Row],[Class]]="C",WORKDAY(Main[[#This Row],[Tech Start Date]],19),IF(Main[[#This Row],[Class]]="B", WORKDAY(Main[[#This Row],[Tech Start Date]],12),IF(Main[[#This Row],[Class]]="A",WORKDAY(Main[[#This Row],[Tech Start Date]],4),""))))</f>
        <v/>
      </c>
      <c r="O15" s="75" t="str">
        <f>IF(Main[[#This Row],[Tech Start Date]]&lt;1/1/1990,"",IF(Main[[#This Row],[Class]]="C",WORKDAY(Main[[#This Row],[Tech Start Date]],23),IF(Main[[#This Row],[Class]]="B", WORKDAY(Main[[#This Row],[Tech Start Date]],15),IF(Main[[#This Row],[Class]]="A",WORKDAY(Main[[#This Row],[Tech Start Date]],5),""))))</f>
        <v/>
      </c>
      <c r="P15" s="75" t="str">
        <f>IF(Main[[#This Row],[Tech Start Date]]&lt;1/1/1990,"",IF(Main[[#This Row],[Class]]="C",WORKDAY(Main[[#This Row],[Tech Start Date]],28),IF(Main[[#This Row],[Class]]="B", WORKDAY(Main[[#This Row],[Tech Start Date]],19),IF(Main[[#This Row],[Class]]="A",WORKDAY(Main[[#This Row],[Tech Start Date]],9),""))))</f>
        <v/>
      </c>
      <c r="Q15" s="89">
        <v>40862</v>
      </c>
      <c r="R15" s="121">
        <v>40862</v>
      </c>
      <c r="S15" s="99" t="s">
        <v>17</v>
      </c>
      <c r="T15" s="76" t="s">
        <v>2424</v>
      </c>
      <c r="U15" s="99" t="s">
        <v>29</v>
      </c>
      <c r="V15" s="99" t="s">
        <v>1928</v>
      </c>
      <c r="W15" s="99" t="s">
        <v>1915</v>
      </c>
      <c r="X15" s="99" t="s">
        <v>129</v>
      </c>
      <c r="Y15" s="73" t="s">
        <v>2927</v>
      </c>
      <c r="Z15" s="73" t="s">
        <v>2207</v>
      </c>
      <c r="AA15" s="99" t="s">
        <v>129</v>
      </c>
    </row>
    <row r="16" spans="1:35" ht="17.25" customHeight="1">
      <c r="A16" s="65">
        <f>IF(priority(Main[[#This Row],[Comments]])&lt;&gt;0, priority(Main[[#This Row],[Comments]]),"")</f>
        <v>2</v>
      </c>
      <c r="B16" s="60" t="s">
        <v>3708</v>
      </c>
      <c r="C16" s="105" t="s">
        <v>95</v>
      </c>
      <c r="D16" s="74" t="s">
        <v>3709</v>
      </c>
      <c r="E16" s="89">
        <v>40959.551469907405</v>
      </c>
      <c r="F16" s="89">
        <v>40967</v>
      </c>
      <c r="G16" s="65" t="str">
        <f>IF(stdProdLT(Main[[#This Row],[Comments]])=0.1,"N/A",IF(stdProdLT(Main[[#This Row],[Comments]])=0,"",TRIM(stdProdLT(Main[[#This Row],[Comments]]))))</f>
        <v>N/A</v>
      </c>
      <c r="H16" s="98" t="str">
        <f>IF(Main[[#This Row],[Std. Prod. Lead Time]]="N/A", "",IF(AND(Main[[#This Row],[In Stock Date]]&lt;&gt;"",Main[[#This Row],[Revised Due Date]]&lt;&gt;"",Main[[#This Row],[In Stock Date]]&lt;&gt;""),Main[[#This Row],[In Stock Date]]-Main[[#This Row],[Revised Due Date]],""))</f>
        <v/>
      </c>
      <c r="I16" s="110" t="s">
        <v>306</v>
      </c>
      <c r="J16" s="99" t="s">
        <v>75</v>
      </c>
      <c r="K16" s="99" t="s">
        <v>1922</v>
      </c>
      <c r="L16" s="89"/>
      <c r="M16" s="75" t="str">
        <f>IF(Main[[#This Row],[Tech Start Date]]&lt;1/1/1990,"",IF(Main[[#This Row],[Class]]="C",WORKDAY(Main[[#This Row],[Tech Start Date]],9),IF(Main[[#This Row],[Class]]="B", WORKDAY(Main[[#This Row],[Tech Start Date]],6),IF(Main[[#This Row],[Class]]="A",WORKDAY(Main[[#This Row],[Tech Start Date]],2),""))))</f>
        <v/>
      </c>
      <c r="N16" s="75" t="str">
        <f>IF(Main[[#This Row],[Tech Start Date]]&lt;1/1/1990,"",IF(Main[[#This Row],[Class]]="C",WORKDAY(Main[[#This Row],[Tech Start Date]],19),IF(Main[[#This Row],[Class]]="B", WORKDAY(Main[[#This Row],[Tech Start Date]],12),IF(Main[[#This Row],[Class]]="A",WORKDAY(Main[[#This Row],[Tech Start Date]],4),""))))</f>
        <v/>
      </c>
      <c r="O16" s="75" t="str">
        <f>IF(Main[[#This Row],[Tech Start Date]]&lt;1/1/1990,"",IF(Main[[#This Row],[Class]]="C",WORKDAY(Main[[#This Row],[Tech Start Date]],23),IF(Main[[#This Row],[Class]]="B", WORKDAY(Main[[#This Row],[Tech Start Date]],15),IF(Main[[#This Row],[Class]]="A",WORKDAY(Main[[#This Row],[Tech Start Date]],5),""))))</f>
        <v/>
      </c>
      <c r="P16" s="75" t="str">
        <f>IF(Main[[#This Row],[Tech Start Date]]&lt;1/1/1990,"",IF(Main[[#This Row],[Class]]="C",WORKDAY(Main[[#This Row],[Tech Start Date]],28),IF(Main[[#This Row],[Class]]="B", WORKDAY(Main[[#This Row],[Tech Start Date]],19),IF(Main[[#This Row],[Class]]="A",WORKDAY(Main[[#This Row],[Tech Start Date]],9),""))))</f>
        <v/>
      </c>
      <c r="Q16" s="89">
        <v>40976</v>
      </c>
      <c r="R16" s="121">
        <v>40967</v>
      </c>
      <c r="S16" s="99" t="s">
        <v>11</v>
      </c>
      <c r="T16" s="76" t="s">
        <v>3978</v>
      </c>
      <c r="U16" s="99" t="s">
        <v>29</v>
      </c>
      <c r="V16" s="99" t="s">
        <v>1913</v>
      </c>
      <c r="W16" s="99" t="s">
        <v>1915</v>
      </c>
      <c r="X16" s="99" t="s">
        <v>2846</v>
      </c>
      <c r="Y16" s="73" t="s">
        <v>2984</v>
      </c>
      <c r="Z16" s="73" t="s">
        <v>129</v>
      </c>
      <c r="AA16" s="99" t="s">
        <v>2846</v>
      </c>
    </row>
    <row r="17" spans="1:27" ht="17.25" customHeight="1">
      <c r="A17" s="65">
        <f>IF(priority(Main[[#This Row],[Comments]])&lt;&gt;0, priority(Main[[#This Row],[Comments]]),"")</f>
        <v>2</v>
      </c>
      <c r="B17" s="60" t="s">
        <v>2041</v>
      </c>
      <c r="C17" s="105" t="s">
        <v>299</v>
      </c>
      <c r="D17" s="74" t="s">
        <v>2315</v>
      </c>
      <c r="E17" s="89">
        <v>40682.272986111115</v>
      </c>
      <c r="F17" s="89">
        <v>40909</v>
      </c>
      <c r="G17" s="65" t="str">
        <f>IF(stdProdLT(Main[[#This Row],[Comments]])=0.1,"N/A",IF(stdProdLT(Main[[#This Row],[Comments]])=0,"",TRIM(stdProdLT(Main[[#This Row],[Comments]]))))</f>
        <v>182</v>
      </c>
      <c r="H17" s="98">
        <f>IF(Main[[#This Row],[Std. Prod. Lead Time]]="N/A", "",IF(AND(Main[[#This Row],[In Stock Date]]&lt;&gt;"",Main[[#This Row],[Revised Due Date]]&lt;&gt;"",Main[[#This Row],[In Stock Date]]&lt;&gt;""),Main[[#This Row],[In Stock Date]]-Main[[#This Row],[Revised Due Date]],""))</f>
        <v>78</v>
      </c>
      <c r="I17" s="110" t="s">
        <v>946</v>
      </c>
      <c r="J17" s="99" t="s">
        <v>28</v>
      </c>
      <c r="K17" s="100" t="s">
        <v>1926</v>
      </c>
      <c r="L17" s="89">
        <v>40725</v>
      </c>
      <c r="M17" s="75">
        <f>IF(Main[[#This Row],[Tech Start Date]]&lt;1/1/1990,"",IF(Main[[#This Row],[Class]]="C",WORKDAY(Main[[#This Row],[Tech Start Date]],9),IF(Main[[#This Row],[Class]]="B", WORKDAY(Main[[#This Row],[Tech Start Date]],6),IF(Main[[#This Row],[Class]]="A",WORKDAY(Main[[#This Row],[Tech Start Date]],2),""))))</f>
        <v>40738</v>
      </c>
      <c r="N17" s="75">
        <f>IF(Main[[#This Row],[Tech Start Date]]&lt;1/1/1990,"",IF(Main[[#This Row],[Class]]="C",WORKDAY(Main[[#This Row],[Tech Start Date]],19),IF(Main[[#This Row],[Class]]="B", WORKDAY(Main[[#This Row],[Tech Start Date]],12),IF(Main[[#This Row],[Class]]="A",WORKDAY(Main[[#This Row],[Tech Start Date]],4),""))))</f>
        <v>40752</v>
      </c>
      <c r="O17" s="75">
        <f>IF(Main[[#This Row],[Tech Start Date]]&lt;1/1/1990,"",IF(Main[[#This Row],[Class]]="C",WORKDAY(Main[[#This Row],[Tech Start Date]],23),IF(Main[[#This Row],[Class]]="B", WORKDAY(Main[[#This Row],[Tech Start Date]],15),IF(Main[[#This Row],[Class]]="A",WORKDAY(Main[[#This Row],[Tech Start Date]],5),""))))</f>
        <v>40758</v>
      </c>
      <c r="P17" s="75">
        <f>IF(Main[[#This Row],[Tech Start Date]]&lt;1/1/1990,"",IF(Main[[#This Row],[Class]]="C",WORKDAY(Main[[#This Row],[Tech Start Date]],28),IF(Main[[#This Row],[Class]]="B", WORKDAY(Main[[#This Row],[Tech Start Date]],19),IF(Main[[#This Row],[Class]]="A",WORKDAY(Main[[#This Row],[Tech Start Date]],9),""))))</f>
        <v>40765</v>
      </c>
      <c r="Q17" s="89">
        <v>40724</v>
      </c>
      <c r="R17" s="121">
        <v>40831</v>
      </c>
      <c r="S17" s="99" t="s">
        <v>17</v>
      </c>
      <c r="T17" s="76" t="s">
        <v>2203</v>
      </c>
      <c r="U17" s="99" t="s">
        <v>29</v>
      </c>
      <c r="V17" s="99" t="s">
        <v>1914</v>
      </c>
      <c r="W17" s="99" t="s">
        <v>1918</v>
      </c>
      <c r="X17" s="99" t="s">
        <v>2829</v>
      </c>
      <c r="Y17" s="73" t="s">
        <v>4</v>
      </c>
      <c r="Z17" s="73" t="s">
        <v>2049</v>
      </c>
      <c r="AA17" s="99" t="s">
        <v>2829</v>
      </c>
    </row>
    <row r="18" spans="1:27" ht="17.25" customHeight="1">
      <c r="A18" s="65">
        <f>IF(priority(Main[[#This Row],[Comments]])&lt;&gt;0, priority(Main[[#This Row],[Comments]]),"")</f>
        <v>2</v>
      </c>
      <c r="B18" s="60" t="s">
        <v>2272</v>
      </c>
      <c r="C18" s="105" t="s">
        <v>518</v>
      </c>
      <c r="D18" s="74" t="s">
        <v>2919</v>
      </c>
      <c r="E18" s="89">
        <v>40812.552488425928</v>
      </c>
      <c r="F18" s="89">
        <v>41030</v>
      </c>
      <c r="G18" s="65" t="str">
        <f>IF(stdProdLT(Main[[#This Row],[Comments]])=0.1,"N/A",IF(stdProdLT(Main[[#This Row],[Comments]])=0,"",TRIM(stdProdLT(Main[[#This Row],[Comments]]))))</f>
        <v>84</v>
      </c>
      <c r="H18" s="98">
        <f>IF(Main[[#This Row],[Std. Prod. Lead Time]]="N/A", "",IF(AND(Main[[#This Row],[In Stock Date]]&lt;&gt;"",Main[[#This Row],[Revised Due Date]]&lt;&gt;"",Main[[#This Row],[In Stock Date]]&lt;&gt;""),Main[[#This Row],[In Stock Date]]-Main[[#This Row],[Revised Due Date]],""))</f>
        <v>74</v>
      </c>
      <c r="I18" s="110" t="s">
        <v>2620</v>
      </c>
      <c r="J18" s="99" t="s">
        <v>21</v>
      </c>
      <c r="K18" s="99" t="s">
        <v>1920</v>
      </c>
      <c r="L18" s="89">
        <v>40835</v>
      </c>
      <c r="M18" s="75">
        <f>IF(Main[[#This Row],[Tech Start Date]]&lt;1/1/1990,"",IF(Main[[#This Row],[Class]]="C",WORKDAY(Main[[#This Row],[Tech Start Date]],9),IF(Main[[#This Row],[Class]]="B", WORKDAY(Main[[#This Row],[Tech Start Date]],6),IF(Main[[#This Row],[Class]]="A",WORKDAY(Main[[#This Row],[Tech Start Date]],2),""))))</f>
        <v>40843</v>
      </c>
      <c r="N18" s="75">
        <f>IF(Main[[#This Row],[Tech Start Date]]&lt;1/1/1990,"",IF(Main[[#This Row],[Class]]="C",WORKDAY(Main[[#This Row],[Tech Start Date]],19),IF(Main[[#This Row],[Class]]="B", WORKDAY(Main[[#This Row],[Tech Start Date]],12),IF(Main[[#This Row],[Class]]="A",WORKDAY(Main[[#This Row],[Tech Start Date]],4),""))))</f>
        <v>40851</v>
      </c>
      <c r="O18" s="75">
        <f>IF(Main[[#This Row],[Tech Start Date]]&lt;1/1/1990,"",IF(Main[[#This Row],[Class]]="C",WORKDAY(Main[[#This Row],[Tech Start Date]],23),IF(Main[[#This Row],[Class]]="B", WORKDAY(Main[[#This Row],[Tech Start Date]],15),IF(Main[[#This Row],[Class]]="A",WORKDAY(Main[[#This Row],[Tech Start Date]],5),""))))</f>
        <v>40856</v>
      </c>
      <c r="P18" s="75">
        <f>IF(Main[[#This Row],[Tech Start Date]]&lt;1/1/1990,"",IF(Main[[#This Row],[Class]]="C",WORKDAY(Main[[#This Row],[Tech Start Date]],28),IF(Main[[#This Row],[Class]]="B", WORKDAY(Main[[#This Row],[Tech Start Date]],19),IF(Main[[#This Row],[Class]]="A",WORKDAY(Main[[#This Row],[Tech Start Date]],9),""))))</f>
        <v>40862</v>
      </c>
      <c r="Q18" s="89">
        <v>40816</v>
      </c>
      <c r="R18" s="121">
        <v>40956</v>
      </c>
      <c r="S18" s="99" t="s">
        <v>17</v>
      </c>
      <c r="T18" s="76" t="s">
        <v>2795</v>
      </c>
      <c r="U18" s="99" t="s">
        <v>29</v>
      </c>
      <c r="V18" s="99" t="s">
        <v>1914</v>
      </c>
      <c r="W18" s="99" t="s">
        <v>1921</v>
      </c>
      <c r="X18" s="99" t="s">
        <v>2904</v>
      </c>
      <c r="Y18" s="73" t="s">
        <v>3111</v>
      </c>
      <c r="Z18" s="73" t="s">
        <v>2049</v>
      </c>
      <c r="AA18" s="99" t="s">
        <v>3442</v>
      </c>
    </row>
    <row r="19" spans="1:27" ht="17.25" customHeight="1">
      <c r="A19" s="65">
        <f>IF(priority(Main[[#This Row],[Comments]])&lt;&gt;0, priority(Main[[#This Row],[Comments]]),"")</f>
        <v>2</v>
      </c>
      <c r="B19" s="60" t="s">
        <v>3178</v>
      </c>
      <c r="C19" s="105" t="s">
        <v>3204</v>
      </c>
      <c r="D19" s="74" t="s">
        <v>4024</v>
      </c>
      <c r="E19" s="89">
        <v>40920.17900462963</v>
      </c>
      <c r="F19" s="89">
        <v>41122</v>
      </c>
      <c r="G19" s="65" t="str">
        <f>IF(stdProdLT(Main[[#This Row],[Comments]])=0.1,"N/A",IF(stdProdLT(Main[[#This Row],[Comments]])=0,"",TRIM(stdProdLT(Main[[#This Row],[Comments]]))))</f>
        <v>168</v>
      </c>
      <c r="H19" s="98">
        <f>IF(Main[[#This Row],[Std. Prod. Lead Time]]="N/A", "",IF(AND(Main[[#This Row],[In Stock Date]]&lt;&gt;"",Main[[#This Row],[Revised Due Date]]&lt;&gt;"",Main[[#This Row],[In Stock Date]]&lt;&gt;""),Main[[#This Row],[In Stock Date]]-Main[[#This Row],[Revised Due Date]],""))</f>
        <v>160</v>
      </c>
      <c r="I19" s="110" t="s">
        <v>102</v>
      </c>
      <c r="J19" s="99" t="s">
        <v>51</v>
      </c>
      <c r="K19" s="99" t="s">
        <v>1926</v>
      </c>
      <c r="L19" s="89">
        <v>40925</v>
      </c>
      <c r="M19" s="75">
        <f>IF(Main[[#This Row],[Tech Start Date]]&lt;1/1/1990,"",IF(Main[[#This Row],[Class]]="C",WORKDAY(Main[[#This Row],[Tech Start Date]],9),IF(Main[[#This Row],[Class]]="B", WORKDAY(Main[[#This Row],[Tech Start Date]],6),IF(Main[[#This Row],[Class]]="A",WORKDAY(Main[[#This Row],[Tech Start Date]],2),""))))</f>
        <v>40938</v>
      </c>
      <c r="N19" s="75">
        <f>IF(Main[[#This Row],[Tech Start Date]]&lt;1/1/1990,"",IF(Main[[#This Row],[Class]]="C",WORKDAY(Main[[#This Row],[Tech Start Date]],19),IF(Main[[#This Row],[Class]]="B", WORKDAY(Main[[#This Row],[Tech Start Date]],12),IF(Main[[#This Row],[Class]]="A",WORKDAY(Main[[#This Row],[Tech Start Date]],4),""))))</f>
        <v>40952</v>
      </c>
      <c r="O19" s="75">
        <f>IF(Main[[#This Row],[Tech Start Date]]&lt;1/1/1990,"",IF(Main[[#This Row],[Class]]="C",WORKDAY(Main[[#This Row],[Tech Start Date]],23),IF(Main[[#This Row],[Class]]="B", WORKDAY(Main[[#This Row],[Tech Start Date]],15),IF(Main[[#This Row],[Class]]="A",WORKDAY(Main[[#This Row],[Tech Start Date]],5),""))))</f>
        <v>40956</v>
      </c>
      <c r="P19" s="75">
        <f>IF(Main[[#This Row],[Tech Start Date]]&lt;1/1/1990,"",IF(Main[[#This Row],[Class]]="C",WORKDAY(Main[[#This Row],[Tech Start Date]],28),IF(Main[[#This Row],[Class]]="B", WORKDAY(Main[[#This Row],[Tech Start Date]],19),IF(Main[[#This Row],[Class]]="A",WORKDAY(Main[[#This Row],[Tech Start Date]],9),""))))</f>
        <v>40963</v>
      </c>
      <c r="Q19" s="89">
        <v>40953</v>
      </c>
      <c r="R19" s="121">
        <v>40962</v>
      </c>
      <c r="S19" s="99" t="s">
        <v>11</v>
      </c>
      <c r="T19" s="76" t="s">
        <v>3790</v>
      </c>
      <c r="U19" s="99" t="s">
        <v>29</v>
      </c>
      <c r="V19" s="99" t="s">
        <v>1916</v>
      </c>
      <c r="W19" s="99" t="s">
        <v>1919</v>
      </c>
      <c r="X19" s="99" t="s">
        <v>2842</v>
      </c>
      <c r="Y19" s="73" t="s">
        <v>2973</v>
      </c>
      <c r="Z19" s="73" t="s">
        <v>306</v>
      </c>
      <c r="AA19" s="99" t="s">
        <v>2842</v>
      </c>
    </row>
    <row r="20" spans="1:27" ht="17.25" customHeight="1">
      <c r="A20" s="65">
        <f>IF(priority(Main[[#This Row],[Comments]])&lt;&gt;0, priority(Main[[#This Row],[Comments]]),"")</f>
        <v>3</v>
      </c>
      <c r="B20" s="60" t="s">
        <v>3733</v>
      </c>
      <c r="C20" s="105" t="s">
        <v>95</v>
      </c>
      <c r="D20" s="74" t="s">
        <v>3965</v>
      </c>
      <c r="E20" s="89">
        <v>40959.560983796298</v>
      </c>
      <c r="F20" s="89">
        <v>40967</v>
      </c>
      <c r="G20" s="65" t="str">
        <f>IF(stdProdLT(Main[[#This Row],[Comments]])=0.1,"N/A",IF(stdProdLT(Main[[#This Row],[Comments]])=0,"",TRIM(stdProdLT(Main[[#This Row],[Comments]]))))</f>
        <v>N/A</v>
      </c>
      <c r="H20" s="98" t="str">
        <f>IF(Main[[#This Row],[Std. Prod. Lead Time]]="N/A", "",IF(AND(Main[[#This Row],[In Stock Date]]&lt;&gt;"",Main[[#This Row],[Revised Due Date]]&lt;&gt;"",Main[[#This Row],[In Stock Date]]&lt;&gt;""),Main[[#This Row],[In Stock Date]]-Main[[#This Row],[Revised Due Date]],""))</f>
        <v/>
      </c>
      <c r="I20" s="110" t="s">
        <v>912</v>
      </c>
      <c r="J20" s="99" t="s">
        <v>52</v>
      </c>
      <c r="K20" s="99" t="s">
        <v>1922</v>
      </c>
      <c r="L20" s="89"/>
      <c r="M20" s="75" t="str">
        <f>IF(Main[[#This Row],[Tech Start Date]]&lt;1/1/1990,"",IF(Main[[#This Row],[Class]]="C",WORKDAY(Main[[#This Row],[Tech Start Date]],9),IF(Main[[#This Row],[Class]]="B", WORKDAY(Main[[#This Row],[Tech Start Date]],6),IF(Main[[#This Row],[Class]]="A",WORKDAY(Main[[#This Row],[Tech Start Date]],2),""))))</f>
        <v/>
      </c>
      <c r="N20" s="75" t="str">
        <f>IF(Main[[#This Row],[Tech Start Date]]&lt;1/1/1990,"",IF(Main[[#This Row],[Class]]="C",WORKDAY(Main[[#This Row],[Tech Start Date]],19),IF(Main[[#This Row],[Class]]="B", WORKDAY(Main[[#This Row],[Tech Start Date]],12),IF(Main[[#This Row],[Class]]="A",WORKDAY(Main[[#This Row],[Tech Start Date]],4),""))))</f>
        <v/>
      </c>
      <c r="O20" s="75" t="str">
        <f>IF(Main[[#This Row],[Tech Start Date]]&lt;1/1/1990,"",IF(Main[[#This Row],[Class]]="C",WORKDAY(Main[[#This Row],[Tech Start Date]],23),IF(Main[[#This Row],[Class]]="B", WORKDAY(Main[[#This Row],[Tech Start Date]],15),IF(Main[[#This Row],[Class]]="A",WORKDAY(Main[[#This Row],[Tech Start Date]],5),""))))</f>
        <v/>
      </c>
      <c r="P20" s="75" t="str">
        <f>IF(Main[[#This Row],[Tech Start Date]]&lt;1/1/1990,"",IF(Main[[#This Row],[Class]]="C",WORKDAY(Main[[#This Row],[Tech Start Date]],28),IF(Main[[#This Row],[Class]]="B", WORKDAY(Main[[#This Row],[Tech Start Date]],19),IF(Main[[#This Row],[Class]]="A",WORKDAY(Main[[#This Row],[Tech Start Date]],9),""))))</f>
        <v/>
      </c>
      <c r="Q20" s="89">
        <v>40976</v>
      </c>
      <c r="R20" s="121">
        <v>40967</v>
      </c>
      <c r="S20" s="99" t="s">
        <v>11</v>
      </c>
      <c r="T20" s="76" t="s">
        <v>3966</v>
      </c>
      <c r="U20" s="99" t="s">
        <v>29</v>
      </c>
      <c r="V20" s="99" t="s">
        <v>1913</v>
      </c>
      <c r="W20" s="99" t="s">
        <v>1915</v>
      </c>
      <c r="X20" s="99" t="s">
        <v>2846</v>
      </c>
      <c r="Y20" s="73" t="s">
        <v>2984</v>
      </c>
      <c r="Z20" s="73" t="s">
        <v>129</v>
      </c>
      <c r="AA20" s="99" t="s">
        <v>2846</v>
      </c>
    </row>
    <row r="21" spans="1:27" ht="17.25" customHeight="1">
      <c r="A21" s="65">
        <f>IF(priority(Main[[#This Row],[Comments]])&lt;&gt;0, priority(Main[[#This Row],[Comments]]),"")</f>
        <v>3</v>
      </c>
      <c r="B21" s="60" t="s">
        <v>1889</v>
      </c>
      <c r="C21" s="105" t="s">
        <v>945</v>
      </c>
      <c r="D21" s="74" t="s">
        <v>2626</v>
      </c>
      <c r="E21" s="89">
        <v>40694.711041666669</v>
      </c>
      <c r="F21" s="89"/>
      <c r="G21" s="65" t="str">
        <f>IF(stdProdLT(Main[[#This Row],[Comments]])=0.1,"N/A",IF(stdProdLT(Main[[#This Row],[Comments]])=0,"",TRIM(stdProdLT(Main[[#This Row],[Comments]]))))</f>
        <v/>
      </c>
      <c r="H21" s="98" t="str">
        <f>IF(Main[[#This Row],[Std. Prod. Lead Time]]="N/A", "",IF(AND(Main[[#This Row],[In Stock Date]]&lt;&gt;"",Main[[#This Row],[Revised Due Date]]&lt;&gt;"",Main[[#This Row],[In Stock Date]]&lt;&gt;""),Main[[#This Row],[In Stock Date]]-Main[[#This Row],[Revised Due Date]],""))</f>
        <v/>
      </c>
      <c r="I21" s="110" t="s">
        <v>946</v>
      </c>
      <c r="J21" s="99" t="s">
        <v>28</v>
      </c>
      <c r="K21" s="99" t="s">
        <v>1925</v>
      </c>
      <c r="L21" s="89">
        <v>40848</v>
      </c>
      <c r="M21" s="75" t="str">
        <f>IF(Main[[#This Row],[Tech Start Date]]&lt;1/1/1990,"",IF(Main[[#This Row],[Class]]="C",WORKDAY(Main[[#This Row],[Tech Start Date]],9),IF(Main[[#This Row],[Class]]="B", WORKDAY(Main[[#This Row],[Tech Start Date]],6),IF(Main[[#This Row],[Class]]="A",WORKDAY(Main[[#This Row],[Tech Start Date]],2),""))))</f>
        <v/>
      </c>
      <c r="N21" s="75" t="str">
        <f>IF(Main[[#This Row],[Tech Start Date]]&lt;1/1/1990,"",IF(Main[[#This Row],[Class]]="C",WORKDAY(Main[[#This Row],[Tech Start Date]],19),IF(Main[[#This Row],[Class]]="B", WORKDAY(Main[[#This Row],[Tech Start Date]],12),IF(Main[[#This Row],[Class]]="A",WORKDAY(Main[[#This Row],[Tech Start Date]],4),""))))</f>
        <v/>
      </c>
      <c r="O21" s="75" t="str">
        <f>IF(Main[[#This Row],[Tech Start Date]]&lt;1/1/1990,"",IF(Main[[#This Row],[Class]]="C",WORKDAY(Main[[#This Row],[Tech Start Date]],23),IF(Main[[#This Row],[Class]]="B", WORKDAY(Main[[#This Row],[Tech Start Date]],15),IF(Main[[#This Row],[Class]]="A",WORKDAY(Main[[#This Row],[Tech Start Date]],5),""))))</f>
        <v/>
      </c>
      <c r="P21" s="75" t="str">
        <f>IF(Main[[#This Row],[Tech Start Date]]&lt;1/1/1990,"",IF(Main[[#This Row],[Class]]="C",WORKDAY(Main[[#This Row],[Tech Start Date]],28),IF(Main[[#This Row],[Class]]="B", WORKDAY(Main[[#This Row],[Tech Start Date]],19),IF(Main[[#This Row],[Class]]="A",WORKDAY(Main[[#This Row],[Tech Start Date]],9),""))))</f>
        <v/>
      </c>
      <c r="Q21" s="89">
        <v>40729</v>
      </c>
      <c r="R21" s="121"/>
      <c r="S21" s="99" t="s">
        <v>17</v>
      </c>
      <c r="T21" s="76" t="s">
        <v>3774</v>
      </c>
      <c r="U21" s="99" t="s">
        <v>29</v>
      </c>
      <c r="V21" s="99" t="s">
        <v>1928</v>
      </c>
      <c r="W21" s="99" t="s">
        <v>1921</v>
      </c>
      <c r="X21" s="99" t="s">
        <v>2856</v>
      </c>
      <c r="Y21" s="73" t="s">
        <v>3000</v>
      </c>
      <c r="Z21" s="73" t="s">
        <v>2207</v>
      </c>
      <c r="AA21" s="99" t="s">
        <v>2856</v>
      </c>
    </row>
    <row r="22" spans="1:27" ht="17.25" customHeight="1">
      <c r="A22" s="65">
        <f>IF(priority(Main[[#This Row],[Comments]])&lt;&gt;0, priority(Main[[#This Row],[Comments]]),"")</f>
        <v>4</v>
      </c>
      <c r="B22" s="60" t="s">
        <v>3592</v>
      </c>
      <c r="C22" s="105" t="s">
        <v>95</v>
      </c>
      <c r="D22" s="74" t="s">
        <v>3593</v>
      </c>
      <c r="E22" s="89">
        <v>40959.548576388886</v>
      </c>
      <c r="F22" s="89">
        <v>40967</v>
      </c>
      <c r="G22" s="65" t="str">
        <f>IF(stdProdLT(Main[[#This Row],[Comments]])=0.1,"N/A",IF(stdProdLT(Main[[#This Row],[Comments]])=0,"",TRIM(stdProdLT(Main[[#This Row],[Comments]]))))</f>
        <v>N/A</v>
      </c>
      <c r="H22" s="98" t="str">
        <f>IF(Main[[#This Row],[Std. Prod. Lead Time]]="N/A", "",IF(AND(Main[[#This Row],[In Stock Date]]&lt;&gt;"",Main[[#This Row],[Revised Due Date]]&lt;&gt;"",Main[[#This Row],[In Stock Date]]&lt;&gt;""),Main[[#This Row],[In Stock Date]]-Main[[#This Row],[Revised Due Date]],""))</f>
        <v/>
      </c>
      <c r="I22" s="110" t="s">
        <v>306</v>
      </c>
      <c r="J22" s="99" t="s">
        <v>75</v>
      </c>
      <c r="K22" s="100" t="s">
        <v>1922</v>
      </c>
      <c r="L22" s="89"/>
      <c r="M22" s="75" t="str">
        <f>IF(Main[[#This Row],[Tech Start Date]]&lt;1/1/1990,"",IF(Main[[#This Row],[Class]]="C",WORKDAY(Main[[#This Row],[Tech Start Date]],9),IF(Main[[#This Row],[Class]]="B", WORKDAY(Main[[#This Row],[Tech Start Date]],6),IF(Main[[#This Row],[Class]]="A",WORKDAY(Main[[#This Row],[Tech Start Date]],2),""))))</f>
        <v/>
      </c>
      <c r="N22" s="75" t="str">
        <f>IF(Main[[#This Row],[Tech Start Date]]&lt;1/1/1990,"",IF(Main[[#This Row],[Class]]="C",WORKDAY(Main[[#This Row],[Tech Start Date]],19),IF(Main[[#This Row],[Class]]="B", WORKDAY(Main[[#This Row],[Tech Start Date]],12),IF(Main[[#This Row],[Class]]="A",WORKDAY(Main[[#This Row],[Tech Start Date]],4),""))))</f>
        <v/>
      </c>
      <c r="O22" s="75" t="str">
        <f>IF(Main[[#This Row],[Tech Start Date]]&lt;1/1/1990,"",IF(Main[[#This Row],[Class]]="C",WORKDAY(Main[[#This Row],[Tech Start Date]],23),IF(Main[[#This Row],[Class]]="B", WORKDAY(Main[[#This Row],[Tech Start Date]],15),IF(Main[[#This Row],[Class]]="A",WORKDAY(Main[[#This Row],[Tech Start Date]],5),""))))</f>
        <v/>
      </c>
      <c r="P22" s="75" t="str">
        <f>IF(Main[[#This Row],[Tech Start Date]]&lt;1/1/1990,"",IF(Main[[#This Row],[Class]]="C",WORKDAY(Main[[#This Row],[Tech Start Date]],28),IF(Main[[#This Row],[Class]]="B", WORKDAY(Main[[#This Row],[Tech Start Date]],19),IF(Main[[#This Row],[Class]]="A",WORKDAY(Main[[#This Row],[Tech Start Date]],9),""))))</f>
        <v/>
      </c>
      <c r="Q22" s="89">
        <v>40976</v>
      </c>
      <c r="R22" s="121">
        <v>40967</v>
      </c>
      <c r="S22" s="99" t="s">
        <v>11</v>
      </c>
      <c r="T22" s="76" t="s">
        <v>3962</v>
      </c>
      <c r="U22" s="99" t="s">
        <v>29</v>
      </c>
      <c r="V22" s="99" t="s">
        <v>1913</v>
      </c>
      <c r="W22" s="99" t="s">
        <v>1915</v>
      </c>
      <c r="X22" s="99" t="s">
        <v>2846</v>
      </c>
      <c r="Y22" s="73" t="s">
        <v>2984</v>
      </c>
      <c r="Z22" s="73" t="s">
        <v>129</v>
      </c>
      <c r="AA22" s="99" t="s">
        <v>2846</v>
      </c>
    </row>
    <row r="23" spans="1:27" ht="17.25" customHeight="1">
      <c r="A23" s="65">
        <f>IF(priority(Main[[#This Row],[Comments]])&lt;&gt;0, priority(Main[[#This Row],[Comments]]),"")</f>
        <v>5</v>
      </c>
      <c r="B23" s="60" t="s">
        <v>3540</v>
      </c>
      <c r="C23" s="105" t="s">
        <v>347</v>
      </c>
      <c r="D23" s="74" t="s">
        <v>3927</v>
      </c>
      <c r="E23" s="89">
        <v>40961.409259259257</v>
      </c>
      <c r="F23" s="89">
        <v>41030</v>
      </c>
      <c r="G23" s="65" t="str">
        <f>IF(stdProdLT(Main[[#This Row],[Comments]])=0.1,"N/A",IF(stdProdLT(Main[[#This Row],[Comments]])=0,"",TRIM(stdProdLT(Main[[#This Row],[Comments]]))))</f>
        <v>126</v>
      </c>
      <c r="H23" s="98">
        <f>IF(Main[[#This Row],[Std. Prod. Lead Time]]="N/A", "",IF(AND(Main[[#This Row],[In Stock Date]]&lt;&gt;"",Main[[#This Row],[Revised Due Date]]&lt;&gt;"",Main[[#This Row],[In Stock Date]]&lt;&gt;""),Main[[#This Row],[In Stock Date]]-Main[[#This Row],[Revised Due Date]],""))</f>
        <v>49</v>
      </c>
      <c r="I23" s="110" t="s">
        <v>912</v>
      </c>
      <c r="J23" s="99" t="s">
        <v>52</v>
      </c>
      <c r="K23" s="99" t="s">
        <v>1920</v>
      </c>
      <c r="L23" s="89"/>
      <c r="M23" s="75" t="str">
        <f>IF(Main[[#This Row],[Tech Start Date]]&lt;1/1/1990,"",IF(Main[[#This Row],[Class]]="C",WORKDAY(Main[[#This Row],[Tech Start Date]],9),IF(Main[[#This Row],[Class]]="B", WORKDAY(Main[[#This Row],[Tech Start Date]],6),IF(Main[[#This Row],[Class]]="A",WORKDAY(Main[[#This Row],[Tech Start Date]],2),""))))</f>
        <v/>
      </c>
      <c r="N23" s="75" t="str">
        <f>IF(Main[[#This Row],[Tech Start Date]]&lt;1/1/1990,"",IF(Main[[#This Row],[Class]]="C",WORKDAY(Main[[#This Row],[Tech Start Date]],19),IF(Main[[#This Row],[Class]]="B", WORKDAY(Main[[#This Row],[Tech Start Date]],12),IF(Main[[#This Row],[Class]]="A",WORKDAY(Main[[#This Row],[Tech Start Date]],4),""))))</f>
        <v/>
      </c>
      <c r="O23" s="75" t="str">
        <f>IF(Main[[#This Row],[Tech Start Date]]&lt;1/1/1990,"",IF(Main[[#This Row],[Class]]="C",WORKDAY(Main[[#This Row],[Tech Start Date]],23),IF(Main[[#This Row],[Class]]="B", WORKDAY(Main[[#This Row],[Tech Start Date]],15),IF(Main[[#This Row],[Class]]="A",WORKDAY(Main[[#This Row],[Tech Start Date]],5),""))))</f>
        <v/>
      </c>
      <c r="P23" s="75" t="str">
        <f>IF(Main[[#This Row],[Tech Start Date]]&lt;1/1/1990,"",IF(Main[[#This Row],[Class]]="C",WORKDAY(Main[[#This Row],[Tech Start Date]],28),IF(Main[[#This Row],[Class]]="B", WORKDAY(Main[[#This Row],[Tech Start Date]],19),IF(Main[[#This Row],[Class]]="A",WORKDAY(Main[[#This Row],[Tech Start Date]],9),""))))</f>
        <v/>
      </c>
      <c r="Q23" s="89">
        <v>40990</v>
      </c>
      <c r="R23" s="121">
        <v>40981</v>
      </c>
      <c r="S23" s="99" t="s">
        <v>11</v>
      </c>
      <c r="T23" s="76" t="s">
        <v>3967</v>
      </c>
      <c r="U23" s="99" t="s">
        <v>29</v>
      </c>
      <c r="V23" s="99" t="s">
        <v>1913</v>
      </c>
      <c r="W23" s="99" t="s">
        <v>1921</v>
      </c>
      <c r="X23" s="99" t="s">
        <v>2905</v>
      </c>
      <c r="Y23" s="73" t="s">
        <v>4</v>
      </c>
      <c r="Z23" s="73" t="s">
        <v>129</v>
      </c>
      <c r="AA23" s="99" t="s">
        <v>3399</v>
      </c>
    </row>
    <row r="24" spans="1:27" ht="17.25" customHeight="1">
      <c r="A24" s="65">
        <f>IF(priority(Main[[#This Row],[Comments]])&lt;&gt;0, priority(Main[[#This Row],[Comments]]),"")</f>
        <v>5</v>
      </c>
      <c r="B24" s="60" t="s">
        <v>2140</v>
      </c>
      <c r="C24" s="105" t="s">
        <v>2020</v>
      </c>
      <c r="D24" s="74" t="s">
        <v>2141</v>
      </c>
      <c r="E24" s="89"/>
      <c r="F24" s="89">
        <v>40771</v>
      </c>
      <c r="G24" s="65" t="str">
        <f>IF(stdProdLT(Main[[#This Row],[Comments]])=0.1,"N/A",IF(stdProdLT(Main[[#This Row],[Comments]])=0,"",TRIM(stdProdLT(Main[[#This Row],[Comments]]))))</f>
        <v>154</v>
      </c>
      <c r="H24" s="98">
        <f>IF(Main[[#This Row],[Std. Prod. Lead Time]]="N/A", "",IF(AND(Main[[#This Row],[In Stock Date]]&lt;&gt;"",Main[[#This Row],[Revised Due Date]]&lt;&gt;"",Main[[#This Row],[In Stock Date]]&lt;&gt;""),Main[[#This Row],[In Stock Date]]-Main[[#This Row],[Revised Due Date]],""))</f>
        <v>-44</v>
      </c>
      <c r="I24" s="110" t="s">
        <v>941</v>
      </c>
      <c r="J24" s="99" t="s">
        <v>28</v>
      </c>
      <c r="K24" s="99" t="s">
        <v>1926</v>
      </c>
      <c r="L24" s="89">
        <v>40772</v>
      </c>
      <c r="M24" s="75">
        <f>IF(Main[[#This Row],[Tech Start Date]]&lt;1/1/1990,"",IF(Main[[#This Row],[Class]]="C",WORKDAY(Main[[#This Row],[Tech Start Date]],9),IF(Main[[#This Row],[Class]]="B", WORKDAY(Main[[#This Row],[Tech Start Date]],6),IF(Main[[#This Row],[Class]]="A",WORKDAY(Main[[#This Row],[Tech Start Date]],2),""))))</f>
        <v>40785</v>
      </c>
      <c r="N24" s="75">
        <f>IF(Main[[#This Row],[Tech Start Date]]&lt;1/1/1990,"",IF(Main[[#This Row],[Class]]="C",WORKDAY(Main[[#This Row],[Tech Start Date]],19),IF(Main[[#This Row],[Class]]="B", WORKDAY(Main[[#This Row],[Tech Start Date]],12),IF(Main[[#This Row],[Class]]="A",WORKDAY(Main[[#This Row],[Tech Start Date]],4),""))))</f>
        <v>40799</v>
      </c>
      <c r="O24" s="75">
        <f>IF(Main[[#This Row],[Tech Start Date]]&lt;1/1/1990,"",IF(Main[[#This Row],[Class]]="C",WORKDAY(Main[[#This Row],[Tech Start Date]],23),IF(Main[[#This Row],[Class]]="B", WORKDAY(Main[[#This Row],[Tech Start Date]],15),IF(Main[[#This Row],[Class]]="A",WORKDAY(Main[[#This Row],[Tech Start Date]],5),""))))</f>
        <v>40805</v>
      </c>
      <c r="P24" s="75">
        <f>IF(Main[[#This Row],[Tech Start Date]]&lt;1/1/1990,"",IF(Main[[#This Row],[Class]]="C",WORKDAY(Main[[#This Row],[Tech Start Date]],28),IF(Main[[#This Row],[Class]]="B", WORKDAY(Main[[#This Row],[Tech Start Date]],19),IF(Main[[#This Row],[Class]]="A",WORKDAY(Main[[#This Row],[Tech Start Date]],9),""))))</f>
        <v>40812</v>
      </c>
      <c r="Q24" s="89">
        <v>40771</v>
      </c>
      <c r="R24" s="121">
        <v>40815</v>
      </c>
      <c r="S24" s="99" t="s">
        <v>11</v>
      </c>
      <c r="T24" s="76" t="s">
        <v>2142</v>
      </c>
      <c r="U24" s="99" t="s">
        <v>14</v>
      </c>
      <c r="V24" s="99" t="s">
        <v>1914</v>
      </c>
      <c r="W24" s="99" t="s">
        <v>1921</v>
      </c>
      <c r="X24" s="99" t="s">
        <v>2810</v>
      </c>
      <c r="Y24" s="73" t="s">
        <v>4</v>
      </c>
      <c r="Z24" s="73" t="s">
        <v>2049</v>
      </c>
      <c r="AA24" s="99" t="s">
        <v>2810</v>
      </c>
    </row>
    <row r="25" spans="1:27" ht="17.25" customHeight="1">
      <c r="A25" s="65">
        <f>IF(priority(Main[[#This Row],[Comments]])&lt;&gt;0, priority(Main[[#This Row],[Comments]]),"")</f>
        <v>5</v>
      </c>
      <c r="B25" s="60" t="s">
        <v>3243</v>
      </c>
      <c r="C25" s="105" t="s">
        <v>577</v>
      </c>
      <c r="D25" s="74" t="s">
        <v>3798</v>
      </c>
      <c r="E25" s="89">
        <v>40933.480763888889</v>
      </c>
      <c r="F25" s="89">
        <v>40969</v>
      </c>
      <c r="G25" s="65" t="str">
        <f>IF(stdProdLT(Main[[#This Row],[Comments]])=0.1,"N/A",IF(stdProdLT(Main[[#This Row],[Comments]])=0,"",TRIM(stdProdLT(Main[[#This Row],[Comments]]))))</f>
        <v>N/A</v>
      </c>
      <c r="H25" s="98" t="str">
        <f>IF(Main[[#This Row],[Std. Prod. Lead Time]]="N/A", "",IF(AND(Main[[#This Row],[In Stock Date]]&lt;&gt;"",Main[[#This Row],[Revised Due Date]]&lt;&gt;"",Main[[#This Row],[In Stock Date]]&lt;&gt;""),Main[[#This Row],[In Stock Date]]-Main[[#This Row],[Revised Due Date]],""))</f>
        <v/>
      </c>
      <c r="I25" s="110" t="s">
        <v>940</v>
      </c>
      <c r="J25" s="99" t="s">
        <v>28</v>
      </c>
      <c r="K25" s="99" t="s">
        <v>1926</v>
      </c>
      <c r="L25" s="89">
        <v>40938</v>
      </c>
      <c r="M25" s="75">
        <f>IF(Main[[#This Row],[Tech Start Date]]&lt;1/1/1990,"",IF(Main[[#This Row],[Class]]="C",WORKDAY(Main[[#This Row],[Tech Start Date]],9),IF(Main[[#This Row],[Class]]="B", WORKDAY(Main[[#This Row],[Tech Start Date]],6),IF(Main[[#This Row],[Class]]="A",WORKDAY(Main[[#This Row],[Tech Start Date]],2),""))))</f>
        <v>40949</v>
      </c>
      <c r="N25" s="75">
        <f>IF(Main[[#This Row],[Tech Start Date]]&lt;1/1/1990,"",IF(Main[[#This Row],[Class]]="C",WORKDAY(Main[[#This Row],[Tech Start Date]],19),IF(Main[[#This Row],[Class]]="B", WORKDAY(Main[[#This Row],[Tech Start Date]],12),IF(Main[[#This Row],[Class]]="A",WORKDAY(Main[[#This Row],[Tech Start Date]],4),""))))</f>
        <v>40963</v>
      </c>
      <c r="O25" s="75">
        <f>IF(Main[[#This Row],[Tech Start Date]]&lt;1/1/1990,"",IF(Main[[#This Row],[Class]]="C",WORKDAY(Main[[#This Row],[Tech Start Date]],23),IF(Main[[#This Row],[Class]]="B", WORKDAY(Main[[#This Row],[Tech Start Date]],15),IF(Main[[#This Row],[Class]]="A",WORKDAY(Main[[#This Row],[Tech Start Date]],5),""))))</f>
        <v>40969</v>
      </c>
      <c r="P25" s="75">
        <f>IF(Main[[#This Row],[Tech Start Date]]&lt;1/1/1990,"",IF(Main[[#This Row],[Class]]="C",WORKDAY(Main[[#This Row],[Tech Start Date]],28),IF(Main[[#This Row],[Class]]="B", WORKDAY(Main[[#This Row],[Tech Start Date]],19),IF(Main[[#This Row],[Class]]="A",WORKDAY(Main[[#This Row],[Tech Start Date]],9),""))))</f>
        <v>40976</v>
      </c>
      <c r="Q25" s="89">
        <v>40940</v>
      </c>
      <c r="R25" s="121">
        <v>40973</v>
      </c>
      <c r="S25" s="99" t="s">
        <v>11</v>
      </c>
      <c r="T25" s="76" t="s">
        <v>3799</v>
      </c>
      <c r="U25" s="99" t="s">
        <v>29</v>
      </c>
      <c r="V25" s="99" t="s">
        <v>1914</v>
      </c>
      <c r="W25" s="99" t="s">
        <v>1915</v>
      </c>
      <c r="X25" s="99" t="s">
        <v>2810</v>
      </c>
      <c r="Y25" s="73" t="s">
        <v>4</v>
      </c>
      <c r="Z25" s="73" t="s">
        <v>2049</v>
      </c>
      <c r="AA25" s="99" t="s">
        <v>2810</v>
      </c>
    </row>
    <row r="26" spans="1:27" ht="17.25" customHeight="1">
      <c r="A26" s="65">
        <f>IF(priority(Main[[#This Row],[Comments]])&lt;&gt;0, priority(Main[[#This Row],[Comments]]),"")</f>
        <v>6</v>
      </c>
      <c r="B26" s="60" t="s">
        <v>2393</v>
      </c>
      <c r="C26" s="105" t="s">
        <v>2394</v>
      </c>
      <c r="D26" s="74" t="s">
        <v>3781</v>
      </c>
      <c r="E26" s="89">
        <v>40864.56318287037</v>
      </c>
      <c r="F26" s="89"/>
      <c r="G26" s="65" t="str">
        <f>IF(stdProdLT(Main[[#This Row],[Comments]])=0.1,"N/A",IF(stdProdLT(Main[[#This Row],[Comments]])=0,"",TRIM(stdProdLT(Main[[#This Row],[Comments]]))))</f>
        <v>N/A</v>
      </c>
      <c r="H26" s="98" t="str">
        <f>IF(Main[[#This Row],[Std. Prod. Lead Time]]="N/A", "",IF(AND(Main[[#This Row],[In Stock Date]]&lt;&gt;"",Main[[#This Row],[Revised Due Date]]&lt;&gt;"",Main[[#This Row],[In Stock Date]]&lt;&gt;""),Main[[#This Row],[In Stock Date]]-Main[[#This Row],[Revised Due Date]],""))</f>
        <v/>
      </c>
      <c r="I26" s="110" t="s">
        <v>2245</v>
      </c>
      <c r="J26" s="99" t="s">
        <v>28</v>
      </c>
      <c r="K26" s="100" t="s">
        <v>1920</v>
      </c>
      <c r="L26" s="89">
        <v>40878</v>
      </c>
      <c r="M26" s="75">
        <f>IF(Main[[#This Row],[Tech Start Date]]&lt;1/1/1990,"",IF(Main[[#This Row],[Class]]="C",WORKDAY(Main[[#This Row],[Tech Start Date]],9),IF(Main[[#This Row],[Class]]="B", WORKDAY(Main[[#This Row],[Tech Start Date]],6),IF(Main[[#This Row],[Class]]="A",WORKDAY(Main[[#This Row],[Tech Start Date]],2),""))))</f>
        <v>40886</v>
      </c>
      <c r="N26" s="75">
        <f>IF(Main[[#This Row],[Tech Start Date]]&lt;1/1/1990,"",IF(Main[[#This Row],[Class]]="C",WORKDAY(Main[[#This Row],[Tech Start Date]],19),IF(Main[[#This Row],[Class]]="B", WORKDAY(Main[[#This Row],[Tech Start Date]],12),IF(Main[[#This Row],[Class]]="A",WORKDAY(Main[[#This Row],[Tech Start Date]],4),""))))</f>
        <v>40896</v>
      </c>
      <c r="O26" s="75">
        <f>IF(Main[[#This Row],[Tech Start Date]]&lt;1/1/1990,"",IF(Main[[#This Row],[Class]]="C",WORKDAY(Main[[#This Row],[Tech Start Date]],23),IF(Main[[#This Row],[Class]]="B", WORKDAY(Main[[#This Row],[Tech Start Date]],15),IF(Main[[#This Row],[Class]]="A",WORKDAY(Main[[#This Row],[Tech Start Date]],5),""))))</f>
        <v>40899</v>
      </c>
      <c r="P26" s="75">
        <f>IF(Main[[#This Row],[Tech Start Date]]&lt;1/1/1990,"",IF(Main[[#This Row],[Class]]="C",WORKDAY(Main[[#This Row],[Tech Start Date]],28),IF(Main[[#This Row],[Class]]="B", WORKDAY(Main[[#This Row],[Tech Start Date]],19),IF(Main[[#This Row],[Class]]="A",WORKDAY(Main[[#This Row],[Tech Start Date]],9),""))))</f>
        <v>40905</v>
      </c>
      <c r="Q26" s="89"/>
      <c r="R26" s="121">
        <v>40982</v>
      </c>
      <c r="S26" s="99" t="s">
        <v>11</v>
      </c>
      <c r="T26" s="76" t="s">
        <v>3782</v>
      </c>
      <c r="U26" s="99" t="s">
        <v>29</v>
      </c>
      <c r="V26" s="99" t="s">
        <v>1914</v>
      </c>
      <c r="W26" s="99" t="s">
        <v>1915</v>
      </c>
      <c r="X26" s="99" t="s">
        <v>2810</v>
      </c>
      <c r="Y26" s="73" t="s">
        <v>2987</v>
      </c>
      <c r="Z26" s="73" t="s">
        <v>2049</v>
      </c>
      <c r="AA26" s="99" t="s">
        <v>2810</v>
      </c>
    </row>
    <row r="27" spans="1:27" ht="17.25" customHeight="1">
      <c r="A27" s="65">
        <f>IF(priority(Main[[#This Row],[Comments]])&lt;&gt;0, priority(Main[[#This Row],[Comments]]),"")</f>
        <v>6</v>
      </c>
      <c r="B27" s="60" t="s">
        <v>3218</v>
      </c>
      <c r="C27" s="105" t="s">
        <v>3200</v>
      </c>
      <c r="D27" s="74" t="s">
        <v>3910</v>
      </c>
      <c r="E27" s="89">
        <v>40925.100439814814</v>
      </c>
      <c r="F27" s="89">
        <v>41153</v>
      </c>
      <c r="G27" s="65" t="str">
        <f>IF(stdProdLT(Main[[#This Row],[Comments]])=0.1,"N/A",IF(stdProdLT(Main[[#This Row],[Comments]])=0,"",TRIM(stdProdLT(Main[[#This Row],[Comments]]))))</f>
        <v>140</v>
      </c>
      <c r="H27" s="98">
        <f>IF(Main[[#This Row],[Std. Prod. Lead Time]]="N/A", "",IF(AND(Main[[#This Row],[In Stock Date]]&lt;&gt;"",Main[[#This Row],[Revised Due Date]]&lt;&gt;"",Main[[#This Row],[In Stock Date]]&lt;&gt;""),Main[[#This Row],[In Stock Date]]-Main[[#This Row],[Revised Due Date]],""))</f>
        <v>190</v>
      </c>
      <c r="I27" s="110" t="s">
        <v>50</v>
      </c>
      <c r="J27" s="99" t="s">
        <v>51</v>
      </c>
      <c r="K27" s="99" t="s">
        <v>1920</v>
      </c>
      <c r="L27" s="89">
        <v>40925</v>
      </c>
      <c r="M27" s="75">
        <f>IF(Main[[#This Row],[Tech Start Date]]&lt;1/1/1990,"",IF(Main[[#This Row],[Class]]="C",WORKDAY(Main[[#This Row],[Tech Start Date]],9),IF(Main[[#This Row],[Class]]="B", WORKDAY(Main[[#This Row],[Tech Start Date]],6),IF(Main[[#This Row],[Class]]="A",WORKDAY(Main[[#This Row],[Tech Start Date]],2),""))))</f>
        <v>40933</v>
      </c>
      <c r="N27" s="75">
        <f>IF(Main[[#This Row],[Tech Start Date]]&lt;1/1/1990,"",IF(Main[[#This Row],[Class]]="C",WORKDAY(Main[[#This Row],[Tech Start Date]],19),IF(Main[[#This Row],[Class]]="B", WORKDAY(Main[[#This Row],[Tech Start Date]],12),IF(Main[[#This Row],[Class]]="A",WORKDAY(Main[[#This Row],[Tech Start Date]],4),""))))</f>
        <v>40941</v>
      </c>
      <c r="O27" s="75">
        <f>IF(Main[[#This Row],[Tech Start Date]]&lt;1/1/1990,"",IF(Main[[#This Row],[Class]]="C",WORKDAY(Main[[#This Row],[Tech Start Date]],23),IF(Main[[#This Row],[Class]]="B", WORKDAY(Main[[#This Row],[Tech Start Date]],15),IF(Main[[#This Row],[Class]]="A",WORKDAY(Main[[#This Row],[Tech Start Date]],5),""))))</f>
        <v>40946</v>
      </c>
      <c r="P27" s="75">
        <f>IF(Main[[#This Row],[Tech Start Date]]&lt;1/1/1990,"",IF(Main[[#This Row],[Class]]="C",WORKDAY(Main[[#This Row],[Tech Start Date]],28),IF(Main[[#This Row],[Class]]="B", WORKDAY(Main[[#This Row],[Tech Start Date]],19),IF(Main[[#This Row],[Class]]="A",WORKDAY(Main[[#This Row],[Tech Start Date]],9),""))))</f>
        <v>40952</v>
      </c>
      <c r="Q27" s="89">
        <v>41011</v>
      </c>
      <c r="R27" s="121">
        <v>40963</v>
      </c>
      <c r="S27" s="99" t="s">
        <v>11</v>
      </c>
      <c r="T27" s="76" t="s">
        <v>3793</v>
      </c>
      <c r="U27" s="99" t="s">
        <v>29</v>
      </c>
      <c r="V27" s="99" t="s">
        <v>1923</v>
      </c>
      <c r="W27" s="99" t="s">
        <v>1919</v>
      </c>
      <c r="X27" s="99" t="s">
        <v>2842</v>
      </c>
      <c r="Y27" s="73" t="s">
        <v>2973</v>
      </c>
      <c r="Z27" s="73" t="s">
        <v>530</v>
      </c>
      <c r="AA27" s="99" t="s">
        <v>2842</v>
      </c>
    </row>
    <row r="28" spans="1:27" ht="17.25" customHeight="1">
      <c r="A28" s="65">
        <f>IF(priority(Main[[#This Row],[Comments]])&lt;&gt;0, priority(Main[[#This Row],[Comments]]),"")</f>
        <v>6</v>
      </c>
      <c r="B28" s="60" t="s">
        <v>3258</v>
      </c>
      <c r="C28" s="105" t="s">
        <v>3259</v>
      </c>
      <c r="D28" s="74" t="s">
        <v>3553</v>
      </c>
      <c r="E28" s="89">
        <v>40934.412314814814</v>
      </c>
      <c r="F28" s="89">
        <v>41091</v>
      </c>
      <c r="G28" s="65" t="str">
        <f>IF(stdProdLT(Main[[#This Row],[Comments]])=0.1,"N/A",IF(stdProdLT(Main[[#This Row],[Comments]])=0,"",TRIM(stdProdLT(Main[[#This Row],[Comments]]))))</f>
        <v>126</v>
      </c>
      <c r="H28" s="98">
        <f>IF(Main[[#This Row],[Std. Prod. Lead Time]]="N/A", "",IF(AND(Main[[#This Row],[In Stock Date]]&lt;&gt;"",Main[[#This Row],[Revised Due Date]]&lt;&gt;"",Main[[#This Row],[In Stock Date]]&lt;&gt;""),Main[[#This Row],[In Stock Date]]-Main[[#This Row],[Revised Due Date]],""))</f>
        <v>116</v>
      </c>
      <c r="I28" s="110" t="s">
        <v>912</v>
      </c>
      <c r="J28" s="99" t="s">
        <v>52</v>
      </c>
      <c r="K28" s="99" t="s">
        <v>1920</v>
      </c>
      <c r="L28" s="89">
        <v>40934</v>
      </c>
      <c r="M28" s="75">
        <f>IF(Main[[#This Row],[Tech Start Date]]&lt;1/1/1990,"",IF(Main[[#This Row],[Class]]="C",WORKDAY(Main[[#This Row],[Tech Start Date]],9),IF(Main[[#This Row],[Class]]="B", WORKDAY(Main[[#This Row],[Tech Start Date]],6),IF(Main[[#This Row],[Class]]="A",WORKDAY(Main[[#This Row],[Tech Start Date]],2),""))))</f>
        <v>40942</v>
      </c>
      <c r="N28" s="75">
        <f>IF(Main[[#This Row],[Tech Start Date]]&lt;1/1/1990,"",IF(Main[[#This Row],[Class]]="C",WORKDAY(Main[[#This Row],[Tech Start Date]],19),IF(Main[[#This Row],[Class]]="B", WORKDAY(Main[[#This Row],[Tech Start Date]],12),IF(Main[[#This Row],[Class]]="A",WORKDAY(Main[[#This Row],[Tech Start Date]],4),""))))</f>
        <v>40952</v>
      </c>
      <c r="O28" s="75">
        <f>IF(Main[[#This Row],[Tech Start Date]]&lt;1/1/1990,"",IF(Main[[#This Row],[Class]]="C",WORKDAY(Main[[#This Row],[Tech Start Date]],23),IF(Main[[#This Row],[Class]]="B", WORKDAY(Main[[#This Row],[Tech Start Date]],15),IF(Main[[#This Row],[Class]]="A",WORKDAY(Main[[#This Row],[Tech Start Date]],5),""))))</f>
        <v>40955</v>
      </c>
      <c r="P28" s="75">
        <f>IF(Main[[#This Row],[Tech Start Date]]&lt;1/1/1990,"",IF(Main[[#This Row],[Class]]="C",WORKDAY(Main[[#This Row],[Tech Start Date]],28),IF(Main[[#This Row],[Class]]="B", WORKDAY(Main[[#This Row],[Tech Start Date]],19),IF(Main[[#This Row],[Class]]="A",WORKDAY(Main[[#This Row],[Tech Start Date]],9),""))))</f>
        <v>40961</v>
      </c>
      <c r="Q28" s="89"/>
      <c r="R28" s="121">
        <v>40975</v>
      </c>
      <c r="S28" s="99" t="s">
        <v>11</v>
      </c>
      <c r="T28" s="76" t="s">
        <v>3991</v>
      </c>
      <c r="U28" s="99" t="s">
        <v>29</v>
      </c>
      <c r="V28" s="99" t="s">
        <v>1913</v>
      </c>
      <c r="W28" s="99" t="s">
        <v>1921</v>
      </c>
      <c r="X28" s="99" t="s">
        <v>50</v>
      </c>
      <c r="Y28" s="73" t="s">
        <v>3152</v>
      </c>
      <c r="Z28" s="73" t="s">
        <v>129</v>
      </c>
      <c r="AA28" s="99" t="s">
        <v>3456</v>
      </c>
    </row>
    <row r="29" spans="1:27" ht="17.25" customHeight="1">
      <c r="A29" s="65">
        <f>IF(priority(Main[[#This Row],[Comments]])&lt;&gt;0, priority(Main[[#This Row],[Comments]]),"")</f>
        <v>7</v>
      </c>
      <c r="B29" s="60" t="s">
        <v>3186</v>
      </c>
      <c r="C29" s="105" t="s">
        <v>3187</v>
      </c>
      <c r="D29" s="74" t="s">
        <v>3362</v>
      </c>
      <c r="E29" s="89">
        <v>40920.45616898148</v>
      </c>
      <c r="F29" s="89">
        <v>41105</v>
      </c>
      <c r="G29" s="65" t="str">
        <f>IF(stdProdLT(Main[[#This Row],[Comments]])=0.1,"N/A",IF(stdProdLT(Main[[#This Row],[Comments]])=0,"",TRIM(stdProdLT(Main[[#This Row],[Comments]]))))</f>
        <v>126</v>
      </c>
      <c r="H29" s="98">
        <f>IF(Main[[#This Row],[Std. Prod. Lead Time]]="N/A", "",IF(AND(Main[[#This Row],[In Stock Date]]&lt;&gt;"",Main[[#This Row],[Revised Due Date]]&lt;&gt;"",Main[[#This Row],[In Stock Date]]&lt;&gt;""),Main[[#This Row],[In Stock Date]]-Main[[#This Row],[Revised Due Date]],""))</f>
        <v>130</v>
      </c>
      <c r="I29" s="110" t="s">
        <v>912</v>
      </c>
      <c r="J29" s="99" t="s">
        <v>52</v>
      </c>
      <c r="K29" s="99" t="s">
        <v>1920</v>
      </c>
      <c r="L29" s="89">
        <v>40924</v>
      </c>
      <c r="M29" s="75">
        <f>IF(Main[[#This Row],[Tech Start Date]]&lt;1/1/1990,"",IF(Main[[#This Row],[Class]]="C",WORKDAY(Main[[#This Row],[Tech Start Date]],9),IF(Main[[#This Row],[Class]]="B", WORKDAY(Main[[#This Row],[Tech Start Date]],6),IF(Main[[#This Row],[Class]]="A",WORKDAY(Main[[#This Row],[Tech Start Date]],2),""))))</f>
        <v>40932</v>
      </c>
      <c r="N29" s="75">
        <f>IF(Main[[#This Row],[Tech Start Date]]&lt;1/1/1990,"",IF(Main[[#This Row],[Class]]="C",WORKDAY(Main[[#This Row],[Tech Start Date]],19),IF(Main[[#This Row],[Class]]="B", WORKDAY(Main[[#This Row],[Tech Start Date]],12),IF(Main[[#This Row],[Class]]="A",WORKDAY(Main[[#This Row],[Tech Start Date]],4),""))))</f>
        <v>40940</v>
      </c>
      <c r="O29" s="75">
        <f>IF(Main[[#This Row],[Tech Start Date]]&lt;1/1/1990,"",IF(Main[[#This Row],[Class]]="C",WORKDAY(Main[[#This Row],[Tech Start Date]],23),IF(Main[[#This Row],[Class]]="B", WORKDAY(Main[[#This Row],[Tech Start Date]],15),IF(Main[[#This Row],[Class]]="A",WORKDAY(Main[[#This Row],[Tech Start Date]],5),""))))</f>
        <v>40945</v>
      </c>
      <c r="P29" s="75">
        <f>IF(Main[[#This Row],[Tech Start Date]]&lt;1/1/1990,"",IF(Main[[#This Row],[Class]]="C",WORKDAY(Main[[#This Row],[Tech Start Date]],28),IF(Main[[#This Row],[Class]]="B", WORKDAY(Main[[#This Row],[Tech Start Date]],19),IF(Main[[#This Row],[Class]]="A",WORKDAY(Main[[#This Row],[Tech Start Date]],9),""))))</f>
        <v>40949</v>
      </c>
      <c r="Q29" s="89">
        <v>41105</v>
      </c>
      <c r="R29" s="121">
        <v>40975</v>
      </c>
      <c r="S29" s="99" t="s">
        <v>11</v>
      </c>
      <c r="T29" s="76" t="s">
        <v>3990</v>
      </c>
      <c r="U29" s="99" t="s">
        <v>29</v>
      </c>
      <c r="V29" s="99" t="s">
        <v>1913</v>
      </c>
      <c r="W29" s="99" t="s">
        <v>1919</v>
      </c>
      <c r="X29" s="99" t="s">
        <v>2846</v>
      </c>
      <c r="Y29" s="73" t="s">
        <v>2984</v>
      </c>
      <c r="Z29" s="73" t="s">
        <v>129</v>
      </c>
      <c r="AA29" s="99" t="s">
        <v>2846</v>
      </c>
    </row>
    <row r="30" spans="1:27" ht="17.25" customHeight="1">
      <c r="A30" s="65">
        <f>IF(priority(Main[[#This Row],[Comments]])&lt;&gt;0, priority(Main[[#This Row],[Comments]]),"")</f>
        <v>7</v>
      </c>
      <c r="B30" s="60" t="s">
        <v>3481</v>
      </c>
      <c r="C30" s="105" t="s">
        <v>3482</v>
      </c>
      <c r="D30" s="74" t="s">
        <v>3800</v>
      </c>
      <c r="E30" s="89">
        <v>40941.352685185186</v>
      </c>
      <c r="F30" s="89">
        <v>40962</v>
      </c>
      <c r="G30" s="65" t="str">
        <f>IF(stdProdLT(Main[[#This Row],[Comments]])=0.1,"N/A",IF(stdProdLT(Main[[#This Row],[Comments]])=0,"",TRIM(stdProdLT(Main[[#This Row],[Comments]]))))</f>
        <v>N/A</v>
      </c>
      <c r="H30" s="98" t="str">
        <f>IF(Main[[#This Row],[Std. Prod. Lead Time]]="N/A", "",IF(AND(Main[[#This Row],[In Stock Date]]&lt;&gt;"",Main[[#This Row],[Revised Due Date]]&lt;&gt;"",Main[[#This Row],[In Stock Date]]&lt;&gt;""),Main[[#This Row],[In Stock Date]]-Main[[#This Row],[Revised Due Date]],""))</f>
        <v/>
      </c>
      <c r="I30" s="110" t="s">
        <v>2245</v>
      </c>
      <c r="J30" s="99" t="s">
        <v>28</v>
      </c>
      <c r="K30" s="99" t="s">
        <v>1926</v>
      </c>
      <c r="L30" s="89">
        <v>40942</v>
      </c>
      <c r="M30" s="75">
        <f>IF(Main[[#This Row],[Tech Start Date]]&lt;1/1/1990,"",IF(Main[[#This Row],[Class]]="C",WORKDAY(Main[[#This Row],[Tech Start Date]],9),IF(Main[[#This Row],[Class]]="B", WORKDAY(Main[[#This Row],[Tech Start Date]],6),IF(Main[[#This Row],[Class]]="A",WORKDAY(Main[[#This Row],[Tech Start Date]],2),""))))</f>
        <v>40955</v>
      </c>
      <c r="N30" s="75">
        <f>IF(Main[[#This Row],[Tech Start Date]]&lt;1/1/1990,"",IF(Main[[#This Row],[Class]]="C",WORKDAY(Main[[#This Row],[Tech Start Date]],19),IF(Main[[#This Row],[Class]]="B", WORKDAY(Main[[#This Row],[Tech Start Date]],12),IF(Main[[#This Row],[Class]]="A",WORKDAY(Main[[#This Row],[Tech Start Date]],4),""))))</f>
        <v>40969</v>
      </c>
      <c r="O30" s="75">
        <f>IF(Main[[#This Row],[Tech Start Date]]&lt;1/1/1990,"",IF(Main[[#This Row],[Class]]="C",WORKDAY(Main[[#This Row],[Tech Start Date]],23),IF(Main[[#This Row],[Class]]="B", WORKDAY(Main[[#This Row],[Tech Start Date]],15),IF(Main[[#This Row],[Class]]="A",WORKDAY(Main[[#This Row],[Tech Start Date]],5),""))))</f>
        <v>40975</v>
      </c>
      <c r="P30" s="75">
        <f>IF(Main[[#This Row],[Tech Start Date]]&lt;1/1/1990,"",IF(Main[[#This Row],[Class]]="C",WORKDAY(Main[[#This Row],[Tech Start Date]],28),IF(Main[[#This Row],[Class]]="B", WORKDAY(Main[[#This Row],[Tech Start Date]],19),IF(Main[[#This Row],[Class]]="A",WORKDAY(Main[[#This Row],[Tech Start Date]],9),""))))</f>
        <v>40982</v>
      </c>
      <c r="Q30" s="89">
        <v>40948</v>
      </c>
      <c r="R30" s="121">
        <v>40975</v>
      </c>
      <c r="S30" s="99" t="s">
        <v>11</v>
      </c>
      <c r="T30" s="76" t="s">
        <v>3801</v>
      </c>
      <c r="U30" s="99" t="s">
        <v>29</v>
      </c>
      <c r="V30" s="99" t="s">
        <v>1914</v>
      </c>
      <c r="W30" s="99" t="s">
        <v>1915</v>
      </c>
      <c r="X30" s="99" t="s">
        <v>2810</v>
      </c>
      <c r="Y30" s="73" t="s">
        <v>4</v>
      </c>
      <c r="Z30" s="73" t="s">
        <v>2049</v>
      </c>
      <c r="AA30" s="99" t="s">
        <v>2810</v>
      </c>
    </row>
    <row r="31" spans="1:27" ht="17.25" customHeight="1">
      <c r="A31" s="65">
        <f>IF(priority(Main[[#This Row],[Comments]])&lt;&gt;0, priority(Main[[#This Row],[Comments]]),"")</f>
        <v>8</v>
      </c>
      <c r="B31" s="60" t="s">
        <v>3225</v>
      </c>
      <c r="C31" s="105" t="s">
        <v>33</v>
      </c>
      <c r="D31" s="74" t="s">
        <v>3357</v>
      </c>
      <c r="E31" s="89"/>
      <c r="F31" s="89">
        <v>41047</v>
      </c>
      <c r="G31" s="65" t="str">
        <f>IF(stdProdLT(Main[[#This Row],[Comments]])=0.1,"N/A",IF(stdProdLT(Main[[#This Row],[Comments]])=0,"",TRIM(stdProdLT(Main[[#This Row],[Comments]]))))</f>
        <v>126</v>
      </c>
      <c r="H31" s="98" t="str">
        <f>IF(Main[[#This Row],[Std. Prod. Lead Time]]="N/A", "",IF(AND(Main[[#This Row],[In Stock Date]]&lt;&gt;"",Main[[#This Row],[Revised Due Date]]&lt;&gt;"",Main[[#This Row],[In Stock Date]]&lt;&gt;""),Main[[#This Row],[In Stock Date]]-Main[[#This Row],[Revised Due Date]],""))</f>
        <v/>
      </c>
      <c r="I31" s="110" t="s">
        <v>4</v>
      </c>
      <c r="J31" s="99" t="s">
        <v>4</v>
      </c>
      <c r="K31" s="99" t="s">
        <v>4</v>
      </c>
      <c r="L31" s="89"/>
      <c r="M31" s="75" t="str">
        <f>IF(Main[[#This Row],[Tech Start Date]]&lt;1/1/1990,"",IF(Main[[#This Row],[Class]]="C",WORKDAY(Main[[#This Row],[Tech Start Date]],9),IF(Main[[#This Row],[Class]]="B", WORKDAY(Main[[#This Row],[Tech Start Date]],6),IF(Main[[#This Row],[Class]]="A",WORKDAY(Main[[#This Row],[Tech Start Date]],2),""))))</f>
        <v/>
      </c>
      <c r="N31" s="75" t="str">
        <f>IF(Main[[#This Row],[Tech Start Date]]&lt;1/1/1990,"",IF(Main[[#This Row],[Class]]="C",WORKDAY(Main[[#This Row],[Tech Start Date]],19),IF(Main[[#This Row],[Class]]="B", WORKDAY(Main[[#This Row],[Tech Start Date]],12),IF(Main[[#This Row],[Class]]="A",WORKDAY(Main[[#This Row],[Tech Start Date]],4),""))))</f>
        <v/>
      </c>
      <c r="O31" s="75" t="str">
        <f>IF(Main[[#This Row],[Tech Start Date]]&lt;1/1/1990,"",IF(Main[[#This Row],[Class]]="C",WORKDAY(Main[[#This Row],[Tech Start Date]],23),IF(Main[[#This Row],[Class]]="B", WORKDAY(Main[[#This Row],[Tech Start Date]],15),IF(Main[[#This Row],[Class]]="A",WORKDAY(Main[[#This Row],[Tech Start Date]],5),""))))</f>
        <v/>
      </c>
      <c r="P31" s="75" t="str">
        <f>IF(Main[[#This Row],[Tech Start Date]]&lt;1/1/1990,"",IF(Main[[#This Row],[Class]]="C",WORKDAY(Main[[#This Row],[Tech Start Date]],28),IF(Main[[#This Row],[Class]]="B", WORKDAY(Main[[#This Row],[Tech Start Date]],19),IF(Main[[#This Row],[Class]]="A",WORKDAY(Main[[#This Row],[Tech Start Date]],9),""))))</f>
        <v/>
      </c>
      <c r="Q31" s="89"/>
      <c r="R31" s="121"/>
      <c r="S31" s="99" t="s">
        <v>11</v>
      </c>
      <c r="T31" s="76" t="s">
        <v>3498</v>
      </c>
      <c r="U31" s="99" t="s">
        <v>14</v>
      </c>
      <c r="V31" s="99" t="s">
        <v>1914</v>
      </c>
      <c r="W31" s="99" t="s">
        <v>1918</v>
      </c>
      <c r="X31" s="99" t="s">
        <v>2869</v>
      </c>
      <c r="Y31" s="73" t="s">
        <v>3015</v>
      </c>
      <c r="Z31" s="73" t="s">
        <v>4</v>
      </c>
      <c r="AA31" s="99" t="s">
        <v>2869</v>
      </c>
    </row>
    <row r="32" spans="1:27" ht="17.25" customHeight="1">
      <c r="A32" s="65">
        <f>IF(priority(Main[[#This Row],[Comments]])&lt;&gt;0, priority(Main[[#This Row],[Comments]]),"")</f>
        <v>8</v>
      </c>
      <c r="B32" s="60" t="s">
        <v>3308</v>
      </c>
      <c r="C32" s="105" t="s">
        <v>72</v>
      </c>
      <c r="D32" s="74" t="s">
        <v>3796</v>
      </c>
      <c r="E32" s="89">
        <v>40931.826180555552</v>
      </c>
      <c r="F32" s="89">
        <v>41090</v>
      </c>
      <c r="G32" s="65" t="str">
        <f>IF(stdProdLT(Main[[#This Row],[Comments]])=0.1,"N/A",IF(stdProdLT(Main[[#This Row],[Comments]])=0,"",TRIM(stdProdLT(Main[[#This Row],[Comments]]))))</f>
        <v>126</v>
      </c>
      <c r="H32" s="98">
        <f>IF(Main[[#This Row],[Std. Prod. Lead Time]]="N/A", "",IF(AND(Main[[#This Row],[In Stock Date]]&lt;&gt;"",Main[[#This Row],[Revised Due Date]]&lt;&gt;"",Main[[#This Row],[In Stock Date]]&lt;&gt;""),Main[[#This Row],[In Stock Date]]-Main[[#This Row],[Revised Due Date]],""))</f>
        <v>115</v>
      </c>
      <c r="I32" s="110" t="s">
        <v>2620</v>
      </c>
      <c r="J32" s="99" t="s">
        <v>28</v>
      </c>
      <c r="K32" s="99" t="s">
        <v>1926</v>
      </c>
      <c r="L32" s="89">
        <v>40932</v>
      </c>
      <c r="M32" s="75">
        <f>IF(Main[[#This Row],[Tech Start Date]]&lt;1/1/1990,"",IF(Main[[#This Row],[Class]]="C",WORKDAY(Main[[#This Row],[Tech Start Date]],9),IF(Main[[#This Row],[Class]]="B", WORKDAY(Main[[#This Row],[Tech Start Date]],6),IF(Main[[#This Row],[Class]]="A",WORKDAY(Main[[#This Row],[Tech Start Date]],2),""))))</f>
        <v>40945</v>
      </c>
      <c r="N32" s="75">
        <f>IF(Main[[#This Row],[Tech Start Date]]&lt;1/1/1990,"",IF(Main[[#This Row],[Class]]="C",WORKDAY(Main[[#This Row],[Tech Start Date]],19),IF(Main[[#This Row],[Class]]="B", WORKDAY(Main[[#This Row],[Tech Start Date]],12),IF(Main[[#This Row],[Class]]="A",WORKDAY(Main[[#This Row],[Tech Start Date]],4),""))))</f>
        <v>40959</v>
      </c>
      <c r="O32" s="75">
        <f>IF(Main[[#This Row],[Tech Start Date]]&lt;1/1/1990,"",IF(Main[[#This Row],[Class]]="C",WORKDAY(Main[[#This Row],[Tech Start Date]],23),IF(Main[[#This Row],[Class]]="B", WORKDAY(Main[[#This Row],[Tech Start Date]],15),IF(Main[[#This Row],[Class]]="A",WORKDAY(Main[[#This Row],[Tech Start Date]],5),""))))</f>
        <v>40963</v>
      </c>
      <c r="P32" s="75">
        <f>IF(Main[[#This Row],[Tech Start Date]]&lt;1/1/1990,"",IF(Main[[#This Row],[Class]]="C",WORKDAY(Main[[#This Row],[Tech Start Date]],28),IF(Main[[#This Row],[Class]]="B", WORKDAY(Main[[#This Row],[Tech Start Date]],19),IF(Main[[#This Row],[Class]]="A",WORKDAY(Main[[#This Row],[Tech Start Date]],9),""))))</f>
        <v>40970</v>
      </c>
      <c r="Q32" s="89">
        <v>40950</v>
      </c>
      <c r="R32" s="121">
        <v>40975</v>
      </c>
      <c r="S32" s="99" t="s">
        <v>11</v>
      </c>
      <c r="T32" s="76" t="s">
        <v>3797</v>
      </c>
      <c r="U32" s="99" t="s">
        <v>29</v>
      </c>
      <c r="V32" s="99" t="s">
        <v>1914</v>
      </c>
      <c r="W32" s="99" t="s">
        <v>1921</v>
      </c>
      <c r="X32" s="99" t="s">
        <v>2841</v>
      </c>
      <c r="Y32" s="73" t="s">
        <v>4</v>
      </c>
      <c r="Z32" s="73" t="s">
        <v>2049</v>
      </c>
      <c r="AA32" s="99" t="s">
        <v>2841</v>
      </c>
    </row>
    <row r="33" spans="1:32" ht="17.25" customHeight="1">
      <c r="A33" s="65">
        <f>IF(priority(Main[[#This Row],[Comments]])&lt;&gt;0, priority(Main[[#This Row],[Comments]]),"")</f>
        <v>8</v>
      </c>
      <c r="B33" s="60" t="s">
        <v>3816</v>
      </c>
      <c r="C33" s="105" t="s">
        <v>506</v>
      </c>
      <c r="D33" s="74" t="s">
        <v>3911</v>
      </c>
      <c r="E33" s="89">
        <v>40952.439212962963</v>
      </c>
      <c r="F33" s="89">
        <v>40968</v>
      </c>
      <c r="G33" s="65" t="str">
        <f>IF(stdProdLT(Main[[#This Row],[Comments]])=0.1,"N/A",IF(stdProdLT(Main[[#This Row],[Comments]])=0,"",TRIM(stdProdLT(Main[[#This Row],[Comments]]))))</f>
        <v>N/A</v>
      </c>
      <c r="H33" s="98" t="str">
        <f>IF(Main[[#This Row],[Std. Prod. Lead Time]]="N/A", "",IF(AND(Main[[#This Row],[In Stock Date]]&lt;&gt;"",Main[[#This Row],[Revised Due Date]]&lt;&gt;"",Main[[#This Row],[In Stock Date]]&lt;&gt;""),Main[[#This Row],[In Stock Date]]-Main[[#This Row],[Revised Due Date]],""))</f>
        <v/>
      </c>
      <c r="I33" s="110" t="s">
        <v>912</v>
      </c>
      <c r="J33" s="99" t="s">
        <v>52</v>
      </c>
      <c r="K33" s="99" t="s">
        <v>1920</v>
      </c>
      <c r="L33" s="89">
        <v>40954</v>
      </c>
      <c r="M33" s="75">
        <f>IF(Main[[#This Row],[Tech Start Date]]&lt;1/1/1990,"",IF(Main[[#This Row],[Class]]="C",WORKDAY(Main[[#This Row],[Tech Start Date]],9),IF(Main[[#This Row],[Class]]="B", WORKDAY(Main[[#This Row],[Tech Start Date]],6),IF(Main[[#This Row],[Class]]="A",WORKDAY(Main[[#This Row],[Tech Start Date]],2),""))))</f>
        <v>40962</v>
      </c>
      <c r="N33" s="75">
        <f>IF(Main[[#This Row],[Tech Start Date]]&lt;1/1/1990,"",IF(Main[[#This Row],[Class]]="C",WORKDAY(Main[[#This Row],[Tech Start Date]],19),IF(Main[[#This Row],[Class]]="B", WORKDAY(Main[[#This Row],[Tech Start Date]],12),IF(Main[[#This Row],[Class]]="A",WORKDAY(Main[[#This Row],[Tech Start Date]],4),""))))</f>
        <v>40970</v>
      </c>
      <c r="O33" s="75">
        <f>IF(Main[[#This Row],[Tech Start Date]]&lt;1/1/1990,"",IF(Main[[#This Row],[Class]]="C",WORKDAY(Main[[#This Row],[Tech Start Date]],23),IF(Main[[#This Row],[Class]]="B", WORKDAY(Main[[#This Row],[Tech Start Date]],15),IF(Main[[#This Row],[Class]]="A",WORKDAY(Main[[#This Row],[Tech Start Date]],5),""))))</f>
        <v>40975</v>
      </c>
      <c r="P33" s="75">
        <f>IF(Main[[#This Row],[Tech Start Date]]&lt;1/1/1990,"",IF(Main[[#This Row],[Class]]="C",WORKDAY(Main[[#This Row],[Tech Start Date]],28),IF(Main[[#This Row],[Class]]="B", WORKDAY(Main[[#This Row],[Tech Start Date]],19),IF(Main[[#This Row],[Class]]="A",WORKDAY(Main[[#This Row],[Tech Start Date]],9),""))))</f>
        <v>40981</v>
      </c>
      <c r="Q33" s="89">
        <v>40956</v>
      </c>
      <c r="R33" s="121">
        <v>40975</v>
      </c>
      <c r="S33" s="99" t="s">
        <v>11</v>
      </c>
      <c r="T33" s="76" t="s">
        <v>3996</v>
      </c>
      <c r="U33" s="99" t="s">
        <v>29</v>
      </c>
      <c r="V33" s="99" t="s">
        <v>1913</v>
      </c>
      <c r="W33" s="99" t="s">
        <v>1921</v>
      </c>
      <c r="X33" s="99" t="s">
        <v>2815</v>
      </c>
      <c r="Y33" s="73" t="s">
        <v>3817</v>
      </c>
      <c r="Z33" s="73" t="s">
        <v>129</v>
      </c>
      <c r="AA33" s="99" t="s">
        <v>3406</v>
      </c>
    </row>
    <row r="34" spans="1:32" ht="17.25" customHeight="1">
      <c r="A34" s="65">
        <f>IF(priority(Main[[#This Row],[Comments]])&lt;&gt;0, priority(Main[[#This Row],[Comments]]),"")</f>
        <v>9</v>
      </c>
      <c r="B34" s="60" t="s">
        <v>2096</v>
      </c>
      <c r="C34" s="105" t="s">
        <v>53</v>
      </c>
      <c r="D34" s="74" t="s">
        <v>2097</v>
      </c>
      <c r="E34" s="89"/>
      <c r="F34" s="89">
        <v>40789</v>
      </c>
      <c r="G34" s="65" t="str">
        <f>IF(stdProdLT(Main[[#This Row],[Comments]])=0.1,"N/A",IF(stdProdLT(Main[[#This Row],[Comments]])=0,"",TRIM(stdProdLT(Main[[#This Row],[Comments]]))))</f>
        <v>42</v>
      </c>
      <c r="H34" s="98">
        <f>IF(Main[[#This Row],[Std. Prod. Lead Time]]="N/A", "",IF(AND(Main[[#This Row],[In Stock Date]]&lt;&gt;"",Main[[#This Row],[Revised Due Date]]&lt;&gt;"",Main[[#This Row],[In Stock Date]]&lt;&gt;""),Main[[#This Row],[In Stock Date]]-Main[[#This Row],[Revised Due Date]],""))</f>
        <v>1</v>
      </c>
      <c r="I34" s="110" t="s">
        <v>941</v>
      </c>
      <c r="J34" s="99" t="s">
        <v>28</v>
      </c>
      <c r="K34" s="99" t="s">
        <v>4</v>
      </c>
      <c r="L34" s="89"/>
      <c r="M34" s="75" t="str">
        <f>IF(Main[[#This Row],[Tech Start Date]]&lt;1/1/1990,"",IF(Main[[#This Row],[Class]]="C",WORKDAY(Main[[#This Row],[Tech Start Date]],9),IF(Main[[#This Row],[Class]]="B", WORKDAY(Main[[#This Row],[Tech Start Date]],6),IF(Main[[#This Row],[Class]]="A",WORKDAY(Main[[#This Row],[Tech Start Date]],2),""))))</f>
        <v/>
      </c>
      <c r="N34" s="75" t="str">
        <f>IF(Main[[#This Row],[Tech Start Date]]&lt;1/1/1990,"",IF(Main[[#This Row],[Class]]="C",WORKDAY(Main[[#This Row],[Tech Start Date]],19),IF(Main[[#This Row],[Class]]="B", WORKDAY(Main[[#This Row],[Tech Start Date]],12),IF(Main[[#This Row],[Class]]="A",WORKDAY(Main[[#This Row],[Tech Start Date]],4),""))))</f>
        <v/>
      </c>
      <c r="O34" s="75" t="str">
        <f>IF(Main[[#This Row],[Tech Start Date]]&lt;1/1/1990,"",IF(Main[[#This Row],[Class]]="C",WORKDAY(Main[[#This Row],[Tech Start Date]],23),IF(Main[[#This Row],[Class]]="B", WORKDAY(Main[[#This Row],[Tech Start Date]],15),IF(Main[[#This Row],[Class]]="A",WORKDAY(Main[[#This Row],[Tech Start Date]],5),""))))</f>
        <v/>
      </c>
      <c r="P34" s="75" t="str">
        <f>IF(Main[[#This Row],[Tech Start Date]]&lt;1/1/1990,"",IF(Main[[#This Row],[Class]]="C",WORKDAY(Main[[#This Row],[Tech Start Date]],28),IF(Main[[#This Row],[Class]]="B", WORKDAY(Main[[#This Row],[Tech Start Date]],19),IF(Main[[#This Row],[Class]]="A",WORKDAY(Main[[#This Row],[Tech Start Date]],9),""))))</f>
        <v/>
      </c>
      <c r="Q34" s="89"/>
      <c r="R34" s="121">
        <v>40788</v>
      </c>
      <c r="S34" s="99" t="s">
        <v>11</v>
      </c>
      <c r="T34" s="76" t="s">
        <v>2098</v>
      </c>
      <c r="U34" s="99" t="s">
        <v>14</v>
      </c>
      <c r="V34" s="99" t="s">
        <v>1914</v>
      </c>
      <c r="W34" s="99" t="s">
        <v>1915</v>
      </c>
      <c r="X34" s="99" t="s">
        <v>2810</v>
      </c>
      <c r="Y34" s="73" t="s">
        <v>2987</v>
      </c>
      <c r="Z34" s="73" t="s">
        <v>2049</v>
      </c>
      <c r="AA34" s="99" t="s">
        <v>3422</v>
      </c>
      <c r="AF34" s="80"/>
    </row>
    <row r="35" spans="1:32" ht="17.25" customHeight="1">
      <c r="A35" s="65">
        <f>IF(priority(Main[[#This Row],[Comments]])&lt;&gt;0, priority(Main[[#This Row],[Comments]]),"")</f>
        <v>9</v>
      </c>
      <c r="B35" s="60" t="s">
        <v>3834</v>
      </c>
      <c r="C35" s="105" t="s">
        <v>506</v>
      </c>
      <c r="D35" s="74" t="s">
        <v>3915</v>
      </c>
      <c r="E35" s="89">
        <v>40959.590081018519</v>
      </c>
      <c r="F35" s="89">
        <v>40968</v>
      </c>
      <c r="G35" s="65" t="str">
        <f>IF(stdProdLT(Main[[#This Row],[Comments]])=0.1,"N/A",IF(stdProdLT(Main[[#This Row],[Comments]])=0,"",TRIM(stdProdLT(Main[[#This Row],[Comments]]))))</f>
        <v>N/A</v>
      </c>
      <c r="H35" s="98" t="str">
        <f>IF(Main[[#This Row],[Std. Prod. Lead Time]]="N/A", "",IF(AND(Main[[#This Row],[In Stock Date]]&lt;&gt;"",Main[[#This Row],[Revised Due Date]]&lt;&gt;"",Main[[#This Row],[In Stock Date]]&lt;&gt;""),Main[[#This Row],[In Stock Date]]-Main[[#This Row],[Revised Due Date]],""))</f>
        <v/>
      </c>
      <c r="I35" s="110" t="s">
        <v>561</v>
      </c>
      <c r="J35" s="99" t="s">
        <v>21</v>
      </c>
      <c r="K35" s="99" t="s">
        <v>1920</v>
      </c>
      <c r="L35" s="89">
        <v>40959</v>
      </c>
      <c r="M35" s="75">
        <f>IF(Main[[#This Row],[Tech Start Date]]&lt;1/1/1990,"",IF(Main[[#This Row],[Class]]="C",WORKDAY(Main[[#This Row],[Tech Start Date]],9),IF(Main[[#This Row],[Class]]="B", WORKDAY(Main[[#This Row],[Tech Start Date]],6),IF(Main[[#This Row],[Class]]="A",WORKDAY(Main[[#This Row],[Tech Start Date]],2),""))))</f>
        <v>40967</v>
      </c>
      <c r="N35" s="75">
        <f>IF(Main[[#This Row],[Tech Start Date]]&lt;1/1/1990,"",IF(Main[[#This Row],[Class]]="C",WORKDAY(Main[[#This Row],[Tech Start Date]],19),IF(Main[[#This Row],[Class]]="B", WORKDAY(Main[[#This Row],[Tech Start Date]],12),IF(Main[[#This Row],[Class]]="A",WORKDAY(Main[[#This Row],[Tech Start Date]],4),""))))</f>
        <v>40975</v>
      </c>
      <c r="O35" s="75">
        <f>IF(Main[[#This Row],[Tech Start Date]]&lt;1/1/1990,"",IF(Main[[#This Row],[Class]]="C",WORKDAY(Main[[#This Row],[Tech Start Date]],23),IF(Main[[#This Row],[Class]]="B", WORKDAY(Main[[#This Row],[Tech Start Date]],15),IF(Main[[#This Row],[Class]]="A",WORKDAY(Main[[#This Row],[Tech Start Date]],5),""))))</f>
        <v>40980</v>
      </c>
      <c r="P35" s="75">
        <f>IF(Main[[#This Row],[Tech Start Date]]&lt;1/1/1990,"",IF(Main[[#This Row],[Class]]="C",WORKDAY(Main[[#This Row],[Tech Start Date]],28),IF(Main[[#This Row],[Class]]="B", WORKDAY(Main[[#This Row],[Tech Start Date]],19),IF(Main[[#This Row],[Class]]="A",WORKDAY(Main[[#This Row],[Tech Start Date]],9),""))))</f>
        <v>40984</v>
      </c>
      <c r="Q35" s="89"/>
      <c r="R35" s="121">
        <v>40975</v>
      </c>
      <c r="S35" s="99" t="s">
        <v>11</v>
      </c>
      <c r="T35" s="76" t="s">
        <v>4001</v>
      </c>
      <c r="U35" s="99" t="s">
        <v>29</v>
      </c>
      <c r="V35" s="99" t="s">
        <v>1913</v>
      </c>
      <c r="W35" s="99" t="s">
        <v>1921</v>
      </c>
      <c r="X35" s="99" t="s">
        <v>50</v>
      </c>
      <c r="Y35" s="73" t="s">
        <v>3036</v>
      </c>
      <c r="Z35" s="73" t="s">
        <v>129</v>
      </c>
      <c r="AA35" s="99" t="s">
        <v>3406</v>
      </c>
    </row>
    <row r="36" spans="1:32" ht="17.25" customHeight="1">
      <c r="A36" s="65">
        <f>IF(priority(Main[[#This Row],[Comments]])&lt;&gt;0, priority(Main[[#This Row],[Comments]]),"")</f>
        <v>9.1</v>
      </c>
      <c r="B36" s="60" t="s">
        <v>1983</v>
      </c>
      <c r="C36" s="105" t="s">
        <v>1984</v>
      </c>
      <c r="D36" s="74" t="s">
        <v>1985</v>
      </c>
      <c r="E36" s="89"/>
      <c r="F36" s="89"/>
      <c r="G36" s="65" t="str">
        <f>IF(stdProdLT(Main[[#This Row],[Comments]])=0.1,"N/A",IF(stdProdLT(Main[[#This Row],[Comments]])=0,"",TRIM(stdProdLT(Main[[#This Row],[Comments]]))))</f>
        <v/>
      </c>
      <c r="H36" s="98" t="str">
        <f>IF(Main[[#This Row],[Std. Prod. Lead Time]]="N/A", "",IF(AND(Main[[#This Row],[In Stock Date]]&lt;&gt;"",Main[[#This Row],[Revised Due Date]]&lt;&gt;"",Main[[#This Row],[In Stock Date]]&lt;&gt;""),Main[[#This Row],[In Stock Date]]-Main[[#This Row],[Revised Due Date]],""))</f>
        <v/>
      </c>
      <c r="I36" s="110" t="s">
        <v>941</v>
      </c>
      <c r="J36" s="99" t="s">
        <v>28</v>
      </c>
      <c r="K36" s="99" t="s">
        <v>4</v>
      </c>
      <c r="L36" s="89">
        <v>40745</v>
      </c>
      <c r="M36" s="75" t="str">
        <f>IF(Main[[#This Row],[Tech Start Date]]&lt;1/1/1990,"",IF(Main[[#This Row],[Class]]="C",WORKDAY(Main[[#This Row],[Tech Start Date]],9),IF(Main[[#This Row],[Class]]="B", WORKDAY(Main[[#This Row],[Tech Start Date]],6),IF(Main[[#This Row],[Class]]="A",WORKDAY(Main[[#This Row],[Tech Start Date]],2),""))))</f>
        <v/>
      </c>
      <c r="N36" s="75" t="str">
        <f>IF(Main[[#This Row],[Tech Start Date]]&lt;1/1/1990,"",IF(Main[[#This Row],[Class]]="C",WORKDAY(Main[[#This Row],[Tech Start Date]],19),IF(Main[[#This Row],[Class]]="B", WORKDAY(Main[[#This Row],[Tech Start Date]],12),IF(Main[[#This Row],[Class]]="A",WORKDAY(Main[[#This Row],[Tech Start Date]],4),""))))</f>
        <v/>
      </c>
      <c r="O36" s="75" t="str">
        <f>IF(Main[[#This Row],[Tech Start Date]]&lt;1/1/1990,"",IF(Main[[#This Row],[Class]]="C",WORKDAY(Main[[#This Row],[Tech Start Date]],23),IF(Main[[#This Row],[Class]]="B", WORKDAY(Main[[#This Row],[Tech Start Date]],15),IF(Main[[#This Row],[Class]]="A",WORKDAY(Main[[#This Row],[Tech Start Date]],5),""))))</f>
        <v/>
      </c>
      <c r="P36" s="75" t="str">
        <f>IF(Main[[#This Row],[Tech Start Date]]&lt;1/1/1990,"",IF(Main[[#This Row],[Class]]="C",WORKDAY(Main[[#This Row],[Tech Start Date]],28),IF(Main[[#This Row],[Class]]="B", WORKDAY(Main[[#This Row],[Tech Start Date]],19),IF(Main[[#This Row],[Class]]="A",WORKDAY(Main[[#This Row],[Tech Start Date]],9),""))))</f>
        <v/>
      </c>
      <c r="Q36" s="89"/>
      <c r="R36" s="121"/>
      <c r="S36" s="99" t="s">
        <v>11</v>
      </c>
      <c r="T36" s="76" t="s">
        <v>1986</v>
      </c>
      <c r="U36" s="99" t="s">
        <v>14</v>
      </c>
      <c r="V36" s="99" t="s">
        <v>1914</v>
      </c>
      <c r="W36" s="99" t="s">
        <v>1915</v>
      </c>
      <c r="X36" s="99" t="s">
        <v>2810</v>
      </c>
      <c r="Y36" s="73" t="s">
        <v>2987</v>
      </c>
      <c r="Z36" s="73" t="s">
        <v>3153</v>
      </c>
      <c r="AA36" s="99" t="s">
        <v>3466</v>
      </c>
    </row>
    <row r="37" spans="1:32" ht="17.25" customHeight="1">
      <c r="A37" s="125">
        <f>IF(priority(Main[[#This Row],[Comments]])&lt;&gt;0, priority(Main[[#This Row],[Comments]]),"")</f>
        <v>10</v>
      </c>
      <c r="B37" s="126" t="s">
        <v>3829</v>
      </c>
      <c r="C37" s="127" t="s">
        <v>2350</v>
      </c>
      <c r="D37" s="128" t="s">
        <v>3830</v>
      </c>
      <c r="E37" s="129">
        <v>40953.07539351852</v>
      </c>
      <c r="F37" s="129">
        <v>41105</v>
      </c>
      <c r="G37" s="125" t="str">
        <f>IF(stdProdLT(Main[[#This Row],[Comments]])=0.1,"N/A",IF(stdProdLT(Main[[#This Row],[Comments]])=0,"",TRIM(stdProdLT(Main[[#This Row],[Comments]]))))</f>
        <v>126</v>
      </c>
      <c r="H37" s="130">
        <f>IF(Main[[#This Row],[Std. Prod. Lead Time]]="N/A", "",IF(AND(Main[[#This Row],[In Stock Date]]&lt;&gt;"",Main[[#This Row],[Revised Due Date]]&lt;&gt;"",Main[[#This Row],[In Stock Date]]&lt;&gt;""),Main[[#This Row],[In Stock Date]]-Main[[#This Row],[Revised Due Date]],""))</f>
        <v>104</v>
      </c>
      <c r="I37" s="131" t="s">
        <v>2620</v>
      </c>
      <c r="J37" s="132" t="s">
        <v>28</v>
      </c>
      <c r="K37" s="132" t="s">
        <v>1926</v>
      </c>
      <c r="L37" s="129">
        <v>40959</v>
      </c>
      <c r="M37" s="133">
        <f>IF(Main[[#This Row],[Tech Start Date]]&lt;1/1/1990,"",IF(Main[[#This Row],[Class]]="C",WORKDAY(Main[[#This Row],[Tech Start Date]],9),IF(Main[[#This Row],[Class]]="B", WORKDAY(Main[[#This Row],[Tech Start Date]],6),IF(Main[[#This Row],[Class]]="A",WORKDAY(Main[[#This Row],[Tech Start Date]],2),""))))</f>
        <v>40970</v>
      </c>
      <c r="N37" s="133">
        <f>IF(Main[[#This Row],[Tech Start Date]]&lt;1/1/1990,"",IF(Main[[#This Row],[Class]]="C",WORKDAY(Main[[#This Row],[Tech Start Date]],19),IF(Main[[#This Row],[Class]]="B", WORKDAY(Main[[#This Row],[Tech Start Date]],12),IF(Main[[#This Row],[Class]]="A",WORKDAY(Main[[#This Row],[Tech Start Date]],4),""))))</f>
        <v>40984</v>
      </c>
      <c r="O37" s="133">
        <f>IF(Main[[#This Row],[Tech Start Date]]&lt;1/1/1990,"",IF(Main[[#This Row],[Class]]="C",WORKDAY(Main[[#This Row],[Tech Start Date]],23),IF(Main[[#This Row],[Class]]="B", WORKDAY(Main[[#This Row],[Tech Start Date]],15),IF(Main[[#This Row],[Class]]="A",WORKDAY(Main[[#This Row],[Tech Start Date]],5),""))))</f>
        <v>40990</v>
      </c>
      <c r="P37" s="133">
        <f>IF(Main[[#This Row],[Tech Start Date]]&lt;1/1/1990,"",IF(Main[[#This Row],[Class]]="C",WORKDAY(Main[[#This Row],[Tech Start Date]],28),IF(Main[[#This Row],[Class]]="B", WORKDAY(Main[[#This Row],[Tech Start Date]],19),IF(Main[[#This Row],[Class]]="A",WORKDAY(Main[[#This Row],[Tech Start Date]],9),""))))</f>
        <v>40997</v>
      </c>
      <c r="Q37" s="129">
        <v>40965</v>
      </c>
      <c r="R37" s="134">
        <v>41001</v>
      </c>
      <c r="S37" s="132" t="s">
        <v>11</v>
      </c>
      <c r="T37" s="135" t="s">
        <v>3831</v>
      </c>
      <c r="U37" s="132" t="s">
        <v>7</v>
      </c>
      <c r="V37" s="132" t="s">
        <v>1914</v>
      </c>
      <c r="W37" s="132" t="s">
        <v>1921</v>
      </c>
      <c r="X37" s="132" t="s">
        <v>2837</v>
      </c>
      <c r="Y37" s="136" t="s">
        <v>4</v>
      </c>
      <c r="Z37" s="136" t="s">
        <v>2049</v>
      </c>
      <c r="AA37" s="132" t="s">
        <v>2837</v>
      </c>
    </row>
    <row r="38" spans="1:32" ht="17.25" customHeight="1">
      <c r="A38" s="65">
        <f>IF(priority(Main[[#This Row],[Comments]])&lt;&gt;0, priority(Main[[#This Row],[Comments]]),"")</f>
        <v>10</v>
      </c>
      <c r="B38" s="60" t="s">
        <v>3861</v>
      </c>
      <c r="C38" s="105" t="s">
        <v>3856</v>
      </c>
      <c r="D38" s="74" t="s">
        <v>4003</v>
      </c>
      <c r="E38" s="89">
        <v>40967.313819444447</v>
      </c>
      <c r="F38" s="89"/>
      <c r="G38" s="65" t="str">
        <f>IF(stdProdLT(Main[[#This Row],[Comments]])=0.1,"N/A",IF(stdProdLT(Main[[#This Row],[Comments]])=0,"",TRIM(stdProdLT(Main[[#This Row],[Comments]]))))</f>
        <v>112</v>
      </c>
      <c r="H38" s="98" t="str">
        <f>IF(Main[[#This Row],[Std. Prod. Lead Time]]="N/A", "",IF(AND(Main[[#This Row],[In Stock Date]]&lt;&gt;"",Main[[#This Row],[Revised Due Date]]&lt;&gt;"",Main[[#This Row],[In Stock Date]]&lt;&gt;""),Main[[#This Row],[In Stock Date]]-Main[[#This Row],[Revised Due Date]],""))</f>
        <v/>
      </c>
      <c r="I38" s="110" t="s">
        <v>561</v>
      </c>
      <c r="J38" s="99" t="s">
        <v>21</v>
      </c>
      <c r="K38" s="99" t="s">
        <v>1922</v>
      </c>
      <c r="L38" s="89">
        <v>40967</v>
      </c>
      <c r="M38" s="75">
        <f>IF(Main[[#This Row],[Tech Start Date]]&lt;1/1/1990,"",IF(Main[[#This Row],[Class]]="C",WORKDAY(Main[[#This Row],[Tech Start Date]],9),IF(Main[[#This Row],[Class]]="B", WORKDAY(Main[[#This Row],[Tech Start Date]],6),IF(Main[[#This Row],[Class]]="A",WORKDAY(Main[[#This Row],[Tech Start Date]],2),""))))</f>
        <v>40969</v>
      </c>
      <c r="N38" s="75">
        <f>IF(Main[[#This Row],[Tech Start Date]]&lt;1/1/1990,"",IF(Main[[#This Row],[Class]]="C",WORKDAY(Main[[#This Row],[Tech Start Date]],19),IF(Main[[#This Row],[Class]]="B", WORKDAY(Main[[#This Row],[Tech Start Date]],12),IF(Main[[#This Row],[Class]]="A",WORKDAY(Main[[#This Row],[Tech Start Date]],4),""))))</f>
        <v>40973</v>
      </c>
      <c r="O38" s="75">
        <f>IF(Main[[#This Row],[Tech Start Date]]&lt;1/1/1990,"",IF(Main[[#This Row],[Class]]="C",WORKDAY(Main[[#This Row],[Tech Start Date]],23),IF(Main[[#This Row],[Class]]="B", WORKDAY(Main[[#This Row],[Tech Start Date]],15),IF(Main[[#This Row],[Class]]="A",WORKDAY(Main[[#This Row],[Tech Start Date]],5),""))))</f>
        <v>40974</v>
      </c>
      <c r="P38" s="75">
        <f>IF(Main[[#This Row],[Tech Start Date]]&lt;1/1/1990,"",IF(Main[[#This Row],[Class]]="C",WORKDAY(Main[[#This Row],[Tech Start Date]],28),IF(Main[[#This Row],[Class]]="B", WORKDAY(Main[[#This Row],[Tech Start Date]],19),IF(Main[[#This Row],[Class]]="A",WORKDAY(Main[[#This Row],[Tech Start Date]],9),""))))</f>
        <v>40980</v>
      </c>
      <c r="Q38" s="89">
        <v>40973</v>
      </c>
      <c r="R38" s="121">
        <v>40977</v>
      </c>
      <c r="S38" s="99" t="s">
        <v>11</v>
      </c>
      <c r="T38" s="76" t="s">
        <v>4004</v>
      </c>
      <c r="U38" s="99" t="s">
        <v>29</v>
      </c>
      <c r="V38" s="99" t="s">
        <v>1913</v>
      </c>
      <c r="W38" s="99" t="s">
        <v>1921</v>
      </c>
      <c r="X38" s="99" t="s">
        <v>2905</v>
      </c>
      <c r="Y38" s="73" t="s">
        <v>4</v>
      </c>
      <c r="Z38" s="73" t="s">
        <v>129</v>
      </c>
      <c r="AA38" s="99" t="s">
        <v>3858</v>
      </c>
    </row>
    <row r="39" spans="1:32" ht="17.25" customHeight="1">
      <c r="A39" s="125">
        <f>IF(priority(Main[[#This Row],[Comments]])&lt;&gt;0, priority(Main[[#This Row],[Comments]]),"")</f>
        <v>11</v>
      </c>
      <c r="B39" s="126" t="s">
        <v>2635</v>
      </c>
      <c r="C39" s="127" t="s">
        <v>72</v>
      </c>
      <c r="D39" s="128" t="s">
        <v>3779</v>
      </c>
      <c r="E39" s="129">
        <v>40843.078125</v>
      </c>
      <c r="F39" s="129">
        <v>41122</v>
      </c>
      <c r="G39" s="125" t="str">
        <f>IF(stdProdLT(Main[[#This Row],[Comments]])=0.1,"N/A",IF(stdProdLT(Main[[#This Row],[Comments]])=0,"",TRIM(stdProdLT(Main[[#This Row],[Comments]]))))</f>
        <v>196</v>
      </c>
      <c r="H39" s="130">
        <f>IF(Main[[#This Row],[Std. Prod. Lead Time]]="N/A", "",IF(AND(Main[[#This Row],[In Stock Date]]&lt;&gt;"",Main[[#This Row],[Revised Due Date]]&lt;&gt;"",Main[[#This Row],[In Stock Date]]&lt;&gt;""),Main[[#This Row],[In Stock Date]]-Main[[#This Row],[Revised Due Date]],""))</f>
        <v>138</v>
      </c>
      <c r="I39" s="131" t="s">
        <v>2620</v>
      </c>
      <c r="J39" s="132" t="s">
        <v>28</v>
      </c>
      <c r="K39" s="132" t="s">
        <v>1926</v>
      </c>
      <c r="L39" s="129">
        <v>40849</v>
      </c>
      <c r="M39" s="133">
        <f>IF(Main[[#This Row],[Tech Start Date]]&lt;1/1/1990,"",IF(Main[[#This Row],[Class]]="C",WORKDAY(Main[[#This Row],[Tech Start Date]],9),IF(Main[[#This Row],[Class]]="B", WORKDAY(Main[[#This Row],[Tech Start Date]],6),IF(Main[[#This Row],[Class]]="A",WORKDAY(Main[[#This Row],[Tech Start Date]],2),""))))</f>
        <v>40862</v>
      </c>
      <c r="N39" s="133">
        <f>IF(Main[[#This Row],[Tech Start Date]]&lt;1/1/1990,"",IF(Main[[#This Row],[Class]]="C",WORKDAY(Main[[#This Row],[Tech Start Date]],19),IF(Main[[#This Row],[Class]]="B", WORKDAY(Main[[#This Row],[Tech Start Date]],12),IF(Main[[#This Row],[Class]]="A",WORKDAY(Main[[#This Row],[Tech Start Date]],4),""))))</f>
        <v>40876</v>
      </c>
      <c r="O39" s="133">
        <f>IF(Main[[#This Row],[Tech Start Date]]&lt;1/1/1990,"",IF(Main[[#This Row],[Class]]="C",WORKDAY(Main[[#This Row],[Tech Start Date]],23),IF(Main[[#This Row],[Class]]="B", WORKDAY(Main[[#This Row],[Tech Start Date]],15),IF(Main[[#This Row],[Class]]="A",WORKDAY(Main[[#This Row],[Tech Start Date]],5),""))))</f>
        <v>40882</v>
      </c>
      <c r="P39" s="133">
        <f>IF(Main[[#This Row],[Tech Start Date]]&lt;1/1/1990,"",IF(Main[[#This Row],[Class]]="C",WORKDAY(Main[[#This Row],[Tech Start Date]],28),IF(Main[[#This Row],[Class]]="B", WORKDAY(Main[[#This Row],[Tech Start Date]],19),IF(Main[[#This Row],[Class]]="A",WORKDAY(Main[[#This Row],[Tech Start Date]],9),""))))</f>
        <v>40889</v>
      </c>
      <c r="Q39" s="129">
        <v>41122</v>
      </c>
      <c r="R39" s="134">
        <v>40984</v>
      </c>
      <c r="S39" s="132" t="s">
        <v>11</v>
      </c>
      <c r="T39" s="135" t="s">
        <v>3780</v>
      </c>
      <c r="U39" s="132" t="s">
        <v>29</v>
      </c>
      <c r="V39" s="132" t="s">
        <v>1914</v>
      </c>
      <c r="W39" s="132" t="s">
        <v>1921</v>
      </c>
      <c r="X39" s="132" t="s">
        <v>2841</v>
      </c>
      <c r="Y39" s="136" t="s">
        <v>2972</v>
      </c>
      <c r="Z39" s="136" t="s">
        <v>2049</v>
      </c>
      <c r="AA39" s="132" t="s">
        <v>2841</v>
      </c>
    </row>
    <row r="40" spans="1:32" ht="17.25" customHeight="1">
      <c r="A40" s="65">
        <f>IF(priority(Main[[#This Row],[Comments]])&lt;&gt;0, priority(Main[[#This Row],[Comments]]),"")</f>
        <v>11</v>
      </c>
      <c r="B40" s="60" t="s">
        <v>3556</v>
      </c>
      <c r="C40" s="105" t="s">
        <v>2206</v>
      </c>
      <c r="D40" s="74" t="s">
        <v>3805</v>
      </c>
      <c r="E40" s="89">
        <v>40946.395277777781</v>
      </c>
      <c r="F40" s="89">
        <v>40984</v>
      </c>
      <c r="G40" s="65" t="str">
        <f>IF(stdProdLT(Main[[#This Row],[Comments]])=0.1,"N/A",IF(stdProdLT(Main[[#This Row],[Comments]])=0,"",TRIM(stdProdLT(Main[[#This Row],[Comments]]))))</f>
        <v/>
      </c>
      <c r="H40" s="98">
        <f>IF(Main[[#This Row],[Std. Prod. Lead Time]]="N/A", "",IF(AND(Main[[#This Row],[In Stock Date]]&lt;&gt;"",Main[[#This Row],[Revised Due Date]]&lt;&gt;"",Main[[#This Row],[In Stock Date]]&lt;&gt;""),Main[[#This Row],[In Stock Date]]-Main[[#This Row],[Revised Due Date]],""))</f>
        <v>11</v>
      </c>
      <c r="I40" s="110" t="s">
        <v>2245</v>
      </c>
      <c r="J40" s="99" t="s">
        <v>28</v>
      </c>
      <c r="K40" s="99" t="s">
        <v>1922</v>
      </c>
      <c r="L40" s="89">
        <v>40946</v>
      </c>
      <c r="M40" s="75">
        <f>IF(Main[[#This Row],[Tech Start Date]]&lt;1/1/1990,"",IF(Main[[#This Row],[Class]]="C",WORKDAY(Main[[#This Row],[Tech Start Date]],9),IF(Main[[#This Row],[Class]]="B", WORKDAY(Main[[#This Row],[Tech Start Date]],6),IF(Main[[#This Row],[Class]]="A",WORKDAY(Main[[#This Row],[Tech Start Date]],2),""))))</f>
        <v>40948</v>
      </c>
      <c r="N40" s="75">
        <f>IF(Main[[#This Row],[Tech Start Date]]&lt;1/1/1990,"",IF(Main[[#This Row],[Class]]="C",WORKDAY(Main[[#This Row],[Tech Start Date]],19),IF(Main[[#This Row],[Class]]="B", WORKDAY(Main[[#This Row],[Tech Start Date]],12),IF(Main[[#This Row],[Class]]="A",WORKDAY(Main[[#This Row],[Tech Start Date]],4),""))))</f>
        <v>40952</v>
      </c>
      <c r="O40" s="75">
        <f>IF(Main[[#This Row],[Tech Start Date]]&lt;1/1/1990,"",IF(Main[[#This Row],[Class]]="C",WORKDAY(Main[[#This Row],[Tech Start Date]],23),IF(Main[[#This Row],[Class]]="B", WORKDAY(Main[[#This Row],[Tech Start Date]],15),IF(Main[[#This Row],[Class]]="A",WORKDAY(Main[[#This Row],[Tech Start Date]],5),""))))</f>
        <v>40953</v>
      </c>
      <c r="P40" s="75">
        <f>IF(Main[[#This Row],[Tech Start Date]]&lt;1/1/1990,"",IF(Main[[#This Row],[Class]]="C",WORKDAY(Main[[#This Row],[Tech Start Date]],28),IF(Main[[#This Row],[Class]]="B", WORKDAY(Main[[#This Row],[Tech Start Date]],19),IF(Main[[#This Row],[Class]]="A",WORKDAY(Main[[#This Row],[Tech Start Date]],9),""))))</f>
        <v>40959</v>
      </c>
      <c r="Q40" s="89">
        <v>40984</v>
      </c>
      <c r="R40" s="121">
        <v>40973</v>
      </c>
      <c r="S40" s="99" t="s">
        <v>11</v>
      </c>
      <c r="T40" s="76" t="s">
        <v>3806</v>
      </c>
      <c r="U40" s="99" t="s">
        <v>29</v>
      </c>
      <c r="V40" s="99" t="s">
        <v>1914</v>
      </c>
      <c r="W40" s="99" t="s">
        <v>1918</v>
      </c>
      <c r="X40" s="99" t="s">
        <v>2810</v>
      </c>
      <c r="Y40" s="73" t="s">
        <v>4</v>
      </c>
      <c r="Z40" s="73" t="s">
        <v>2049</v>
      </c>
      <c r="AA40" s="99" t="s">
        <v>2810</v>
      </c>
    </row>
    <row r="41" spans="1:32" ht="17.25" customHeight="1">
      <c r="A41" s="65">
        <f>IF(priority(Main[[#This Row],[Comments]])&lt;&gt;0, priority(Main[[#This Row],[Comments]]),"")</f>
        <v>11</v>
      </c>
      <c r="B41" s="60" t="s">
        <v>3855</v>
      </c>
      <c r="C41" s="105" t="s">
        <v>3856</v>
      </c>
      <c r="D41" s="74" t="s">
        <v>3857</v>
      </c>
      <c r="E41" s="89">
        <v>40967.308171296296</v>
      </c>
      <c r="F41" s="89">
        <v>41050</v>
      </c>
      <c r="G41" s="65" t="str">
        <f>IF(stdProdLT(Main[[#This Row],[Comments]])=0.1,"N/A",IF(stdProdLT(Main[[#This Row],[Comments]])=0,"",TRIM(stdProdLT(Main[[#This Row],[Comments]]))))</f>
        <v>112</v>
      </c>
      <c r="H41" s="98">
        <f>IF(Main[[#This Row],[Std. Prod. Lead Time]]="N/A", "",IF(AND(Main[[#This Row],[In Stock Date]]&lt;&gt;"",Main[[#This Row],[Revised Due Date]]&lt;&gt;"",Main[[#This Row],[In Stock Date]]&lt;&gt;""),Main[[#This Row],[In Stock Date]]-Main[[#This Row],[Revised Due Date]],""))</f>
        <v>73</v>
      </c>
      <c r="I41" s="110" t="s">
        <v>561</v>
      </c>
      <c r="J41" s="99" t="s">
        <v>28</v>
      </c>
      <c r="K41" s="99" t="s">
        <v>1920</v>
      </c>
      <c r="L41" s="89">
        <v>40967</v>
      </c>
      <c r="M41" s="75">
        <f>IF(Main[[#This Row],[Tech Start Date]]&lt;1/1/1990,"",IF(Main[[#This Row],[Class]]="C",WORKDAY(Main[[#This Row],[Tech Start Date]],9),IF(Main[[#This Row],[Class]]="B", WORKDAY(Main[[#This Row],[Tech Start Date]],6),IF(Main[[#This Row],[Class]]="A",WORKDAY(Main[[#This Row],[Tech Start Date]],2),""))))</f>
        <v>40975</v>
      </c>
      <c r="N41" s="75">
        <f>IF(Main[[#This Row],[Tech Start Date]]&lt;1/1/1990,"",IF(Main[[#This Row],[Class]]="C",WORKDAY(Main[[#This Row],[Tech Start Date]],19),IF(Main[[#This Row],[Class]]="B", WORKDAY(Main[[#This Row],[Tech Start Date]],12),IF(Main[[#This Row],[Class]]="A",WORKDAY(Main[[#This Row],[Tech Start Date]],4),""))))</f>
        <v>40983</v>
      </c>
      <c r="O41" s="75">
        <f>IF(Main[[#This Row],[Tech Start Date]]&lt;1/1/1990,"",IF(Main[[#This Row],[Class]]="C",WORKDAY(Main[[#This Row],[Tech Start Date]],23),IF(Main[[#This Row],[Class]]="B", WORKDAY(Main[[#This Row],[Tech Start Date]],15),IF(Main[[#This Row],[Class]]="A",WORKDAY(Main[[#This Row],[Tech Start Date]],5),""))))</f>
        <v>40988</v>
      </c>
      <c r="P41" s="75">
        <f>IF(Main[[#This Row],[Tech Start Date]]&lt;1/1/1990,"",IF(Main[[#This Row],[Class]]="C",WORKDAY(Main[[#This Row],[Tech Start Date]],28),IF(Main[[#This Row],[Class]]="B", WORKDAY(Main[[#This Row],[Tech Start Date]],19),IF(Main[[#This Row],[Class]]="A",WORKDAY(Main[[#This Row],[Tech Start Date]],9),""))))</f>
        <v>40994</v>
      </c>
      <c r="Q41" s="89">
        <v>40973</v>
      </c>
      <c r="R41" s="121">
        <v>40977</v>
      </c>
      <c r="S41" s="99" t="s">
        <v>11</v>
      </c>
      <c r="T41" s="76" t="s">
        <v>4005</v>
      </c>
      <c r="U41" s="99" t="s">
        <v>29</v>
      </c>
      <c r="V41" s="99" t="s">
        <v>1913</v>
      </c>
      <c r="W41" s="99" t="s">
        <v>1921</v>
      </c>
      <c r="X41" s="99" t="s">
        <v>2905</v>
      </c>
      <c r="Y41" s="73" t="s">
        <v>4</v>
      </c>
      <c r="Z41" s="73" t="s">
        <v>912</v>
      </c>
      <c r="AA41" s="99" t="s">
        <v>3858</v>
      </c>
    </row>
    <row r="42" spans="1:32" ht="17.25" customHeight="1">
      <c r="A42" s="65">
        <f>IF(priority(Main[[#This Row],[Comments]])&lt;&gt;0, priority(Main[[#This Row],[Comments]]),"")</f>
        <v>12</v>
      </c>
      <c r="B42" s="60" t="s">
        <v>2769</v>
      </c>
      <c r="C42" s="105" t="s">
        <v>2770</v>
      </c>
      <c r="D42" s="74" t="s">
        <v>3281</v>
      </c>
      <c r="E42" s="89"/>
      <c r="F42" s="89"/>
      <c r="G42" s="65" t="str">
        <f>IF(stdProdLT(Main[[#This Row],[Comments]])=0.1,"N/A",IF(stdProdLT(Main[[#This Row],[Comments]])=0,"",TRIM(stdProdLT(Main[[#This Row],[Comments]]))))</f>
        <v>N/A</v>
      </c>
      <c r="H42" s="98" t="str">
        <f>IF(Main[[#This Row],[Std. Prod. Lead Time]]="N/A", "",IF(AND(Main[[#This Row],[In Stock Date]]&lt;&gt;"",Main[[#This Row],[Revised Due Date]]&lt;&gt;"",Main[[#This Row],[In Stock Date]]&lt;&gt;""),Main[[#This Row],[In Stock Date]]-Main[[#This Row],[Revised Due Date]],""))</f>
        <v/>
      </c>
      <c r="I42" s="110" t="s">
        <v>4</v>
      </c>
      <c r="J42" s="99" t="s">
        <v>4</v>
      </c>
      <c r="K42" s="99" t="s">
        <v>4</v>
      </c>
      <c r="L42" s="89"/>
      <c r="M42" s="75" t="str">
        <f>IF(Main[[#This Row],[Tech Start Date]]&lt;1/1/1990,"",IF(Main[[#This Row],[Class]]="C",WORKDAY(Main[[#This Row],[Tech Start Date]],9),IF(Main[[#This Row],[Class]]="B", WORKDAY(Main[[#This Row],[Tech Start Date]],6),IF(Main[[#This Row],[Class]]="A",WORKDAY(Main[[#This Row],[Tech Start Date]],2),""))))</f>
        <v/>
      </c>
      <c r="N42" s="75" t="str">
        <f>IF(Main[[#This Row],[Tech Start Date]]&lt;1/1/1990,"",IF(Main[[#This Row],[Class]]="C",WORKDAY(Main[[#This Row],[Tech Start Date]],19),IF(Main[[#This Row],[Class]]="B", WORKDAY(Main[[#This Row],[Tech Start Date]],12),IF(Main[[#This Row],[Class]]="A",WORKDAY(Main[[#This Row],[Tech Start Date]],4),""))))</f>
        <v/>
      </c>
      <c r="O42" s="75" t="str">
        <f>IF(Main[[#This Row],[Tech Start Date]]&lt;1/1/1990,"",IF(Main[[#This Row],[Class]]="C",WORKDAY(Main[[#This Row],[Tech Start Date]],23),IF(Main[[#This Row],[Class]]="B", WORKDAY(Main[[#This Row],[Tech Start Date]],15),IF(Main[[#This Row],[Class]]="A",WORKDAY(Main[[#This Row],[Tech Start Date]],5),""))))</f>
        <v/>
      </c>
      <c r="P42" s="75" t="str">
        <f>IF(Main[[#This Row],[Tech Start Date]]&lt;1/1/1990,"",IF(Main[[#This Row],[Class]]="C",WORKDAY(Main[[#This Row],[Tech Start Date]],28),IF(Main[[#This Row],[Class]]="B", WORKDAY(Main[[#This Row],[Tech Start Date]],19),IF(Main[[#This Row],[Class]]="A",WORKDAY(Main[[#This Row],[Tech Start Date]],9),""))))</f>
        <v/>
      </c>
      <c r="Q42" s="89">
        <v>40903</v>
      </c>
      <c r="R42" s="121"/>
      <c r="S42" s="99" t="s">
        <v>11</v>
      </c>
      <c r="T42" s="76" t="s">
        <v>3282</v>
      </c>
      <c r="U42" s="99" t="s">
        <v>14</v>
      </c>
      <c r="V42" s="99" t="s">
        <v>1914</v>
      </c>
      <c r="W42" s="99" t="s">
        <v>1915</v>
      </c>
      <c r="X42" s="99" t="s">
        <v>2810</v>
      </c>
      <c r="Y42" s="73" t="s">
        <v>4</v>
      </c>
      <c r="Z42" s="73" t="s">
        <v>4</v>
      </c>
      <c r="AA42" s="99" t="s">
        <v>2810</v>
      </c>
    </row>
    <row r="43" spans="1:32" ht="17.25" customHeight="1">
      <c r="A43" s="65">
        <f>IF(priority(Main[[#This Row],[Comments]])&lt;&gt;0, priority(Main[[#This Row],[Comments]]),"")</f>
        <v>12</v>
      </c>
      <c r="B43" s="60" t="s">
        <v>3648</v>
      </c>
      <c r="C43" s="105" t="s">
        <v>4</v>
      </c>
      <c r="D43" s="74" t="s">
        <v>3649</v>
      </c>
      <c r="E43" s="89">
        <v>40961.53570601852</v>
      </c>
      <c r="F43" s="89"/>
      <c r="G43" s="65" t="str">
        <f>IF(stdProdLT(Main[[#This Row],[Comments]])=0.1,"N/A",IF(stdProdLT(Main[[#This Row],[Comments]])=0,"",TRIM(stdProdLT(Main[[#This Row],[Comments]]))))</f>
        <v>N/A</v>
      </c>
      <c r="H43" s="98" t="str">
        <f>IF(Main[[#This Row],[Std. Prod. Lead Time]]="N/A", "",IF(AND(Main[[#This Row],[In Stock Date]]&lt;&gt;"",Main[[#This Row],[Revised Due Date]]&lt;&gt;"",Main[[#This Row],[In Stock Date]]&lt;&gt;""),Main[[#This Row],[In Stock Date]]-Main[[#This Row],[Revised Due Date]],""))</f>
        <v/>
      </c>
      <c r="I43" s="110" t="s">
        <v>4</v>
      </c>
      <c r="J43" s="99" t="s">
        <v>4</v>
      </c>
      <c r="K43" s="99" t="s">
        <v>4</v>
      </c>
      <c r="L43" s="89"/>
      <c r="M43" s="75" t="str">
        <f>IF(Main[[#This Row],[Tech Start Date]]&lt;1/1/1990,"",IF(Main[[#This Row],[Class]]="C",WORKDAY(Main[[#This Row],[Tech Start Date]],9),IF(Main[[#This Row],[Class]]="B", WORKDAY(Main[[#This Row],[Tech Start Date]],6),IF(Main[[#This Row],[Class]]="A",WORKDAY(Main[[#This Row],[Tech Start Date]],2),""))))</f>
        <v/>
      </c>
      <c r="N43" s="75" t="str">
        <f>IF(Main[[#This Row],[Tech Start Date]]&lt;1/1/1990,"",IF(Main[[#This Row],[Class]]="C",WORKDAY(Main[[#This Row],[Tech Start Date]],19),IF(Main[[#This Row],[Class]]="B", WORKDAY(Main[[#This Row],[Tech Start Date]],12),IF(Main[[#This Row],[Class]]="A",WORKDAY(Main[[#This Row],[Tech Start Date]],4),""))))</f>
        <v/>
      </c>
      <c r="O43" s="75" t="str">
        <f>IF(Main[[#This Row],[Tech Start Date]]&lt;1/1/1990,"",IF(Main[[#This Row],[Class]]="C",WORKDAY(Main[[#This Row],[Tech Start Date]],23),IF(Main[[#This Row],[Class]]="B", WORKDAY(Main[[#This Row],[Tech Start Date]],15),IF(Main[[#This Row],[Class]]="A",WORKDAY(Main[[#This Row],[Tech Start Date]],5),""))))</f>
        <v/>
      </c>
      <c r="P43" s="75" t="str">
        <f>IF(Main[[#This Row],[Tech Start Date]]&lt;1/1/1990,"",IF(Main[[#This Row],[Class]]="C",WORKDAY(Main[[#This Row],[Tech Start Date]],28),IF(Main[[#This Row],[Class]]="B", WORKDAY(Main[[#This Row],[Tech Start Date]],19),IF(Main[[#This Row],[Class]]="A",WORKDAY(Main[[#This Row],[Tech Start Date]],9),""))))</f>
        <v/>
      </c>
      <c r="Q43" s="89">
        <v>40984</v>
      </c>
      <c r="R43" s="121"/>
      <c r="S43" s="99" t="s">
        <v>11</v>
      </c>
      <c r="T43" s="76" t="s">
        <v>3977</v>
      </c>
      <c r="U43" s="99" t="s">
        <v>7</v>
      </c>
      <c r="V43" s="99" t="s">
        <v>1913</v>
      </c>
      <c r="W43" s="99" t="s">
        <v>1927</v>
      </c>
      <c r="X43" s="99" t="s">
        <v>2815</v>
      </c>
      <c r="Y43" s="73" t="s">
        <v>2930</v>
      </c>
      <c r="Z43" s="73" t="s">
        <v>4</v>
      </c>
      <c r="AA43" s="99" t="s">
        <v>2815</v>
      </c>
    </row>
    <row r="44" spans="1:32" ht="17.25" customHeight="1">
      <c r="A44" s="65">
        <f>IF(priority(Main[[#This Row],[Comments]])&lt;&gt;0, priority(Main[[#This Row],[Comments]]),"")</f>
        <v>12</v>
      </c>
      <c r="B44" s="60" t="s">
        <v>3196</v>
      </c>
      <c r="C44" s="105" t="s">
        <v>3204</v>
      </c>
      <c r="D44" s="74" t="s">
        <v>4023</v>
      </c>
      <c r="E44" s="89">
        <v>40921.041666666664</v>
      </c>
      <c r="F44" s="89">
        <v>41122</v>
      </c>
      <c r="G44" s="65" t="str">
        <f>IF(stdProdLT(Main[[#This Row],[Comments]])=0.1,"N/A",IF(stdProdLT(Main[[#This Row],[Comments]])=0,"",TRIM(stdProdLT(Main[[#This Row],[Comments]]))))</f>
        <v>168</v>
      </c>
      <c r="H44" s="98">
        <f>IF(Main[[#This Row],[Std. Prod. Lead Time]]="N/A", "",IF(AND(Main[[#This Row],[In Stock Date]]&lt;&gt;"",Main[[#This Row],[Revised Due Date]]&lt;&gt;"",Main[[#This Row],[In Stock Date]]&lt;&gt;""),Main[[#This Row],[In Stock Date]]-Main[[#This Row],[Revised Due Date]],""))</f>
        <v>159</v>
      </c>
      <c r="I44" s="110" t="s">
        <v>102</v>
      </c>
      <c r="J44" s="99" t="s">
        <v>51</v>
      </c>
      <c r="K44" s="99" t="s">
        <v>1926</v>
      </c>
      <c r="L44" s="89">
        <v>40924</v>
      </c>
      <c r="M44" s="75">
        <f>IF(Main[[#This Row],[Tech Start Date]]&lt;1/1/1990,"",IF(Main[[#This Row],[Class]]="C",WORKDAY(Main[[#This Row],[Tech Start Date]],9),IF(Main[[#This Row],[Class]]="B", WORKDAY(Main[[#This Row],[Tech Start Date]],6),IF(Main[[#This Row],[Class]]="A",WORKDAY(Main[[#This Row],[Tech Start Date]],2),""))))</f>
        <v>40935</v>
      </c>
      <c r="N44" s="75">
        <f>IF(Main[[#This Row],[Tech Start Date]]&lt;1/1/1990,"",IF(Main[[#This Row],[Class]]="C",WORKDAY(Main[[#This Row],[Tech Start Date]],19),IF(Main[[#This Row],[Class]]="B", WORKDAY(Main[[#This Row],[Tech Start Date]],12),IF(Main[[#This Row],[Class]]="A",WORKDAY(Main[[#This Row],[Tech Start Date]],4),""))))</f>
        <v>40949</v>
      </c>
      <c r="O44" s="75">
        <f>IF(Main[[#This Row],[Tech Start Date]]&lt;1/1/1990,"",IF(Main[[#This Row],[Class]]="C",WORKDAY(Main[[#This Row],[Tech Start Date]],23),IF(Main[[#This Row],[Class]]="B", WORKDAY(Main[[#This Row],[Tech Start Date]],15),IF(Main[[#This Row],[Class]]="A",WORKDAY(Main[[#This Row],[Tech Start Date]],5),""))))</f>
        <v>40955</v>
      </c>
      <c r="P44" s="75">
        <f>IF(Main[[#This Row],[Tech Start Date]]&lt;1/1/1990,"",IF(Main[[#This Row],[Class]]="C",WORKDAY(Main[[#This Row],[Tech Start Date]],28),IF(Main[[#This Row],[Class]]="B", WORKDAY(Main[[#This Row],[Tech Start Date]],19),IF(Main[[#This Row],[Class]]="A",WORKDAY(Main[[#This Row],[Tech Start Date]],9),""))))</f>
        <v>40962</v>
      </c>
      <c r="Q44" s="89">
        <v>40953</v>
      </c>
      <c r="R44" s="121">
        <v>40963</v>
      </c>
      <c r="S44" s="99" t="s">
        <v>11</v>
      </c>
      <c r="T44" s="76" t="s">
        <v>3787</v>
      </c>
      <c r="U44" s="99" t="s">
        <v>29</v>
      </c>
      <c r="V44" s="99" t="s">
        <v>1916</v>
      </c>
      <c r="W44" s="99" t="s">
        <v>1919</v>
      </c>
      <c r="X44" s="99" t="s">
        <v>2842</v>
      </c>
      <c r="Y44" s="73" t="s">
        <v>2973</v>
      </c>
      <c r="Z44" s="73" t="s">
        <v>306</v>
      </c>
      <c r="AA44" s="99" t="s">
        <v>2842</v>
      </c>
    </row>
    <row r="45" spans="1:32" ht="17.25" customHeight="1">
      <c r="A45" s="65">
        <f>IF(priority(Main[[#This Row],[Comments]])&lt;&gt;0, priority(Main[[#This Row],[Comments]]),"")</f>
        <v>12.1</v>
      </c>
      <c r="B45" s="60" t="s">
        <v>3283</v>
      </c>
      <c r="C45" s="105" t="s">
        <v>3253</v>
      </c>
      <c r="D45" s="74" t="s">
        <v>3284</v>
      </c>
      <c r="E45" s="89"/>
      <c r="F45" s="89">
        <v>41091</v>
      </c>
      <c r="G45" s="65" t="str">
        <f>IF(stdProdLT(Main[[#This Row],[Comments]])=0.1,"N/A",IF(stdProdLT(Main[[#This Row],[Comments]])=0,"",TRIM(stdProdLT(Main[[#This Row],[Comments]]))))</f>
        <v>N/A</v>
      </c>
      <c r="H45" s="98" t="str">
        <f>IF(Main[[#This Row],[Std. Prod. Lead Time]]="N/A", "",IF(AND(Main[[#This Row],[In Stock Date]]&lt;&gt;"",Main[[#This Row],[Revised Due Date]]&lt;&gt;"",Main[[#This Row],[In Stock Date]]&lt;&gt;""),Main[[#This Row],[In Stock Date]]-Main[[#This Row],[Revised Due Date]],""))</f>
        <v/>
      </c>
      <c r="I45" s="110" t="s">
        <v>4</v>
      </c>
      <c r="J45" s="99" t="s">
        <v>4</v>
      </c>
      <c r="K45" s="100" t="s">
        <v>4</v>
      </c>
      <c r="L45" s="89"/>
      <c r="M45" s="75" t="str">
        <f>IF(Main[[#This Row],[Tech Start Date]]&lt;1/1/1990,"",IF(Main[[#This Row],[Class]]="C",WORKDAY(Main[[#This Row],[Tech Start Date]],9),IF(Main[[#This Row],[Class]]="B", WORKDAY(Main[[#This Row],[Tech Start Date]],6),IF(Main[[#This Row],[Class]]="A",WORKDAY(Main[[#This Row],[Tech Start Date]],2),""))))</f>
        <v/>
      </c>
      <c r="N45" s="75" t="str">
        <f>IF(Main[[#This Row],[Tech Start Date]]&lt;1/1/1990,"",IF(Main[[#This Row],[Class]]="C",WORKDAY(Main[[#This Row],[Tech Start Date]],19),IF(Main[[#This Row],[Class]]="B", WORKDAY(Main[[#This Row],[Tech Start Date]],12),IF(Main[[#This Row],[Class]]="A",WORKDAY(Main[[#This Row],[Tech Start Date]],4),""))))</f>
        <v/>
      </c>
      <c r="O45" s="75" t="str">
        <f>IF(Main[[#This Row],[Tech Start Date]]&lt;1/1/1990,"",IF(Main[[#This Row],[Class]]="C",WORKDAY(Main[[#This Row],[Tech Start Date]],23),IF(Main[[#This Row],[Class]]="B", WORKDAY(Main[[#This Row],[Tech Start Date]],15),IF(Main[[#This Row],[Class]]="A",WORKDAY(Main[[#This Row],[Tech Start Date]],5),""))))</f>
        <v/>
      </c>
      <c r="P45" s="75" t="str">
        <f>IF(Main[[#This Row],[Tech Start Date]]&lt;1/1/1990,"",IF(Main[[#This Row],[Class]]="C",WORKDAY(Main[[#This Row],[Tech Start Date]],28),IF(Main[[#This Row],[Class]]="B", WORKDAY(Main[[#This Row],[Tech Start Date]],19),IF(Main[[#This Row],[Class]]="A",WORKDAY(Main[[#This Row],[Tech Start Date]],9),""))))</f>
        <v/>
      </c>
      <c r="Q45" s="89">
        <v>40945</v>
      </c>
      <c r="R45" s="121"/>
      <c r="S45" s="99" t="s">
        <v>11</v>
      </c>
      <c r="T45" s="76" t="s">
        <v>3285</v>
      </c>
      <c r="U45" s="99" t="s">
        <v>14</v>
      </c>
      <c r="V45" s="99" t="s">
        <v>1923</v>
      </c>
      <c r="W45" s="99" t="s">
        <v>1921</v>
      </c>
      <c r="X45" s="99" t="s">
        <v>2823</v>
      </c>
      <c r="Y45" s="73" t="s">
        <v>2945</v>
      </c>
      <c r="Z45" s="73" t="s">
        <v>4</v>
      </c>
      <c r="AA45" s="99" t="s">
        <v>2823</v>
      </c>
    </row>
    <row r="46" spans="1:32" ht="17.25" customHeight="1">
      <c r="A46" s="65">
        <f>IF(priority(Main[[#This Row],[Comments]])&lt;&gt;0, priority(Main[[#This Row],[Comments]]),"")</f>
        <v>12.6</v>
      </c>
      <c r="B46" s="60" t="s">
        <v>3211</v>
      </c>
      <c r="C46" s="105" t="s">
        <v>137</v>
      </c>
      <c r="D46" s="74" t="s">
        <v>3935</v>
      </c>
      <c r="E46" s="89">
        <v>40967.513715277775</v>
      </c>
      <c r="F46" s="89">
        <v>41008</v>
      </c>
      <c r="G46" s="65" t="str">
        <f>IF(stdProdLT(Main[[#This Row],[Comments]])=0.1,"N/A",IF(stdProdLT(Main[[#This Row],[Comments]])=0,"",TRIM(stdProdLT(Main[[#This Row],[Comments]]))))</f>
        <v>84</v>
      </c>
      <c r="H46" s="98">
        <f>IF(Main[[#This Row],[Std. Prod. Lead Time]]="N/A", "",IF(AND(Main[[#This Row],[In Stock Date]]&lt;&gt;"",Main[[#This Row],[Revised Due Date]]&lt;&gt;"",Main[[#This Row],[In Stock Date]]&lt;&gt;""),Main[[#This Row],[In Stock Date]]-Main[[#This Row],[Revised Due Date]],""))</f>
        <v>34</v>
      </c>
      <c r="I46" s="110" t="s">
        <v>81</v>
      </c>
      <c r="J46" s="99" t="s">
        <v>52</v>
      </c>
      <c r="K46" s="99" t="s">
        <v>1922</v>
      </c>
      <c r="L46" s="89">
        <v>40967</v>
      </c>
      <c r="M46" s="75">
        <f>IF(Main[[#This Row],[Tech Start Date]]&lt;1/1/1990,"",IF(Main[[#This Row],[Class]]="C",WORKDAY(Main[[#This Row],[Tech Start Date]],9),IF(Main[[#This Row],[Class]]="B", WORKDAY(Main[[#This Row],[Tech Start Date]],6),IF(Main[[#This Row],[Class]]="A",WORKDAY(Main[[#This Row],[Tech Start Date]],2),""))))</f>
        <v>40969</v>
      </c>
      <c r="N46" s="75">
        <f>IF(Main[[#This Row],[Tech Start Date]]&lt;1/1/1990,"",IF(Main[[#This Row],[Class]]="C",WORKDAY(Main[[#This Row],[Tech Start Date]],19),IF(Main[[#This Row],[Class]]="B", WORKDAY(Main[[#This Row],[Tech Start Date]],12),IF(Main[[#This Row],[Class]]="A",WORKDAY(Main[[#This Row],[Tech Start Date]],4),""))))</f>
        <v>40973</v>
      </c>
      <c r="O46" s="75">
        <f>IF(Main[[#This Row],[Tech Start Date]]&lt;1/1/1990,"",IF(Main[[#This Row],[Class]]="C",WORKDAY(Main[[#This Row],[Tech Start Date]],23),IF(Main[[#This Row],[Class]]="B", WORKDAY(Main[[#This Row],[Tech Start Date]],15),IF(Main[[#This Row],[Class]]="A",WORKDAY(Main[[#This Row],[Tech Start Date]],5),""))))</f>
        <v>40974</v>
      </c>
      <c r="P46" s="75">
        <f>IF(Main[[#This Row],[Tech Start Date]]&lt;1/1/1990,"",IF(Main[[#This Row],[Class]]="C",WORKDAY(Main[[#This Row],[Tech Start Date]],28),IF(Main[[#This Row],[Class]]="B", WORKDAY(Main[[#This Row],[Tech Start Date]],19),IF(Main[[#This Row],[Class]]="A",WORKDAY(Main[[#This Row],[Tech Start Date]],9),""))))</f>
        <v>40980</v>
      </c>
      <c r="Q46" s="89">
        <v>40945</v>
      </c>
      <c r="R46" s="121">
        <v>40974</v>
      </c>
      <c r="S46" s="99" t="s">
        <v>11</v>
      </c>
      <c r="T46" s="76" t="s">
        <v>3913</v>
      </c>
      <c r="U46" s="99" t="s">
        <v>29</v>
      </c>
      <c r="V46" s="99" t="s">
        <v>1923</v>
      </c>
      <c r="W46" s="99" t="s">
        <v>1921</v>
      </c>
      <c r="X46" s="99" t="s">
        <v>2900</v>
      </c>
      <c r="Y46" s="73" t="s">
        <v>3090</v>
      </c>
      <c r="Z46" s="73" t="s">
        <v>530</v>
      </c>
      <c r="AA46" s="99" t="s">
        <v>2900</v>
      </c>
    </row>
    <row r="47" spans="1:32" ht="17.25" customHeight="1">
      <c r="A47" s="125">
        <f>IF(priority(Main[[#This Row],[Comments]])&lt;&gt;0, priority(Main[[#This Row],[Comments]]),"")</f>
        <v>12.7</v>
      </c>
      <c r="B47" s="126" t="s">
        <v>3209</v>
      </c>
      <c r="C47" s="127" t="s">
        <v>137</v>
      </c>
      <c r="D47" s="128" t="s">
        <v>3936</v>
      </c>
      <c r="E47" s="129">
        <v>40960.923657407409</v>
      </c>
      <c r="F47" s="129">
        <v>41008</v>
      </c>
      <c r="G47" s="125" t="str">
        <f>IF(stdProdLT(Main[[#This Row],[Comments]])=0.1,"N/A",IF(stdProdLT(Main[[#This Row],[Comments]])=0,"",TRIM(stdProdLT(Main[[#This Row],[Comments]]))))</f>
        <v>84</v>
      </c>
      <c r="H47" s="130">
        <f>IF(Main[[#This Row],[Std. Prod. Lead Time]]="N/A", "",IF(AND(Main[[#This Row],[In Stock Date]]&lt;&gt;"",Main[[#This Row],[Revised Due Date]]&lt;&gt;"",Main[[#This Row],[In Stock Date]]&lt;&gt;""),Main[[#This Row],[In Stock Date]]-Main[[#This Row],[Revised Due Date]],""))</f>
        <v>34</v>
      </c>
      <c r="I47" s="131" t="s">
        <v>81</v>
      </c>
      <c r="J47" s="132" t="s">
        <v>52</v>
      </c>
      <c r="K47" s="132" t="s">
        <v>1922</v>
      </c>
      <c r="L47" s="129">
        <v>40967</v>
      </c>
      <c r="M47" s="133">
        <f>IF(Main[[#This Row],[Tech Start Date]]&lt;1/1/1990,"",IF(Main[[#This Row],[Class]]="C",WORKDAY(Main[[#This Row],[Tech Start Date]],9),IF(Main[[#This Row],[Class]]="B", WORKDAY(Main[[#This Row],[Tech Start Date]],6),IF(Main[[#This Row],[Class]]="A",WORKDAY(Main[[#This Row],[Tech Start Date]],2),""))))</f>
        <v>40969</v>
      </c>
      <c r="N47" s="133">
        <f>IF(Main[[#This Row],[Tech Start Date]]&lt;1/1/1990,"",IF(Main[[#This Row],[Class]]="C",WORKDAY(Main[[#This Row],[Tech Start Date]],19),IF(Main[[#This Row],[Class]]="B", WORKDAY(Main[[#This Row],[Tech Start Date]],12),IF(Main[[#This Row],[Class]]="A",WORKDAY(Main[[#This Row],[Tech Start Date]],4),""))))</f>
        <v>40973</v>
      </c>
      <c r="O47" s="133">
        <f>IF(Main[[#This Row],[Tech Start Date]]&lt;1/1/1990,"",IF(Main[[#This Row],[Class]]="C",WORKDAY(Main[[#This Row],[Tech Start Date]],23),IF(Main[[#This Row],[Class]]="B", WORKDAY(Main[[#This Row],[Tech Start Date]],15),IF(Main[[#This Row],[Class]]="A",WORKDAY(Main[[#This Row],[Tech Start Date]],5),""))))</f>
        <v>40974</v>
      </c>
      <c r="P47" s="133">
        <f>IF(Main[[#This Row],[Tech Start Date]]&lt;1/1/1990,"",IF(Main[[#This Row],[Class]]="C",WORKDAY(Main[[#This Row],[Tech Start Date]],28),IF(Main[[#This Row],[Class]]="B", WORKDAY(Main[[#This Row],[Tech Start Date]],19),IF(Main[[#This Row],[Class]]="A",WORKDAY(Main[[#This Row],[Tech Start Date]],9),""))))</f>
        <v>40980</v>
      </c>
      <c r="Q47" s="129">
        <v>40935</v>
      </c>
      <c r="R47" s="134">
        <v>40974</v>
      </c>
      <c r="S47" s="132" t="s">
        <v>11</v>
      </c>
      <c r="T47" s="135" t="s">
        <v>3914</v>
      </c>
      <c r="U47" s="132" t="s">
        <v>29</v>
      </c>
      <c r="V47" s="132" t="s">
        <v>1923</v>
      </c>
      <c r="W47" s="132" t="s">
        <v>1921</v>
      </c>
      <c r="X47" s="132" t="s">
        <v>2900</v>
      </c>
      <c r="Y47" s="136" t="s">
        <v>3090</v>
      </c>
      <c r="Z47" s="136" t="s">
        <v>530</v>
      </c>
      <c r="AA47" s="132" t="s">
        <v>2900</v>
      </c>
    </row>
    <row r="48" spans="1:32" ht="17.25" customHeight="1">
      <c r="A48" s="65">
        <f>IF(priority(Main[[#This Row],[Comments]])&lt;&gt;0, priority(Main[[#This Row],[Comments]]),"")</f>
        <v>12.8</v>
      </c>
      <c r="B48" s="60" t="s">
        <v>3509</v>
      </c>
      <c r="C48" s="105" t="s">
        <v>3510</v>
      </c>
      <c r="D48" s="74" t="s">
        <v>3853</v>
      </c>
      <c r="E48" s="89">
        <v>40948.638680555552</v>
      </c>
      <c r="F48" s="89">
        <v>41029</v>
      </c>
      <c r="G48" s="65" t="str">
        <f>IF(stdProdLT(Main[[#This Row],[Comments]])=0.1,"N/A",IF(stdProdLT(Main[[#This Row],[Comments]])=0,"",TRIM(stdProdLT(Main[[#This Row],[Comments]]))))</f>
        <v>N/A</v>
      </c>
      <c r="H48" s="98" t="str">
        <f>IF(Main[[#This Row],[Std. Prod. Lead Time]]="N/A", "",IF(AND(Main[[#This Row],[In Stock Date]]&lt;&gt;"",Main[[#This Row],[Revised Due Date]]&lt;&gt;"",Main[[#This Row],[In Stock Date]]&lt;&gt;""),Main[[#This Row],[In Stock Date]]-Main[[#This Row],[Revised Due Date]],""))</f>
        <v/>
      </c>
      <c r="I48" s="110" t="s">
        <v>2040</v>
      </c>
      <c r="J48" s="99" t="s">
        <v>28</v>
      </c>
      <c r="K48" s="99" t="s">
        <v>1922</v>
      </c>
      <c r="L48" s="89">
        <v>40960</v>
      </c>
      <c r="M48" s="75">
        <f>IF(Main[[#This Row],[Tech Start Date]]&lt;1/1/1990,"",IF(Main[[#This Row],[Class]]="C",WORKDAY(Main[[#This Row],[Tech Start Date]],9),IF(Main[[#This Row],[Class]]="B", WORKDAY(Main[[#This Row],[Tech Start Date]],6),IF(Main[[#This Row],[Class]]="A",WORKDAY(Main[[#This Row],[Tech Start Date]],2),""))))</f>
        <v>40962</v>
      </c>
      <c r="N48" s="75">
        <f>IF(Main[[#This Row],[Tech Start Date]]&lt;1/1/1990,"",IF(Main[[#This Row],[Class]]="C",WORKDAY(Main[[#This Row],[Tech Start Date]],19),IF(Main[[#This Row],[Class]]="B", WORKDAY(Main[[#This Row],[Tech Start Date]],12),IF(Main[[#This Row],[Class]]="A",WORKDAY(Main[[#This Row],[Tech Start Date]],4),""))))</f>
        <v>40966</v>
      </c>
      <c r="O48" s="75">
        <f>IF(Main[[#This Row],[Tech Start Date]]&lt;1/1/1990,"",IF(Main[[#This Row],[Class]]="C",WORKDAY(Main[[#This Row],[Tech Start Date]],23),IF(Main[[#This Row],[Class]]="B", WORKDAY(Main[[#This Row],[Tech Start Date]],15),IF(Main[[#This Row],[Class]]="A",WORKDAY(Main[[#This Row],[Tech Start Date]],5),""))))</f>
        <v>40967</v>
      </c>
      <c r="P48" s="75">
        <f>IF(Main[[#This Row],[Tech Start Date]]&lt;1/1/1990,"",IF(Main[[#This Row],[Class]]="C",WORKDAY(Main[[#This Row],[Tech Start Date]],28),IF(Main[[#This Row],[Class]]="B", WORKDAY(Main[[#This Row],[Tech Start Date]],19),IF(Main[[#This Row],[Class]]="A",WORKDAY(Main[[#This Row],[Tech Start Date]],9),""))))</f>
        <v>40973</v>
      </c>
      <c r="Q48" s="89">
        <v>40956</v>
      </c>
      <c r="R48" s="121">
        <v>40974</v>
      </c>
      <c r="S48" s="99" t="s">
        <v>11</v>
      </c>
      <c r="T48" s="76" t="s">
        <v>3912</v>
      </c>
      <c r="U48" s="99" t="s">
        <v>29</v>
      </c>
      <c r="V48" s="99" t="s">
        <v>1923</v>
      </c>
      <c r="W48" s="99" t="s">
        <v>1921</v>
      </c>
      <c r="X48" s="99" t="s">
        <v>2904</v>
      </c>
      <c r="Y48" s="73" t="s">
        <v>3511</v>
      </c>
      <c r="Z48" s="73" t="s">
        <v>530</v>
      </c>
      <c r="AA48" s="99" t="s">
        <v>2904</v>
      </c>
    </row>
    <row r="49" spans="1:27" ht="17.25" customHeight="1">
      <c r="A49" s="65">
        <f>IF(priority(Main[[#This Row],[Comments]])&lt;&gt;0, priority(Main[[#This Row],[Comments]]),"")</f>
        <v>12.9</v>
      </c>
      <c r="B49" s="60" t="s">
        <v>3598</v>
      </c>
      <c r="C49" s="105" t="s">
        <v>2743</v>
      </c>
      <c r="D49" s="74" t="s">
        <v>3599</v>
      </c>
      <c r="E49" s="89">
        <v>40967.720405092594</v>
      </c>
      <c r="F49" s="89">
        <v>41030</v>
      </c>
      <c r="G49" s="65" t="str">
        <f>IF(stdProdLT(Main[[#This Row],[Comments]])=0.1,"N/A",IF(stdProdLT(Main[[#This Row],[Comments]])=0,"",TRIM(stdProdLT(Main[[#This Row],[Comments]]))))</f>
        <v>N/A</v>
      </c>
      <c r="H49" s="98" t="str">
        <f>IF(Main[[#This Row],[Std. Prod. Lead Time]]="N/A", "",IF(AND(Main[[#This Row],[In Stock Date]]&lt;&gt;"",Main[[#This Row],[Revised Due Date]]&lt;&gt;"",Main[[#This Row],[In Stock Date]]&lt;&gt;""),Main[[#This Row],[In Stock Date]]-Main[[#This Row],[Revised Due Date]],""))</f>
        <v/>
      </c>
      <c r="I49" s="110" t="s">
        <v>4</v>
      </c>
      <c r="J49" s="99" t="s">
        <v>4</v>
      </c>
      <c r="K49" s="99" t="s">
        <v>4</v>
      </c>
      <c r="L49" s="89"/>
      <c r="M49" s="75" t="str">
        <f>IF(Main[[#This Row],[Tech Start Date]]&lt;1/1/1990,"",IF(Main[[#This Row],[Class]]="C",WORKDAY(Main[[#This Row],[Tech Start Date]],9),IF(Main[[#This Row],[Class]]="B", WORKDAY(Main[[#This Row],[Tech Start Date]],6),IF(Main[[#This Row],[Class]]="A",WORKDAY(Main[[#This Row],[Tech Start Date]],2),""))))</f>
        <v/>
      </c>
      <c r="N49" s="75" t="str">
        <f>IF(Main[[#This Row],[Tech Start Date]]&lt;1/1/1990,"",IF(Main[[#This Row],[Class]]="C",WORKDAY(Main[[#This Row],[Tech Start Date]],19),IF(Main[[#This Row],[Class]]="B", WORKDAY(Main[[#This Row],[Tech Start Date]],12),IF(Main[[#This Row],[Class]]="A",WORKDAY(Main[[#This Row],[Tech Start Date]],4),""))))</f>
        <v/>
      </c>
      <c r="O49" s="75" t="str">
        <f>IF(Main[[#This Row],[Tech Start Date]]&lt;1/1/1990,"",IF(Main[[#This Row],[Class]]="C",WORKDAY(Main[[#This Row],[Tech Start Date]],23),IF(Main[[#This Row],[Class]]="B", WORKDAY(Main[[#This Row],[Tech Start Date]],15),IF(Main[[#This Row],[Class]]="A",WORKDAY(Main[[#This Row],[Tech Start Date]],5),""))))</f>
        <v/>
      </c>
      <c r="P49" s="75" t="str">
        <f>IF(Main[[#This Row],[Tech Start Date]]&lt;1/1/1990,"",IF(Main[[#This Row],[Class]]="C",WORKDAY(Main[[#This Row],[Tech Start Date]],28),IF(Main[[#This Row],[Class]]="B", WORKDAY(Main[[#This Row],[Tech Start Date]],19),IF(Main[[#This Row],[Class]]="A",WORKDAY(Main[[#This Row],[Tech Start Date]],9),""))))</f>
        <v/>
      </c>
      <c r="Q49" s="89"/>
      <c r="R49" s="121"/>
      <c r="S49" s="99" t="s">
        <v>11</v>
      </c>
      <c r="T49" s="76" t="s">
        <v>3880</v>
      </c>
      <c r="U49" s="99" t="s">
        <v>7</v>
      </c>
      <c r="V49" s="99" t="s">
        <v>1916</v>
      </c>
      <c r="W49" s="99" t="s">
        <v>1921</v>
      </c>
      <c r="X49" s="99" t="s">
        <v>50</v>
      </c>
      <c r="Y49" s="73" t="s">
        <v>3600</v>
      </c>
      <c r="Z49" s="73" t="s">
        <v>4</v>
      </c>
      <c r="AA49" s="99" t="s">
        <v>3442</v>
      </c>
    </row>
    <row r="50" spans="1:27" ht="17.25" customHeight="1">
      <c r="A50" s="65">
        <f>IF(priority(Main[[#This Row],[Comments]])&lt;&gt;0, priority(Main[[#This Row],[Comments]]),"")</f>
        <v>12.9</v>
      </c>
      <c r="B50" s="60" t="s">
        <v>3887</v>
      </c>
      <c r="C50" s="105" t="s">
        <v>3888</v>
      </c>
      <c r="D50" s="74" t="s">
        <v>3889</v>
      </c>
      <c r="E50" s="89">
        <v>40968.308472222219</v>
      </c>
      <c r="F50" s="89">
        <v>41105</v>
      </c>
      <c r="G50" s="65" t="str">
        <f>IF(stdProdLT(Main[[#This Row],[Comments]])=0.1,"N/A",IF(stdProdLT(Main[[#This Row],[Comments]])=0,"",TRIM(stdProdLT(Main[[#This Row],[Comments]]))))</f>
        <v>168</v>
      </c>
      <c r="H50" s="98" t="str">
        <f>IF(Main[[#This Row],[Std. Prod. Lead Time]]="N/A", "",IF(AND(Main[[#This Row],[In Stock Date]]&lt;&gt;"",Main[[#This Row],[Revised Due Date]]&lt;&gt;"",Main[[#This Row],[In Stock Date]]&lt;&gt;""),Main[[#This Row],[In Stock Date]]-Main[[#This Row],[Revised Due Date]],""))</f>
        <v/>
      </c>
      <c r="I50" s="110" t="s">
        <v>4</v>
      </c>
      <c r="J50" s="99" t="s">
        <v>4</v>
      </c>
      <c r="K50" s="99" t="s">
        <v>4</v>
      </c>
      <c r="L50" s="89"/>
      <c r="M50" s="75" t="str">
        <f>IF(Main[[#This Row],[Tech Start Date]]&lt;1/1/1990,"",IF(Main[[#This Row],[Class]]="C",WORKDAY(Main[[#This Row],[Tech Start Date]],9),IF(Main[[#This Row],[Class]]="B", WORKDAY(Main[[#This Row],[Tech Start Date]],6),IF(Main[[#This Row],[Class]]="A",WORKDAY(Main[[#This Row],[Tech Start Date]],2),""))))</f>
        <v/>
      </c>
      <c r="N50" s="75" t="str">
        <f>IF(Main[[#This Row],[Tech Start Date]]&lt;1/1/1990,"",IF(Main[[#This Row],[Class]]="C",WORKDAY(Main[[#This Row],[Tech Start Date]],19),IF(Main[[#This Row],[Class]]="B", WORKDAY(Main[[#This Row],[Tech Start Date]],12),IF(Main[[#This Row],[Class]]="A",WORKDAY(Main[[#This Row],[Tech Start Date]],4),""))))</f>
        <v/>
      </c>
      <c r="O50" s="75" t="str">
        <f>IF(Main[[#This Row],[Tech Start Date]]&lt;1/1/1990,"",IF(Main[[#This Row],[Class]]="C",WORKDAY(Main[[#This Row],[Tech Start Date]],23),IF(Main[[#This Row],[Class]]="B", WORKDAY(Main[[#This Row],[Tech Start Date]],15),IF(Main[[#This Row],[Class]]="A",WORKDAY(Main[[#This Row],[Tech Start Date]],5),""))))</f>
        <v/>
      </c>
      <c r="P50" s="75" t="str">
        <f>IF(Main[[#This Row],[Tech Start Date]]&lt;1/1/1990,"",IF(Main[[#This Row],[Class]]="C",WORKDAY(Main[[#This Row],[Tech Start Date]],28),IF(Main[[#This Row],[Class]]="B", WORKDAY(Main[[#This Row],[Tech Start Date]],19),IF(Main[[#This Row],[Class]]="A",WORKDAY(Main[[#This Row],[Tech Start Date]],9),""))))</f>
        <v/>
      </c>
      <c r="Q50" s="89"/>
      <c r="R50" s="121"/>
      <c r="S50" s="99" t="s">
        <v>11</v>
      </c>
      <c r="T50" s="76" t="s">
        <v>3890</v>
      </c>
      <c r="U50" s="99" t="s">
        <v>7</v>
      </c>
      <c r="V50" s="99" t="s">
        <v>1916</v>
      </c>
      <c r="W50" s="99" t="s">
        <v>1919</v>
      </c>
      <c r="X50" s="99" t="s">
        <v>2840</v>
      </c>
      <c r="Y50" s="73" t="s">
        <v>3234</v>
      </c>
      <c r="Z50" s="73" t="s">
        <v>4</v>
      </c>
      <c r="AA50" s="99" t="s">
        <v>2840</v>
      </c>
    </row>
    <row r="51" spans="1:27" ht="17.25" customHeight="1">
      <c r="A51" s="65">
        <f>IF(priority(Main[[#This Row],[Comments]])&lt;&gt;0, priority(Main[[#This Row],[Comments]]),"")</f>
        <v>13</v>
      </c>
      <c r="B51" s="60" t="s">
        <v>3576</v>
      </c>
      <c r="C51" s="105" t="s">
        <v>31</v>
      </c>
      <c r="D51" s="74" t="s">
        <v>3577</v>
      </c>
      <c r="E51" s="89">
        <v>40953.049583333333</v>
      </c>
      <c r="F51" s="89">
        <v>40968</v>
      </c>
      <c r="G51" s="65" t="str">
        <f>IF(stdProdLT(Main[[#This Row],[Comments]])=0.1,"N/A",IF(stdProdLT(Main[[#This Row],[Comments]])=0,"",TRIM(stdProdLT(Main[[#This Row],[Comments]]))))</f>
        <v>N/A</v>
      </c>
      <c r="H51" s="98" t="str">
        <f>IF(Main[[#This Row],[Std. Prod. Lead Time]]="N/A", "",IF(AND(Main[[#This Row],[In Stock Date]]&lt;&gt;"",Main[[#This Row],[Revised Due Date]]&lt;&gt;"",Main[[#This Row],[In Stock Date]]&lt;&gt;""),Main[[#This Row],[In Stock Date]]-Main[[#This Row],[Revised Due Date]],""))</f>
        <v/>
      </c>
      <c r="I51" s="110" t="s">
        <v>946</v>
      </c>
      <c r="J51" s="99" t="s">
        <v>28</v>
      </c>
      <c r="K51" s="99" t="s">
        <v>1920</v>
      </c>
      <c r="L51" s="89"/>
      <c r="M51" s="75" t="str">
        <f>IF(Main[[#This Row],[Tech Start Date]]&lt;1/1/1990,"",IF(Main[[#This Row],[Class]]="C",WORKDAY(Main[[#This Row],[Tech Start Date]],9),IF(Main[[#This Row],[Class]]="B", WORKDAY(Main[[#This Row],[Tech Start Date]],6),IF(Main[[#This Row],[Class]]="A",WORKDAY(Main[[#This Row],[Tech Start Date]],2),""))))</f>
        <v/>
      </c>
      <c r="N51" s="75" t="str">
        <f>IF(Main[[#This Row],[Tech Start Date]]&lt;1/1/1990,"",IF(Main[[#This Row],[Class]]="C",WORKDAY(Main[[#This Row],[Tech Start Date]],19),IF(Main[[#This Row],[Class]]="B", WORKDAY(Main[[#This Row],[Tech Start Date]],12),IF(Main[[#This Row],[Class]]="A",WORKDAY(Main[[#This Row],[Tech Start Date]],4),""))))</f>
        <v/>
      </c>
      <c r="O51" s="75" t="str">
        <f>IF(Main[[#This Row],[Tech Start Date]]&lt;1/1/1990,"",IF(Main[[#This Row],[Class]]="C",WORKDAY(Main[[#This Row],[Tech Start Date]],23),IF(Main[[#This Row],[Class]]="B", WORKDAY(Main[[#This Row],[Tech Start Date]],15),IF(Main[[#This Row],[Class]]="A",WORKDAY(Main[[#This Row],[Tech Start Date]],5),""))))</f>
        <v/>
      </c>
      <c r="P51" s="75" t="str">
        <f>IF(Main[[#This Row],[Tech Start Date]]&lt;1/1/1990,"",IF(Main[[#This Row],[Class]]="C",WORKDAY(Main[[#This Row],[Tech Start Date]],28),IF(Main[[#This Row],[Class]]="B", WORKDAY(Main[[#This Row],[Tech Start Date]],19),IF(Main[[#This Row],[Class]]="A",WORKDAY(Main[[#This Row],[Tech Start Date]],9),""))))</f>
        <v/>
      </c>
      <c r="Q51" s="89">
        <v>40967</v>
      </c>
      <c r="R51" s="121"/>
      <c r="S51" s="99" t="s">
        <v>11</v>
      </c>
      <c r="T51" s="76" t="s">
        <v>3578</v>
      </c>
      <c r="U51" s="99" t="s">
        <v>7</v>
      </c>
      <c r="V51" s="99" t="s">
        <v>1914</v>
      </c>
      <c r="W51" s="99" t="s">
        <v>1918</v>
      </c>
      <c r="X51" s="99" t="s">
        <v>2829</v>
      </c>
      <c r="Y51" s="73" t="s">
        <v>4</v>
      </c>
      <c r="Z51" s="73" t="s">
        <v>2049</v>
      </c>
      <c r="AA51" s="99" t="s">
        <v>2829</v>
      </c>
    </row>
    <row r="52" spans="1:27" ht="17.25" customHeight="1">
      <c r="A52" s="65">
        <f>IF(priority(Main[[#This Row],[Comments]])&lt;&gt;0, priority(Main[[#This Row],[Comments]]),"")</f>
        <v>13</v>
      </c>
      <c r="B52" s="60" t="s">
        <v>2736</v>
      </c>
      <c r="C52" s="105" t="s">
        <v>2737</v>
      </c>
      <c r="D52" s="74" t="s">
        <v>2738</v>
      </c>
      <c r="E52" s="89"/>
      <c r="F52" s="89">
        <v>41000</v>
      </c>
      <c r="G52" s="65" t="str">
        <f>IF(stdProdLT(Main[[#This Row],[Comments]])=0.1,"N/A",IF(stdProdLT(Main[[#This Row],[Comments]])=0,"",TRIM(stdProdLT(Main[[#This Row],[Comments]]))))</f>
        <v>140</v>
      </c>
      <c r="H52" s="98" t="str">
        <f>IF(Main[[#This Row],[Std. Prod. Lead Time]]="N/A", "",IF(AND(Main[[#This Row],[In Stock Date]]&lt;&gt;"",Main[[#This Row],[Revised Due Date]]&lt;&gt;"",Main[[#This Row],[In Stock Date]]&lt;&gt;""),Main[[#This Row],[In Stock Date]]-Main[[#This Row],[Revised Due Date]],""))</f>
        <v/>
      </c>
      <c r="I52" s="110" t="s">
        <v>561</v>
      </c>
      <c r="J52" s="99" t="s">
        <v>21</v>
      </c>
      <c r="K52" s="99" t="s">
        <v>4</v>
      </c>
      <c r="L52" s="89"/>
      <c r="M52" s="75" t="str">
        <f>IF(Main[[#This Row],[Tech Start Date]]&lt;1/1/1990,"",IF(Main[[#This Row],[Class]]="C",WORKDAY(Main[[#This Row],[Tech Start Date]],9),IF(Main[[#This Row],[Class]]="B", WORKDAY(Main[[#This Row],[Tech Start Date]],6),IF(Main[[#This Row],[Class]]="A",WORKDAY(Main[[#This Row],[Tech Start Date]],2),""))))</f>
        <v/>
      </c>
      <c r="N52" s="75" t="str">
        <f>IF(Main[[#This Row],[Tech Start Date]]&lt;1/1/1990,"",IF(Main[[#This Row],[Class]]="C",WORKDAY(Main[[#This Row],[Tech Start Date]],19),IF(Main[[#This Row],[Class]]="B", WORKDAY(Main[[#This Row],[Tech Start Date]],12),IF(Main[[#This Row],[Class]]="A",WORKDAY(Main[[#This Row],[Tech Start Date]],4),""))))</f>
        <v/>
      </c>
      <c r="O52" s="75" t="str">
        <f>IF(Main[[#This Row],[Tech Start Date]]&lt;1/1/1990,"",IF(Main[[#This Row],[Class]]="C",WORKDAY(Main[[#This Row],[Tech Start Date]],23),IF(Main[[#This Row],[Class]]="B", WORKDAY(Main[[#This Row],[Tech Start Date]],15),IF(Main[[#This Row],[Class]]="A",WORKDAY(Main[[#This Row],[Tech Start Date]],5),""))))</f>
        <v/>
      </c>
      <c r="P52" s="75" t="str">
        <f>IF(Main[[#This Row],[Tech Start Date]]&lt;1/1/1990,"",IF(Main[[#This Row],[Class]]="C",WORKDAY(Main[[#This Row],[Tech Start Date]],28),IF(Main[[#This Row],[Class]]="B", WORKDAY(Main[[#This Row],[Tech Start Date]],19),IF(Main[[#This Row],[Class]]="A",WORKDAY(Main[[#This Row],[Tech Start Date]],9),""))))</f>
        <v/>
      </c>
      <c r="Q52" s="89">
        <v>40964</v>
      </c>
      <c r="R52" s="121"/>
      <c r="S52" s="99" t="s">
        <v>11</v>
      </c>
      <c r="T52" s="76" t="s">
        <v>2739</v>
      </c>
      <c r="U52" s="99" t="s">
        <v>14</v>
      </c>
      <c r="V52" s="99" t="s">
        <v>1913</v>
      </c>
      <c r="W52" s="99" t="s">
        <v>1921</v>
      </c>
      <c r="X52" s="99" t="s">
        <v>2869</v>
      </c>
      <c r="Y52" s="73" t="s">
        <v>3015</v>
      </c>
      <c r="Z52" s="73" t="s">
        <v>4</v>
      </c>
      <c r="AA52" s="99" t="s">
        <v>2869</v>
      </c>
    </row>
    <row r="53" spans="1:27" ht="17.25" customHeight="1">
      <c r="A53" s="65">
        <f>IF(priority(Main[[#This Row],[Comments]])&lt;&gt;0, priority(Main[[#This Row],[Comments]]),"")</f>
        <v>13</v>
      </c>
      <c r="B53" s="60" t="s">
        <v>3744</v>
      </c>
      <c r="C53" s="105" t="s">
        <v>3745</v>
      </c>
      <c r="D53" s="74" t="s">
        <v>3746</v>
      </c>
      <c r="E53" s="89">
        <v>40959.336805555555</v>
      </c>
      <c r="F53" s="89">
        <v>41091</v>
      </c>
      <c r="G53" s="65" t="str">
        <f>IF(stdProdLT(Main[[#This Row],[Comments]])=0.1,"N/A",IF(stdProdLT(Main[[#This Row],[Comments]])=0,"",TRIM(stdProdLT(Main[[#This Row],[Comments]]))))</f>
        <v>112</v>
      </c>
      <c r="H53" s="98" t="str">
        <f>IF(Main[[#This Row],[Std. Prod. Lead Time]]="N/A", "",IF(AND(Main[[#This Row],[In Stock Date]]&lt;&gt;"",Main[[#This Row],[Revised Due Date]]&lt;&gt;"",Main[[#This Row],[In Stock Date]]&lt;&gt;""),Main[[#This Row],[In Stock Date]]-Main[[#This Row],[Revised Due Date]],""))</f>
        <v/>
      </c>
      <c r="I53" s="110" t="s">
        <v>4</v>
      </c>
      <c r="J53" s="99" t="s">
        <v>4</v>
      </c>
      <c r="K53" s="99" t="s">
        <v>4</v>
      </c>
      <c r="L53" s="89"/>
      <c r="M53" s="75" t="str">
        <f>IF(Main[[#This Row],[Tech Start Date]]&lt;1/1/1990,"",IF(Main[[#This Row],[Class]]="C",WORKDAY(Main[[#This Row],[Tech Start Date]],9),IF(Main[[#This Row],[Class]]="B", WORKDAY(Main[[#This Row],[Tech Start Date]],6),IF(Main[[#This Row],[Class]]="A",WORKDAY(Main[[#This Row],[Tech Start Date]],2),""))))</f>
        <v/>
      </c>
      <c r="N53" s="75" t="str">
        <f>IF(Main[[#This Row],[Tech Start Date]]&lt;1/1/1990,"",IF(Main[[#This Row],[Class]]="C",WORKDAY(Main[[#This Row],[Tech Start Date]],19),IF(Main[[#This Row],[Class]]="B", WORKDAY(Main[[#This Row],[Tech Start Date]],12),IF(Main[[#This Row],[Class]]="A",WORKDAY(Main[[#This Row],[Tech Start Date]],4),""))))</f>
        <v/>
      </c>
      <c r="O53" s="75" t="str">
        <f>IF(Main[[#This Row],[Tech Start Date]]&lt;1/1/1990,"",IF(Main[[#This Row],[Class]]="C",WORKDAY(Main[[#This Row],[Tech Start Date]],23),IF(Main[[#This Row],[Class]]="B", WORKDAY(Main[[#This Row],[Tech Start Date]],15),IF(Main[[#This Row],[Class]]="A",WORKDAY(Main[[#This Row],[Tech Start Date]],5),""))))</f>
        <v/>
      </c>
      <c r="P53" s="75" t="str">
        <f>IF(Main[[#This Row],[Tech Start Date]]&lt;1/1/1990,"",IF(Main[[#This Row],[Class]]="C",WORKDAY(Main[[#This Row],[Tech Start Date]],28),IF(Main[[#This Row],[Class]]="B", WORKDAY(Main[[#This Row],[Tech Start Date]],19),IF(Main[[#This Row],[Class]]="A",WORKDAY(Main[[#This Row],[Tech Start Date]],9),""))))</f>
        <v/>
      </c>
      <c r="Q53" s="89">
        <v>40860</v>
      </c>
      <c r="R53" s="121"/>
      <c r="S53" s="99" t="s">
        <v>11</v>
      </c>
      <c r="T53" s="76" t="s">
        <v>3980</v>
      </c>
      <c r="U53" s="99" t="s">
        <v>7</v>
      </c>
      <c r="V53" s="99" t="s">
        <v>1913</v>
      </c>
      <c r="W53" s="99" t="s">
        <v>1918</v>
      </c>
      <c r="X53" s="99" t="s">
        <v>2854</v>
      </c>
      <c r="Y53" s="73" t="s">
        <v>4</v>
      </c>
      <c r="Z53" s="73" t="s">
        <v>4</v>
      </c>
      <c r="AA53" s="99" t="s">
        <v>2854</v>
      </c>
    </row>
    <row r="54" spans="1:27" ht="17.25" customHeight="1">
      <c r="A54" s="65">
        <f>IF(priority(Main[[#This Row],[Comments]])&lt;&gt;0, priority(Main[[#This Row],[Comments]]),"")</f>
        <v>13</v>
      </c>
      <c r="B54" s="60" t="s">
        <v>1894</v>
      </c>
      <c r="C54" s="105" t="s">
        <v>815</v>
      </c>
      <c r="D54" s="74" t="s">
        <v>1960</v>
      </c>
      <c r="E54" s="89"/>
      <c r="F54" s="89">
        <v>40767</v>
      </c>
      <c r="G54" s="65" t="str">
        <f>IF(stdProdLT(Main[[#This Row],[Comments]])=0.1,"N/A",IF(stdProdLT(Main[[#This Row],[Comments]])=0,"",TRIM(stdProdLT(Main[[#This Row],[Comments]]))))</f>
        <v/>
      </c>
      <c r="H54" s="98">
        <f>IF(Main[[#This Row],[Std. Prod. Lead Time]]="N/A", "",IF(AND(Main[[#This Row],[In Stock Date]]&lt;&gt;"",Main[[#This Row],[Revised Due Date]]&lt;&gt;"",Main[[#This Row],[In Stock Date]]&lt;&gt;""),Main[[#This Row],[In Stock Date]]-Main[[#This Row],[Revised Due Date]],""))</f>
        <v>21</v>
      </c>
      <c r="I54" s="110" t="s">
        <v>941</v>
      </c>
      <c r="J54" s="99" t="s">
        <v>28</v>
      </c>
      <c r="K54" s="99" t="s">
        <v>1922</v>
      </c>
      <c r="L54" s="89">
        <v>40704</v>
      </c>
      <c r="M54" s="75">
        <f>IF(Main[[#This Row],[Tech Start Date]]&lt;1/1/1990,"",IF(Main[[#This Row],[Class]]="C",WORKDAY(Main[[#This Row],[Tech Start Date]],9),IF(Main[[#This Row],[Class]]="B", WORKDAY(Main[[#This Row],[Tech Start Date]],6),IF(Main[[#This Row],[Class]]="A",WORKDAY(Main[[#This Row],[Tech Start Date]],2),""))))</f>
        <v>40708</v>
      </c>
      <c r="N54" s="75">
        <f>IF(Main[[#This Row],[Tech Start Date]]&lt;1/1/1990,"",IF(Main[[#This Row],[Class]]="C",WORKDAY(Main[[#This Row],[Tech Start Date]],19),IF(Main[[#This Row],[Class]]="B", WORKDAY(Main[[#This Row],[Tech Start Date]],12),IF(Main[[#This Row],[Class]]="A",WORKDAY(Main[[#This Row],[Tech Start Date]],4),""))))</f>
        <v>40710</v>
      </c>
      <c r="O54" s="75">
        <f>IF(Main[[#This Row],[Tech Start Date]]&lt;1/1/1990,"",IF(Main[[#This Row],[Class]]="C",WORKDAY(Main[[#This Row],[Tech Start Date]],23),IF(Main[[#This Row],[Class]]="B", WORKDAY(Main[[#This Row],[Tech Start Date]],15),IF(Main[[#This Row],[Class]]="A",WORKDAY(Main[[#This Row],[Tech Start Date]],5),""))))</f>
        <v>40711</v>
      </c>
      <c r="P54" s="75">
        <f>IF(Main[[#This Row],[Tech Start Date]]&lt;1/1/1990,"",IF(Main[[#This Row],[Class]]="C",WORKDAY(Main[[#This Row],[Tech Start Date]],28),IF(Main[[#This Row],[Class]]="B", WORKDAY(Main[[#This Row],[Tech Start Date]],19),IF(Main[[#This Row],[Class]]="A",WORKDAY(Main[[#This Row],[Tech Start Date]],9),""))))</f>
        <v>40717</v>
      </c>
      <c r="Q54" s="89"/>
      <c r="R54" s="121">
        <v>40746</v>
      </c>
      <c r="S54" s="99" t="s">
        <v>11</v>
      </c>
      <c r="T54" s="76" t="s">
        <v>2000</v>
      </c>
      <c r="U54" s="99" t="s">
        <v>14</v>
      </c>
      <c r="V54" s="99" t="s">
        <v>1914</v>
      </c>
      <c r="W54" s="99" t="s">
        <v>1921</v>
      </c>
      <c r="X54" s="99" t="s">
        <v>2049</v>
      </c>
      <c r="Y54" s="73" t="s">
        <v>3147</v>
      </c>
      <c r="Z54" s="73" t="s">
        <v>3153</v>
      </c>
      <c r="AA54" s="99" t="s">
        <v>2049</v>
      </c>
    </row>
    <row r="55" spans="1:27" ht="17.25" customHeight="1">
      <c r="A55" s="65">
        <f>IF(priority(Main[[#This Row],[Comments]])&lt;&gt;0, priority(Main[[#This Row],[Comments]]),"")</f>
        <v>13</v>
      </c>
      <c r="B55" s="60" t="s">
        <v>3194</v>
      </c>
      <c r="C55" s="105" t="s">
        <v>3204</v>
      </c>
      <c r="D55" s="74" t="s">
        <v>3195</v>
      </c>
      <c r="E55" s="89">
        <v>40921.060983796298</v>
      </c>
      <c r="F55" s="89">
        <v>41105</v>
      </c>
      <c r="G55" s="65" t="str">
        <f>IF(stdProdLT(Main[[#This Row],[Comments]])=0.1,"N/A",IF(stdProdLT(Main[[#This Row],[Comments]])=0,"",TRIM(stdProdLT(Main[[#This Row],[Comments]]))))</f>
        <v>168</v>
      </c>
      <c r="H55" s="98">
        <f>IF(Main[[#This Row],[Std. Prod. Lead Time]]="N/A", "",IF(AND(Main[[#This Row],[In Stock Date]]&lt;&gt;"",Main[[#This Row],[Revised Due Date]]&lt;&gt;"",Main[[#This Row],[In Stock Date]]&lt;&gt;""),Main[[#This Row],[In Stock Date]]-Main[[#This Row],[Revised Due Date]],""))</f>
        <v>130</v>
      </c>
      <c r="I55" s="110" t="s">
        <v>489</v>
      </c>
      <c r="J55" s="99" t="s">
        <v>70</v>
      </c>
      <c r="K55" s="99" t="s">
        <v>1926</v>
      </c>
      <c r="L55" s="89">
        <v>40925</v>
      </c>
      <c r="M55" s="75">
        <f>IF(Main[[#This Row],[Tech Start Date]]&lt;1/1/1990,"",IF(Main[[#This Row],[Class]]="C",WORKDAY(Main[[#This Row],[Tech Start Date]],9),IF(Main[[#This Row],[Class]]="B", WORKDAY(Main[[#This Row],[Tech Start Date]],6),IF(Main[[#This Row],[Class]]="A",WORKDAY(Main[[#This Row],[Tech Start Date]],2),""))))</f>
        <v>40938</v>
      </c>
      <c r="N55" s="75">
        <f>IF(Main[[#This Row],[Tech Start Date]]&lt;1/1/1990,"",IF(Main[[#This Row],[Class]]="C",WORKDAY(Main[[#This Row],[Tech Start Date]],19),IF(Main[[#This Row],[Class]]="B", WORKDAY(Main[[#This Row],[Tech Start Date]],12),IF(Main[[#This Row],[Class]]="A",WORKDAY(Main[[#This Row],[Tech Start Date]],4),""))))</f>
        <v>40952</v>
      </c>
      <c r="O55" s="75">
        <f>IF(Main[[#This Row],[Tech Start Date]]&lt;1/1/1990,"",IF(Main[[#This Row],[Class]]="C",WORKDAY(Main[[#This Row],[Tech Start Date]],23),IF(Main[[#This Row],[Class]]="B", WORKDAY(Main[[#This Row],[Tech Start Date]],15),IF(Main[[#This Row],[Class]]="A",WORKDAY(Main[[#This Row],[Tech Start Date]],5),""))))</f>
        <v>40956</v>
      </c>
      <c r="P55" s="75">
        <f>IF(Main[[#This Row],[Tech Start Date]]&lt;1/1/1990,"",IF(Main[[#This Row],[Class]]="C",WORKDAY(Main[[#This Row],[Tech Start Date]],28),IF(Main[[#This Row],[Class]]="B", WORKDAY(Main[[#This Row],[Tech Start Date]],19),IF(Main[[#This Row],[Class]]="A",WORKDAY(Main[[#This Row],[Tech Start Date]],9),""))))</f>
        <v>40963</v>
      </c>
      <c r="Q55" s="89">
        <v>40953</v>
      </c>
      <c r="R55" s="121">
        <v>40975</v>
      </c>
      <c r="S55" s="99" t="s">
        <v>11</v>
      </c>
      <c r="T55" s="76" t="s">
        <v>3788</v>
      </c>
      <c r="U55" s="99" t="s">
        <v>29</v>
      </c>
      <c r="V55" s="99" t="s">
        <v>1916</v>
      </c>
      <c r="W55" s="99" t="s">
        <v>1919</v>
      </c>
      <c r="X55" s="99" t="s">
        <v>2842</v>
      </c>
      <c r="Y55" s="73" t="s">
        <v>2973</v>
      </c>
      <c r="Z55" s="73" t="s">
        <v>530</v>
      </c>
      <c r="AA55" s="99" t="s">
        <v>2842</v>
      </c>
    </row>
    <row r="56" spans="1:27" ht="17.25" customHeight="1">
      <c r="A56" s="65">
        <f>IF(priority(Main[[#This Row],[Comments]])&lt;&gt;0, priority(Main[[#This Row],[Comments]]),"")</f>
        <v>14</v>
      </c>
      <c r="B56" s="60" t="s">
        <v>2746</v>
      </c>
      <c r="C56" s="105" t="s">
        <v>2747</v>
      </c>
      <c r="D56" s="74" t="s">
        <v>2748</v>
      </c>
      <c r="E56" s="89"/>
      <c r="F56" s="89">
        <v>41005</v>
      </c>
      <c r="G56" s="65" t="str">
        <f>IF(stdProdLT(Main[[#This Row],[Comments]])=0.1,"N/A",IF(stdProdLT(Main[[#This Row],[Comments]])=0,"",TRIM(stdProdLT(Main[[#This Row],[Comments]]))))</f>
        <v>112</v>
      </c>
      <c r="H56" s="98" t="str">
        <f>IF(Main[[#This Row],[Std. Prod. Lead Time]]="N/A", "",IF(AND(Main[[#This Row],[In Stock Date]]&lt;&gt;"",Main[[#This Row],[Revised Due Date]]&lt;&gt;"",Main[[#This Row],[In Stock Date]]&lt;&gt;""),Main[[#This Row],[In Stock Date]]-Main[[#This Row],[Revised Due Date]],""))</f>
        <v/>
      </c>
      <c r="I56" s="110" t="s">
        <v>126</v>
      </c>
      <c r="J56" s="99" t="s">
        <v>28</v>
      </c>
      <c r="K56" s="99" t="s">
        <v>1920</v>
      </c>
      <c r="L56" s="89"/>
      <c r="M56" s="75" t="str">
        <f>IF(Main[[#This Row],[Tech Start Date]]&lt;1/1/1990,"",IF(Main[[#This Row],[Class]]="C",WORKDAY(Main[[#This Row],[Tech Start Date]],9),IF(Main[[#This Row],[Class]]="B", WORKDAY(Main[[#This Row],[Tech Start Date]],6),IF(Main[[#This Row],[Class]]="A",WORKDAY(Main[[#This Row],[Tech Start Date]],2),""))))</f>
        <v/>
      </c>
      <c r="N56" s="75" t="str">
        <f>IF(Main[[#This Row],[Tech Start Date]]&lt;1/1/1990,"",IF(Main[[#This Row],[Class]]="C",WORKDAY(Main[[#This Row],[Tech Start Date]],19),IF(Main[[#This Row],[Class]]="B", WORKDAY(Main[[#This Row],[Tech Start Date]],12),IF(Main[[#This Row],[Class]]="A",WORKDAY(Main[[#This Row],[Tech Start Date]],4),""))))</f>
        <v/>
      </c>
      <c r="O56" s="75" t="str">
        <f>IF(Main[[#This Row],[Tech Start Date]]&lt;1/1/1990,"",IF(Main[[#This Row],[Class]]="C",WORKDAY(Main[[#This Row],[Tech Start Date]],23),IF(Main[[#This Row],[Class]]="B", WORKDAY(Main[[#This Row],[Tech Start Date]],15),IF(Main[[#This Row],[Class]]="A",WORKDAY(Main[[#This Row],[Tech Start Date]],5),""))))</f>
        <v/>
      </c>
      <c r="P56" s="75" t="str">
        <f>IF(Main[[#This Row],[Tech Start Date]]&lt;1/1/1990,"",IF(Main[[#This Row],[Class]]="C",WORKDAY(Main[[#This Row],[Tech Start Date]],28),IF(Main[[#This Row],[Class]]="B", WORKDAY(Main[[#This Row],[Tech Start Date]],19),IF(Main[[#This Row],[Class]]="A",WORKDAY(Main[[#This Row],[Tech Start Date]],9),""))))</f>
        <v/>
      </c>
      <c r="Q56" s="89">
        <v>40946</v>
      </c>
      <c r="R56" s="121"/>
      <c r="S56" s="99" t="s">
        <v>11</v>
      </c>
      <c r="T56" s="76" t="s">
        <v>2749</v>
      </c>
      <c r="U56" s="99" t="s">
        <v>14</v>
      </c>
      <c r="V56" s="99" t="s">
        <v>1913</v>
      </c>
      <c r="W56" s="99" t="s">
        <v>1921</v>
      </c>
      <c r="X56" s="99" t="s">
        <v>2851</v>
      </c>
      <c r="Y56" s="73" t="s">
        <v>2992</v>
      </c>
      <c r="Z56" s="73" t="s">
        <v>912</v>
      </c>
      <c r="AA56" s="99" t="s">
        <v>2851</v>
      </c>
    </row>
    <row r="57" spans="1:27" ht="17.25" customHeight="1">
      <c r="A57" s="65">
        <f>IF(priority(Main[[#This Row],[Comments]])&lt;&gt;0, priority(Main[[#This Row],[Comments]]),"")</f>
        <v>14</v>
      </c>
      <c r="B57" s="60" t="s">
        <v>2580</v>
      </c>
      <c r="C57" s="105" t="s">
        <v>3233</v>
      </c>
      <c r="D57" s="74" t="s">
        <v>3985</v>
      </c>
      <c r="E57" s="89">
        <v>40848.443101851852</v>
      </c>
      <c r="F57" s="89">
        <v>41153</v>
      </c>
      <c r="G57" s="65" t="str">
        <f>IF(stdProdLT(Main[[#This Row],[Comments]])=0.1,"N/A",IF(stdProdLT(Main[[#This Row],[Comments]])=0,"",TRIM(stdProdLT(Main[[#This Row],[Comments]]))))</f>
        <v>126</v>
      </c>
      <c r="H57" s="98">
        <f>IF(Main[[#This Row],[Std. Prod. Lead Time]]="N/A", "",IF(AND(Main[[#This Row],[In Stock Date]]&lt;&gt;"",Main[[#This Row],[Revised Due Date]]&lt;&gt;"",Main[[#This Row],[In Stock Date]]&lt;&gt;""),Main[[#This Row],[In Stock Date]]-Main[[#This Row],[Revised Due Date]],""))</f>
        <v>183</v>
      </c>
      <c r="I57" s="110" t="s">
        <v>399</v>
      </c>
      <c r="J57" s="99" t="s">
        <v>51</v>
      </c>
      <c r="K57" s="99" t="s">
        <v>1920</v>
      </c>
      <c r="L57" s="89">
        <v>40918</v>
      </c>
      <c r="M57" s="75">
        <f>IF(Main[[#This Row],[Tech Start Date]]&lt;1/1/1990,"",IF(Main[[#This Row],[Class]]="C",WORKDAY(Main[[#This Row],[Tech Start Date]],9),IF(Main[[#This Row],[Class]]="B", WORKDAY(Main[[#This Row],[Tech Start Date]],6),IF(Main[[#This Row],[Class]]="A",WORKDAY(Main[[#This Row],[Tech Start Date]],2),""))))</f>
        <v>40926</v>
      </c>
      <c r="N57" s="75">
        <f>IF(Main[[#This Row],[Tech Start Date]]&lt;1/1/1990,"",IF(Main[[#This Row],[Class]]="C",WORKDAY(Main[[#This Row],[Tech Start Date]],19),IF(Main[[#This Row],[Class]]="B", WORKDAY(Main[[#This Row],[Tech Start Date]],12),IF(Main[[#This Row],[Class]]="A",WORKDAY(Main[[#This Row],[Tech Start Date]],4),""))))</f>
        <v>40934</v>
      </c>
      <c r="O57" s="75">
        <f>IF(Main[[#This Row],[Tech Start Date]]&lt;1/1/1990,"",IF(Main[[#This Row],[Class]]="C",WORKDAY(Main[[#This Row],[Tech Start Date]],23),IF(Main[[#This Row],[Class]]="B", WORKDAY(Main[[#This Row],[Tech Start Date]],15),IF(Main[[#This Row],[Class]]="A",WORKDAY(Main[[#This Row],[Tech Start Date]],5),""))))</f>
        <v>40939</v>
      </c>
      <c r="P57" s="75">
        <f>IF(Main[[#This Row],[Tech Start Date]]&lt;1/1/1990,"",IF(Main[[#This Row],[Class]]="C",WORKDAY(Main[[#This Row],[Tech Start Date]],28),IF(Main[[#This Row],[Class]]="B", WORKDAY(Main[[#This Row],[Tech Start Date]],19),IF(Main[[#This Row],[Class]]="A",WORKDAY(Main[[#This Row],[Tech Start Date]],9),""))))</f>
        <v>40945</v>
      </c>
      <c r="Q57" s="89">
        <v>41153</v>
      </c>
      <c r="R57" s="121">
        <v>40970</v>
      </c>
      <c r="S57" s="99" t="s">
        <v>11</v>
      </c>
      <c r="T57" s="76" t="s">
        <v>3986</v>
      </c>
      <c r="U57" s="99" t="s">
        <v>29</v>
      </c>
      <c r="V57" s="99" t="s">
        <v>1913</v>
      </c>
      <c r="W57" s="99" t="s">
        <v>1919</v>
      </c>
      <c r="X57" s="99" t="s">
        <v>2903</v>
      </c>
      <c r="Y57" s="73" t="s">
        <v>2924</v>
      </c>
      <c r="Z57" s="73" t="s">
        <v>129</v>
      </c>
      <c r="AA57" s="99" t="s">
        <v>2903</v>
      </c>
    </row>
    <row r="58" spans="1:27" ht="17.25" customHeight="1">
      <c r="A58" s="65">
        <f>IF(priority(Main[[#This Row],[Comments]])&lt;&gt;0, priority(Main[[#This Row],[Comments]]),"")</f>
        <v>14</v>
      </c>
      <c r="B58" s="60" t="s">
        <v>3190</v>
      </c>
      <c r="C58" s="105" t="s">
        <v>3204</v>
      </c>
      <c r="D58" s="59" t="s">
        <v>3191</v>
      </c>
      <c r="E58" s="89">
        <v>40921.094768518517</v>
      </c>
      <c r="F58" s="89">
        <v>41105</v>
      </c>
      <c r="G58" s="65" t="str">
        <f>IF(stdProdLT(Main[[#This Row],[Comments]])=0.1,"N/A",IF(stdProdLT(Main[[#This Row],[Comments]])=0,"",TRIM(stdProdLT(Main[[#This Row],[Comments]]))))</f>
        <v>168</v>
      </c>
      <c r="H58" s="98">
        <f>IF(Main[[#This Row],[Std. Prod. Lead Time]]="N/A", "",IF(AND(Main[[#This Row],[In Stock Date]]&lt;&gt;"",Main[[#This Row],[Revised Due Date]]&lt;&gt;"",Main[[#This Row],[In Stock Date]]&lt;&gt;""),Main[[#This Row],[In Stock Date]]-Main[[#This Row],[Revised Due Date]],""))</f>
        <v>135</v>
      </c>
      <c r="I58" s="110" t="s">
        <v>130</v>
      </c>
      <c r="J58" s="99" t="s">
        <v>70</v>
      </c>
      <c r="K58" s="99" t="s">
        <v>1926</v>
      </c>
      <c r="L58" s="89">
        <v>40925</v>
      </c>
      <c r="M58" s="75">
        <f>IF(Main[[#This Row],[Tech Start Date]]&lt;1/1/1990,"",IF(Main[[#This Row],[Class]]="C",WORKDAY(Main[[#This Row],[Tech Start Date]],9),IF(Main[[#This Row],[Class]]="B", WORKDAY(Main[[#This Row],[Tech Start Date]],6),IF(Main[[#This Row],[Class]]="A",WORKDAY(Main[[#This Row],[Tech Start Date]],2),""))))</f>
        <v>40938</v>
      </c>
      <c r="N58" s="75">
        <f>IF(Main[[#This Row],[Tech Start Date]]&lt;1/1/1990,"",IF(Main[[#This Row],[Class]]="C",WORKDAY(Main[[#This Row],[Tech Start Date]],19),IF(Main[[#This Row],[Class]]="B", WORKDAY(Main[[#This Row],[Tech Start Date]],12),IF(Main[[#This Row],[Class]]="A",WORKDAY(Main[[#This Row],[Tech Start Date]],4),""))))</f>
        <v>40952</v>
      </c>
      <c r="O58" s="75">
        <f>IF(Main[[#This Row],[Tech Start Date]]&lt;1/1/1990,"",IF(Main[[#This Row],[Class]]="C",WORKDAY(Main[[#This Row],[Tech Start Date]],23),IF(Main[[#This Row],[Class]]="B", WORKDAY(Main[[#This Row],[Tech Start Date]],15),IF(Main[[#This Row],[Class]]="A",WORKDAY(Main[[#This Row],[Tech Start Date]],5),""))))</f>
        <v>40956</v>
      </c>
      <c r="P58" s="75">
        <f>IF(Main[[#This Row],[Tech Start Date]]&lt;1/1/1990,"",IF(Main[[#This Row],[Class]]="C",WORKDAY(Main[[#This Row],[Tech Start Date]],28),IF(Main[[#This Row],[Class]]="B", WORKDAY(Main[[#This Row],[Tech Start Date]],19),IF(Main[[#This Row],[Class]]="A",WORKDAY(Main[[#This Row],[Tech Start Date]],9),""))))</f>
        <v>40963</v>
      </c>
      <c r="Q58" s="89">
        <v>40953</v>
      </c>
      <c r="R58" s="121">
        <v>40970</v>
      </c>
      <c r="S58" s="99" t="s">
        <v>11</v>
      </c>
      <c r="T58" s="76" t="s">
        <v>3792</v>
      </c>
      <c r="U58" s="99" t="s">
        <v>29</v>
      </c>
      <c r="V58" s="99" t="s">
        <v>1916</v>
      </c>
      <c r="W58" s="99" t="s">
        <v>1919</v>
      </c>
      <c r="X58" s="99" t="s">
        <v>2842</v>
      </c>
      <c r="Y58" s="73" t="s">
        <v>2973</v>
      </c>
      <c r="Z58" s="73" t="s">
        <v>530</v>
      </c>
      <c r="AA58" s="99" t="s">
        <v>2842</v>
      </c>
    </row>
    <row r="59" spans="1:27" ht="17.25" customHeight="1">
      <c r="A59" s="65">
        <f>IF(priority(Main[[#This Row],[Comments]])&lt;&gt;0, priority(Main[[#This Row],[Comments]]),"")</f>
        <v>14</v>
      </c>
      <c r="B59" s="60" t="s">
        <v>3557</v>
      </c>
      <c r="C59" s="105" t="s">
        <v>3558</v>
      </c>
      <c r="D59" s="74" t="s">
        <v>3802</v>
      </c>
      <c r="E59" s="89">
        <v>40945.715231481481</v>
      </c>
      <c r="F59" s="89"/>
      <c r="G59" s="65" t="str">
        <f>IF(stdProdLT(Main[[#This Row],[Comments]])=0.1,"N/A",IF(stdProdLT(Main[[#This Row],[Comments]])=0,"",TRIM(stdProdLT(Main[[#This Row],[Comments]]))))</f>
        <v>N/A</v>
      </c>
      <c r="H59" s="98" t="str">
        <f>IF(Main[[#This Row],[Std. Prod. Lead Time]]="N/A", "",IF(AND(Main[[#This Row],[In Stock Date]]&lt;&gt;"",Main[[#This Row],[Revised Due Date]]&lt;&gt;"",Main[[#This Row],[In Stock Date]]&lt;&gt;""),Main[[#This Row],[In Stock Date]]-Main[[#This Row],[Revised Due Date]],""))</f>
        <v/>
      </c>
      <c r="I59" s="110" t="s">
        <v>940</v>
      </c>
      <c r="J59" s="99" t="s">
        <v>28</v>
      </c>
      <c r="K59" s="99" t="s">
        <v>1920</v>
      </c>
      <c r="L59" s="89">
        <v>40946</v>
      </c>
      <c r="M59" s="75">
        <f>IF(Main[[#This Row],[Tech Start Date]]&lt;1/1/1990,"",IF(Main[[#This Row],[Class]]="C",WORKDAY(Main[[#This Row],[Tech Start Date]],9),IF(Main[[#This Row],[Class]]="B", WORKDAY(Main[[#This Row],[Tech Start Date]],6),IF(Main[[#This Row],[Class]]="A",WORKDAY(Main[[#This Row],[Tech Start Date]],2),""))))</f>
        <v>40954</v>
      </c>
      <c r="N59" s="75">
        <f>IF(Main[[#This Row],[Tech Start Date]]&lt;1/1/1990,"",IF(Main[[#This Row],[Class]]="C",WORKDAY(Main[[#This Row],[Tech Start Date]],19),IF(Main[[#This Row],[Class]]="B", WORKDAY(Main[[#This Row],[Tech Start Date]],12),IF(Main[[#This Row],[Class]]="A",WORKDAY(Main[[#This Row],[Tech Start Date]],4),""))))</f>
        <v>40962</v>
      </c>
      <c r="O59" s="75">
        <f>IF(Main[[#This Row],[Tech Start Date]]&lt;1/1/1990,"",IF(Main[[#This Row],[Class]]="C",WORKDAY(Main[[#This Row],[Tech Start Date]],23),IF(Main[[#This Row],[Class]]="B", WORKDAY(Main[[#This Row],[Tech Start Date]],15),IF(Main[[#This Row],[Class]]="A",WORKDAY(Main[[#This Row],[Tech Start Date]],5),""))))</f>
        <v>40967</v>
      </c>
      <c r="P59" s="75">
        <f>IF(Main[[#This Row],[Tech Start Date]]&lt;1/1/1990,"",IF(Main[[#This Row],[Class]]="C",WORKDAY(Main[[#This Row],[Tech Start Date]],28),IF(Main[[#This Row],[Class]]="B", WORKDAY(Main[[#This Row],[Tech Start Date]],19),IF(Main[[#This Row],[Class]]="A",WORKDAY(Main[[#This Row],[Tech Start Date]],9),""))))</f>
        <v>40973</v>
      </c>
      <c r="Q59" s="89">
        <v>40952</v>
      </c>
      <c r="R59" s="121">
        <v>40973</v>
      </c>
      <c r="S59" s="99" t="s">
        <v>11</v>
      </c>
      <c r="T59" s="76" t="s">
        <v>3803</v>
      </c>
      <c r="U59" s="99" t="s">
        <v>29</v>
      </c>
      <c r="V59" s="99" t="s">
        <v>1914</v>
      </c>
      <c r="W59" s="99" t="s">
        <v>1915</v>
      </c>
      <c r="X59" s="99" t="s">
        <v>2810</v>
      </c>
      <c r="Y59" s="73" t="s">
        <v>4</v>
      </c>
      <c r="Z59" s="73" t="s">
        <v>2049</v>
      </c>
      <c r="AA59" s="99" t="s">
        <v>2810</v>
      </c>
    </row>
    <row r="60" spans="1:27" ht="17.25" customHeight="1">
      <c r="A60" s="65">
        <f>IF(priority(Main[[#This Row],[Comments]])&lt;&gt;0, priority(Main[[#This Row],[Comments]]),"")</f>
        <v>15</v>
      </c>
      <c r="B60" s="60" t="s">
        <v>3605</v>
      </c>
      <c r="C60" s="105" t="s">
        <v>3235</v>
      </c>
      <c r="D60" s="74" t="s">
        <v>3177</v>
      </c>
      <c r="E60" s="89">
        <v>40962.070138888892</v>
      </c>
      <c r="F60" s="89">
        <v>41122</v>
      </c>
      <c r="G60" s="65" t="str">
        <f>IF(stdProdLT(Main[[#This Row],[Comments]])=0.1,"N/A",IF(stdProdLT(Main[[#This Row],[Comments]])=0,"",TRIM(stdProdLT(Main[[#This Row],[Comments]]))))</f>
        <v>168</v>
      </c>
      <c r="H60" s="98" t="str">
        <f>IF(Main[[#This Row],[Std. Prod. Lead Time]]="N/A", "",IF(AND(Main[[#This Row],[In Stock Date]]&lt;&gt;"",Main[[#This Row],[Revised Due Date]]&lt;&gt;"",Main[[#This Row],[In Stock Date]]&lt;&gt;""),Main[[#This Row],[In Stock Date]]-Main[[#This Row],[Revised Due Date]],""))</f>
        <v/>
      </c>
      <c r="I60" s="110" t="s">
        <v>4</v>
      </c>
      <c r="J60" s="99" t="s">
        <v>4</v>
      </c>
      <c r="K60" s="99" t="s">
        <v>4</v>
      </c>
      <c r="L60" s="89"/>
      <c r="M60" s="75" t="str">
        <f>IF(Main[[#This Row],[Tech Start Date]]&lt;1/1/1990,"",IF(Main[[#This Row],[Class]]="C",WORKDAY(Main[[#This Row],[Tech Start Date]],9),IF(Main[[#This Row],[Class]]="B", WORKDAY(Main[[#This Row],[Tech Start Date]],6),IF(Main[[#This Row],[Class]]="A",WORKDAY(Main[[#This Row],[Tech Start Date]],2),""))))</f>
        <v/>
      </c>
      <c r="N60" s="75" t="str">
        <f>IF(Main[[#This Row],[Tech Start Date]]&lt;1/1/1990,"",IF(Main[[#This Row],[Class]]="C",WORKDAY(Main[[#This Row],[Tech Start Date]],19),IF(Main[[#This Row],[Class]]="B", WORKDAY(Main[[#This Row],[Tech Start Date]],12),IF(Main[[#This Row],[Class]]="A",WORKDAY(Main[[#This Row],[Tech Start Date]],4),""))))</f>
        <v/>
      </c>
      <c r="O60" s="75" t="str">
        <f>IF(Main[[#This Row],[Tech Start Date]]&lt;1/1/1990,"",IF(Main[[#This Row],[Class]]="C",WORKDAY(Main[[#This Row],[Tech Start Date]],23),IF(Main[[#This Row],[Class]]="B", WORKDAY(Main[[#This Row],[Tech Start Date]],15),IF(Main[[#This Row],[Class]]="A",WORKDAY(Main[[#This Row],[Tech Start Date]],5),""))))</f>
        <v/>
      </c>
      <c r="P60" s="75" t="str">
        <f>IF(Main[[#This Row],[Tech Start Date]]&lt;1/1/1990,"",IF(Main[[#This Row],[Class]]="C",WORKDAY(Main[[#This Row],[Tech Start Date]],28),IF(Main[[#This Row],[Class]]="B", WORKDAY(Main[[#This Row],[Tech Start Date]],19),IF(Main[[#This Row],[Class]]="A",WORKDAY(Main[[#This Row],[Tech Start Date]],9),""))))</f>
        <v/>
      </c>
      <c r="Q60" s="89">
        <v>41105</v>
      </c>
      <c r="R60" s="121"/>
      <c r="S60" s="99" t="s">
        <v>11</v>
      </c>
      <c r="T60" s="76" t="s">
        <v>3898</v>
      </c>
      <c r="U60" s="99" t="s">
        <v>7</v>
      </c>
      <c r="V60" s="99" t="s">
        <v>1916</v>
      </c>
      <c r="W60" s="99" t="s">
        <v>1924</v>
      </c>
      <c r="X60" s="99" t="s">
        <v>2840</v>
      </c>
      <c r="Y60" s="73" t="s">
        <v>3234</v>
      </c>
      <c r="Z60" s="73" t="s">
        <v>4</v>
      </c>
      <c r="AA60" s="99" t="s">
        <v>2840</v>
      </c>
    </row>
    <row r="61" spans="1:27" ht="17.25" customHeight="1">
      <c r="A61" s="65">
        <f>IF(priority(Main[[#This Row],[Comments]])&lt;&gt;0, priority(Main[[#This Row],[Comments]]),"")</f>
        <v>15</v>
      </c>
      <c r="B61" s="60" t="s">
        <v>1990</v>
      </c>
      <c r="C61" s="105" t="s">
        <v>53</v>
      </c>
      <c r="D61" s="74" t="s">
        <v>3763</v>
      </c>
      <c r="E61" s="89">
        <v>40735.69803240741</v>
      </c>
      <c r="F61" s="89">
        <v>40836</v>
      </c>
      <c r="G61" s="65" t="str">
        <f>IF(stdProdLT(Main[[#This Row],[Comments]])=0.1,"N/A",IF(stdProdLT(Main[[#This Row],[Comments]])=0,"",TRIM(stdProdLT(Main[[#This Row],[Comments]]))))</f>
        <v>N/A</v>
      </c>
      <c r="H61" s="98" t="str">
        <f>IF(Main[[#This Row],[Std. Prod. Lead Time]]="N/A", "",IF(AND(Main[[#This Row],[In Stock Date]]&lt;&gt;"",Main[[#This Row],[Revised Due Date]]&lt;&gt;"",Main[[#This Row],[In Stock Date]]&lt;&gt;""),Main[[#This Row],[In Stock Date]]-Main[[#This Row],[Revised Due Date]],""))</f>
        <v/>
      </c>
      <c r="I61" s="110" t="s">
        <v>941</v>
      </c>
      <c r="J61" s="99" t="s">
        <v>28</v>
      </c>
      <c r="K61" s="99" t="s">
        <v>1920</v>
      </c>
      <c r="L61" s="89">
        <v>40756</v>
      </c>
      <c r="M61" s="75">
        <f>IF(Main[[#This Row],[Tech Start Date]]&lt;1/1/1990,"",IF(Main[[#This Row],[Class]]="C",WORKDAY(Main[[#This Row],[Tech Start Date]],9),IF(Main[[#This Row],[Class]]="B", WORKDAY(Main[[#This Row],[Tech Start Date]],6),IF(Main[[#This Row],[Class]]="A",WORKDAY(Main[[#This Row],[Tech Start Date]],2),""))))</f>
        <v>40764</v>
      </c>
      <c r="N61" s="75">
        <f>IF(Main[[#This Row],[Tech Start Date]]&lt;1/1/1990,"",IF(Main[[#This Row],[Class]]="C",WORKDAY(Main[[#This Row],[Tech Start Date]],19),IF(Main[[#This Row],[Class]]="B", WORKDAY(Main[[#This Row],[Tech Start Date]],12),IF(Main[[#This Row],[Class]]="A",WORKDAY(Main[[#This Row],[Tech Start Date]],4),""))))</f>
        <v>40772</v>
      </c>
      <c r="O61" s="75">
        <f>IF(Main[[#This Row],[Tech Start Date]]&lt;1/1/1990,"",IF(Main[[#This Row],[Class]]="C",WORKDAY(Main[[#This Row],[Tech Start Date]],23),IF(Main[[#This Row],[Class]]="B", WORKDAY(Main[[#This Row],[Tech Start Date]],15),IF(Main[[#This Row],[Class]]="A",WORKDAY(Main[[#This Row],[Tech Start Date]],5),""))))</f>
        <v>40777</v>
      </c>
      <c r="P61" s="75">
        <f>IF(Main[[#This Row],[Tech Start Date]]&lt;1/1/1990,"",IF(Main[[#This Row],[Class]]="C",WORKDAY(Main[[#This Row],[Tech Start Date]],28),IF(Main[[#This Row],[Class]]="B", WORKDAY(Main[[#This Row],[Tech Start Date]],19),IF(Main[[#This Row],[Class]]="A",WORKDAY(Main[[#This Row],[Tech Start Date]],9),""))))</f>
        <v>40781</v>
      </c>
      <c r="Q61" s="89"/>
      <c r="R61" s="121">
        <v>40977</v>
      </c>
      <c r="S61" s="99" t="s">
        <v>11</v>
      </c>
      <c r="T61" s="76" t="s">
        <v>3764</v>
      </c>
      <c r="U61" s="99" t="s">
        <v>29</v>
      </c>
      <c r="V61" s="99" t="s">
        <v>1914</v>
      </c>
      <c r="W61" s="99" t="s">
        <v>1915</v>
      </c>
      <c r="X61" s="99" t="s">
        <v>2810</v>
      </c>
      <c r="Y61" s="73" t="s">
        <v>2987</v>
      </c>
      <c r="Z61" s="73" t="s">
        <v>2049</v>
      </c>
      <c r="AA61" s="99" t="s">
        <v>3467</v>
      </c>
    </row>
    <row r="62" spans="1:27" ht="17.25" customHeight="1">
      <c r="A62" s="65">
        <f>IF(priority(Main[[#This Row],[Comments]])&lt;&gt;0, priority(Main[[#This Row],[Comments]]),"")</f>
        <v>15</v>
      </c>
      <c r="B62" s="60" t="s">
        <v>3564</v>
      </c>
      <c r="C62" s="105" t="s">
        <v>3513</v>
      </c>
      <c r="D62" s="74" t="s">
        <v>3807</v>
      </c>
      <c r="E62" s="89">
        <v>40946.686157407406</v>
      </c>
      <c r="F62" s="89">
        <v>41122</v>
      </c>
      <c r="G62" s="65" t="str">
        <f>IF(stdProdLT(Main[[#This Row],[Comments]])=0.1,"N/A",IF(stdProdLT(Main[[#This Row],[Comments]])=0,"",TRIM(stdProdLT(Main[[#This Row],[Comments]]))))</f>
        <v>126</v>
      </c>
      <c r="H62" s="98">
        <f>IF(Main[[#This Row],[Std. Prod. Lead Time]]="N/A", "",IF(AND(Main[[#This Row],[In Stock Date]]&lt;&gt;"",Main[[#This Row],[Revised Due Date]]&lt;&gt;"",Main[[#This Row],[In Stock Date]]&lt;&gt;""),Main[[#This Row],[In Stock Date]]-Main[[#This Row],[Revised Due Date]],""))</f>
        <v>140</v>
      </c>
      <c r="I62" s="110" t="s">
        <v>912</v>
      </c>
      <c r="J62" s="99" t="s">
        <v>52</v>
      </c>
      <c r="K62" s="99" t="s">
        <v>1920</v>
      </c>
      <c r="L62" s="89">
        <v>40948</v>
      </c>
      <c r="M62" s="75">
        <f>IF(Main[[#This Row],[Tech Start Date]]&lt;1/1/1990,"",IF(Main[[#This Row],[Class]]="C",WORKDAY(Main[[#This Row],[Tech Start Date]],9),IF(Main[[#This Row],[Class]]="B", WORKDAY(Main[[#This Row],[Tech Start Date]],6),IF(Main[[#This Row],[Class]]="A",WORKDAY(Main[[#This Row],[Tech Start Date]],2),""))))</f>
        <v>40956</v>
      </c>
      <c r="N62" s="75">
        <f>IF(Main[[#This Row],[Tech Start Date]]&lt;1/1/1990,"",IF(Main[[#This Row],[Class]]="C",WORKDAY(Main[[#This Row],[Tech Start Date]],19),IF(Main[[#This Row],[Class]]="B", WORKDAY(Main[[#This Row],[Tech Start Date]],12),IF(Main[[#This Row],[Class]]="A",WORKDAY(Main[[#This Row],[Tech Start Date]],4),""))))</f>
        <v>40966</v>
      </c>
      <c r="O62" s="75">
        <f>IF(Main[[#This Row],[Tech Start Date]]&lt;1/1/1990,"",IF(Main[[#This Row],[Class]]="C",WORKDAY(Main[[#This Row],[Tech Start Date]],23),IF(Main[[#This Row],[Class]]="B", WORKDAY(Main[[#This Row],[Tech Start Date]],15),IF(Main[[#This Row],[Class]]="A",WORKDAY(Main[[#This Row],[Tech Start Date]],5),""))))</f>
        <v>40969</v>
      </c>
      <c r="P62" s="75">
        <f>IF(Main[[#This Row],[Tech Start Date]]&lt;1/1/1990,"",IF(Main[[#This Row],[Class]]="C",WORKDAY(Main[[#This Row],[Tech Start Date]],28),IF(Main[[#This Row],[Class]]="B", WORKDAY(Main[[#This Row],[Tech Start Date]],19),IF(Main[[#This Row],[Class]]="A",WORKDAY(Main[[#This Row],[Tech Start Date]],9),""))))</f>
        <v>40975</v>
      </c>
      <c r="Q62" s="89"/>
      <c r="R62" s="121">
        <v>40982</v>
      </c>
      <c r="S62" s="99" t="s">
        <v>11</v>
      </c>
      <c r="T62" s="76" t="s">
        <v>3992</v>
      </c>
      <c r="U62" s="99" t="s">
        <v>29</v>
      </c>
      <c r="V62" s="99" t="s">
        <v>1913</v>
      </c>
      <c r="W62" s="99" t="s">
        <v>1919</v>
      </c>
      <c r="X62" s="99" t="s">
        <v>2833</v>
      </c>
      <c r="Y62" s="73" t="s">
        <v>2964</v>
      </c>
      <c r="Z62" s="73" t="s">
        <v>129</v>
      </c>
      <c r="AA62" s="99" t="s">
        <v>2833</v>
      </c>
    </row>
    <row r="63" spans="1:27" ht="17.25" customHeight="1">
      <c r="A63" s="65">
        <f>IF(priority(Main[[#This Row],[Comments]])&lt;&gt;0, priority(Main[[#This Row],[Comments]]),"")</f>
        <v>16</v>
      </c>
      <c r="B63" s="60" t="s">
        <v>2530</v>
      </c>
      <c r="C63" s="105" t="s">
        <v>3233</v>
      </c>
      <c r="D63" s="74" t="s">
        <v>4021</v>
      </c>
      <c r="E63" s="89">
        <v>40848.481932870367</v>
      </c>
      <c r="F63" s="89">
        <v>41153</v>
      </c>
      <c r="G63" s="65" t="str">
        <f>IF(stdProdLT(Main[[#This Row],[Comments]])=0.1,"N/A",IF(stdProdLT(Main[[#This Row],[Comments]])=0,"",TRIM(stdProdLT(Main[[#This Row],[Comments]]))))</f>
        <v>126</v>
      </c>
      <c r="H63" s="98">
        <f>IF(Main[[#This Row],[Std. Prod. Lead Time]]="N/A", "",IF(AND(Main[[#This Row],[In Stock Date]]&lt;&gt;"",Main[[#This Row],[Revised Due Date]]&lt;&gt;"",Main[[#This Row],[In Stock Date]]&lt;&gt;""),Main[[#This Row],[In Stock Date]]-Main[[#This Row],[Revised Due Date]],""))</f>
        <v>183</v>
      </c>
      <c r="I63" s="110" t="s">
        <v>399</v>
      </c>
      <c r="J63" s="99" t="s">
        <v>51</v>
      </c>
      <c r="K63" s="99" t="s">
        <v>1920</v>
      </c>
      <c r="L63" s="89">
        <v>40918</v>
      </c>
      <c r="M63" s="75">
        <f>IF(Main[[#This Row],[Tech Start Date]]&lt;1/1/1990,"",IF(Main[[#This Row],[Class]]="C",WORKDAY(Main[[#This Row],[Tech Start Date]],9),IF(Main[[#This Row],[Class]]="B", WORKDAY(Main[[#This Row],[Tech Start Date]],6),IF(Main[[#This Row],[Class]]="A",WORKDAY(Main[[#This Row],[Tech Start Date]],2),""))))</f>
        <v>40926</v>
      </c>
      <c r="N63" s="75">
        <f>IF(Main[[#This Row],[Tech Start Date]]&lt;1/1/1990,"",IF(Main[[#This Row],[Class]]="C",WORKDAY(Main[[#This Row],[Tech Start Date]],19),IF(Main[[#This Row],[Class]]="B", WORKDAY(Main[[#This Row],[Tech Start Date]],12),IF(Main[[#This Row],[Class]]="A",WORKDAY(Main[[#This Row],[Tech Start Date]],4),""))))</f>
        <v>40934</v>
      </c>
      <c r="O63" s="75">
        <f>IF(Main[[#This Row],[Tech Start Date]]&lt;1/1/1990,"",IF(Main[[#This Row],[Class]]="C",WORKDAY(Main[[#This Row],[Tech Start Date]],23),IF(Main[[#This Row],[Class]]="B", WORKDAY(Main[[#This Row],[Tech Start Date]],15),IF(Main[[#This Row],[Class]]="A",WORKDAY(Main[[#This Row],[Tech Start Date]],5),""))))</f>
        <v>40939</v>
      </c>
      <c r="P63" s="75">
        <f>IF(Main[[#This Row],[Tech Start Date]]&lt;1/1/1990,"",IF(Main[[#This Row],[Class]]="C",WORKDAY(Main[[#This Row],[Tech Start Date]],28),IF(Main[[#This Row],[Class]]="B", WORKDAY(Main[[#This Row],[Tech Start Date]],19),IF(Main[[#This Row],[Class]]="A",WORKDAY(Main[[#This Row],[Tech Start Date]],9),""))))</f>
        <v>40945</v>
      </c>
      <c r="Q63" s="89">
        <v>41153</v>
      </c>
      <c r="R63" s="121">
        <v>40970</v>
      </c>
      <c r="S63" s="99" t="s">
        <v>11</v>
      </c>
      <c r="T63" s="76" t="s">
        <v>3987</v>
      </c>
      <c r="U63" s="99" t="s">
        <v>29</v>
      </c>
      <c r="V63" s="99" t="s">
        <v>1913</v>
      </c>
      <c r="W63" s="99" t="s">
        <v>1919</v>
      </c>
      <c r="X63" s="99" t="s">
        <v>2903</v>
      </c>
      <c r="Y63" s="73" t="s">
        <v>2924</v>
      </c>
      <c r="Z63" s="73" t="s">
        <v>129</v>
      </c>
      <c r="AA63" s="99" t="s">
        <v>2903</v>
      </c>
    </row>
    <row r="64" spans="1:27" ht="17.25" customHeight="1">
      <c r="A64" s="65">
        <f>IF(priority(Main[[#This Row],[Comments]])&lt;&gt;0, priority(Main[[#This Row],[Comments]]),"")</f>
        <v>16</v>
      </c>
      <c r="B64" s="60" t="s">
        <v>3835</v>
      </c>
      <c r="C64" s="105" t="s">
        <v>3836</v>
      </c>
      <c r="D64" s="74" t="s">
        <v>3837</v>
      </c>
      <c r="E64" s="89"/>
      <c r="F64" s="89">
        <v>41105</v>
      </c>
      <c r="G64" s="65" t="str">
        <f>IF(stdProdLT(Main[[#This Row],[Comments]])=0.1,"N/A",IF(stdProdLT(Main[[#This Row],[Comments]])=0,"",TRIM(stdProdLT(Main[[#This Row],[Comments]]))))</f>
        <v>140</v>
      </c>
      <c r="H64" s="98">
        <f>IF(Main[[#This Row],[Std. Prod. Lead Time]]="N/A", "",IF(AND(Main[[#This Row],[In Stock Date]]&lt;&gt;"",Main[[#This Row],[Revised Due Date]]&lt;&gt;"",Main[[#This Row],[In Stock Date]]&lt;&gt;""),Main[[#This Row],[In Stock Date]]-Main[[#This Row],[Revised Due Date]],""))</f>
        <v>124</v>
      </c>
      <c r="I64" s="110" t="s">
        <v>130</v>
      </c>
      <c r="J64" s="99" t="s">
        <v>70</v>
      </c>
      <c r="K64" s="99" t="s">
        <v>1922</v>
      </c>
      <c r="L64" s="89">
        <v>40960</v>
      </c>
      <c r="M64" s="75">
        <f>IF(Main[[#This Row],[Tech Start Date]]&lt;1/1/1990,"",IF(Main[[#This Row],[Class]]="C",WORKDAY(Main[[#This Row],[Tech Start Date]],9),IF(Main[[#This Row],[Class]]="B", WORKDAY(Main[[#This Row],[Tech Start Date]],6),IF(Main[[#This Row],[Class]]="A",WORKDAY(Main[[#This Row],[Tech Start Date]],2),""))))</f>
        <v>40962</v>
      </c>
      <c r="N64" s="75">
        <f>IF(Main[[#This Row],[Tech Start Date]]&lt;1/1/1990,"",IF(Main[[#This Row],[Class]]="C",WORKDAY(Main[[#This Row],[Tech Start Date]],19),IF(Main[[#This Row],[Class]]="B", WORKDAY(Main[[#This Row],[Tech Start Date]],12),IF(Main[[#This Row],[Class]]="A",WORKDAY(Main[[#This Row],[Tech Start Date]],4),""))))</f>
        <v>40966</v>
      </c>
      <c r="O64" s="75">
        <f>IF(Main[[#This Row],[Tech Start Date]]&lt;1/1/1990,"",IF(Main[[#This Row],[Class]]="C",WORKDAY(Main[[#This Row],[Tech Start Date]],23),IF(Main[[#This Row],[Class]]="B", WORKDAY(Main[[#This Row],[Tech Start Date]],15),IF(Main[[#This Row],[Class]]="A",WORKDAY(Main[[#This Row],[Tech Start Date]],5),""))))</f>
        <v>40967</v>
      </c>
      <c r="P64" s="75">
        <f>IF(Main[[#This Row],[Tech Start Date]]&lt;1/1/1990,"",IF(Main[[#This Row],[Class]]="C",WORKDAY(Main[[#This Row],[Tech Start Date]],28),IF(Main[[#This Row],[Class]]="B", WORKDAY(Main[[#This Row],[Tech Start Date]],19),IF(Main[[#This Row],[Class]]="A",WORKDAY(Main[[#This Row],[Tech Start Date]],9),""))))</f>
        <v>40973</v>
      </c>
      <c r="Q64" s="89">
        <v>41000</v>
      </c>
      <c r="R64" s="121">
        <v>40981</v>
      </c>
      <c r="S64" s="99" t="s">
        <v>11</v>
      </c>
      <c r="T64" s="76" t="s">
        <v>3838</v>
      </c>
      <c r="U64" s="99" t="s">
        <v>14</v>
      </c>
      <c r="V64" s="99" t="s">
        <v>1923</v>
      </c>
      <c r="W64" s="99" t="s">
        <v>1919</v>
      </c>
      <c r="X64" s="99" t="s">
        <v>2840</v>
      </c>
      <c r="Y64" s="73" t="s">
        <v>3234</v>
      </c>
      <c r="Z64" s="73" t="s">
        <v>530</v>
      </c>
      <c r="AA64" s="99" t="s">
        <v>2840</v>
      </c>
    </row>
    <row r="65" spans="1:27" ht="17.25" customHeight="1">
      <c r="A65" s="65">
        <f>IF(priority(Main[[#This Row],[Comments]])&lt;&gt;0, priority(Main[[#This Row],[Comments]]),"")</f>
        <v>16.2</v>
      </c>
      <c r="B65" s="60" t="s">
        <v>2395</v>
      </c>
      <c r="C65" s="105" t="s">
        <v>31</v>
      </c>
      <c r="D65" s="74" t="s">
        <v>2396</v>
      </c>
      <c r="E65" s="89"/>
      <c r="F65" s="89">
        <v>41000</v>
      </c>
      <c r="G65" s="65" t="str">
        <f>IF(stdProdLT(Main[[#This Row],[Comments]])=0.1,"N/A",IF(stdProdLT(Main[[#This Row],[Comments]])=0,"",TRIM(stdProdLT(Main[[#This Row],[Comments]]))))</f>
        <v>140</v>
      </c>
      <c r="H65" s="98" t="str">
        <f>IF(Main[[#This Row],[Std. Prod. Lead Time]]="N/A", "",IF(AND(Main[[#This Row],[In Stock Date]]&lt;&gt;"",Main[[#This Row],[Revised Due Date]]&lt;&gt;"",Main[[#This Row],[In Stock Date]]&lt;&gt;""),Main[[#This Row],[In Stock Date]]-Main[[#This Row],[Revised Due Date]],""))</f>
        <v/>
      </c>
      <c r="I65" s="110" t="s">
        <v>4</v>
      </c>
      <c r="J65" s="99" t="s">
        <v>4</v>
      </c>
      <c r="K65" s="100" t="s">
        <v>4</v>
      </c>
      <c r="L65" s="89"/>
      <c r="M65" s="75" t="str">
        <f>IF(Main[[#This Row],[Tech Start Date]]&lt;1/1/1990,"",IF(Main[[#This Row],[Class]]="C",WORKDAY(Main[[#This Row],[Tech Start Date]],9),IF(Main[[#This Row],[Class]]="B", WORKDAY(Main[[#This Row],[Tech Start Date]],6),IF(Main[[#This Row],[Class]]="A",WORKDAY(Main[[#This Row],[Tech Start Date]],2),""))))</f>
        <v/>
      </c>
      <c r="N65" s="75" t="str">
        <f>IF(Main[[#This Row],[Tech Start Date]]&lt;1/1/1990,"",IF(Main[[#This Row],[Class]]="C",WORKDAY(Main[[#This Row],[Tech Start Date]],19),IF(Main[[#This Row],[Class]]="B", WORKDAY(Main[[#This Row],[Tech Start Date]],12),IF(Main[[#This Row],[Class]]="A",WORKDAY(Main[[#This Row],[Tech Start Date]],4),""))))</f>
        <v/>
      </c>
      <c r="O65" s="75" t="str">
        <f>IF(Main[[#This Row],[Tech Start Date]]&lt;1/1/1990,"",IF(Main[[#This Row],[Class]]="C",WORKDAY(Main[[#This Row],[Tech Start Date]],23),IF(Main[[#This Row],[Class]]="B", WORKDAY(Main[[#This Row],[Tech Start Date]],15),IF(Main[[#This Row],[Class]]="A",WORKDAY(Main[[#This Row],[Tech Start Date]],5),""))))</f>
        <v/>
      </c>
      <c r="P65" s="75" t="str">
        <f>IF(Main[[#This Row],[Tech Start Date]]&lt;1/1/1990,"",IF(Main[[#This Row],[Class]]="C",WORKDAY(Main[[#This Row],[Tech Start Date]],28),IF(Main[[#This Row],[Class]]="B", WORKDAY(Main[[#This Row],[Tech Start Date]],19),IF(Main[[#This Row],[Class]]="A",WORKDAY(Main[[#This Row],[Tech Start Date]],9),""))))</f>
        <v/>
      </c>
      <c r="Q65" s="89">
        <v>40916</v>
      </c>
      <c r="R65" s="121"/>
      <c r="S65" s="99" t="s">
        <v>11</v>
      </c>
      <c r="T65" s="76" t="s">
        <v>2397</v>
      </c>
      <c r="U65" s="99" t="s">
        <v>14</v>
      </c>
      <c r="V65" s="99" t="s">
        <v>1923</v>
      </c>
      <c r="W65" s="99" t="s">
        <v>1919</v>
      </c>
      <c r="X65" s="99" t="s">
        <v>2834</v>
      </c>
      <c r="Y65" s="73" t="s">
        <v>3083</v>
      </c>
      <c r="Z65" s="73" t="s">
        <v>4</v>
      </c>
      <c r="AA65" s="99" t="s">
        <v>2834</v>
      </c>
    </row>
    <row r="66" spans="1:27" ht="17.25" customHeight="1">
      <c r="A66" s="65">
        <f>IF(priority(Main[[#This Row],[Comments]])&lt;&gt;0, priority(Main[[#This Row],[Comments]]),"")</f>
        <v>17</v>
      </c>
      <c r="B66" s="60" t="s">
        <v>1222</v>
      </c>
      <c r="C66" s="105" t="s">
        <v>33</v>
      </c>
      <c r="D66" s="74" t="s">
        <v>326</v>
      </c>
      <c r="E66" s="89"/>
      <c r="F66" s="89">
        <v>40695</v>
      </c>
      <c r="G66" s="65" t="str">
        <f>IF(stdProdLT(Main[[#This Row],[Comments]])=0.1,"N/A",IF(stdProdLT(Main[[#This Row],[Comments]])=0,"",TRIM(stdProdLT(Main[[#This Row],[Comments]]))))</f>
        <v/>
      </c>
      <c r="H66" s="98" t="str">
        <f>IF(Main[[#This Row],[Std. Prod. Lead Time]]="N/A", "",IF(AND(Main[[#This Row],[In Stock Date]]&lt;&gt;"",Main[[#This Row],[Revised Due Date]]&lt;&gt;"",Main[[#This Row],[In Stock Date]]&lt;&gt;""),Main[[#This Row],[In Stock Date]]-Main[[#This Row],[Revised Due Date]],""))</f>
        <v/>
      </c>
      <c r="I66" s="110" t="s">
        <v>108</v>
      </c>
      <c r="J66" s="99" t="s">
        <v>28</v>
      </c>
      <c r="K66" s="99" t="s">
        <v>4</v>
      </c>
      <c r="L66" s="89"/>
      <c r="M66" s="75" t="str">
        <f>IF(Main[[#This Row],[Tech Start Date]]&lt;1/1/1990,"",IF(Main[[#This Row],[Class]]="C",WORKDAY(Main[[#This Row],[Tech Start Date]],9),IF(Main[[#This Row],[Class]]="B", WORKDAY(Main[[#This Row],[Tech Start Date]],6),IF(Main[[#This Row],[Class]]="A",WORKDAY(Main[[#This Row],[Tech Start Date]],2),""))))</f>
        <v/>
      </c>
      <c r="N66" s="75" t="str">
        <f>IF(Main[[#This Row],[Tech Start Date]]&lt;1/1/1990,"",IF(Main[[#This Row],[Class]]="C",WORKDAY(Main[[#This Row],[Tech Start Date]],19),IF(Main[[#This Row],[Class]]="B", WORKDAY(Main[[#This Row],[Tech Start Date]],12),IF(Main[[#This Row],[Class]]="A",WORKDAY(Main[[#This Row],[Tech Start Date]],4),""))))</f>
        <v/>
      </c>
      <c r="O66" s="75" t="str">
        <f>IF(Main[[#This Row],[Tech Start Date]]&lt;1/1/1990,"",IF(Main[[#This Row],[Class]]="C",WORKDAY(Main[[#This Row],[Tech Start Date]],23),IF(Main[[#This Row],[Class]]="B", WORKDAY(Main[[#This Row],[Tech Start Date]],15),IF(Main[[#This Row],[Class]]="A",WORKDAY(Main[[#This Row],[Tech Start Date]],5),""))))</f>
        <v/>
      </c>
      <c r="P66" s="75" t="str">
        <f>IF(Main[[#This Row],[Tech Start Date]]&lt;1/1/1990,"",IF(Main[[#This Row],[Class]]="C",WORKDAY(Main[[#This Row],[Tech Start Date]],28),IF(Main[[#This Row],[Class]]="B", WORKDAY(Main[[#This Row],[Tech Start Date]],19),IF(Main[[#This Row],[Class]]="A",WORKDAY(Main[[#This Row],[Tech Start Date]],9),""))))</f>
        <v/>
      </c>
      <c r="Q66" s="89">
        <v>40695</v>
      </c>
      <c r="R66" s="121"/>
      <c r="S66" s="99" t="s">
        <v>11</v>
      </c>
      <c r="T66" s="76" t="s">
        <v>327</v>
      </c>
      <c r="U66" s="99" t="s">
        <v>14</v>
      </c>
      <c r="V66" s="99" t="s">
        <v>1914</v>
      </c>
      <c r="W66" s="99" t="s">
        <v>1918</v>
      </c>
      <c r="X66" s="99" t="s">
        <v>2869</v>
      </c>
      <c r="Y66" s="73" t="s">
        <v>3015</v>
      </c>
      <c r="Z66" s="73" t="s">
        <v>3153</v>
      </c>
      <c r="AA66" s="99" t="s">
        <v>2869</v>
      </c>
    </row>
    <row r="67" spans="1:27" ht="17.25" customHeight="1">
      <c r="A67" s="65">
        <f>IF(priority(Main[[#This Row],[Comments]])&lt;&gt;0, priority(Main[[#This Row],[Comments]]),"")</f>
        <v>17</v>
      </c>
      <c r="B67" s="60" t="s">
        <v>2019</v>
      </c>
      <c r="C67" s="105" t="s">
        <v>2020</v>
      </c>
      <c r="D67" s="74" t="s">
        <v>2131</v>
      </c>
      <c r="E67" s="89"/>
      <c r="F67" s="89">
        <v>40752</v>
      </c>
      <c r="G67" s="65" t="str">
        <f>IF(stdProdLT(Main[[#This Row],[Comments]])=0.1,"N/A",IF(stdProdLT(Main[[#This Row],[Comments]])=0,"",TRIM(stdProdLT(Main[[#This Row],[Comments]]))))</f>
        <v>42</v>
      </c>
      <c r="H67" s="98">
        <f>IF(Main[[#This Row],[Std. Prod. Lead Time]]="N/A", "",IF(AND(Main[[#This Row],[In Stock Date]]&lt;&gt;"",Main[[#This Row],[Revised Due Date]]&lt;&gt;"",Main[[#This Row],[In Stock Date]]&lt;&gt;""),Main[[#This Row],[In Stock Date]]-Main[[#This Row],[Revised Due Date]],""))</f>
        <v>-32</v>
      </c>
      <c r="I67" s="110" t="s">
        <v>956</v>
      </c>
      <c r="J67" s="99" t="s">
        <v>28</v>
      </c>
      <c r="K67" s="99" t="s">
        <v>1920</v>
      </c>
      <c r="L67" s="89">
        <v>40745</v>
      </c>
      <c r="M67" s="75">
        <f>IF(Main[[#This Row],[Tech Start Date]]&lt;1/1/1990,"",IF(Main[[#This Row],[Class]]="C",WORKDAY(Main[[#This Row],[Tech Start Date]],9),IF(Main[[#This Row],[Class]]="B", WORKDAY(Main[[#This Row],[Tech Start Date]],6),IF(Main[[#This Row],[Class]]="A",WORKDAY(Main[[#This Row],[Tech Start Date]],2),""))))</f>
        <v>40753</v>
      </c>
      <c r="N67" s="75">
        <f>IF(Main[[#This Row],[Tech Start Date]]&lt;1/1/1990,"",IF(Main[[#This Row],[Class]]="C",WORKDAY(Main[[#This Row],[Tech Start Date]],19),IF(Main[[#This Row],[Class]]="B", WORKDAY(Main[[#This Row],[Tech Start Date]],12),IF(Main[[#This Row],[Class]]="A",WORKDAY(Main[[#This Row],[Tech Start Date]],4),""))))</f>
        <v>40763</v>
      </c>
      <c r="O67" s="75">
        <f>IF(Main[[#This Row],[Tech Start Date]]&lt;1/1/1990,"",IF(Main[[#This Row],[Class]]="C",WORKDAY(Main[[#This Row],[Tech Start Date]],23),IF(Main[[#This Row],[Class]]="B", WORKDAY(Main[[#This Row],[Tech Start Date]],15),IF(Main[[#This Row],[Class]]="A",WORKDAY(Main[[#This Row],[Tech Start Date]],5),""))))</f>
        <v>40766</v>
      </c>
      <c r="P67" s="75">
        <f>IF(Main[[#This Row],[Tech Start Date]]&lt;1/1/1990,"",IF(Main[[#This Row],[Class]]="C",WORKDAY(Main[[#This Row],[Tech Start Date]],28),IF(Main[[#This Row],[Class]]="B", WORKDAY(Main[[#This Row],[Tech Start Date]],19),IF(Main[[#This Row],[Class]]="A",WORKDAY(Main[[#This Row],[Tech Start Date]],9),""))))</f>
        <v>40772</v>
      </c>
      <c r="Q67" s="89">
        <v>40752</v>
      </c>
      <c r="R67" s="121">
        <v>40784</v>
      </c>
      <c r="S67" s="99" t="s">
        <v>11</v>
      </c>
      <c r="T67" s="76" t="s">
        <v>2132</v>
      </c>
      <c r="U67" s="99" t="s">
        <v>14</v>
      </c>
      <c r="V67" s="99" t="s">
        <v>1914</v>
      </c>
      <c r="W67" s="99" t="s">
        <v>1915</v>
      </c>
      <c r="X67" s="99" t="s">
        <v>2810</v>
      </c>
      <c r="Y67" s="73" t="s">
        <v>2922</v>
      </c>
      <c r="Z67" s="73" t="s">
        <v>2049</v>
      </c>
      <c r="AA67" s="99" t="s">
        <v>2810</v>
      </c>
    </row>
    <row r="68" spans="1:27" ht="17.25" customHeight="1">
      <c r="A68" s="65">
        <f>IF(priority(Main[[#This Row],[Comments]])&lt;&gt;0, priority(Main[[#This Row],[Comments]]),"")</f>
        <v>17</v>
      </c>
      <c r="B68" s="60" t="s">
        <v>1162</v>
      </c>
      <c r="C68" s="105" t="s">
        <v>1963</v>
      </c>
      <c r="D68" s="74" t="s">
        <v>217</v>
      </c>
      <c r="E68" s="89"/>
      <c r="F68" s="89">
        <v>40724</v>
      </c>
      <c r="G68" s="65" t="str">
        <f>IF(stdProdLT(Main[[#This Row],[Comments]])=0.1,"N/A",IF(stdProdLT(Main[[#This Row],[Comments]])=0,"",TRIM(stdProdLT(Main[[#This Row],[Comments]]))))</f>
        <v/>
      </c>
      <c r="H68" s="98">
        <f>IF(Main[[#This Row],[Std. Prod. Lead Time]]="N/A", "",IF(AND(Main[[#This Row],[In Stock Date]]&lt;&gt;"",Main[[#This Row],[Revised Due Date]]&lt;&gt;"",Main[[#This Row],[In Stock Date]]&lt;&gt;""),Main[[#This Row],[In Stock Date]]-Main[[#This Row],[Revised Due Date]],""))</f>
        <v>-176</v>
      </c>
      <c r="I68" s="110" t="s">
        <v>942</v>
      </c>
      <c r="J68" s="99" t="s">
        <v>28</v>
      </c>
      <c r="K68" s="99" t="s">
        <v>1920</v>
      </c>
      <c r="L68" s="89">
        <v>40835</v>
      </c>
      <c r="M68" s="75">
        <f>IF(Main[[#This Row],[Tech Start Date]]&lt;1/1/1990,"",IF(Main[[#This Row],[Class]]="C",WORKDAY(Main[[#This Row],[Tech Start Date]],9),IF(Main[[#This Row],[Class]]="B", WORKDAY(Main[[#This Row],[Tech Start Date]],6),IF(Main[[#This Row],[Class]]="A",WORKDAY(Main[[#This Row],[Tech Start Date]],2),""))))</f>
        <v>40843</v>
      </c>
      <c r="N68" s="75">
        <f>IF(Main[[#This Row],[Tech Start Date]]&lt;1/1/1990,"",IF(Main[[#This Row],[Class]]="C",WORKDAY(Main[[#This Row],[Tech Start Date]],19),IF(Main[[#This Row],[Class]]="B", WORKDAY(Main[[#This Row],[Tech Start Date]],12),IF(Main[[#This Row],[Class]]="A",WORKDAY(Main[[#This Row],[Tech Start Date]],4),""))))</f>
        <v>40851</v>
      </c>
      <c r="O68" s="75">
        <f>IF(Main[[#This Row],[Tech Start Date]]&lt;1/1/1990,"",IF(Main[[#This Row],[Class]]="C",WORKDAY(Main[[#This Row],[Tech Start Date]],23),IF(Main[[#This Row],[Class]]="B", WORKDAY(Main[[#This Row],[Tech Start Date]],15),IF(Main[[#This Row],[Class]]="A",WORKDAY(Main[[#This Row],[Tech Start Date]],5),""))))</f>
        <v>40856</v>
      </c>
      <c r="P68" s="75">
        <f>IF(Main[[#This Row],[Tech Start Date]]&lt;1/1/1990,"",IF(Main[[#This Row],[Class]]="C",WORKDAY(Main[[#This Row],[Tech Start Date]],28),IF(Main[[#This Row],[Class]]="B", WORKDAY(Main[[#This Row],[Tech Start Date]],19),IF(Main[[#This Row],[Class]]="A",WORKDAY(Main[[#This Row],[Tech Start Date]],9),""))))</f>
        <v>40862</v>
      </c>
      <c r="Q68" s="89">
        <v>40724</v>
      </c>
      <c r="R68" s="121">
        <v>40900</v>
      </c>
      <c r="S68" s="99" t="s">
        <v>11</v>
      </c>
      <c r="T68" s="76" t="s">
        <v>2796</v>
      </c>
      <c r="U68" s="99" t="s">
        <v>14</v>
      </c>
      <c r="V68" s="99" t="s">
        <v>1914</v>
      </c>
      <c r="W68" s="99" t="s">
        <v>1921</v>
      </c>
      <c r="X68" s="99" t="s">
        <v>2851</v>
      </c>
      <c r="Y68" s="73" t="s">
        <v>2992</v>
      </c>
      <c r="Z68" s="73" t="s">
        <v>2049</v>
      </c>
      <c r="AA68" s="99" t="s">
        <v>2851</v>
      </c>
    </row>
    <row r="69" spans="1:27" ht="17.25" customHeight="1">
      <c r="A69" s="65">
        <f>IF(priority(Main[[#This Row],[Comments]])&lt;&gt;0, priority(Main[[#This Row],[Comments]]),"")</f>
        <v>17</v>
      </c>
      <c r="B69" s="60" t="s">
        <v>3192</v>
      </c>
      <c r="C69" s="105" t="s">
        <v>3204</v>
      </c>
      <c r="D69" s="74" t="s">
        <v>3193</v>
      </c>
      <c r="E69" s="89"/>
      <c r="F69" s="89">
        <v>41122</v>
      </c>
      <c r="G69" s="65" t="str">
        <f>IF(stdProdLT(Main[[#This Row],[Comments]])=0.1,"N/A",IF(stdProdLT(Main[[#This Row],[Comments]])=0,"",TRIM(stdProdLT(Main[[#This Row],[Comments]]))))</f>
        <v>168</v>
      </c>
      <c r="H69" s="98">
        <f>IF(Main[[#This Row],[Std. Prod. Lead Time]]="N/A", "",IF(AND(Main[[#This Row],[In Stock Date]]&lt;&gt;"",Main[[#This Row],[Revised Due Date]]&lt;&gt;"",Main[[#This Row],[In Stock Date]]&lt;&gt;""),Main[[#This Row],[In Stock Date]]-Main[[#This Row],[Revised Due Date]],""))</f>
        <v>173</v>
      </c>
      <c r="I69" s="110" t="s">
        <v>44</v>
      </c>
      <c r="J69" s="99" t="s">
        <v>28</v>
      </c>
      <c r="K69" s="99" t="s">
        <v>1926</v>
      </c>
      <c r="L69" s="89">
        <v>40925</v>
      </c>
      <c r="M69" s="75">
        <f>IF(Main[[#This Row],[Tech Start Date]]&lt;1/1/1990,"",IF(Main[[#This Row],[Class]]="C",WORKDAY(Main[[#This Row],[Tech Start Date]],9),IF(Main[[#This Row],[Class]]="B", WORKDAY(Main[[#This Row],[Tech Start Date]],6),IF(Main[[#This Row],[Class]]="A",WORKDAY(Main[[#This Row],[Tech Start Date]],2),""))))</f>
        <v>40938</v>
      </c>
      <c r="N69" s="75">
        <f>IF(Main[[#This Row],[Tech Start Date]]&lt;1/1/1990,"",IF(Main[[#This Row],[Class]]="C",WORKDAY(Main[[#This Row],[Tech Start Date]],19),IF(Main[[#This Row],[Class]]="B", WORKDAY(Main[[#This Row],[Tech Start Date]],12),IF(Main[[#This Row],[Class]]="A",WORKDAY(Main[[#This Row],[Tech Start Date]],4),""))))</f>
        <v>40952</v>
      </c>
      <c r="O69" s="75">
        <f>IF(Main[[#This Row],[Tech Start Date]]&lt;1/1/1990,"",IF(Main[[#This Row],[Class]]="C",WORKDAY(Main[[#This Row],[Tech Start Date]],23),IF(Main[[#This Row],[Class]]="B", WORKDAY(Main[[#This Row],[Tech Start Date]],15),IF(Main[[#This Row],[Class]]="A",WORKDAY(Main[[#This Row],[Tech Start Date]],5),""))))</f>
        <v>40956</v>
      </c>
      <c r="P69" s="75">
        <f>IF(Main[[#This Row],[Tech Start Date]]&lt;1/1/1990,"",IF(Main[[#This Row],[Class]]="C",WORKDAY(Main[[#This Row],[Tech Start Date]],28),IF(Main[[#This Row],[Class]]="B", WORKDAY(Main[[#This Row],[Tech Start Date]],19),IF(Main[[#This Row],[Class]]="A",WORKDAY(Main[[#This Row],[Tech Start Date]],9),""))))</f>
        <v>40963</v>
      </c>
      <c r="Q69" s="89">
        <v>40973</v>
      </c>
      <c r="R69" s="121">
        <v>40949</v>
      </c>
      <c r="S69" s="99" t="s">
        <v>11</v>
      </c>
      <c r="T69" s="76" t="s">
        <v>3791</v>
      </c>
      <c r="U69" s="99" t="s">
        <v>14</v>
      </c>
      <c r="V69" s="99" t="s">
        <v>1916</v>
      </c>
      <c r="W69" s="99" t="s">
        <v>1919</v>
      </c>
      <c r="X69" s="99" t="s">
        <v>2842</v>
      </c>
      <c r="Y69" s="73" t="s">
        <v>2973</v>
      </c>
      <c r="Z69" s="73" t="s">
        <v>530</v>
      </c>
      <c r="AA69" s="99" t="s">
        <v>2842</v>
      </c>
    </row>
    <row r="70" spans="1:27" ht="17.25" customHeight="1">
      <c r="A70" s="65">
        <f>IF(priority(Main[[#This Row],[Comments]])&lt;&gt;0, priority(Main[[#This Row],[Comments]]),"")</f>
        <v>17</v>
      </c>
      <c r="B70" s="60" t="s">
        <v>3327</v>
      </c>
      <c r="C70" s="105" t="s">
        <v>2350</v>
      </c>
      <c r="D70" s="74" t="s">
        <v>3921</v>
      </c>
      <c r="E70" s="89">
        <v>40939.118807870371</v>
      </c>
      <c r="F70" s="89">
        <v>41030</v>
      </c>
      <c r="G70" s="65" t="str">
        <f>IF(stdProdLT(Main[[#This Row],[Comments]])=0.1,"N/A",IF(stdProdLT(Main[[#This Row],[Comments]])=0,"",TRIM(stdProdLT(Main[[#This Row],[Comments]]))))</f>
        <v>98</v>
      </c>
      <c r="H70" s="98">
        <f>IF(Main[[#This Row],[Std. Prod. Lead Time]]="N/A", "",IF(AND(Main[[#This Row],[In Stock Date]]&lt;&gt;"",Main[[#This Row],[Revised Due Date]]&lt;&gt;"",Main[[#This Row],[In Stock Date]]&lt;&gt;""),Main[[#This Row],[In Stock Date]]-Main[[#This Row],[Revised Due Date]],""))</f>
        <v>47</v>
      </c>
      <c r="I70" s="110" t="s">
        <v>2204</v>
      </c>
      <c r="J70" s="99" t="s">
        <v>75</v>
      </c>
      <c r="K70" s="99" t="s">
        <v>1920</v>
      </c>
      <c r="L70" s="89">
        <v>40954</v>
      </c>
      <c r="M70" s="75">
        <f>IF(Main[[#This Row],[Tech Start Date]]&lt;1/1/1990,"",IF(Main[[#This Row],[Class]]="C",WORKDAY(Main[[#This Row],[Tech Start Date]],9),IF(Main[[#This Row],[Class]]="B", WORKDAY(Main[[#This Row],[Tech Start Date]],6),IF(Main[[#This Row],[Class]]="A",WORKDAY(Main[[#This Row],[Tech Start Date]],2),""))))</f>
        <v>40962</v>
      </c>
      <c r="N70" s="75">
        <f>IF(Main[[#This Row],[Tech Start Date]]&lt;1/1/1990,"",IF(Main[[#This Row],[Class]]="C",WORKDAY(Main[[#This Row],[Tech Start Date]],19),IF(Main[[#This Row],[Class]]="B", WORKDAY(Main[[#This Row],[Tech Start Date]],12),IF(Main[[#This Row],[Class]]="A",WORKDAY(Main[[#This Row],[Tech Start Date]],4),""))))</f>
        <v>40970</v>
      </c>
      <c r="O70" s="75">
        <f>IF(Main[[#This Row],[Tech Start Date]]&lt;1/1/1990,"",IF(Main[[#This Row],[Class]]="C",WORKDAY(Main[[#This Row],[Tech Start Date]],23),IF(Main[[#This Row],[Class]]="B", WORKDAY(Main[[#This Row],[Tech Start Date]],15),IF(Main[[#This Row],[Class]]="A",WORKDAY(Main[[#This Row],[Tech Start Date]],5),""))))</f>
        <v>40975</v>
      </c>
      <c r="P70" s="75">
        <f>IF(Main[[#This Row],[Tech Start Date]]&lt;1/1/1990,"",IF(Main[[#This Row],[Class]]="C",WORKDAY(Main[[#This Row],[Tech Start Date]],28),IF(Main[[#This Row],[Class]]="B", WORKDAY(Main[[#This Row],[Tech Start Date]],19),IF(Main[[#This Row],[Class]]="A",WORKDAY(Main[[#This Row],[Tech Start Date]],9),""))))</f>
        <v>40981</v>
      </c>
      <c r="Q70" s="89">
        <v>40890</v>
      </c>
      <c r="R70" s="121">
        <v>40983</v>
      </c>
      <c r="S70" s="99" t="s">
        <v>11</v>
      </c>
      <c r="T70" s="76" t="s">
        <v>3815</v>
      </c>
      <c r="U70" s="99" t="s">
        <v>29</v>
      </c>
      <c r="V70" s="99" t="s">
        <v>1923</v>
      </c>
      <c r="W70" s="99" t="s">
        <v>1921</v>
      </c>
      <c r="X70" s="99" t="s">
        <v>2837</v>
      </c>
      <c r="Y70" s="73" t="s">
        <v>4</v>
      </c>
      <c r="Z70" s="73" t="s">
        <v>530</v>
      </c>
      <c r="AA70" s="99" t="s">
        <v>2837</v>
      </c>
    </row>
    <row r="71" spans="1:27" ht="17.25" customHeight="1">
      <c r="A71" s="65">
        <f>IF(priority(Main[[#This Row],[Comments]])&lt;&gt;0, priority(Main[[#This Row],[Comments]]),"")</f>
        <v>17</v>
      </c>
      <c r="B71" s="60" t="s">
        <v>3299</v>
      </c>
      <c r="C71" s="105" t="s">
        <v>3253</v>
      </c>
      <c r="D71" s="59" t="s">
        <v>3473</v>
      </c>
      <c r="E71" s="89">
        <v>40934.65960648148</v>
      </c>
      <c r="F71" s="89">
        <v>41065</v>
      </c>
      <c r="G71" s="65" t="str">
        <f>IF(stdProdLT(Main[[#This Row],[Comments]])=0.1,"N/A",IF(stdProdLT(Main[[#This Row],[Comments]])=0,"",TRIM(stdProdLT(Main[[#This Row],[Comments]]))))</f>
        <v>84</v>
      </c>
      <c r="H71" s="98">
        <f>IF(Main[[#This Row],[Std. Prod. Lead Time]]="N/A", "",IF(AND(Main[[#This Row],[In Stock Date]]&lt;&gt;"",Main[[#This Row],[Revised Due Date]]&lt;&gt;"",Main[[#This Row],[In Stock Date]]&lt;&gt;""),Main[[#This Row],[In Stock Date]]-Main[[#This Row],[Revised Due Date]],""))</f>
        <v>82</v>
      </c>
      <c r="I71" s="110" t="s">
        <v>126</v>
      </c>
      <c r="J71" s="99" t="s">
        <v>28</v>
      </c>
      <c r="K71" s="99" t="s">
        <v>1920</v>
      </c>
      <c r="L71" s="89">
        <v>40954</v>
      </c>
      <c r="M71" s="75">
        <f>IF(Main[[#This Row],[Tech Start Date]]&lt;1/1/1990,"",IF(Main[[#This Row],[Class]]="C",WORKDAY(Main[[#This Row],[Tech Start Date]],9),IF(Main[[#This Row],[Class]]="B", WORKDAY(Main[[#This Row],[Tech Start Date]],6),IF(Main[[#This Row],[Class]]="A",WORKDAY(Main[[#This Row],[Tech Start Date]],2),""))))</f>
        <v>40962</v>
      </c>
      <c r="N71" s="75">
        <f>IF(Main[[#This Row],[Tech Start Date]]&lt;1/1/1990,"",IF(Main[[#This Row],[Class]]="C",WORKDAY(Main[[#This Row],[Tech Start Date]],19),IF(Main[[#This Row],[Class]]="B", WORKDAY(Main[[#This Row],[Tech Start Date]],12),IF(Main[[#This Row],[Class]]="A",WORKDAY(Main[[#This Row],[Tech Start Date]],4),""))))</f>
        <v>40970</v>
      </c>
      <c r="O71" s="75">
        <f>IF(Main[[#This Row],[Tech Start Date]]&lt;1/1/1990,"",IF(Main[[#This Row],[Class]]="C",WORKDAY(Main[[#This Row],[Tech Start Date]],23),IF(Main[[#This Row],[Class]]="B", WORKDAY(Main[[#This Row],[Tech Start Date]],15),IF(Main[[#This Row],[Class]]="A",WORKDAY(Main[[#This Row],[Tech Start Date]],5),""))))</f>
        <v>40975</v>
      </c>
      <c r="P71" s="75">
        <f>IF(Main[[#This Row],[Tech Start Date]]&lt;1/1/1990,"",IF(Main[[#This Row],[Class]]="C",WORKDAY(Main[[#This Row],[Tech Start Date]],28),IF(Main[[#This Row],[Class]]="B", WORKDAY(Main[[#This Row],[Tech Start Date]],19),IF(Main[[#This Row],[Class]]="A",WORKDAY(Main[[#This Row],[Tech Start Date]],9),""))))</f>
        <v>40981</v>
      </c>
      <c r="Q71" s="89">
        <v>40983</v>
      </c>
      <c r="R71" s="121">
        <v>40983</v>
      </c>
      <c r="S71" s="99" t="s">
        <v>11</v>
      </c>
      <c r="T71" s="76" t="s">
        <v>3993</v>
      </c>
      <c r="U71" s="99" t="s">
        <v>29</v>
      </c>
      <c r="V71" s="99" t="s">
        <v>1913</v>
      </c>
      <c r="W71" s="99" t="s">
        <v>1921</v>
      </c>
      <c r="X71" s="99" t="s">
        <v>2823</v>
      </c>
      <c r="Y71" s="73" t="s">
        <v>2945</v>
      </c>
      <c r="Z71" s="73" t="s">
        <v>129</v>
      </c>
      <c r="AA71" s="99" t="s">
        <v>2823</v>
      </c>
    </row>
    <row r="72" spans="1:27" ht="17.25" customHeight="1">
      <c r="A72" s="65">
        <f>IF(priority(Main[[#This Row],[Comments]])&lt;&gt;0, priority(Main[[#This Row],[Comments]]),"")</f>
        <v>18</v>
      </c>
      <c r="B72" s="60" t="s">
        <v>2774</v>
      </c>
      <c r="C72" s="105" t="s">
        <v>2716</v>
      </c>
      <c r="D72" s="74" t="s">
        <v>2775</v>
      </c>
      <c r="E72" s="89">
        <v>40968.365127314813</v>
      </c>
      <c r="F72" s="89">
        <v>41061</v>
      </c>
      <c r="G72" s="65" t="str">
        <f>IF(stdProdLT(Main[[#This Row],[Comments]])=0.1,"N/A",IF(stdProdLT(Main[[#This Row],[Comments]])=0,"",TRIM(stdProdLT(Main[[#This Row],[Comments]]))))</f>
        <v>168</v>
      </c>
      <c r="H72" s="98" t="str">
        <f>IF(Main[[#This Row],[Std. Prod. Lead Time]]="N/A", "",IF(AND(Main[[#This Row],[In Stock Date]]&lt;&gt;"",Main[[#This Row],[Revised Due Date]]&lt;&gt;"",Main[[#This Row],[In Stock Date]]&lt;&gt;""),Main[[#This Row],[In Stock Date]]-Main[[#This Row],[Revised Due Date]],""))</f>
        <v/>
      </c>
      <c r="I72" s="110" t="s">
        <v>4</v>
      </c>
      <c r="J72" s="99" t="s">
        <v>4</v>
      </c>
      <c r="K72" s="99" t="s">
        <v>4</v>
      </c>
      <c r="L72" s="89"/>
      <c r="M72" s="75" t="str">
        <f>IF(Main[[#This Row],[Tech Start Date]]&lt;1/1/1990,"",IF(Main[[#This Row],[Class]]="C",WORKDAY(Main[[#This Row],[Tech Start Date]],9),IF(Main[[#This Row],[Class]]="B", WORKDAY(Main[[#This Row],[Tech Start Date]],6),IF(Main[[#This Row],[Class]]="A",WORKDAY(Main[[#This Row],[Tech Start Date]],2),""))))</f>
        <v/>
      </c>
      <c r="N72" s="75" t="str">
        <f>IF(Main[[#This Row],[Tech Start Date]]&lt;1/1/1990,"",IF(Main[[#This Row],[Class]]="C",WORKDAY(Main[[#This Row],[Tech Start Date]],19),IF(Main[[#This Row],[Class]]="B", WORKDAY(Main[[#This Row],[Tech Start Date]],12),IF(Main[[#This Row],[Class]]="A",WORKDAY(Main[[#This Row],[Tech Start Date]],4),""))))</f>
        <v/>
      </c>
      <c r="O72" s="75" t="str">
        <f>IF(Main[[#This Row],[Tech Start Date]]&lt;1/1/1990,"",IF(Main[[#This Row],[Class]]="C",WORKDAY(Main[[#This Row],[Tech Start Date]],23),IF(Main[[#This Row],[Class]]="B", WORKDAY(Main[[#This Row],[Tech Start Date]],15),IF(Main[[#This Row],[Class]]="A",WORKDAY(Main[[#This Row],[Tech Start Date]],5),""))))</f>
        <v/>
      </c>
      <c r="P72" s="75" t="str">
        <f>IF(Main[[#This Row],[Tech Start Date]]&lt;1/1/1990,"",IF(Main[[#This Row],[Class]]="C",WORKDAY(Main[[#This Row],[Tech Start Date]],28),IF(Main[[#This Row],[Class]]="B", WORKDAY(Main[[#This Row],[Tech Start Date]],19),IF(Main[[#This Row],[Class]]="A",WORKDAY(Main[[#This Row],[Tech Start Date]],9),""))))</f>
        <v/>
      </c>
      <c r="Q72" s="89"/>
      <c r="R72" s="121"/>
      <c r="S72" s="99" t="s">
        <v>11</v>
      </c>
      <c r="T72" s="76" t="s">
        <v>3881</v>
      </c>
      <c r="U72" s="99" t="s">
        <v>7</v>
      </c>
      <c r="V72" s="99" t="s">
        <v>1916</v>
      </c>
      <c r="W72" s="99" t="s">
        <v>1918</v>
      </c>
      <c r="X72" s="99" t="s">
        <v>2887</v>
      </c>
      <c r="Y72" s="73" t="s">
        <v>3049</v>
      </c>
      <c r="Z72" s="73" t="s">
        <v>4</v>
      </c>
      <c r="AA72" s="99" t="s">
        <v>2887</v>
      </c>
    </row>
    <row r="73" spans="1:27" ht="17.25" customHeight="1">
      <c r="A73" s="65">
        <f>IF(priority(Main[[#This Row],[Comments]])&lt;&gt;0, priority(Main[[#This Row],[Comments]]),"")</f>
        <v>18</v>
      </c>
      <c r="B73" s="60" t="s">
        <v>1233</v>
      </c>
      <c r="C73" s="105" t="s">
        <v>294</v>
      </c>
      <c r="D73" s="74" t="s">
        <v>2306</v>
      </c>
      <c r="E73" s="89">
        <v>40466.671342592592</v>
      </c>
      <c r="F73" s="89"/>
      <c r="G73" s="65" t="str">
        <f>IF(stdProdLT(Main[[#This Row],[Comments]])=0.1,"N/A",IF(stdProdLT(Main[[#This Row],[Comments]])=0,"",TRIM(stdProdLT(Main[[#This Row],[Comments]]))))</f>
        <v/>
      </c>
      <c r="H73" s="98" t="str">
        <f>IF(Main[[#This Row],[Std. Prod. Lead Time]]="N/A", "",IF(AND(Main[[#This Row],[In Stock Date]]&lt;&gt;"",Main[[#This Row],[Revised Due Date]]&lt;&gt;"",Main[[#This Row],[In Stock Date]]&lt;&gt;""),Main[[#This Row],[In Stock Date]]-Main[[#This Row],[Revised Due Date]],""))</f>
        <v/>
      </c>
      <c r="I73" s="110" t="s">
        <v>4</v>
      </c>
      <c r="J73" s="99" t="s">
        <v>28</v>
      </c>
      <c r="K73" s="99" t="s">
        <v>4</v>
      </c>
      <c r="L73" s="89"/>
      <c r="M73" s="75" t="str">
        <f>IF(Main[[#This Row],[Tech Start Date]]&lt;1/1/1990,"",IF(Main[[#This Row],[Class]]="C",WORKDAY(Main[[#This Row],[Tech Start Date]],9),IF(Main[[#This Row],[Class]]="B", WORKDAY(Main[[#This Row],[Tech Start Date]],6),IF(Main[[#This Row],[Class]]="A",WORKDAY(Main[[#This Row],[Tech Start Date]],2),""))))</f>
        <v/>
      </c>
      <c r="N73" s="75" t="str">
        <f>IF(Main[[#This Row],[Tech Start Date]]&lt;1/1/1990,"",IF(Main[[#This Row],[Class]]="C",WORKDAY(Main[[#This Row],[Tech Start Date]],19),IF(Main[[#This Row],[Class]]="B", WORKDAY(Main[[#This Row],[Tech Start Date]],12),IF(Main[[#This Row],[Class]]="A",WORKDAY(Main[[#This Row],[Tech Start Date]],4),""))))</f>
        <v/>
      </c>
      <c r="O73" s="75" t="str">
        <f>IF(Main[[#This Row],[Tech Start Date]]&lt;1/1/1990,"",IF(Main[[#This Row],[Class]]="C",WORKDAY(Main[[#This Row],[Tech Start Date]],23),IF(Main[[#This Row],[Class]]="B", WORKDAY(Main[[#This Row],[Tech Start Date]],15),IF(Main[[#This Row],[Class]]="A",WORKDAY(Main[[#This Row],[Tech Start Date]],5),""))))</f>
        <v/>
      </c>
      <c r="P73" s="75" t="str">
        <f>IF(Main[[#This Row],[Tech Start Date]]&lt;1/1/1990,"",IF(Main[[#This Row],[Class]]="C",WORKDAY(Main[[#This Row],[Tech Start Date]],28),IF(Main[[#This Row],[Class]]="B", WORKDAY(Main[[#This Row],[Tech Start Date]],19),IF(Main[[#This Row],[Class]]="A",WORKDAY(Main[[#This Row],[Tech Start Date]],9),""))))</f>
        <v/>
      </c>
      <c r="Q73" s="89"/>
      <c r="R73" s="121"/>
      <c r="S73" s="99" t="s">
        <v>6</v>
      </c>
      <c r="T73" s="76" t="s">
        <v>2653</v>
      </c>
      <c r="U73" s="99" t="s">
        <v>7</v>
      </c>
      <c r="V73" s="99" t="s">
        <v>1913</v>
      </c>
      <c r="W73" s="99" t="s">
        <v>1921</v>
      </c>
      <c r="X73" s="99" t="s">
        <v>883</v>
      </c>
      <c r="Y73" s="73" t="s">
        <v>2957</v>
      </c>
      <c r="Z73" s="73" t="s">
        <v>129</v>
      </c>
      <c r="AA73" s="99" t="s">
        <v>883</v>
      </c>
    </row>
    <row r="74" spans="1:27" ht="17.25" customHeight="1">
      <c r="A74" s="65">
        <f>IF(priority(Main[[#This Row],[Comments]])&lt;&gt;0, priority(Main[[#This Row],[Comments]]),"")</f>
        <v>18</v>
      </c>
      <c r="B74" s="60" t="s">
        <v>3252</v>
      </c>
      <c r="C74" s="105" t="s">
        <v>3253</v>
      </c>
      <c r="D74" s="74" t="s">
        <v>3323</v>
      </c>
      <c r="E74" s="89">
        <v>40934.707789351851</v>
      </c>
      <c r="F74" s="89">
        <v>41065</v>
      </c>
      <c r="G74" s="65" t="str">
        <f>IF(stdProdLT(Main[[#This Row],[Comments]])=0.1,"N/A",IF(stdProdLT(Main[[#This Row],[Comments]])=0,"",TRIM(stdProdLT(Main[[#This Row],[Comments]]))))</f>
        <v>84</v>
      </c>
      <c r="H74" s="98">
        <f>IF(Main[[#This Row],[Std. Prod. Lead Time]]="N/A", "",IF(AND(Main[[#This Row],[In Stock Date]]&lt;&gt;"",Main[[#This Row],[Revised Due Date]]&lt;&gt;"",Main[[#This Row],[In Stock Date]]&lt;&gt;""),Main[[#This Row],[In Stock Date]]-Main[[#This Row],[Revised Due Date]],""))</f>
        <v>82</v>
      </c>
      <c r="I74" s="110" t="s">
        <v>126</v>
      </c>
      <c r="J74" s="99" t="s">
        <v>4</v>
      </c>
      <c r="K74" s="99" t="s">
        <v>1926</v>
      </c>
      <c r="L74" s="89">
        <v>40956</v>
      </c>
      <c r="M74" s="75">
        <f>IF(Main[[#This Row],[Tech Start Date]]&lt;1/1/1990,"",IF(Main[[#This Row],[Class]]="C",WORKDAY(Main[[#This Row],[Tech Start Date]],9),IF(Main[[#This Row],[Class]]="B", WORKDAY(Main[[#This Row],[Tech Start Date]],6),IF(Main[[#This Row],[Class]]="A",WORKDAY(Main[[#This Row],[Tech Start Date]],2),""))))</f>
        <v>40969</v>
      </c>
      <c r="N74" s="75">
        <f>IF(Main[[#This Row],[Tech Start Date]]&lt;1/1/1990,"",IF(Main[[#This Row],[Class]]="C",WORKDAY(Main[[#This Row],[Tech Start Date]],19),IF(Main[[#This Row],[Class]]="B", WORKDAY(Main[[#This Row],[Tech Start Date]],12),IF(Main[[#This Row],[Class]]="A",WORKDAY(Main[[#This Row],[Tech Start Date]],4),""))))</f>
        <v>40983</v>
      </c>
      <c r="O74" s="75">
        <f>IF(Main[[#This Row],[Tech Start Date]]&lt;1/1/1990,"",IF(Main[[#This Row],[Class]]="C",WORKDAY(Main[[#This Row],[Tech Start Date]],23),IF(Main[[#This Row],[Class]]="B", WORKDAY(Main[[#This Row],[Tech Start Date]],15),IF(Main[[#This Row],[Class]]="A",WORKDAY(Main[[#This Row],[Tech Start Date]],5),""))))</f>
        <v>40989</v>
      </c>
      <c r="P74" s="75">
        <f>IF(Main[[#This Row],[Tech Start Date]]&lt;1/1/1990,"",IF(Main[[#This Row],[Class]]="C",WORKDAY(Main[[#This Row],[Tech Start Date]],28),IF(Main[[#This Row],[Class]]="B", WORKDAY(Main[[#This Row],[Tech Start Date]],19),IF(Main[[#This Row],[Class]]="A",WORKDAY(Main[[#This Row],[Tech Start Date]],9),""))))</f>
        <v>40996</v>
      </c>
      <c r="Q74" s="89">
        <v>40945</v>
      </c>
      <c r="R74" s="121">
        <v>40983</v>
      </c>
      <c r="S74" s="99" t="s">
        <v>11</v>
      </c>
      <c r="T74" s="76" t="s">
        <v>3997</v>
      </c>
      <c r="U74" s="99" t="s">
        <v>29</v>
      </c>
      <c r="V74" s="99" t="s">
        <v>1913</v>
      </c>
      <c r="W74" s="99" t="s">
        <v>1921</v>
      </c>
      <c r="X74" s="99" t="s">
        <v>2823</v>
      </c>
      <c r="Y74" s="73" t="s">
        <v>2945</v>
      </c>
      <c r="Z74" s="73" t="s">
        <v>129</v>
      </c>
      <c r="AA74" s="99" t="s">
        <v>2823</v>
      </c>
    </row>
    <row r="75" spans="1:27" ht="17.25" customHeight="1">
      <c r="A75" s="65">
        <f>IF(priority(Main[[#This Row],[Comments]])&lt;&gt;0, priority(Main[[#This Row],[Comments]]),"")</f>
        <v>19</v>
      </c>
      <c r="B75" s="60" t="s">
        <v>1580</v>
      </c>
      <c r="C75" s="105" t="s">
        <v>122</v>
      </c>
      <c r="D75" s="74" t="s">
        <v>661</v>
      </c>
      <c r="E75" s="89"/>
      <c r="F75" s="89">
        <v>40704</v>
      </c>
      <c r="G75" s="65" t="str">
        <f>IF(stdProdLT(Main[[#This Row],[Comments]])=0.1,"N/A",IF(stdProdLT(Main[[#This Row],[Comments]])=0,"",TRIM(stdProdLT(Main[[#This Row],[Comments]]))))</f>
        <v/>
      </c>
      <c r="H75" s="98" t="str">
        <f>IF(Main[[#This Row],[Std. Prod. Lead Time]]="N/A", "",IF(AND(Main[[#This Row],[In Stock Date]]&lt;&gt;"",Main[[#This Row],[Revised Due Date]]&lt;&gt;"",Main[[#This Row],[In Stock Date]]&lt;&gt;""),Main[[#This Row],[In Stock Date]]-Main[[#This Row],[Revised Due Date]],""))</f>
        <v/>
      </c>
      <c r="I75" s="110" t="s">
        <v>4</v>
      </c>
      <c r="J75" s="99" t="s">
        <v>28</v>
      </c>
      <c r="K75" s="99" t="s">
        <v>1922</v>
      </c>
      <c r="L75" s="89"/>
      <c r="M75" s="75" t="str">
        <f>IF(Main[[#This Row],[Tech Start Date]]&lt;1/1/1990,"",IF(Main[[#This Row],[Class]]="C",WORKDAY(Main[[#This Row],[Tech Start Date]],9),IF(Main[[#This Row],[Class]]="B", WORKDAY(Main[[#This Row],[Tech Start Date]],6),IF(Main[[#This Row],[Class]]="A",WORKDAY(Main[[#This Row],[Tech Start Date]],2),""))))</f>
        <v/>
      </c>
      <c r="N75" s="75" t="str">
        <f>IF(Main[[#This Row],[Tech Start Date]]&lt;1/1/1990,"",IF(Main[[#This Row],[Class]]="C",WORKDAY(Main[[#This Row],[Tech Start Date]],19),IF(Main[[#This Row],[Class]]="B", WORKDAY(Main[[#This Row],[Tech Start Date]],12),IF(Main[[#This Row],[Class]]="A",WORKDAY(Main[[#This Row],[Tech Start Date]],4),""))))</f>
        <v/>
      </c>
      <c r="O75" s="75" t="str">
        <f>IF(Main[[#This Row],[Tech Start Date]]&lt;1/1/1990,"",IF(Main[[#This Row],[Class]]="C",WORKDAY(Main[[#This Row],[Tech Start Date]],23),IF(Main[[#This Row],[Class]]="B", WORKDAY(Main[[#This Row],[Tech Start Date]],15),IF(Main[[#This Row],[Class]]="A",WORKDAY(Main[[#This Row],[Tech Start Date]],5),""))))</f>
        <v/>
      </c>
      <c r="P75" s="75" t="str">
        <f>IF(Main[[#This Row],[Tech Start Date]]&lt;1/1/1990,"",IF(Main[[#This Row],[Class]]="C",WORKDAY(Main[[#This Row],[Tech Start Date]],28),IF(Main[[#This Row],[Class]]="B", WORKDAY(Main[[#This Row],[Tech Start Date]],19),IF(Main[[#This Row],[Class]]="A",WORKDAY(Main[[#This Row],[Tech Start Date]],9),""))))</f>
        <v/>
      </c>
      <c r="Q75" s="89">
        <v>40704</v>
      </c>
      <c r="R75" s="121"/>
      <c r="S75" s="99" t="s">
        <v>11</v>
      </c>
      <c r="T75" s="76" t="s">
        <v>1975</v>
      </c>
      <c r="U75" s="99" t="s">
        <v>14</v>
      </c>
      <c r="V75" s="99" t="s">
        <v>1913</v>
      </c>
      <c r="W75" s="99" t="s">
        <v>1915</v>
      </c>
      <c r="X75" s="99" t="s">
        <v>2846</v>
      </c>
      <c r="Y75" s="73" t="s">
        <v>2984</v>
      </c>
      <c r="Z75" s="73" t="s">
        <v>129</v>
      </c>
      <c r="AA75" s="99" t="s">
        <v>2846</v>
      </c>
    </row>
    <row r="76" spans="1:27" ht="17.25" customHeight="1">
      <c r="A76" s="65">
        <f>IF(priority(Main[[#This Row],[Comments]])&lt;&gt;0, priority(Main[[#This Row],[Comments]]),"")</f>
        <v>19</v>
      </c>
      <c r="B76" s="60" t="s">
        <v>2715</v>
      </c>
      <c r="C76" s="105" t="s">
        <v>2716</v>
      </c>
      <c r="D76" s="74" t="s">
        <v>3601</v>
      </c>
      <c r="E76" s="89">
        <v>40968.374976851854</v>
      </c>
      <c r="F76" s="89">
        <v>41061</v>
      </c>
      <c r="G76" s="65" t="str">
        <f>IF(stdProdLT(Main[[#This Row],[Comments]])=0.1,"N/A",IF(stdProdLT(Main[[#This Row],[Comments]])=0,"",TRIM(stdProdLT(Main[[#This Row],[Comments]]))))</f>
        <v>168</v>
      </c>
      <c r="H76" s="98" t="str">
        <f>IF(Main[[#This Row],[Std. Prod. Lead Time]]="N/A", "",IF(AND(Main[[#This Row],[In Stock Date]]&lt;&gt;"",Main[[#This Row],[Revised Due Date]]&lt;&gt;"",Main[[#This Row],[In Stock Date]]&lt;&gt;""),Main[[#This Row],[In Stock Date]]-Main[[#This Row],[Revised Due Date]],""))</f>
        <v/>
      </c>
      <c r="I76" s="110" t="s">
        <v>4</v>
      </c>
      <c r="J76" s="99" t="s">
        <v>4</v>
      </c>
      <c r="K76" s="99" t="s">
        <v>4</v>
      </c>
      <c r="L76" s="89"/>
      <c r="M76" s="75" t="str">
        <f>IF(Main[[#This Row],[Tech Start Date]]&lt;1/1/1990,"",IF(Main[[#This Row],[Class]]="C",WORKDAY(Main[[#This Row],[Tech Start Date]],9),IF(Main[[#This Row],[Class]]="B", WORKDAY(Main[[#This Row],[Tech Start Date]],6),IF(Main[[#This Row],[Class]]="A",WORKDAY(Main[[#This Row],[Tech Start Date]],2),""))))</f>
        <v/>
      </c>
      <c r="N76" s="75" t="str">
        <f>IF(Main[[#This Row],[Tech Start Date]]&lt;1/1/1990,"",IF(Main[[#This Row],[Class]]="C",WORKDAY(Main[[#This Row],[Tech Start Date]],19),IF(Main[[#This Row],[Class]]="B", WORKDAY(Main[[#This Row],[Tech Start Date]],12),IF(Main[[#This Row],[Class]]="A",WORKDAY(Main[[#This Row],[Tech Start Date]],4),""))))</f>
        <v/>
      </c>
      <c r="O76" s="75" t="str">
        <f>IF(Main[[#This Row],[Tech Start Date]]&lt;1/1/1990,"",IF(Main[[#This Row],[Class]]="C",WORKDAY(Main[[#This Row],[Tech Start Date]],23),IF(Main[[#This Row],[Class]]="B", WORKDAY(Main[[#This Row],[Tech Start Date]],15),IF(Main[[#This Row],[Class]]="A",WORKDAY(Main[[#This Row],[Tech Start Date]],5),""))))</f>
        <v/>
      </c>
      <c r="P76" s="75" t="str">
        <f>IF(Main[[#This Row],[Tech Start Date]]&lt;1/1/1990,"",IF(Main[[#This Row],[Class]]="C",WORKDAY(Main[[#This Row],[Tech Start Date]],28),IF(Main[[#This Row],[Class]]="B", WORKDAY(Main[[#This Row],[Tech Start Date]],19),IF(Main[[#This Row],[Class]]="A",WORKDAY(Main[[#This Row],[Tech Start Date]],9),""))))</f>
        <v/>
      </c>
      <c r="Q76" s="89"/>
      <c r="R76" s="121"/>
      <c r="S76" s="99" t="s">
        <v>11</v>
      </c>
      <c r="T76" s="76" t="s">
        <v>3879</v>
      </c>
      <c r="U76" s="99" t="s">
        <v>7</v>
      </c>
      <c r="V76" s="99" t="s">
        <v>1916</v>
      </c>
      <c r="W76" s="99" t="s">
        <v>1918</v>
      </c>
      <c r="X76" s="99" t="s">
        <v>2887</v>
      </c>
      <c r="Y76" s="73" t="s">
        <v>3049</v>
      </c>
      <c r="Z76" s="73" t="s">
        <v>4</v>
      </c>
      <c r="AA76" s="99" t="s">
        <v>2887</v>
      </c>
    </row>
    <row r="77" spans="1:27" ht="17.25" customHeight="1">
      <c r="A77" s="65">
        <f>IF(priority(Main[[#This Row],[Comments]])&lt;&gt;0, priority(Main[[#This Row],[Comments]]),"")</f>
        <v>19</v>
      </c>
      <c r="B77" s="60" t="s">
        <v>3810</v>
      </c>
      <c r="C77" s="105" t="s">
        <v>3811</v>
      </c>
      <c r="D77" s="74" t="s">
        <v>3812</v>
      </c>
      <c r="E77" s="89">
        <v>40953.697708333333</v>
      </c>
      <c r="F77" s="89">
        <v>41154</v>
      </c>
      <c r="G77" s="65" t="str">
        <f>IF(stdProdLT(Main[[#This Row],[Comments]])=0.1,"N/A",IF(stdProdLT(Main[[#This Row],[Comments]])=0,"",TRIM(stdProdLT(Main[[#This Row],[Comments]]))))</f>
        <v>126</v>
      </c>
      <c r="H77" s="98">
        <f>IF(Main[[#This Row],[Std. Prod. Lead Time]]="N/A", "",IF(AND(Main[[#This Row],[In Stock Date]]&lt;&gt;"",Main[[#This Row],[Revised Due Date]]&lt;&gt;"",Main[[#This Row],[In Stock Date]]&lt;&gt;""),Main[[#This Row],[In Stock Date]]-Main[[#This Row],[Revised Due Date]],""))</f>
        <v>165</v>
      </c>
      <c r="I77" s="110" t="s">
        <v>561</v>
      </c>
      <c r="J77" s="99" t="s">
        <v>28</v>
      </c>
      <c r="K77" s="99" t="s">
        <v>1920</v>
      </c>
      <c r="L77" s="89">
        <v>40954</v>
      </c>
      <c r="M77" s="75">
        <f>IF(Main[[#This Row],[Tech Start Date]]&lt;1/1/1990,"",IF(Main[[#This Row],[Class]]="C",WORKDAY(Main[[#This Row],[Tech Start Date]],9),IF(Main[[#This Row],[Class]]="B", WORKDAY(Main[[#This Row],[Tech Start Date]],6),IF(Main[[#This Row],[Class]]="A",WORKDAY(Main[[#This Row],[Tech Start Date]],2),""))))</f>
        <v>40962</v>
      </c>
      <c r="N77" s="75">
        <f>IF(Main[[#This Row],[Tech Start Date]]&lt;1/1/1990,"",IF(Main[[#This Row],[Class]]="C",WORKDAY(Main[[#This Row],[Tech Start Date]],19),IF(Main[[#This Row],[Class]]="B", WORKDAY(Main[[#This Row],[Tech Start Date]],12),IF(Main[[#This Row],[Class]]="A",WORKDAY(Main[[#This Row],[Tech Start Date]],4),""))))</f>
        <v>40970</v>
      </c>
      <c r="O77" s="75">
        <f>IF(Main[[#This Row],[Tech Start Date]]&lt;1/1/1990,"",IF(Main[[#This Row],[Class]]="C",WORKDAY(Main[[#This Row],[Tech Start Date]],23),IF(Main[[#This Row],[Class]]="B", WORKDAY(Main[[#This Row],[Tech Start Date]],15),IF(Main[[#This Row],[Class]]="A",WORKDAY(Main[[#This Row],[Tech Start Date]],5),""))))</f>
        <v>40975</v>
      </c>
      <c r="P77" s="75">
        <f>IF(Main[[#This Row],[Tech Start Date]]&lt;1/1/1990,"",IF(Main[[#This Row],[Class]]="C",WORKDAY(Main[[#This Row],[Tech Start Date]],28),IF(Main[[#This Row],[Class]]="B", WORKDAY(Main[[#This Row],[Tech Start Date]],19),IF(Main[[#This Row],[Class]]="A",WORKDAY(Main[[#This Row],[Tech Start Date]],9),""))))</f>
        <v>40981</v>
      </c>
      <c r="Q77" s="89"/>
      <c r="R77" s="121">
        <v>40989</v>
      </c>
      <c r="S77" s="99" t="s">
        <v>11</v>
      </c>
      <c r="T77" s="76" t="s">
        <v>3994</v>
      </c>
      <c r="U77" s="99" t="s">
        <v>29</v>
      </c>
      <c r="V77" s="99" t="s">
        <v>1913</v>
      </c>
      <c r="W77" s="99" t="s">
        <v>1919</v>
      </c>
      <c r="X77" s="99" t="s">
        <v>2846</v>
      </c>
      <c r="Y77" s="73" t="s">
        <v>2984</v>
      </c>
      <c r="Z77" s="73" t="s">
        <v>129</v>
      </c>
      <c r="AA77" s="99" t="s">
        <v>2846</v>
      </c>
    </row>
    <row r="78" spans="1:27" ht="17.25" customHeight="1">
      <c r="A78" s="65">
        <f>IF(priority(Main[[#This Row],[Comments]])&lt;&gt;0, priority(Main[[#This Row],[Comments]]),"")</f>
        <v>20</v>
      </c>
      <c r="B78" s="60" t="s">
        <v>1900</v>
      </c>
      <c r="C78" s="105" t="s">
        <v>952</v>
      </c>
      <c r="D78" s="74" t="s">
        <v>2033</v>
      </c>
      <c r="E78" s="89"/>
      <c r="F78" s="89"/>
      <c r="G78" s="65" t="str">
        <f>IF(stdProdLT(Main[[#This Row],[Comments]])=0.1,"N/A",IF(stdProdLT(Main[[#This Row],[Comments]])=0,"",TRIM(stdProdLT(Main[[#This Row],[Comments]]))))</f>
        <v>112</v>
      </c>
      <c r="H78" s="98" t="str">
        <f>IF(Main[[#This Row],[Std. Prod. Lead Time]]="N/A", "",IF(AND(Main[[#This Row],[In Stock Date]]&lt;&gt;"",Main[[#This Row],[Revised Due Date]]&lt;&gt;"",Main[[#This Row],[In Stock Date]]&lt;&gt;""),Main[[#This Row],[In Stock Date]]-Main[[#This Row],[Revised Due Date]],""))</f>
        <v/>
      </c>
      <c r="I78" s="110" t="s">
        <v>50</v>
      </c>
      <c r="J78" s="99" t="s">
        <v>52</v>
      </c>
      <c r="K78" s="99" t="s">
        <v>1926</v>
      </c>
      <c r="L78" s="89"/>
      <c r="M78" s="75" t="str">
        <f>IF(Main[[#This Row],[Tech Start Date]]&lt;1/1/1990,"",IF(Main[[#This Row],[Class]]="C",WORKDAY(Main[[#This Row],[Tech Start Date]],9),IF(Main[[#This Row],[Class]]="B", WORKDAY(Main[[#This Row],[Tech Start Date]],6),IF(Main[[#This Row],[Class]]="A",WORKDAY(Main[[#This Row],[Tech Start Date]],2),""))))</f>
        <v/>
      </c>
      <c r="N78" s="75" t="str">
        <f>IF(Main[[#This Row],[Tech Start Date]]&lt;1/1/1990,"",IF(Main[[#This Row],[Class]]="C",WORKDAY(Main[[#This Row],[Tech Start Date]],19),IF(Main[[#This Row],[Class]]="B", WORKDAY(Main[[#This Row],[Tech Start Date]],12),IF(Main[[#This Row],[Class]]="A",WORKDAY(Main[[#This Row],[Tech Start Date]],4),""))))</f>
        <v/>
      </c>
      <c r="O78" s="75" t="str">
        <f>IF(Main[[#This Row],[Tech Start Date]]&lt;1/1/1990,"",IF(Main[[#This Row],[Class]]="C",WORKDAY(Main[[#This Row],[Tech Start Date]],23),IF(Main[[#This Row],[Class]]="B", WORKDAY(Main[[#This Row],[Tech Start Date]],15),IF(Main[[#This Row],[Class]]="A",WORKDAY(Main[[#This Row],[Tech Start Date]],5),""))))</f>
        <v/>
      </c>
      <c r="P78" s="75" t="str">
        <f>IF(Main[[#This Row],[Tech Start Date]]&lt;1/1/1990,"",IF(Main[[#This Row],[Class]]="C",WORKDAY(Main[[#This Row],[Tech Start Date]],28),IF(Main[[#This Row],[Class]]="B", WORKDAY(Main[[#This Row],[Tech Start Date]],19),IF(Main[[#This Row],[Class]]="A",WORKDAY(Main[[#This Row],[Tech Start Date]],9),""))))</f>
        <v/>
      </c>
      <c r="Q78" s="89">
        <v>40598</v>
      </c>
      <c r="R78" s="121">
        <v>40786</v>
      </c>
      <c r="S78" s="99" t="s">
        <v>11</v>
      </c>
      <c r="T78" s="76" t="s">
        <v>2119</v>
      </c>
      <c r="U78" s="99" t="s">
        <v>14</v>
      </c>
      <c r="V78" s="99" t="s">
        <v>1914</v>
      </c>
      <c r="W78" s="99" t="s">
        <v>1915</v>
      </c>
      <c r="X78" s="99" t="s">
        <v>2810</v>
      </c>
      <c r="Y78" s="73" t="s">
        <v>2922</v>
      </c>
      <c r="Z78" s="73" t="s">
        <v>2049</v>
      </c>
      <c r="AA78" s="99" t="s">
        <v>2810</v>
      </c>
    </row>
    <row r="79" spans="1:27" ht="17.25" customHeight="1">
      <c r="A79" s="65">
        <f>IF(priority(Main[[#This Row],[Comments]])&lt;&gt;0, priority(Main[[#This Row],[Comments]]),"")</f>
        <v>20</v>
      </c>
      <c r="B79" s="60" t="s">
        <v>1952</v>
      </c>
      <c r="C79" s="105" t="s">
        <v>4</v>
      </c>
      <c r="D79" s="74" t="s">
        <v>2265</v>
      </c>
      <c r="E79" s="89">
        <v>40722.471516203703</v>
      </c>
      <c r="F79" s="89"/>
      <c r="G79" s="65" t="str">
        <f>IF(stdProdLT(Main[[#This Row],[Comments]])=0.1,"N/A",IF(stdProdLT(Main[[#This Row],[Comments]])=0,"",TRIM(stdProdLT(Main[[#This Row],[Comments]]))))</f>
        <v>N/A</v>
      </c>
      <c r="H79" s="98" t="str">
        <f>IF(Main[[#This Row],[Std. Prod. Lead Time]]="N/A", "",IF(AND(Main[[#This Row],[In Stock Date]]&lt;&gt;"",Main[[#This Row],[Revised Due Date]]&lt;&gt;"",Main[[#This Row],[In Stock Date]]&lt;&gt;""),Main[[#This Row],[In Stock Date]]-Main[[#This Row],[Revised Due Date]],""))</f>
        <v/>
      </c>
      <c r="I79" s="110" t="s">
        <v>912</v>
      </c>
      <c r="J79" s="99" t="s">
        <v>21</v>
      </c>
      <c r="K79" s="99" t="s">
        <v>1922</v>
      </c>
      <c r="L79" s="89"/>
      <c r="M79" s="75" t="str">
        <f>IF(Main[[#This Row],[Tech Start Date]]&lt;1/1/1990,"",IF(Main[[#This Row],[Class]]="C",WORKDAY(Main[[#This Row],[Tech Start Date]],9),IF(Main[[#This Row],[Class]]="B", WORKDAY(Main[[#This Row],[Tech Start Date]],6),IF(Main[[#This Row],[Class]]="A",WORKDAY(Main[[#This Row],[Tech Start Date]],2),""))))</f>
        <v/>
      </c>
      <c r="N79" s="75" t="str">
        <f>IF(Main[[#This Row],[Tech Start Date]]&lt;1/1/1990,"",IF(Main[[#This Row],[Class]]="C",WORKDAY(Main[[#This Row],[Tech Start Date]],19),IF(Main[[#This Row],[Class]]="B", WORKDAY(Main[[#This Row],[Tech Start Date]],12),IF(Main[[#This Row],[Class]]="A",WORKDAY(Main[[#This Row],[Tech Start Date]],4),""))))</f>
        <v/>
      </c>
      <c r="O79" s="75" t="str">
        <f>IF(Main[[#This Row],[Tech Start Date]]&lt;1/1/1990,"",IF(Main[[#This Row],[Class]]="C",WORKDAY(Main[[#This Row],[Tech Start Date]],23),IF(Main[[#This Row],[Class]]="B", WORKDAY(Main[[#This Row],[Tech Start Date]],15),IF(Main[[#This Row],[Class]]="A",WORKDAY(Main[[#This Row],[Tech Start Date]],5),""))))</f>
        <v/>
      </c>
      <c r="P79" s="75" t="str">
        <f>IF(Main[[#This Row],[Tech Start Date]]&lt;1/1/1990,"",IF(Main[[#This Row],[Class]]="C",WORKDAY(Main[[#This Row],[Tech Start Date]],28),IF(Main[[#This Row],[Class]]="B", WORKDAY(Main[[#This Row],[Tech Start Date]],19),IF(Main[[#This Row],[Class]]="A",WORKDAY(Main[[#This Row],[Tech Start Date]],9),""))))</f>
        <v/>
      </c>
      <c r="Q79" s="89">
        <v>40753</v>
      </c>
      <c r="R79" s="121">
        <v>40756</v>
      </c>
      <c r="S79" s="99" t="s">
        <v>6</v>
      </c>
      <c r="T79" s="76" t="s">
        <v>2652</v>
      </c>
      <c r="U79" s="99" t="s">
        <v>29</v>
      </c>
      <c r="V79" s="99" t="s">
        <v>1913</v>
      </c>
      <c r="W79" s="99" t="s">
        <v>1917</v>
      </c>
      <c r="X79" s="99" t="s">
        <v>2812</v>
      </c>
      <c r="Y79" s="73" t="s">
        <v>2923</v>
      </c>
      <c r="Z79" s="73" t="s">
        <v>129</v>
      </c>
      <c r="AA79" s="99" t="s">
        <v>2812</v>
      </c>
    </row>
    <row r="80" spans="1:27" ht="17.25" customHeight="1">
      <c r="A80" s="65">
        <f>IF(priority(Main[[#This Row],[Comments]])&lt;&gt;0, priority(Main[[#This Row],[Comments]]),"")</f>
        <v>20</v>
      </c>
      <c r="B80" s="60" t="s">
        <v>2638</v>
      </c>
      <c r="C80" s="105" t="s">
        <v>53</v>
      </c>
      <c r="D80" s="74" t="s">
        <v>2639</v>
      </c>
      <c r="E80" s="89"/>
      <c r="F80" s="89"/>
      <c r="G80" s="65" t="str">
        <f>IF(stdProdLT(Main[[#This Row],[Comments]])=0.1,"N/A",IF(stdProdLT(Main[[#This Row],[Comments]])=0,"",TRIM(stdProdLT(Main[[#This Row],[Comments]]))))</f>
        <v>N/A</v>
      </c>
      <c r="H80" s="98" t="str">
        <f>IF(Main[[#This Row],[Std. Prod. Lead Time]]="N/A", "",IF(AND(Main[[#This Row],[In Stock Date]]&lt;&gt;"",Main[[#This Row],[Revised Due Date]]&lt;&gt;"",Main[[#This Row],[In Stock Date]]&lt;&gt;""),Main[[#This Row],[In Stock Date]]-Main[[#This Row],[Revised Due Date]],""))</f>
        <v/>
      </c>
      <c r="I80" s="110" t="s">
        <v>941</v>
      </c>
      <c r="J80" s="99" t="s">
        <v>28</v>
      </c>
      <c r="K80" s="99" t="s">
        <v>1920</v>
      </c>
      <c r="L80" s="89">
        <v>40854</v>
      </c>
      <c r="M80" s="75">
        <f>IF(Main[[#This Row],[Tech Start Date]]&lt;1/1/1990,"",IF(Main[[#This Row],[Class]]="C",WORKDAY(Main[[#This Row],[Tech Start Date]],9),IF(Main[[#This Row],[Class]]="B", WORKDAY(Main[[#This Row],[Tech Start Date]],6),IF(Main[[#This Row],[Class]]="A",WORKDAY(Main[[#This Row],[Tech Start Date]],2),""))))</f>
        <v>40862</v>
      </c>
      <c r="N80" s="75">
        <f>IF(Main[[#This Row],[Tech Start Date]]&lt;1/1/1990,"",IF(Main[[#This Row],[Class]]="C",WORKDAY(Main[[#This Row],[Tech Start Date]],19),IF(Main[[#This Row],[Class]]="B", WORKDAY(Main[[#This Row],[Tech Start Date]],12),IF(Main[[#This Row],[Class]]="A",WORKDAY(Main[[#This Row],[Tech Start Date]],4),""))))</f>
        <v>40870</v>
      </c>
      <c r="O80" s="75">
        <f>IF(Main[[#This Row],[Tech Start Date]]&lt;1/1/1990,"",IF(Main[[#This Row],[Class]]="C",WORKDAY(Main[[#This Row],[Tech Start Date]],23),IF(Main[[#This Row],[Class]]="B", WORKDAY(Main[[#This Row],[Tech Start Date]],15),IF(Main[[#This Row],[Class]]="A",WORKDAY(Main[[#This Row],[Tech Start Date]],5),""))))</f>
        <v>40875</v>
      </c>
      <c r="P80" s="75">
        <f>IF(Main[[#This Row],[Tech Start Date]]&lt;1/1/1990,"",IF(Main[[#This Row],[Class]]="C",WORKDAY(Main[[#This Row],[Tech Start Date]],28),IF(Main[[#This Row],[Class]]="B", WORKDAY(Main[[#This Row],[Tech Start Date]],19),IF(Main[[#This Row],[Class]]="A",WORKDAY(Main[[#This Row],[Tech Start Date]],9),""))))</f>
        <v>40879</v>
      </c>
      <c r="Q80" s="89">
        <v>40883</v>
      </c>
      <c r="R80" s="121">
        <v>40877</v>
      </c>
      <c r="S80" s="99" t="s">
        <v>11</v>
      </c>
      <c r="T80" s="76" t="s">
        <v>2640</v>
      </c>
      <c r="U80" s="99" t="s">
        <v>14</v>
      </c>
      <c r="V80" s="99" t="s">
        <v>1914</v>
      </c>
      <c r="W80" s="99" t="s">
        <v>1915</v>
      </c>
      <c r="X80" s="99" t="s">
        <v>2810</v>
      </c>
      <c r="Y80" s="73" t="s">
        <v>2987</v>
      </c>
      <c r="Z80" s="73" t="s">
        <v>2049</v>
      </c>
      <c r="AA80" s="99" t="s">
        <v>2810</v>
      </c>
    </row>
    <row r="81" spans="1:27" ht="17.25" customHeight="1">
      <c r="A81" s="65">
        <f>IF(priority(Main[[#This Row],[Comments]])&lt;&gt;0, priority(Main[[#This Row],[Comments]]),"")</f>
        <v>20</v>
      </c>
      <c r="B81" s="60" t="s">
        <v>3813</v>
      </c>
      <c r="C81" s="105" t="s">
        <v>3811</v>
      </c>
      <c r="D81" s="59" t="s">
        <v>3814</v>
      </c>
      <c r="E81" s="89">
        <v>40953.687349537038</v>
      </c>
      <c r="F81" s="89">
        <v>41154</v>
      </c>
      <c r="G81" s="65" t="str">
        <f>IF(stdProdLT(Main[[#This Row],[Comments]])=0.1,"N/A",IF(stdProdLT(Main[[#This Row],[Comments]])=0,"",TRIM(stdProdLT(Main[[#This Row],[Comments]]))))</f>
        <v>126</v>
      </c>
      <c r="H81" s="98">
        <f>IF(Main[[#This Row],[Std. Prod. Lead Time]]="N/A", "",IF(AND(Main[[#This Row],[In Stock Date]]&lt;&gt;"",Main[[#This Row],[Revised Due Date]]&lt;&gt;"",Main[[#This Row],[In Stock Date]]&lt;&gt;""),Main[[#This Row],[In Stock Date]]-Main[[#This Row],[Revised Due Date]],""))</f>
        <v>165</v>
      </c>
      <c r="I81" s="110" t="s">
        <v>912</v>
      </c>
      <c r="J81" s="99" t="s">
        <v>52</v>
      </c>
      <c r="K81" s="99" t="s">
        <v>1920</v>
      </c>
      <c r="L81" s="89">
        <v>40954</v>
      </c>
      <c r="M81" s="75">
        <f>IF(Main[[#This Row],[Tech Start Date]]&lt;1/1/1990,"",IF(Main[[#This Row],[Class]]="C",WORKDAY(Main[[#This Row],[Tech Start Date]],9),IF(Main[[#This Row],[Class]]="B", WORKDAY(Main[[#This Row],[Tech Start Date]],6),IF(Main[[#This Row],[Class]]="A",WORKDAY(Main[[#This Row],[Tech Start Date]],2),""))))</f>
        <v>40962</v>
      </c>
      <c r="N81" s="75">
        <f>IF(Main[[#This Row],[Tech Start Date]]&lt;1/1/1990,"",IF(Main[[#This Row],[Class]]="C",WORKDAY(Main[[#This Row],[Tech Start Date]],19),IF(Main[[#This Row],[Class]]="B", WORKDAY(Main[[#This Row],[Tech Start Date]],12),IF(Main[[#This Row],[Class]]="A",WORKDAY(Main[[#This Row],[Tech Start Date]],4),""))))</f>
        <v>40970</v>
      </c>
      <c r="O81" s="75">
        <f>IF(Main[[#This Row],[Tech Start Date]]&lt;1/1/1990,"",IF(Main[[#This Row],[Class]]="C",WORKDAY(Main[[#This Row],[Tech Start Date]],23),IF(Main[[#This Row],[Class]]="B", WORKDAY(Main[[#This Row],[Tech Start Date]],15),IF(Main[[#This Row],[Class]]="A",WORKDAY(Main[[#This Row],[Tech Start Date]],5),""))))</f>
        <v>40975</v>
      </c>
      <c r="P81" s="75">
        <f>IF(Main[[#This Row],[Tech Start Date]]&lt;1/1/1990,"",IF(Main[[#This Row],[Class]]="C",WORKDAY(Main[[#This Row],[Tech Start Date]],28),IF(Main[[#This Row],[Class]]="B", WORKDAY(Main[[#This Row],[Tech Start Date]],19),IF(Main[[#This Row],[Class]]="A",WORKDAY(Main[[#This Row],[Tech Start Date]],9),""))))</f>
        <v>40981</v>
      </c>
      <c r="Q81" s="89"/>
      <c r="R81" s="121">
        <v>40989</v>
      </c>
      <c r="S81" s="99" t="s">
        <v>11</v>
      </c>
      <c r="T81" s="76" t="s">
        <v>3995</v>
      </c>
      <c r="U81" s="99" t="s">
        <v>29</v>
      </c>
      <c r="V81" s="99" t="s">
        <v>1913</v>
      </c>
      <c r="W81" s="99" t="s">
        <v>1919</v>
      </c>
      <c r="X81" s="99" t="s">
        <v>2846</v>
      </c>
      <c r="Y81" s="73" t="s">
        <v>2984</v>
      </c>
      <c r="Z81" s="73" t="s">
        <v>129</v>
      </c>
      <c r="AA81" s="99" t="s">
        <v>2846</v>
      </c>
    </row>
    <row r="82" spans="1:27" ht="17.25" customHeight="1">
      <c r="A82" s="65">
        <f>IF(priority(Main[[#This Row],[Comments]])&lt;&gt;0, priority(Main[[#This Row],[Comments]]),"")</f>
        <v>20</v>
      </c>
      <c r="B82" s="60" t="s">
        <v>3849</v>
      </c>
      <c r="C82" s="105" t="s">
        <v>3865</v>
      </c>
      <c r="D82" s="74" t="s">
        <v>3850</v>
      </c>
      <c r="E82" s="89">
        <v>40960.080937500003</v>
      </c>
      <c r="F82" s="89">
        <v>41105</v>
      </c>
      <c r="G82" s="65" t="str">
        <f>IF(stdProdLT(Main[[#This Row],[Comments]])=0.1,"N/A",IF(stdProdLT(Main[[#This Row],[Comments]])=0,"",TRIM(stdProdLT(Main[[#This Row],[Comments]]))))</f>
        <v>140</v>
      </c>
      <c r="H82" s="98">
        <f>IF(Main[[#This Row],[Std. Prod. Lead Time]]="N/A", "",IF(AND(Main[[#This Row],[In Stock Date]]&lt;&gt;"",Main[[#This Row],[Revised Due Date]]&lt;&gt;"",Main[[#This Row],[In Stock Date]]&lt;&gt;""),Main[[#This Row],[In Stock Date]]-Main[[#This Row],[Revised Due Date]],""))</f>
        <v>110</v>
      </c>
      <c r="I82" s="110" t="s">
        <v>239</v>
      </c>
      <c r="J82" s="99" t="s">
        <v>21</v>
      </c>
      <c r="K82" s="100" t="s">
        <v>1920</v>
      </c>
      <c r="L82" s="89">
        <v>40960</v>
      </c>
      <c r="M82" s="75">
        <f>IF(Main[[#This Row],[Tech Start Date]]&lt;1/1/1990,"",IF(Main[[#This Row],[Class]]="C",WORKDAY(Main[[#This Row],[Tech Start Date]],9),IF(Main[[#This Row],[Class]]="B", WORKDAY(Main[[#This Row],[Tech Start Date]],6),IF(Main[[#This Row],[Class]]="A",WORKDAY(Main[[#This Row],[Tech Start Date]],2),""))))</f>
        <v>40968</v>
      </c>
      <c r="N82" s="75">
        <f>IF(Main[[#This Row],[Tech Start Date]]&lt;1/1/1990,"",IF(Main[[#This Row],[Class]]="C",WORKDAY(Main[[#This Row],[Tech Start Date]],19),IF(Main[[#This Row],[Class]]="B", WORKDAY(Main[[#This Row],[Tech Start Date]],12),IF(Main[[#This Row],[Class]]="A",WORKDAY(Main[[#This Row],[Tech Start Date]],4),""))))</f>
        <v>40976</v>
      </c>
      <c r="O82" s="75">
        <f>IF(Main[[#This Row],[Tech Start Date]]&lt;1/1/1990,"",IF(Main[[#This Row],[Class]]="C",WORKDAY(Main[[#This Row],[Tech Start Date]],23),IF(Main[[#This Row],[Class]]="B", WORKDAY(Main[[#This Row],[Tech Start Date]],15),IF(Main[[#This Row],[Class]]="A",WORKDAY(Main[[#This Row],[Tech Start Date]],5),""))))</f>
        <v>40981</v>
      </c>
      <c r="P82" s="75">
        <f>IF(Main[[#This Row],[Tech Start Date]]&lt;1/1/1990,"",IF(Main[[#This Row],[Class]]="C",WORKDAY(Main[[#This Row],[Tech Start Date]],28),IF(Main[[#This Row],[Class]]="B", WORKDAY(Main[[#This Row],[Tech Start Date]],19),IF(Main[[#This Row],[Class]]="A",WORKDAY(Main[[#This Row],[Tech Start Date]],9),""))))</f>
        <v>40987</v>
      </c>
      <c r="Q82" s="89">
        <v>40995</v>
      </c>
      <c r="R82" s="121">
        <v>40995</v>
      </c>
      <c r="S82" s="99" t="s">
        <v>11</v>
      </c>
      <c r="T82" s="76" t="s">
        <v>3851</v>
      </c>
      <c r="U82" s="99" t="s">
        <v>29</v>
      </c>
      <c r="V82" s="99" t="s">
        <v>1923</v>
      </c>
      <c r="W82" s="99" t="s">
        <v>1918</v>
      </c>
      <c r="X82" s="99" t="s">
        <v>2839</v>
      </c>
      <c r="Y82" s="73" t="s">
        <v>3852</v>
      </c>
      <c r="Z82" s="73" t="s">
        <v>69</v>
      </c>
      <c r="AA82" s="99" t="s">
        <v>2839</v>
      </c>
    </row>
    <row r="83" spans="1:27" ht="17.25" customHeight="1">
      <c r="A83" s="65">
        <f>IF(priority(Main[[#This Row],[Comments]])&lt;&gt;0, priority(Main[[#This Row],[Comments]]),"")</f>
        <v>21</v>
      </c>
      <c r="B83" s="60" t="s">
        <v>3197</v>
      </c>
      <c r="C83" s="105" t="s">
        <v>3198</v>
      </c>
      <c r="D83" s="59" t="s">
        <v>3361</v>
      </c>
      <c r="E83" s="89">
        <v>40920.494050925925</v>
      </c>
      <c r="F83" s="89">
        <v>41197</v>
      </c>
      <c r="G83" s="65" t="str">
        <f>IF(stdProdLT(Main[[#This Row],[Comments]])=0.1,"N/A",IF(stdProdLT(Main[[#This Row],[Comments]])=0,"",TRIM(stdProdLT(Main[[#This Row],[Comments]]))))</f>
        <v>126</v>
      </c>
      <c r="H83" s="98">
        <f>IF(Main[[#This Row],[Std. Prod. Lead Time]]="N/A", "",IF(AND(Main[[#This Row],[In Stock Date]]&lt;&gt;"",Main[[#This Row],[Revised Due Date]]&lt;&gt;"",Main[[#This Row],[In Stock Date]]&lt;&gt;""),Main[[#This Row],[In Stock Date]]-Main[[#This Row],[Revised Due Date]],""))</f>
        <v>220</v>
      </c>
      <c r="I83" s="110" t="s">
        <v>912</v>
      </c>
      <c r="J83" s="99" t="s">
        <v>52</v>
      </c>
      <c r="K83" s="99" t="s">
        <v>1920</v>
      </c>
      <c r="L83" s="89">
        <v>40921</v>
      </c>
      <c r="M83" s="75">
        <f>IF(Main[[#This Row],[Tech Start Date]]&lt;1/1/1990,"",IF(Main[[#This Row],[Class]]="C",WORKDAY(Main[[#This Row],[Tech Start Date]],9),IF(Main[[#This Row],[Class]]="B", WORKDAY(Main[[#This Row],[Tech Start Date]],6),IF(Main[[#This Row],[Class]]="A",WORKDAY(Main[[#This Row],[Tech Start Date]],2),""))))</f>
        <v>40931</v>
      </c>
      <c r="N83" s="75">
        <f>IF(Main[[#This Row],[Tech Start Date]]&lt;1/1/1990,"",IF(Main[[#This Row],[Class]]="C",WORKDAY(Main[[#This Row],[Tech Start Date]],19),IF(Main[[#This Row],[Class]]="B", WORKDAY(Main[[#This Row],[Tech Start Date]],12),IF(Main[[#This Row],[Class]]="A",WORKDAY(Main[[#This Row],[Tech Start Date]],4),""))))</f>
        <v>40939</v>
      </c>
      <c r="O83" s="75">
        <f>IF(Main[[#This Row],[Tech Start Date]]&lt;1/1/1990,"",IF(Main[[#This Row],[Class]]="C",WORKDAY(Main[[#This Row],[Tech Start Date]],23),IF(Main[[#This Row],[Class]]="B", WORKDAY(Main[[#This Row],[Tech Start Date]],15),IF(Main[[#This Row],[Class]]="A",WORKDAY(Main[[#This Row],[Tech Start Date]],5),""))))</f>
        <v>40942</v>
      </c>
      <c r="P83" s="75">
        <f>IF(Main[[#This Row],[Tech Start Date]]&lt;1/1/1990,"",IF(Main[[#This Row],[Class]]="C",WORKDAY(Main[[#This Row],[Tech Start Date]],28),IF(Main[[#This Row],[Class]]="B", WORKDAY(Main[[#This Row],[Tech Start Date]],19),IF(Main[[#This Row],[Class]]="A",WORKDAY(Main[[#This Row],[Tech Start Date]],9),""))))</f>
        <v>40948</v>
      </c>
      <c r="Q83" s="89">
        <v>41197</v>
      </c>
      <c r="R83" s="121">
        <v>40977</v>
      </c>
      <c r="S83" s="99" t="s">
        <v>11</v>
      </c>
      <c r="T83" s="76" t="s">
        <v>3989</v>
      </c>
      <c r="U83" s="99" t="s">
        <v>29</v>
      </c>
      <c r="V83" s="99" t="s">
        <v>1913</v>
      </c>
      <c r="W83" s="99" t="s">
        <v>1919</v>
      </c>
      <c r="X83" s="99" t="s">
        <v>2846</v>
      </c>
      <c r="Y83" s="73" t="s">
        <v>2984</v>
      </c>
      <c r="Z83" s="73" t="s">
        <v>129</v>
      </c>
      <c r="AA83" s="99" t="s">
        <v>2846</v>
      </c>
    </row>
    <row r="84" spans="1:27" ht="17.25" customHeight="1">
      <c r="A84" s="65">
        <f>IF(priority(Main[[#This Row],[Comments]])&lt;&gt;0, priority(Main[[#This Row],[Comments]]),"")</f>
        <v>22</v>
      </c>
      <c r="B84" s="60" t="s">
        <v>1679</v>
      </c>
      <c r="C84" s="105" t="s">
        <v>4</v>
      </c>
      <c r="D84" s="74" t="s">
        <v>2304</v>
      </c>
      <c r="E84" s="89">
        <v>40715.570891203701</v>
      </c>
      <c r="F84" s="89"/>
      <c r="G84" s="65" t="str">
        <f>IF(stdProdLT(Main[[#This Row],[Comments]])=0.1,"N/A",IF(stdProdLT(Main[[#This Row],[Comments]])=0,"",TRIM(stdProdLT(Main[[#This Row],[Comments]]))))</f>
        <v>N/A</v>
      </c>
      <c r="H84" s="98" t="str">
        <f>IF(Main[[#This Row],[Std. Prod. Lead Time]]="N/A", "",IF(AND(Main[[#This Row],[In Stock Date]]&lt;&gt;"",Main[[#This Row],[Revised Due Date]]&lt;&gt;"",Main[[#This Row],[In Stock Date]]&lt;&gt;""),Main[[#This Row],[In Stock Date]]-Main[[#This Row],[Revised Due Date]],""))</f>
        <v/>
      </c>
      <c r="I84" s="110" t="s">
        <v>912</v>
      </c>
      <c r="J84" s="99" t="s">
        <v>52</v>
      </c>
      <c r="K84" s="99" t="s">
        <v>4</v>
      </c>
      <c r="L84" s="89"/>
      <c r="M84" s="75" t="str">
        <f>IF(Main[[#This Row],[Tech Start Date]]&lt;1/1/1990,"",IF(Main[[#This Row],[Class]]="C",WORKDAY(Main[[#This Row],[Tech Start Date]],9),IF(Main[[#This Row],[Class]]="B", WORKDAY(Main[[#This Row],[Tech Start Date]],6),IF(Main[[#This Row],[Class]]="A",WORKDAY(Main[[#This Row],[Tech Start Date]],2),""))))</f>
        <v/>
      </c>
      <c r="N84" s="75" t="str">
        <f>IF(Main[[#This Row],[Tech Start Date]]&lt;1/1/1990,"",IF(Main[[#This Row],[Class]]="C",WORKDAY(Main[[#This Row],[Tech Start Date]],19),IF(Main[[#This Row],[Class]]="B", WORKDAY(Main[[#This Row],[Tech Start Date]],12),IF(Main[[#This Row],[Class]]="A",WORKDAY(Main[[#This Row],[Tech Start Date]],4),""))))</f>
        <v/>
      </c>
      <c r="O84" s="75" t="str">
        <f>IF(Main[[#This Row],[Tech Start Date]]&lt;1/1/1990,"",IF(Main[[#This Row],[Class]]="C",WORKDAY(Main[[#This Row],[Tech Start Date]],23),IF(Main[[#This Row],[Class]]="B", WORKDAY(Main[[#This Row],[Tech Start Date]],15),IF(Main[[#This Row],[Class]]="A",WORKDAY(Main[[#This Row],[Tech Start Date]],5),""))))</f>
        <v/>
      </c>
      <c r="P84" s="75" t="str">
        <f>IF(Main[[#This Row],[Tech Start Date]]&lt;1/1/1990,"",IF(Main[[#This Row],[Class]]="C",WORKDAY(Main[[#This Row],[Tech Start Date]],28),IF(Main[[#This Row],[Class]]="B", WORKDAY(Main[[#This Row],[Tech Start Date]],19),IF(Main[[#This Row],[Class]]="A",WORKDAY(Main[[#This Row],[Tech Start Date]],9),""))))</f>
        <v/>
      </c>
      <c r="Q84" s="89">
        <v>40733</v>
      </c>
      <c r="R84" s="121">
        <v>40756</v>
      </c>
      <c r="S84" s="99" t="s">
        <v>6</v>
      </c>
      <c r="T84" s="76" t="s">
        <v>2558</v>
      </c>
      <c r="U84" s="99" t="s">
        <v>29</v>
      </c>
      <c r="V84" s="99" t="s">
        <v>1913</v>
      </c>
      <c r="W84" s="99" t="s">
        <v>1917</v>
      </c>
      <c r="X84" s="99" t="s">
        <v>2830</v>
      </c>
      <c r="Y84" s="73" t="s">
        <v>2959</v>
      </c>
      <c r="Z84" s="73" t="s">
        <v>4</v>
      </c>
      <c r="AA84" s="99" t="s">
        <v>2830</v>
      </c>
    </row>
    <row r="85" spans="1:27" ht="17.25" customHeight="1">
      <c r="A85" s="65">
        <f>IF(priority(Main[[#This Row],[Comments]])&lt;&gt;0, priority(Main[[#This Row],[Comments]]),"")</f>
        <v>22</v>
      </c>
      <c r="B85" s="60" t="s">
        <v>3826</v>
      </c>
      <c r="C85" s="105" t="s">
        <v>3827</v>
      </c>
      <c r="D85" s="74" t="s">
        <v>3828</v>
      </c>
      <c r="E85" s="89">
        <v>40953.469097222223</v>
      </c>
      <c r="F85" s="89">
        <v>41183</v>
      </c>
      <c r="G85" s="65" t="str">
        <f>IF(stdProdLT(Main[[#This Row],[Comments]])=0.1,"N/A",IF(stdProdLT(Main[[#This Row],[Comments]])=0,"",TRIM(stdProdLT(Main[[#This Row],[Comments]]))))</f>
        <v>84</v>
      </c>
      <c r="H85" s="98">
        <f>IF(Main[[#This Row],[Std. Prod. Lead Time]]="N/A", "",IF(AND(Main[[#This Row],[In Stock Date]]&lt;&gt;"",Main[[#This Row],[Revised Due Date]]&lt;&gt;"",Main[[#This Row],[In Stock Date]]&lt;&gt;""),Main[[#This Row],[In Stock Date]]-Main[[#This Row],[Revised Due Date]],""))</f>
        <v>209</v>
      </c>
      <c r="I85" s="110" t="s">
        <v>937</v>
      </c>
      <c r="J85" s="99" t="s">
        <v>28</v>
      </c>
      <c r="K85" s="99" t="s">
        <v>1922</v>
      </c>
      <c r="L85" s="89">
        <v>40959</v>
      </c>
      <c r="M85" s="75">
        <f>IF(Main[[#This Row],[Tech Start Date]]&lt;1/1/1990,"",IF(Main[[#This Row],[Class]]="C",WORKDAY(Main[[#This Row],[Tech Start Date]],9),IF(Main[[#This Row],[Class]]="B", WORKDAY(Main[[#This Row],[Tech Start Date]],6),IF(Main[[#This Row],[Class]]="A",WORKDAY(Main[[#This Row],[Tech Start Date]],2),""))))</f>
        <v>40961</v>
      </c>
      <c r="N85" s="75">
        <f>IF(Main[[#This Row],[Tech Start Date]]&lt;1/1/1990,"",IF(Main[[#This Row],[Class]]="C",WORKDAY(Main[[#This Row],[Tech Start Date]],19),IF(Main[[#This Row],[Class]]="B", WORKDAY(Main[[#This Row],[Tech Start Date]],12),IF(Main[[#This Row],[Class]]="A",WORKDAY(Main[[#This Row],[Tech Start Date]],4),""))))</f>
        <v>40963</v>
      </c>
      <c r="O85" s="75">
        <f>IF(Main[[#This Row],[Tech Start Date]]&lt;1/1/1990,"",IF(Main[[#This Row],[Class]]="C",WORKDAY(Main[[#This Row],[Tech Start Date]],23),IF(Main[[#This Row],[Class]]="B", WORKDAY(Main[[#This Row],[Tech Start Date]],15),IF(Main[[#This Row],[Class]]="A",WORKDAY(Main[[#This Row],[Tech Start Date]],5),""))))</f>
        <v>40966</v>
      </c>
      <c r="P85" s="75">
        <f>IF(Main[[#This Row],[Tech Start Date]]&lt;1/1/1990,"",IF(Main[[#This Row],[Class]]="C",WORKDAY(Main[[#This Row],[Tech Start Date]],28),IF(Main[[#This Row],[Class]]="B", WORKDAY(Main[[#This Row],[Tech Start Date]],19),IF(Main[[#This Row],[Class]]="A",WORKDAY(Main[[#This Row],[Tech Start Date]],9),""))))</f>
        <v>40970</v>
      </c>
      <c r="Q85" s="89"/>
      <c r="R85" s="121">
        <v>40974</v>
      </c>
      <c r="S85" s="99" t="s">
        <v>11</v>
      </c>
      <c r="T85" s="76" t="s">
        <v>3998</v>
      </c>
      <c r="U85" s="99" t="s">
        <v>534</v>
      </c>
      <c r="V85" s="99" t="s">
        <v>1913</v>
      </c>
      <c r="W85" s="99" t="s">
        <v>1918</v>
      </c>
      <c r="X85" s="99" t="s">
        <v>2811</v>
      </c>
      <c r="Y85" s="73" t="s">
        <v>3124</v>
      </c>
      <c r="Z85" s="73" t="s">
        <v>129</v>
      </c>
      <c r="AA85" s="99" t="s">
        <v>2811</v>
      </c>
    </row>
    <row r="86" spans="1:27" ht="17.25" customHeight="1">
      <c r="A86" s="65">
        <f>IF(priority(Main[[#This Row],[Comments]])&lt;&gt;0, priority(Main[[#This Row],[Comments]]),"")</f>
        <v>23</v>
      </c>
      <c r="B86" s="60" t="s">
        <v>2686</v>
      </c>
      <c r="C86" s="105" t="s">
        <v>2687</v>
      </c>
      <c r="D86" s="74" t="s">
        <v>3222</v>
      </c>
      <c r="E86" s="89">
        <v>40899.118032407408</v>
      </c>
      <c r="F86" s="89">
        <v>41122</v>
      </c>
      <c r="G86" s="65" t="str">
        <f>IF(stdProdLT(Main[[#This Row],[Comments]])=0.1,"N/A",IF(stdProdLT(Main[[#This Row],[Comments]])=0,"",TRIM(stdProdLT(Main[[#This Row],[Comments]]))))</f>
        <v>84</v>
      </c>
      <c r="H86" s="98">
        <f>IF(Main[[#This Row],[Std. Prod. Lead Time]]="N/A", "",IF(AND(Main[[#This Row],[In Stock Date]]&lt;&gt;"",Main[[#This Row],[Revised Due Date]]&lt;&gt;"",Main[[#This Row],[In Stock Date]]&lt;&gt;""),Main[[#This Row],[In Stock Date]]-Main[[#This Row],[Revised Due Date]],""))</f>
        <v>138</v>
      </c>
      <c r="I86" s="110" t="s">
        <v>894</v>
      </c>
      <c r="J86" s="99" t="s">
        <v>52</v>
      </c>
      <c r="K86" s="99" t="s">
        <v>1926</v>
      </c>
      <c r="L86" s="89"/>
      <c r="M86" s="75" t="str">
        <f>IF(Main[[#This Row],[Tech Start Date]]&lt;1/1/1990,"",IF(Main[[#This Row],[Class]]="C",WORKDAY(Main[[#This Row],[Tech Start Date]],9),IF(Main[[#This Row],[Class]]="B", WORKDAY(Main[[#This Row],[Tech Start Date]],6),IF(Main[[#This Row],[Class]]="A",WORKDAY(Main[[#This Row],[Tech Start Date]],2),""))))</f>
        <v/>
      </c>
      <c r="N86" s="75" t="str">
        <f>IF(Main[[#This Row],[Tech Start Date]]&lt;1/1/1990,"",IF(Main[[#This Row],[Class]]="C",WORKDAY(Main[[#This Row],[Tech Start Date]],19),IF(Main[[#This Row],[Class]]="B", WORKDAY(Main[[#This Row],[Tech Start Date]],12),IF(Main[[#This Row],[Class]]="A",WORKDAY(Main[[#This Row],[Tech Start Date]],4),""))))</f>
        <v/>
      </c>
      <c r="O86" s="75" t="str">
        <f>IF(Main[[#This Row],[Tech Start Date]]&lt;1/1/1990,"",IF(Main[[#This Row],[Class]]="C",WORKDAY(Main[[#This Row],[Tech Start Date]],23),IF(Main[[#This Row],[Class]]="B", WORKDAY(Main[[#This Row],[Tech Start Date]],15),IF(Main[[#This Row],[Class]]="A",WORKDAY(Main[[#This Row],[Tech Start Date]],5),""))))</f>
        <v/>
      </c>
      <c r="P86" s="75" t="str">
        <f>IF(Main[[#This Row],[Tech Start Date]]&lt;1/1/1990,"",IF(Main[[#This Row],[Class]]="C",WORKDAY(Main[[#This Row],[Tech Start Date]],28),IF(Main[[#This Row],[Class]]="B", WORKDAY(Main[[#This Row],[Tech Start Date]],19),IF(Main[[#This Row],[Class]]="A",WORKDAY(Main[[#This Row],[Tech Start Date]],9),""))))</f>
        <v/>
      </c>
      <c r="Q86" s="89">
        <v>40960</v>
      </c>
      <c r="R86" s="121">
        <v>40984</v>
      </c>
      <c r="S86" s="99" t="s">
        <v>11</v>
      </c>
      <c r="T86" s="76" t="s">
        <v>3981</v>
      </c>
      <c r="U86" s="99" t="s">
        <v>29</v>
      </c>
      <c r="V86" s="99" t="s">
        <v>1913</v>
      </c>
      <c r="W86" s="99" t="s">
        <v>1919</v>
      </c>
      <c r="X86" s="99" t="s">
        <v>2829</v>
      </c>
      <c r="Y86" s="73" t="s">
        <v>4</v>
      </c>
      <c r="Z86" s="73" t="s">
        <v>912</v>
      </c>
      <c r="AA86" s="99" t="s">
        <v>2829</v>
      </c>
    </row>
    <row r="87" spans="1:27" ht="17.25" customHeight="1">
      <c r="A87" s="65">
        <f>IF(priority(Main[[#This Row],[Comments]])&lt;&gt;0, priority(Main[[#This Row],[Comments]]),"")</f>
        <v>23</v>
      </c>
      <c r="B87" s="60" t="s">
        <v>3840</v>
      </c>
      <c r="C87" s="105" t="s">
        <v>33</v>
      </c>
      <c r="D87" s="74" t="s">
        <v>3841</v>
      </c>
      <c r="E87" s="89">
        <v>40953.124837962961</v>
      </c>
      <c r="F87" s="89">
        <v>41000</v>
      </c>
      <c r="G87" s="65" t="str">
        <f>IF(stdProdLT(Main[[#This Row],[Comments]])=0.1,"N/A",IF(stdProdLT(Main[[#This Row],[Comments]])=0,"",TRIM(stdProdLT(Main[[#This Row],[Comments]]))))</f>
        <v>N/A</v>
      </c>
      <c r="H87" s="98" t="str">
        <f>IF(Main[[#This Row],[Std. Prod. Lead Time]]="N/A", "",IF(AND(Main[[#This Row],[In Stock Date]]&lt;&gt;"",Main[[#This Row],[Revised Due Date]]&lt;&gt;"",Main[[#This Row],[In Stock Date]]&lt;&gt;""),Main[[#This Row],[In Stock Date]]-Main[[#This Row],[Revised Due Date]],""))</f>
        <v/>
      </c>
      <c r="I87" s="110" t="s">
        <v>306</v>
      </c>
      <c r="J87" s="99" t="s">
        <v>75</v>
      </c>
      <c r="K87" s="99" t="s">
        <v>1922</v>
      </c>
      <c r="L87" s="89">
        <v>40960</v>
      </c>
      <c r="M87" s="75">
        <f>IF(Main[[#This Row],[Tech Start Date]]&lt;1/1/1990,"",IF(Main[[#This Row],[Class]]="C",WORKDAY(Main[[#This Row],[Tech Start Date]],9),IF(Main[[#This Row],[Class]]="B", WORKDAY(Main[[#This Row],[Tech Start Date]],6),IF(Main[[#This Row],[Class]]="A",WORKDAY(Main[[#This Row],[Tech Start Date]],2),""))))</f>
        <v>40962</v>
      </c>
      <c r="N87" s="75">
        <f>IF(Main[[#This Row],[Tech Start Date]]&lt;1/1/1990,"",IF(Main[[#This Row],[Class]]="C",WORKDAY(Main[[#This Row],[Tech Start Date]],19),IF(Main[[#This Row],[Class]]="B", WORKDAY(Main[[#This Row],[Tech Start Date]],12),IF(Main[[#This Row],[Class]]="A",WORKDAY(Main[[#This Row],[Tech Start Date]],4),""))))</f>
        <v>40966</v>
      </c>
      <c r="O87" s="75">
        <f>IF(Main[[#This Row],[Tech Start Date]]&lt;1/1/1990,"",IF(Main[[#This Row],[Class]]="C",WORKDAY(Main[[#This Row],[Tech Start Date]],23),IF(Main[[#This Row],[Class]]="B", WORKDAY(Main[[#This Row],[Tech Start Date]],15),IF(Main[[#This Row],[Class]]="A",WORKDAY(Main[[#This Row],[Tech Start Date]],5),""))))</f>
        <v>40967</v>
      </c>
      <c r="P87" s="75">
        <f>IF(Main[[#This Row],[Tech Start Date]]&lt;1/1/1990,"",IF(Main[[#This Row],[Class]]="C",WORKDAY(Main[[#This Row],[Tech Start Date]],28),IF(Main[[#This Row],[Class]]="B", WORKDAY(Main[[#This Row],[Tech Start Date]],19),IF(Main[[#This Row],[Class]]="A",WORKDAY(Main[[#This Row],[Tech Start Date]],9),""))))</f>
        <v>40973</v>
      </c>
      <c r="Q87" s="89">
        <v>40967</v>
      </c>
      <c r="R87" s="121">
        <v>40970</v>
      </c>
      <c r="S87" s="99" t="s">
        <v>11</v>
      </c>
      <c r="T87" s="76" t="s">
        <v>3842</v>
      </c>
      <c r="U87" s="99" t="s">
        <v>29</v>
      </c>
      <c r="V87" s="99" t="s">
        <v>1923</v>
      </c>
      <c r="W87" s="99" t="s">
        <v>1918</v>
      </c>
      <c r="X87" s="99" t="s">
        <v>2869</v>
      </c>
      <c r="Y87" s="73" t="s">
        <v>3015</v>
      </c>
      <c r="Z87" s="73" t="s">
        <v>530</v>
      </c>
      <c r="AA87" s="99" t="s">
        <v>2869</v>
      </c>
    </row>
    <row r="88" spans="1:27" ht="17.25" customHeight="1">
      <c r="A88" s="65">
        <f>IF(priority(Main[[#This Row],[Comments]])&lt;&gt;0, priority(Main[[#This Row],[Comments]]),"")</f>
        <v>24</v>
      </c>
      <c r="B88" s="60" t="s">
        <v>1556</v>
      </c>
      <c r="C88" s="105" t="s">
        <v>4</v>
      </c>
      <c r="D88" s="74" t="s">
        <v>2295</v>
      </c>
      <c r="E88" s="89">
        <v>40710.712175925924</v>
      </c>
      <c r="F88" s="89"/>
      <c r="G88" s="65" t="str">
        <f>IF(stdProdLT(Main[[#This Row],[Comments]])=0.1,"N/A",IF(stdProdLT(Main[[#This Row],[Comments]])=0,"",TRIM(stdProdLT(Main[[#This Row],[Comments]]))))</f>
        <v>N/A</v>
      </c>
      <c r="H88" s="98" t="str">
        <f>IF(Main[[#This Row],[Std. Prod. Lead Time]]="N/A", "",IF(AND(Main[[#This Row],[In Stock Date]]&lt;&gt;"",Main[[#This Row],[Revised Due Date]]&lt;&gt;"",Main[[#This Row],[In Stock Date]]&lt;&gt;""),Main[[#This Row],[In Stock Date]]-Main[[#This Row],[Revised Due Date]],""))</f>
        <v/>
      </c>
      <c r="I88" s="110" t="s">
        <v>912</v>
      </c>
      <c r="J88" s="99" t="s">
        <v>4</v>
      </c>
      <c r="K88" s="99" t="s">
        <v>4</v>
      </c>
      <c r="L88" s="89"/>
      <c r="M88" s="75" t="str">
        <f>IF(Main[[#This Row],[Tech Start Date]]&lt;1/1/1990,"",IF(Main[[#This Row],[Class]]="C",WORKDAY(Main[[#This Row],[Tech Start Date]],9),IF(Main[[#This Row],[Class]]="B", WORKDAY(Main[[#This Row],[Tech Start Date]],6),IF(Main[[#This Row],[Class]]="A",WORKDAY(Main[[#This Row],[Tech Start Date]],2),""))))</f>
        <v/>
      </c>
      <c r="N88" s="75" t="str">
        <f>IF(Main[[#This Row],[Tech Start Date]]&lt;1/1/1990,"",IF(Main[[#This Row],[Class]]="C",WORKDAY(Main[[#This Row],[Tech Start Date]],19),IF(Main[[#This Row],[Class]]="B", WORKDAY(Main[[#This Row],[Tech Start Date]],12),IF(Main[[#This Row],[Class]]="A",WORKDAY(Main[[#This Row],[Tech Start Date]],4),""))))</f>
        <v/>
      </c>
      <c r="O88" s="75" t="str">
        <f>IF(Main[[#This Row],[Tech Start Date]]&lt;1/1/1990,"",IF(Main[[#This Row],[Class]]="C",WORKDAY(Main[[#This Row],[Tech Start Date]],23),IF(Main[[#This Row],[Class]]="B", WORKDAY(Main[[#This Row],[Tech Start Date]],15),IF(Main[[#This Row],[Class]]="A",WORKDAY(Main[[#This Row],[Tech Start Date]],5),""))))</f>
        <v/>
      </c>
      <c r="P88" s="75" t="str">
        <f>IF(Main[[#This Row],[Tech Start Date]]&lt;1/1/1990,"",IF(Main[[#This Row],[Class]]="C",WORKDAY(Main[[#This Row],[Tech Start Date]],28),IF(Main[[#This Row],[Class]]="B", WORKDAY(Main[[#This Row],[Tech Start Date]],19),IF(Main[[#This Row],[Class]]="A",WORKDAY(Main[[#This Row],[Tech Start Date]],9),""))))</f>
        <v/>
      </c>
      <c r="Q88" s="89"/>
      <c r="R88" s="121">
        <v>40756</v>
      </c>
      <c r="S88" s="99" t="s">
        <v>6</v>
      </c>
      <c r="T88" s="76" t="s">
        <v>2257</v>
      </c>
      <c r="U88" s="99" t="s">
        <v>29</v>
      </c>
      <c r="V88" s="99" t="s">
        <v>1913</v>
      </c>
      <c r="W88" s="99" t="s">
        <v>1917</v>
      </c>
      <c r="X88" s="99" t="s">
        <v>2860</v>
      </c>
      <c r="Y88" s="73" t="s">
        <v>2994</v>
      </c>
      <c r="Z88" s="73" t="s">
        <v>4</v>
      </c>
      <c r="AA88" s="99" t="s">
        <v>2860</v>
      </c>
    </row>
    <row r="89" spans="1:27" ht="17.25" customHeight="1">
      <c r="A89" s="65">
        <f>IF(priority(Main[[#This Row],[Comments]])&lt;&gt;0, priority(Main[[#This Row],[Comments]]),"")</f>
        <v>24</v>
      </c>
      <c r="B89" s="60" t="s">
        <v>3359</v>
      </c>
      <c r="C89" s="105" t="s">
        <v>2669</v>
      </c>
      <c r="D89" s="74" t="s">
        <v>4025</v>
      </c>
      <c r="E89" s="89">
        <v>40939.753379629627</v>
      </c>
      <c r="F89" s="89">
        <v>41013</v>
      </c>
      <c r="G89" s="65" t="str">
        <f>IF(stdProdLT(Main[[#This Row],[Comments]])=0.1,"N/A",IF(stdProdLT(Main[[#This Row],[Comments]])=0,"",TRIM(stdProdLT(Main[[#This Row],[Comments]]))))</f>
        <v>N/A</v>
      </c>
      <c r="H89" s="98" t="str">
        <f>IF(Main[[#This Row],[Std. Prod. Lead Time]]="N/A", "",IF(AND(Main[[#This Row],[In Stock Date]]&lt;&gt;"",Main[[#This Row],[Revised Due Date]]&lt;&gt;"",Main[[#This Row],[In Stock Date]]&lt;&gt;""),Main[[#This Row],[In Stock Date]]-Main[[#This Row],[Revised Due Date]],""))</f>
        <v/>
      </c>
      <c r="I89" s="110" t="s">
        <v>2204</v>
      </c>
      <c r="J89" s="99" t="s">
        <v>75</v>
      </c>
      <c r="K89" s="99" t="s">
        <v>1922</v>
      </c>
      <c r="L89" s="89">
        <v>40946</v>
      </c>
      <c r="M89" s="75">
        <f>IF(Main[[#This Row],[Tech Start Date]]&lt;1/1/1990,"",IF(Main[[#This Row],[Class]]="C",WORKDAY(Main[[#This Row],[Tech Start Date]],9),IF(Main[[#This Row],[Class]]="B", WORKDAY(Main[[#This Row],[Tech Start Date]],6),IF(Main[[#This Row],[Class]]="A",WORKDAY(Main[[#This Row],[Tech Start Date]],2),""))))</f>
        <v>40948</v>
      </c>
      <c r="N89" s="75">
        <f>IF(Main[[#This Row],[Tech Start Date]]&lt;1/1/1990,"",IF(Main[[#This Row],[Class]]="C",WORKDAY(Main[[#This Row],[Tech Start Date]],19),IF(Main[[#This Row],[Class]]="B", WORKDAY(Main[[#This Row],[Tech Start Date]],12),IF(Main[[#This Row],[Class]]="A",WORKDAY(Main[[#This Row],[Tech Start Date]],4),""))))</f>
        <v>40952</v>
      </c>
      <c r="O89" s="75">
        <f>IF(Main[[#This Row],[Tech Start Date]]&lt;1/1/1990,"",IF(Main[[#This Row],[Class]]="C",WORKDAY(Main[[#This Row],[Tech Start Date]],23),IF(Main[[#This Row],[Class]]="B", WORKDAY(Main[[#This Row],[Tech Start Date]],15),IF(Main[[#This Row],[Class]]="A",WORKDAY(Main[[#This Row],[Tech Start Date]],5),""))))</f>
        <v>40953</v>
      </c>
      <c r="P89" s="75">
        <f>IF(Main[[#This Row],[Tech Start Date]]&lt;1/1/1990,"",IF(Main[[#This Row],[Class]]="C",WORKDAY(Main[[#This Row],[Tech Start Date]],28),IF(Main[[#This Row],[Class]]="B", WORKDAY(Main[[#This Row],[Tech Start Date]],19),IF(Main[[#This Row],[Class]]="A",WORKDAY(Main[[#This Row],[Tech Start Date]],9),""))))</f>
        <v>40959</v>
      </c>
      <c r="Q89" s="89">
        <v>40915</v>
      </c>
      <c r="R89" s="121">
        <v>40967</v>
      </c>
      <c r="S89" s="99" t="s">
        <v>11</v>
      </c>
      <c r="T89" s="76" t="s">
        <v>3804</v>
      </c>
      <c r="U89" s="99" t="s">
        <v>29</v>
      </c>
      <c r="V89" s="99" t="s">
        <v>1923</v>
      </c>
      <c r="W89" s="99" t="s">
        <v>1921</v>
      </c>
      <c r="X89" s="99" t="s">
        <v>3360</v>
      </c>
      <c r="Y89" s="73" t="s">
        <v>4</v>
      </c>
      <c r="Z89" s="73" t="s">
        <v>530</v>
      </c>
      <c r="AA89" s="99" t="s">
        <v>3360</v>
      </c>
    </row>
    <row r="90" spans="1:27" ht="17.25" customHeight="1">
      <c r="A90" s="65">
        <f>IF(priority(Main[[#This Row],[Comments]])&lt;&gt;0, priority(Main[[#This Row],[Comments]]),"")</f>
        <v>24</v>
      </c>
      <c r="B90" s="60" t="s">
        <v>3832</v>
      </c>
      <c r="C90" s="105" t="s">
        <v>3824</v>
      </c>
      <c r="D90" s="74" t="s">
        <v>3833</v>
      </c>
      <c r="E90" s="89">
        <v>40955.592650462961</v>
      </c>
      <c r="F90" s="89">
        <v>41173</v>
      </c>
      <c r="G90" s="65" t="str">
        <f>IF(stdProdLT(Main[[#This Row],[Comments]])=0.1,"N/A",IF(stdProdLT(Main[[#This Row],[Comments]])=0,"",TRIM(stdProdLT(Main[[#This Row],[Comments]]))))</f>
        <v>126</v>
      </c>
      <c r="H90" s="98">
        <f>IF(Main[[#This Row],[Std. Prod. Lead Time]]="N/A", "",IF(AND(Main[[#This Row],[In Stock Date]]&lt;&gt;"",Main[[#This Row],[Revised Due Date]]&lt;&gt;"",Main[[#This Row],[In Stock Date]]&lt;&gt;""),Main[[#This Row],[In Stock Date]]-Main[[#This Row],[Revised Due Date]],""))</f>
        <v>179</v>
      </c>
      <c r="I90" s="110" t="s">
        <v>561</v>
      </c>
      <c r="J90" s="99" t="s">
        <v>28</v>
      </c>
      <c r="K90" s="99" t="s">
        <v>1920</v>
      </c>
      <c r="L90" s="89">
        <v>40959</v>
      </c>
      <c r="M90" s="75">
        <f>IF(Main[[#This Row],[Tech Start Date]]&lt;1/1/1990,"",IF(Main[[#This Row],[Class]]="C",WORKDAY(Main[[#This Row],[Tech Start Date]],9),IF(Main[[#This Row],[Class]]="B", WORKDAY(Main[[#This Row],[Tech Start Date]],6),IF(Main[[#This Row],[Class]]="A",WORKDAY(Main[[#This Row],[Tech Start Date]],2),""))))</f>
        <v>40967</v>
      </c>
      <c r="N90" s="75">
        <f>IF(Main[[#This Row],[Tech Start Date]]&lt;1/1/1990,"",IF(Main[[#This Row],[Class]]="C",WORKDAY(Main[[#This Row],[Tech Start Date]],19),IF(Main[[#This Row],[Class]]="B", WORKDAY(Main[[#This Row],[Tech Start Date]],12),IF(Main[[#This Row],[Class]]="A",WORKDAY(Main[[#This Row],[Tech Start Date]],4),""))))</f>
        <v>40975</v>
      </c>
      <c r="O90" s="75">
        <f>IF(Main[[#This Row],[Tech Start Date]]&lt;1/1/1990,"",IF(Main[[#This Row],[Class]]="C",WORKDAY(Main[[#This Row],[Tech Start Date]],23),IF(Main[[#This Row],[Class]]="B", WORKDAY(Main[[#This Row],[Tech Start Date]],15),IF(Main[[#This Row],[Class]]="A",WORKDAY(Main[[#This Row],[Tech Start Date]],5),""))))</f>
        <v>40980</v>
      </c>
      <c r="P90" s="75">
        <f>IF(Main[[#This Row],[Tech Start Date]]&lt;1/1/1990,"",IF(Main[[#This Row],[Class]]="C",WORKDAY(Main[[#This Row],[Tech Start Date]],28),IF(Main[[#This Row],[Class]]="B", WORKDAY(Main[[#This Row],[Tech Start Date]],19),IF(Main[[#This Row],[Class]]="A",WORKDAY(Main[[#This Row],[Tech Start Date]],9),""))))</f>
        <v>40984</v>
      </c>
      <c r="Q90" s="89"/>
      <c r="R90" s="121">
        <v>40994</v>
      </c>
      <c r="S90" s="99" t="s">
        <v>11</v>
      </c>
      <c r="T90" s="76" t="s">
        <v>4000</v>
      </c>
      <c r="U90" s="99" t="s">
        <v>29</v>
      </c>
      <c r="V90" s="99" t="s">
        <v>1913</v>
      </c>
      <c r="W90" s="99" t="s">
        <v>1919</v>
      </c>
      <c r="X90" s="99" t="s">
        <v>2846</v>
      </c>
      <c r="Y90" s="73" t="s">
        <v>2984</v>
      </c>
      <c r="Z90" s="73" t="s">
        <v>129</v>
      </c>
      <c r="AA90" s="99" t="s">
        <v>2846</v>
      </c>
    </row>
    <row r="91" spans="1:27" ht="17.25" customHeight="1">
      <c r="A91" s="65">
        <f>IF(priority(Main[[#This Row],[Comments]])&lt;&gt;0, priority(Main[[#This Row],[Comments]]),"")</f>
        <v>25</v>
      </c>
      <c r="B91" s="60" t="s">
        <v>3223</v>
      </c>
      <c r="C91" s="105" t="s">
        <v>2762</v>
      </c>
      <c r="D91" s="74" t="s">
        <v>2805</v>
      </c>
      <c r="E91" s="89"/>
      <c r="F91" s="89"/>
      <c r="G91" s="65" t="str">
        <f>IF(stdProdLT(Main[[#This Row],[Comments]])=0.1,"N/A",IF(stdProdLT(Main[[#This Row],[Comments]])=0,"",TRIM(stdProdLT(Main[[#This Row],[Comments]]))))</f>
        <v>98</v>
      </c>
      <c r="H91" s="98" t="str">
        <f>IF(Main[[#This Row],[Std. Prod. Lead Time]]="N/A", "",IF(AND(Main[[#This Row],[In Stock Date]]&lt;&gt;"",Main[[#This Row],[Revised Due Date]]&lt;&gt;"",Main[[#This Row],[In Stock Date]]&lt;&gt;""),Main[[#This Row],[In Stock Date]]-Main[[#This Row],[Revised Due Date]],""))</f>
        <v/>
      </c>
      <c r="I91" s="110" t="s">
        <v>4</v>
      </c>
      <c r="J91" s="99" t="s">
        <v>4</v>
      </c>
      <c r="K91" s="99" t="s">
        <v>4</v>
      </c>
      <c r="L91" s="89"/>
      <c r="M91" s="75" t="str">
        <f>IF(Main[[#This Row],[Tech Start Date]]&lt;1/1/1990,"",IF(Main[[#This Row],[Class]]="C",WORKDAY(Main[[#This Row],[Tech Start Date]],9),IF(Main[[#This Row],[Class]]="B", WORKDAY(Main[[#This Row],[Tech Start Date]],6),IF(Main[[#This Row],[Class]]="A",WORKDAY(Main[[#This Row],[Tech Start Date]],2),""))))</f>
        <v/>
      </c>
      <c r="N91" s="75" t="str">
        <f>IF(Main[[#This Row],[Tech Start Date]]&lt;1/1/1990,"",IF(Main[[#This Row],[Class]]="C",WORKDAY(Main[[#This Row],[Tech Start Date]],19),IF(Main[[#This Row],[Class]]="B", WORKDAY(Main[[#This Row],[Tech Start Date]],12),IF(Main[[#This Row],[Class]]="A",WORKDAY(Main[[#This Row],[Tech Start Date]],4),""))))</f>
        <v/>
      </c>
      <c r="O91" s="75" t="str">
        <f>IF(Main[[#This Row],[Tech Start Date]]&lt;1/1/1990,"",IF(Main[[#This Row],[Class]]="C",WORKDAY(Main[[#This Row],[Tech Start Date]],23),IF(Main[[#This Row],[Class]]="B", WORKDAY(Main[[#This Row],[Tech Start Date]],15),IF(Main[[#This Row],[Class]]="A",WORKDAY(Main[[#This Row],[Tech Start Date]],5),""))))</f>
        <v/>
      </c>
      <c r="P91" s="75" t="str">
        <f>IF(Main[[#This Row],[Tech Start Date]]&lt;1/1/1990,"",IF(Main[[#This Row],[Class]]="C",WORKDAY(Main[[#This Row],[Tech Start Date]],28),IF(Main[[#This Row],[Class]]="B", WORKDAY(Main[[#This Row],[Tech Start Date]],19),IF(Main[[#This Row],[Class]]="A",WORKDAY(Main[[#This Row],[Tech Start Date]],9),""))))</f>
        <v/>
      </c>
      <c r="Q91" s="89">
        <v>40889</v>
      </c>
      <c r="R91" s="121"/>
      <c r="S91" s="99" t="s">
        <v>11</v>
      </c>
      <c r="T91" s="76" t="s">
        <v>3216</v>
      </c>
      <c r="U91" s="99" t="s">
        <v>12</v>
      </c>
      <c r="V91" s="99" t="s">
        <v>1913</v>
      </c>
      <c r="W91" s="99" t="s">
        <v>1919</v>
      </c>
      <c r="X91" s="99" t="s">
        <v>3224</v>
      </c>
      <c r="Y91" s="73" t="s">
        <v>4</v>
      </c>
      <c r="Z91" s="73" t="s">
        <v>4</v>
      </c>
      <c r="AA91" s="99" t="s">
        <v>2848</v>
      </c>
    </row>
    <row r="92" spans="1:27" ht="17.25" customHeight="1">
      <c r="A92" s="65">
        <f>IF(priority(Main[[#This Row],[Comments]])&lt;&gt;0, priority(Main[[#This Row],[Comments]]),"")</f>
        <v>25</v>
      </c>
      <c r="B92" s="60" t="s">
        <v>3823</v>
      </c>
      <c r="C92" s="105" t="s">
        <v>3824</v>
      </c>
      <c r="D92" s="74" t="s">
        <v>3825</v>
      </c>
      <c r="E92" s="89">
        <v>40953.707939814813</v>
      </c>
      <c r="F92" s="89">
        <v>41173</v>
      </c>
      <c r="G92" s="65" t="str">
        <f>IF(stdProdLT(Main[[#This Row],[Comments]])=0.1,"N/A",IF(stdProdLT(Main[[#This Row],[Comments]])=0,"",TRIM(stdProdLT(Main[[#This Row],[Comments]]))))</f>
        <v>126</v>
      </c>
      <c r="H92" s="98">
        <f>IF(Main[[#This Row],[Std. Prod. Lead Time]]="N/A", "",IF(AND(Main[[#This Row],[In Stock Date]]&lt;&gt;"",Main[[#This Row],[Revised Due Date]]&lt;&gt;"",Main[[#This Row],[In Stock Date]]&lt;&gt;""),Main[[#This Row],[In Stock Date]]-Main[[#This Row],[Revised Due Date]],""))</f>
        <v>179</v>
      </c>
      <c r="I92" s="110" t="s">
        <v>561</v>
      </c>
      <c r="J92" s="99" t="s">
        <v>28</v>
      </c>
      <c r="K92" s="100" t="s">
        <v>1920</v>
      </c>
      <c r="L92" s="89">
        <v>40959</v>
      </c>
      <c r="M92" s="75">
        <f>IF(Main[[#This Row],[Tech Start Date]]&lt;1/1/1990,"",IF(Main[[#This Row],[Class]]="C",WORKDAY(Main[[#This Row],[Tech Start Date]],9),IF(Main[[#This Row],[Class]]="B", WORKDAY(Main[[#This Row],[Tech Start Date]],6),IF(Main[[#This Row],[Class]]="A",WORKDAY(Main[[#This Row],[Tech Start Date]],2),""))))</f>
        <v>40967</v>
      </c>
      <c r="N92" s="75">
        <f>IF(Main[[#This Row],[Tech Start Date]]&lt;1/1/1990,"",IF(Main[[#This Row],[Class]]="C",WORKDAY(Main[[#This Row],[Tech Start Date]],19),IF(Main[[#This Row],[Class]]="B", WORKDAY(Main[[#This Row],[Tech Start Date]],12),IF(Main[[#This Row],[Class]]="A",WORKDAY(Main[[#This Row],[Tech Start Date]],4),""))))</f>
        <v>40975</v>
      </c>
      <c r="O92" s="75">
        <f>IF(Main[[#This Row],[Tech Start Date]]&lt;1/1/1990,"",IF(Main[[#This Row],[Class]]="C",WORKDAY(Main[[#This Row],[Tech Start Date]],23),IF(Main[[#This Row],[Class]]="B", WORKDAY(Main[[#This Row],[Tech Start Date]],15),IF(Main[[#This Row],[Class]]="A",WORKDAY(Main[[#This Row],[Tech Start Date]],5),""))))</f>
        <v>40980</v>
      </c>
      <c r="P92" s="75">
        <f>IF(Main[[#This Row],[Tech Start Date]]&lt;1/1/1990,"",IF(Main[[#This Row],[Class]]="C",WORKDAY(Main[[#This Row],[Tech Start Date]],28),IF(Main[[#This Row],[Class]]="B", WORKDAY(Main[[#This Row],[Tech Start Date]],19),IF(Main[[#This Row],[Class]]="A",WORKDAY(Main[[#This Row],[Tech Start Date]],9),""))))</f>
        <v>40984</v>
      </c>
      <c r="Q92" s="89"/>
      <c r="R92" s="121">
        <v>40994</v>
      </c>
      <c r="S92" s="99" t="s">
        <v>11</v>
      </c>
      <c r="T92" s="76" t="s">
        <v>3999</v>
      </c>
      <c r="U92" s="99" t="s">
        <v>29</v>
      </c>
      <c r="V92" s="99" t="s">
        <v>1913</v>
      </c>
      <c r="W92" s="99" t="s">
        <v>1919</v>
      </c>
      <c r="X92" s="99" t="s">
        <v>2846</v>
      </c>
      <c r="Y92" s="73" t="s">
        <v>2984</v>
      </c>
      <c r="Z92" s="73" t="s">
        <v>129</v>
      </c>
      <c r="AA92" s="99" t="s">
        <v>2846</v>
      </c>
    </row>
    <row r="93" spans="1:27" ht="17.25" customHeight="1">
      <c r="A93" s="65">
        <f>IF(priority(Main[[#This Row],[Comments]])&lt;&gt;0, priority(Main[[#This Row],[Comments]]),"")</f>
        <v>26</v>
      </c>
      <c r="B93" s="60" t="s">
        <v>1460</v>
      </c>
      <c r="C93" s="105" t="s">
        <v>4</v>
      </c>
      <c r="D93" s="74" t="s">
        <v>2308</v>
      </c>
      <c r="E93" s="89">
        <v>40702.622164351851</v>
      </c>
      <c r="F93" s="89"/>
      <c r="G93" s="65" t="str">
        <f>IF(stdProdLT(Main[[#This Row],[Comments]])=0.1,"N/A",IF(stdProdLT(Main[[#This Row],[Comments]])=0,"",TRIM(stdProdLT(Main[[#This Row],[Comments]]))))</f>
        <v>N/A</v>
      </c>
      <c r="H93" s="98" t="str">
        <f>IF(Main[[#This Row],[Std. Prod. Lead Time]]="N/A", "",IF(AND(Main[[#This Row],[In Stock Date]]&lt;&gt;"",Main[[#This Row],[Revised Due Date]]&lt;&gt;"",Main[[#This Row],[In Stock Date]]&lt;&gt;""),Main[[#This Row],[In Stock Date]]-Main[[#This Row],[Revised Due Date]],""))</f>
        <v/>
      </c>
      <c r="I93" s="110" t="s">
        <v>912</v>
      </c>
      <c r="J93" s="99" t="s">
        <v>52</v>
      </c>
      <c r="K93" s="99" t="s">
        <v>4</v>
      </c>
      <c r="L93" s="89"/>
      <c r="M93" s="75" t="str">
        <f>IF(Main[[#This Row],[Tech Start Date]]&lt;1/1/1990,"",IF(Main[[#This Row],[Class]]="C",WORKDAY(Main[[#This Row],[Tech Start Date]],9),IF(Main[[#This Row],[Class]]="B", WORKDAY(Main[[#This Row],[Tech Start Date]],6),IF(Main[[#This Row],[Class]]="A",WORKDAY(Main[[#This Row],[Tech Start Date]],2),""))))</f>
        <v/>
      </c>
      <c r="N93" s="75" t="str">
        <f>IF(Main[[#This Row],[Tech Start Date]]&lt;1/1/1990,"",IF(Main[[#This Row],[Class]]="C",WORKDAY(Main[[#This Row],[Tech Start Date]],19),IF(Main[[#This Row],[Class]]="B", WORKDAY(Main[[#This Row],[Tech Start Date]],12),IF(Main[[#This Row],[Class]]="A",WORKDAY(Main[[#This Row],[Tech Start Date]],4),""))))</f>
        <v/>
      </c>
      <c r="O93" s="75" t="str">
        <f>IF(Main[[#This Row],[Tech Start Date]]&lt;1/1/1990,"",IF(Main[[#This Row],[Class]]="C",WORKDAY(Main[[#This Row],[Tech Start Date]],23),IF(Main[[#This Row],[Class]]="B", WORKDAY(Main[[#This Row],[Tech Start Date]],15),IF(Main[[#This Row],[Class]]="A",WORKDAY(Main[[#This Row],[Tech Start Date]],5),""))))</f>
        <v/>
      </c>
      <c r="P93" s="75" t="str">
        <f>IF(Main[[#This Row],[Tech Start Date]]&lt;1/1/1990,"",IF(Main[[#This Row],[Class]]="C",WORKDAY(Main[[#This Row],[Tech Start Date]],28),IF(Main[[#This Row],[Class]]="B", WORKDAY(Main[[#This Row],[Tech Start Date]],19),IF(Main[[#This Row],[Class]]="A",WORKDAY(Main[[#This Row],[Tech Start Date]],9),""))))</f>
        <v/>
      </c>
      <c r="Q93" s="89"/>
      <c r="R93" s="121">
        <v>40756</v>
      </c>
      <c r="S93" s="99" t="s">
        <v>6</v>
      </c>
      <c r="T93" s="76" t="s">
        <v>2256</v>
      </c>
      <c r="U93" s="99" t="s">
        <v>29</v>
      </c>
      <c r="V93" s="99" t="s">
        <v>1913</v>
      </c>
      <c r="W93" s="99" t="s">
        <v>1917</v>
      </c>
      <c r="X93" s="99" t="s">
        <v>912</v>
      </c>
      <c r="Y93" s="73" t="s">
        <v>3051</v>
      </c>
      <c r="Z93" s="73" t="s">
        <v>4</v>
      </c>
      <c r="AA93" s="99" t="s">
        <v>912</v>
      </c>
    </row>
    <row r="94" spans="1:27" ht="17.25" customHeight="1">
      <c r="A94" s="65">
        <f>IF(priority(Main[[#This Row],[Comments]])&lt;&gt;0, priority(Main[[#This Row],[Comments]]),"")</f>
        <v>26</v>
      </c>
      <c r="B94" s="60" t="s">
        <v>1903</v>
      </c>
      <c r="C94" s="105" t="s">
        <v>954</v>
      </c>
      <c r="D94" s="74" t="s">
        <v>2017</v>
      </c>
      <c r="E94" s="89"/>
      <c r="F94" s="89"/>
      <c r="G94" s="65" t="str">
        <f>IF(stdProdLT(Main[[#This Row],[Comments]])=0.1,"N/A",IF(stdProdLT(Main[[#This Row],[Comments]])=0,"",TRIM(stdProdLT(Main[[#This Row],[Comments]]))))</f>
        <v>112</v>
      </c>
      <c r="H94" s="98" t="str">
        <f>IF(Main[[#This Row],[Std. Prod. Lead Time]]="N/A", "",IF(AND(Main[[#This Row],[In Stock Date]]&lt;&gt;"",Main[[#This Row],[Revised Due Date]]&lt;&gt;"",Main[[#This Row],[In Stock Date]]&lt;&gt;""),Main[[#This Row],[In Stock Date]]-Main[[#This Row],[Revised Due Date]],""))</f>
        <v/>
      </c>
      <c r="I94" s="110" t="s">
        <v>4</v>
      </c>
      <c r="J94" s="99" t="s">
        <v>52</v>
      </c>
      <c r="K94" s="100" t="s">
        <v>1926</v>
      </c>
      <c r="L94" s="89">
        <v>40694</v>
      </c>
      <c r="M94" s="75">
        <f>IF(Main[[#This Row],[Tech Start Date]]&lt;1/1/1990,"",IF(Main[[#This Row],[Class]]="C",WORKDAY(Main[[#This Row],[Tech Start Date]],9),IF(Main[[#This Row],[Class]]="B", WORKDAY(Main[[#This Row],[Tech Start Date]],6),IF(Main[[#This Row],[Class]]="A",WORKDAY(Main[[#This Row],[Tech Start Date]],2),""))))</f>
        <v>40707</v>
      </c>
      <c r="N94" s="75">
        <f>IF(Main[[#This Row],[Tech Start Date]]&lt;1/1/1990,"",IF(Main[[#This Row],[Class]]="C",WORKDAY(Main[[#This Row],[Tech Start Date]],19),IF(Main[[#This Row],[Class]]="B", WORKDAY(Main[[#This Row],[Tech Start Date]],12),IF(Main[[#This Row],[Class]]="A",WORKDAY(Main[[#This Row],[Tech Start Date]],4),""))))</f>
        <v>40721</v>
      </c>
      <c r="O94" s="75">
        <f>IF(Main[[#This Row],[Tech Start Date]]&lt;1/1/1990,"",IF(Main[[#This Row],[Class]]="C",WORKDAY(Main[[#This Row],[Tech Start Date]],23),IF(Main[[#This Row],[Class]]="B", WORKDAY(Main[[#This Row],[Tech Start Date]],15),IF(Main[[#This Row],[Class]]="A",WORKDAY(Main[[#This Row],[Tech Start Date]],5),""))))</f>
        <v>40725</v>
      </c>
      <c r="P94" s="75">
        <f>IF(Main[[#This Row],[Tech Start Date]]&lt;1/1/1990,"",IF(Main[[#This Row],[Class]]="C",WORKDAY(Main[[#This Row],[Tech Start Date]],28),IF(Main[[#This Row],[Class]]="B", WORKDAY(Main[[#This Row],[Tech Start Date]],19),IF(Main[[#This Row],[Class]]="A",WORKDAY(Main[[#This Row],[Tech Start Date]],9),""))))</f>
        <v>40732</v>
      </c>
      <c r="Q94" s="89">
        <v>40723</v>
      </c>
      <c r="R94" s="121">
        <v>40753</v>
      </c>
      <c r="S94" s="99" t="s">
        <v>11</v>
      </c>
      <c r="T94" s="76" t="s">
        <v>1999</v>
      </c>
      <c r="U94" s="99" t="s">
        <v>14</v>
      </c>
      <c r="V94" s="99" t="s">
        <v>1913</v>
      </c>
      <c r="W94" s="99" t="s">
        <v>1915</v>
      </c>
      <c r="X94" s="99" t="s">
        <v>2877</v>
      </c>
      <c r="Y94" s="73" t="s">
        <v>3146</v>
      </c>
      <c r="Z94" s="73" t="s">
        <v>3154</v>
      </c>
      <c r="AA94" s="99" t="s">
        <v>2877</v>
      </c>
    </row>
    <row r="95" spans="1:27" ht="17.25" customHeight="1">
      <c r="A95" s="65">
        <f>IF(priority(Main[[#This Row],[Comments]])&lt;&gt;0, priority(Main[[#This Row],[Comments]]),"")</f>
        <v>26</v>
      </c>
      <c r="B95" s="60" t="s">
        <v>1435</v>
      </c>
      <c r="C95" s="105" t="s">
        <v>131</v>
      </c>
      <c r="D95" s="74" t="s">
        <v>2001</v>
      </c>
      <c r="E95" s="89"/>
      <c r="F95" s="89">
        <v>40939</v>
      </c>
      <c r="G95" s="65" t="str">
        <f>IF(stdProdLT(Main[[#This Row],[Comments]])=0.1,"N/A",IF(stdProdLT(Main[[#This Row],[Comments]])=0,"",TRIM(stdProdLT(Main[[#This Row],[Comments]]))))</f>
        <v>126</v>
      </c>
      <c r="H95" s="98">
        <f>IF(Main[[#This Row],[Std. Prod. Lead Time]]="N/A", "",IF(AND(Main[[#This Row],[In Stock Date]]&lt;&gt;"",Main[[#This Row],[Revised Due Date]]&lt;&gt;"",Main[[#This Row],[In Stock Date]]&lt;&gt;""),Main[[#This Row],[In Stock Date]]-Main[[#This Row],[Revised Due Date]],""))</f>
        <v>154</v>
      </c>
      <c r="I95" s="110" t="s">
        <v>126</v>
      </c>
      <c r="J95" s="99" t="s">
        <v>28</v>
      </c>
      <c r="K95" s="99" t="s">
        <v>1926</v>
      </c>
      <c r="L95" s="89">
        <v>40736</v>
      </c>
      <c r="M95" s="75">
        <f>IF(Main[[#This Row],[Tech Start Date]]&lt;1/1/1990,"",IF(Main[[#This Row],[Class]]="C",WORKDAY(Main[[#This Row],[Tech Start Date]],9),IF(Main[[#This Row],[Class]]="B", WORKDAY(Main[[#This Row],[Tech Start Date]],6),IF(Main[[#This Row],[Class]]="A",WORKDAY(Main[[#This Row],[Tech Start Date]],2),""))))</f>
        <v>40749</v>
      </c>
      <c r="N95" s="75">
        <f>IF(Main[[#This Row],[Tech Start Date]]&lt;1/1/1990,"",IF(Main[[#This Row],[Class]]="C",WORKDAY(Main[[#This Row],[Tech Start Date]],19),IF(Main[[#This Row],[Class]]="B", WORKDAY(Main[[#This Row],[Tech Start Date]],12),IF(Main[[#This Row],[Class]]="A",WORKDAY(Main[[#This Row],[Tech Start Date]],4),""))))</f>
        <v>40763</v>
      </c>
      <c r="O95" s="75">
        <f>IF(Main[[#This Row],[Tech Start Date]]&lt;1/1/1990,"",IF(Main[[#This Row],[Class]]="C",WORKDAY(Main[[#This Row],[Tech Start Date]],23),IF(Main[[#This Row],[Class]]="B", WORKDAY(Main[[#This Row],[Tech Start Date]],15),IF(Main[[#This Row],[Class]]="A",WORKDAY(Main[[#This Row],[Tech Start Date]],5),""))))</f>
        <v>40767</v>
      </c>
      <c r="P95" s="75">
        <f>IF(Main[[#This Row],[Tech Start Date]]&lt;1/1/1990,"",IF(Main[[#This Row],[Class]]="C",WORKDAY(Main[[#This Row],[Tech Start Date]],28),IF(Main[[#This Row],[Class]]="B", WORKDAY(Main[[#This Row],[Tech Start Date]],19),IF(Main[[#This Row],[Class]]="A",WORKDAY(Main[[#This Row],[Tech Start Date]],9),""))))</f>
        <v>40774</v>
      </c>
      <c r="Q95" s="89">
        <v>40799</v>
      </c>
      <c r="R95" s="121">
        <v>40785</v>
      </c>
      <c r="S95" s="99" t="s">
        <v>11</v>
      </c>
      <c r="T95" s="76" t="s">
        <v>2002</v>
      </c>
      <c r="U95" s="99" t="s">
        <v>14</v>
      </c>
      <c r="V95" s="99" t="s">
        <v>1913</v>
      </c>
      <c r="W95" s="99" t="s">
        <v>1924</v>
      </c>
      <c r="X95" s="99" t="s">
        <v>2846</v>
      </c>
      <c r="Y95" s="73" t="s">
        <v>3128</v>
      </c>
      <c r="Z95" s="73" t="s">
        <v>129</v>
      </c>
      <c r="AA95" s="99" t="s">
        <v>2846</v>
      </c>
    </row>
    <row r="96" spans="1:27" ht="17.25" customHeight="1">
      <c r="A96" s="65">
        <f>IF(priority(Main[[#This Row],[Comments]])&lt;&gt;0, priority(Main[[#This Row],[Comments]]),"")</f>
        <v>26</v>
      </c>
      <c r="B96" s="60" t="s">
        <v>2761</v>
      </c>
      <c r="C96" s="105" t="s">
        <v>2762</v>
      </c>
      <c r="D96" s="74" t="s">
        <v>3839</v>
      </c>
      <c r="E96" s="89">
        <v>40885.00640046296</v>
      </c>
      <c r="F96" s="89"/>
      <c r="G96" s="65" t="str">
        <f>IF(stdProdLT(Main[[#This Row],[Comments]])=0.1,"N/A",IF(stdProdLT(Main[[#This Row],[Comments]])=0,"",TRIM(stdProdLT(Main[[#This Row],[Comments]]))))</f>
        <v>98</v>
      </c>
      <c r="H96" s="98" t="str">
        <f>IF(Main[[#This Row],[Std. Prod. Lead Time]]="N/A", "",IF(AND(Main[[#This Row],[In Stock Date]]&lt;&gt;"",Main[[#This Row],[Revised Due Date]]&lt;&gt;"",Main[[#This Row],[In Stock Date]]&lt;&gt;""),Main[[#This Row],[In Stock Date]]-Main[[#This Row],[Revised Due Date]],""))</f>
        <v/>
      </c>
      <c r="I96" s="110" t="s">
        <v>889</v>
      </c>
      <c r="J96" s="99" t="s">
        <v>4</v>
      </c>
      <c r="K96" s="99" t="s">
        <v>1926</v>
      </c>
      <c r="L96" s="89">
        <v>40960</v>
      </c>
      <c r="M96" s="75">
        <f>IF(Main[[#This Row],[Tech Start Date]]&lt;1/1/1990,"",IF(Main[[#This Row],[Class]]="C",WORKDAY(Main[[#This Row],[Tech Start Date]],9),IF(Main[[#This Row],[Class]]="B", WORKDAY(Main[[#This Row],[Tech Start Date]],6),IF(Main[[#This Row],[Class]]="A",WORKDAY(Main[[#This Row],[Tech Start Date]],2),""))))</f>
        <v>40973</v>
      </c>
      <c r="N96" s="75">
        <f>IF(Main[[#This Row],[Tech Start Date]]&lt;1/1/1990,"",IF(Main[[#This Row],[Class]]="C",WORKDAY(Main[[#This Row],[Tech Start Date]],19),IF(Main[[#This Row],[Class]]="B", WORKDAY(Main[[#This Row],[Tech Start Date]],12),IF(Main[[#This Row],[Class]]="A",WORKDAY(Main[[#This Row],[Tech Start Date]],4),""))))</f>
        <v>40987</v>
      </c>
      <c r="O96" s="75">
        <f>IF(Main[[#This Row],[Tech Start Date]]&lt;1/1/1990,"",IF(Main[[#This Row],[Class]]="C",WORKDAY(Main[[#This Row],[Tech Start Date]],23),IF(Main[[#This Row],[Class]]="B", WORKDAY(Main[[#This Row],[Tech Start Date]],15),IF(Main[[#This Row],[Class]]="A",WORKDAY(Main[[#This Row],[Tech Start Date]],5),""))))</f>
        <v>40991</v>
      </c>
      <c r="P96" s="75">
        <f>IF(Main[[#This Row],[Tech Start Date]]&lt;1/1/1990,"",IF(Main[[#This Row],[Class]]="C",WORKDAY(Main[[#This Row],[Tech Start Date]],28),IF(Main[[#This Row],[Class]]="B", WORKDAY(Main[[#This Row],[Tech Start Date]],19),IF(Main[[#This Row],[Class]]="A",WORKDAY(Main[[#This Row],[Tech Start Date]],9),""))))</f>
        <v>40998</v>
      </c>
      <c r="Q96" s="89">
        <v>40889</v>
      </c>
      <c r="R96" s="121">
        <v>40988</v>
      </c>
      <c r="S96" s="99" t="s">
        <v>11</v>
      </c>
      <c r="T96" s="76" t="s">
        <v>4002</v>
      </c>
      <c r="U96" s="99" t="s">
        <v>29</v>
      </c>
      <c r="V96" s="99" t="s">
        <v>1913</v>
      </c>
      <c r="W96" s="99" t="s">
        <v>1919</v>
      </c>
      <c r="X96" s="99" t="s">
        <v>2848</v>
      </c>
      <c r="Y96" s="73" t="s">
        <v>4</v>
      </c>
      <c r="Z96" s="73" t="s">
        <v>877</v>
      </c>
      <c r="AA96" s="99" t="s">
        <v>2848</v>
      </c>
    </row>
    <row r="97" spans="1:27" ht="17.25" customHeight="1">
      <c r="A97" s="65">
        <f>IF(priority(Main[[#This Row],[Comments]])&lt;&gt;0, priority(Main[[#This Row],[Comments]]),"")</f>
        <v>27</v>
      </c>
      <c r="B97" s="60" t="s">
        <v>2673</v>
      </c>
      <c r="C97" s="105" t="s">
        <v>116</v>
      </c>
      <c r="D97" s="74" t="s">
        <v>2807</v>
      </c>
      <c r="E97" s="89">
        <v>40763.500717592593</v>
      </c>
      <c r="F97" s="89">
        <v>41090</v>
      </c>
      <c r="G97" s="65" t="str">
        <f>IF(stdProdLT(Main[[#This Row],[Comments]])=0.1,"N/A",IF(stdProdLT(Main[[#This Row],[Comments]])=0,"",TRIM(stdProdLT(Main[[#This Row],[Comments]]))))</f>
        <v>N/A</v>
      </c>
      <c r="H97" s="98" t="str">
        <f>IF(Main[[#This Row],[Std. Prod. Lead Time]]="N/A", "",IF(AND(Main[[#This Row],[In Stock Date]]&lt;&gt;"",Main[[#This Row],[Revised Due Date]]&lt;&gt;"",Main[[#This Row],[In Stock Date]]&lt;&gt;""),Main[[#This Row],[In Stock Date]]-Main[[#This Row],[Revised Due Date]],""))</f>
        <v/>
      </c>
      <c r="I97" s="110" t="s">
        <v>889</v>
      </c>
      <c r="J97" s="99" t="s">
        <v>28</v>
      </c>
      <c r="K97" s="99" t="s">
        <v>1926</v>
      </c>
      <c r="L97" s="89">
        <v>40772</v>
      </c>
      <c r="M97" s="75">
        <f>IF(Main[[#This Row],[Tech Start Date]]&lt;1/1/1990,"",IF(Main[[#This Row],[Class]]="C",WORKDAY(Main[[#This Row],[Tech Start Date]],9),IF(Main[[#This Row],[Class]]="B", WORKDAY(Main[[#This Row],[Tech Start Date]],6),IF(Main[[#This Row],[Class]]="A",WORKDAY(Main[[#This Row],[Tech Start Date]],2),""))))</f>
        <v>40785</v>
      </c>
      <c r="N97" s="75">
        <f>IF(Main[[#This Row],[Tech Start Date]]&lt;1/1/1990,"",IF(Main[[#This Row],[Class]]="C",WORKDAY(Main[[#This Row],[Tech Start Date]],19),IF(Main[[#This Row],[Class]]="B", WORKDAY(Main[[#This Row],[Tech Start Date]],12),IF(Main[[#This Row],[Class]]="A",WORKDAY(Main[[#This Row],[Tech Start Date]],4),""))))</f>
        <v>40799</v>
      </c>
      <c r="O97" s="75">
        <f>IF(Main[[#This Row],[Tech Start Date]]&lt;1/1/1990,"",IF(Main[[#This Row],[Class]]="C",WORKDAY(Main[[#This Row],[Tech Start Date]],23),IF(Main[[#This Row],[Class]]="B", WORKDAY(Main[[#This Row],[Tech Start Date]],15),IF(Main[[#This Row],[Class]]="A",WORKDAY(Main[[#This Row],[Tech Start Date]],5),""))))</f>
        <v>40805</v>
      </c>
      <c r="P97" s="75">
        <f>IF(Main[[#This Row],[Tech Start Date]]&lt;1/1/1990,"",IF(Main[[#This Row],[Class]]="C",WORKDAY(Main[[#This Row],[Tech Start Date]],28),IF(Main[[#This Row],[Class]]="B", WORKDAY(Main[[#This Row],[Tech Start Date]],19),IF(Main[[#This Row],[Class]]="A",WORKDAY(Main[[#This Row],[Tech Start Date]],9),""))))</f>
        <v>40812</v>
      </c>
      <c r="Q97" s="89">
        <v>40687</v>
      </c>
      <c r="R97" s="121">
        <v>41045</v>
      </c>
      <c r="S97" s="99" t="s">
        <v>11</v>
      </c>
      <c r="T97" s="76" t="s">
        <v>3982</v>
      </c>
      <c r="U97" s="99" t="s">
        <v>29</v>
      </c>
      <c r="V97" s="99" t="s">
        <v>1913</v>
      </c>
      <c r="W97" s="99" t="s">
        <v>1918</v>
      </c>
      <c r="X97" s="99" t="s">
        <v>2837</v>
      </c>
      <c r="Y97" s="73" t="s">
        <v>3148</v>
      </c>
      <c r="Z97" s="73" t="s">
        <v>877</v>
      </c>
      <c r="AA97" s="99" t="s">
        <v>2837</v>
      </c>
    </row>
    <row r="98" spans="1:27" ht="17.25" customHeight="1">
      <c r="A98" s="65">
        <f>IF(priority(Main[[#This Row],[Comments]])&lt;&gt;0, priority(Main[[#This Row],[Comments]]),"")</f>
        <v>28</v>
      </c>
      <c r="B98" s="60" t="s">
        <v>1017</v>
      </c>
      <c r="C98" s="105" t="s">
        <v>4</v>
      </c>
      <c r="D98" s="74" t="s">
        <v>2303</v>
      </c>
      <c r="E98" s="89">
        <v>40603.481041666666</v>
      </c>
      <c r="F98" s="89"/>
      <c r="G98" s="65" t="str">
        <f>IF(stdProdLT(Main[[#This Row],[Comments]])=0.1,"N/A",IF(stdProdLT(Main[[#This Row],[Comments]])=0,"",TRIM(stdProdLT(Main[[#This Row],[Comments]]))))</f>
        <v/>
      </c>
      <c r="H98" s="98" t="str">
        <f>IF(Main[[#This Row],[Std. Prod. Lead Time]]="N/A", "",IF(AND(Main[[#This Row],[In Stock Date]]&lt;&gt;"",Main[[#This Row],[Revised Due Date]]&lt;&gt;"",Main[[#This Row],[In Stock Date]]&lt;&gt;""),Main[[#This Row],[In Stock Date]]-Main[[#This Row],[Revised Due Date]],""))</f>
        <v/>
      </c>
      <c r="I98" s="110" t="s">
        <v>912</v>
      </c>
      <c r="J98" s="99" t="s">
        <v>52</v>
      </c>
      <c r="K98" s="99" t="s">
        <v>1922</v>
      </c>
      <c r="L98" s="89"/>
      <c r="M98" s="75" t="str">
        <f>IF(Main[[#This Row],[Tech Start Date]]&lt;1/1/1990,"",IF(Main[[#This Row],[Class]]="C",WORKDAY(Main[[#This Row],[Tech Start Date]],9),IF(Main[[#This Row],[Class]]="B", WORKDAY(Main[[#This Row],[Tech Start Date]],6),IF(Main[[#This Row],[Class]]="A",WORKDAY(Main[[#This Row],[Tech Start Date]],2),""))))</f>
        <v/>
      </c>
      <c r="N98" s="75" t="str">
        <f>IF(Main[[#This Row],[Tech Start Date]]&lt;1/1/1990,"",IF(Main[[#This Row],[Class]]="C",WORKDAY(Main[[#This Row],[Tech Start Date]],19),IF(Main[[#This Row],[Class]]="B", WORKDAY(Main[[#This Row],[Tech Start Date]],12),IF(Main[[#This Row],[Class]]="A",WORKDAY(Main[[#This Row],[Tech Start Date]],4),""))))</f>
        <v/>
      </c>
      <c r="O98" s="75" t="str">
        <f>IF(Main[[#This Row],[Tech Start Date]]&lt;1/1/1990,"",IF(Main[[#This Row],[Class]]="C",WORKDAY(Main[[#This Row],[Tech Start Date]],23),IF(Main[[#This Row],[Class]]="B", WORKDAY(Main[[#This Row],[Tech Start Date]],15),IF(Main[[#This Row],[Class]]="A",WORKDAY(Main[[#This Row],[Tech Start Date]],5),""))))</f>
        <v/>
      </c>
      <c r="P98" s="75" t="str">
        <f>IF(Main[[#This Row],[Tech Start Date]]&lt;1/1/1990,"",IF(Main[[#This Row],[Class]]="C",WORKDAY(Main[[#This Row],[Tech Start Date]],28),IF(Main[[#This Row],[Class]]="B", WORKDAY(Main[[#This Row],[Tech Start Date]],19),IF(Main[[#This Row],[Class]]="A",WORKDAY(Main[[#This Row],[Tech Start Date]],9),""))))</f>
        <v/>
      </c>
      <c r="Q98" s="89">
        <v>40637</v>
      </c>
      <c r="R98" s="121"/>
      <c r="S98" s="99" t="s">
        <v>6</v>
      </c>
      <c r="T98" s="76" t="s">
        <v>2651</v>
      </c>
      <c r="U98" s="99" t="s">
        <v>29</v>
      </c>
      <c r="V98" s="99" t="s">
        <v>1913</v>
      </c>
      <c r="W98" s="99" t="s">
        <v>1915</v>
      </c>
      <c r="X98" s="99" t="s">
        <v>2816</v>
      </c>
      <c r="Y98" s="73" t="s">
        <v>2932</v>
      </c>
      <c r="Z98" s="73" t="s">
        <v>129</v>
      </c>
      <c r="AA98" s="99" t="s">
        <v>2816</v>
      </c>
    </row>
    <row r="99" spans="1:27" ht="17.25" customHeight="1">
      <c r="A99" s="65">
        <f>IF(priority(Main[[#This Row],[Comments]])&lt;&gt;0, priority(Main[[#This Row],[Comments]]),"")</f>
        <v>28</v>
      </c>
      <c r="B99" s="60" t="s">
        <v>2148</v>
      </c>
      <c r="C99" s="105" t="s">
        <v>116</v>
      </c>
      <c r="D99" s="74" t="s">
        <v>2790</v>
      </c>
      <c r="E99" s="89">
        <v>40770.33797453704</v>
      </c>
      <c r="F99" s="89">
        <v>41044</v>
      </c>
      <c r="G99" s="65" t="str">
        <f>IF(stdProdLT(Main[[#This Row],[Comments]])=0.1,"N/A",IF(stdProdLT(Main[[#This Row],[Comments]])=0,"",TRIM(stdProdLT(Main[[#This Row],[Comments]]))))</f>
        <v>N/A</v>
      </c>
      <c r="H99" s="98" t="str">
        <f>IF(Main[[#This Row],[Std. Prod. Lead Time]]="N/A", "",IF(AND(Main[[#This Row],[In Stock Date]]&lt;&gt;"",Main[[#This Row],[Revised Due Date]]&lt;&gt;"",Main[[#This Row],[In Stock Date]]&lt;&gt;""),Main[[#This Row],[In Stock Date]]-Main[[#This Row],[Revised Due Date]],""))</f>
        <v/>
      </c>
      <c r="I99" s="110" t="s">
        <v>937</v>
      </c>
      <c r="J99" s="99" t="s">
        <v>21</v>
      </c>
      <c r="K99" s="99" t="s">
        <v>1926</v>
      </c>
      <c r="L99" s="89">
        <v>40778</v>
      </c>
      <c r="M99" s="75">
        <f>IF(Main[[#This Row],[Tech Start Date]]&lt;1/1/1990,"",IF(Main[[#This Row],[Class]]="C",WORKDAY(Main[[#This Row],[Tech Start Date]],9),IF(Main[[#This Row],[Class]]="B", WORKDAY(Main[[#This Row],[Tech Start Date]],6),IF(Main[[#This Row],[Class]]="A",WORKDAY(Main[[#This Row],[Tech Start Date]],2),""))))</f>
        <v>40791</v>
      </c>
      <c r="N99" s="75">
        <f>IF(Main[[#This Row],[Tech Start Date]]&lt;1/1/1990,"",IF(Main[[#This Row],[Class]]="C",WORKDAY(Main[[#This Row],[Tech Start Date]],19),IF(Main[[#This Row],[Class]]="B", WORKDAY(Main[[#This Row],[Tech Start Date]],12),IF(Main[[#This Row],[Class]]="A",WORKDAY(Main[[#This Row],[Tech Start Date]],4),""))))</f>
        <v>40805</v>
      </c>
      <c r="O99" s="75">
        <f>IF(Main[[#This Row],[Tech Start Date]]&lt;1/1/1990,"",IF(Main[[#This Row],[Class]]="C",WORKDAY(Main[[#This Row],[Tech Start Date]],23),IF(Main[[#This Row],[Class]]="B", WORKDAY(Main[[#This Row],[Tech Start Date]],15),IF(Main[[#This Row],[Class]]="A",WORKDAY(Main[[#This Row],[Tech Start Date]],5),""))))</f>
        <v>40809</v>
      </c>
      <c r="P99" s="75">
        <f>IF(Main[[#This Row],[Tech Start Date]]&lt;1/1/1990,"",IF(Main[[#This Row],[Class]]="C",WORKDAY(Main[[#This Row],[Tech Start Date]],28),IF(Main[[#This Row],[Class]]="B", WORKDAY(Main[[#This Row],[Tech Start Date]],19),IF(Main[[#This Row],[Class]]="A",WORKDAY(Main[[#This Row],[Tech Start Date]],9),""))))</f>
        <v>40816</v>
      </c>
      <c r="Q99" s="89">
        <v>40802</v>
      </c>
      <c r="R99" s="121">
        <v>40998</v>
      </c>
      <c r="S99" s="99" t="s">
        <v>11</v>
      </c>
      <c r="T99" s="76" t="s">
        <v>3983</v>
      </c>
      <c r="U99" s="99" t="s">
        <v>29</v>
      </c>
      <c r="V99" s="99" t="s">
        <v>1913</v>
      </c>
      <c r="W99" s="99" t="s">
        <v>1921</v>
      </c>
      <c r="X99" s="99" t="s">
        <v>2846</v>
      </c>
      <c r="Y99" s="73" t="s">
        <v>3128</v>
      </c>
      <c r="Z99" s="73" t="s">
        <v>129</v>
      </c>
      <c r="AA99" s="99" t="s">
        <v>2846</v>
      </c>
    </row>
    <row r="100" spans="1:27" ht="17.25" customHeight="1">
      <c r="A100" s="65">
        <f>IF(priority(Main[[#This Row],[Comments]])&lt;&gt;0, priority(Main[[#This Row],[Comments]]),"")</f>
        <v>29</v>
      </c>
      <c r="B100" s="60" t="s">
        <v>2647</v>
      </c>
      <c r="C100" s="105" t="s">
        <v>116</v>
      </c>
      <c r="D100" s="74" t="s">
        <v>2799</v>
      </c>
      <c r="E100" s="89">
        <v>40864.570104166669</v>
      </c>
      <c r="F100" s="89">
        <v>41044</v>
      </c>
      <c r="G100" s="65" t="str">
        <f>IF(stdProdLT(Main[[#This Row],[Comments]])=0.1,"N/A",IF(stdProdLT(Main[[#This Row],[Comments]])=0,"",TRIM(stdProdLT(Main[[#This Row],[Comments]]))))</f>
        <v>N/A</v>
      </c>
      <c r="H100" s="98" t="str">
        <f>IF(Main[[#This Row],[Std. Prod. Lead Time]]="N/A", "",IF(AND(Main[[#This Row],[In Stock Date]]&lt;&gt;"",Main[[#This Row],[Revised Due Date]]&lt;&gt;"",Main[[#This Row],[In Stock Date]]&lt;&gt;""),Main[[#This Row],[In Stock Date]]-Main[[#This Row],[Revised Due Date]],""))</f>
        <v/>
      </c>
      <c r="I100" s="110" t="s">
        <v>937</v>
      </c>
      <c r="J100" s="99" t="s">
        <v>21</v>
      </c>
      <c r="K100" s="99" t="s">
        <v>1920</v>
      </c>
      <c r="L100" s="89">
        <v>40869</v>
      </c>
      <c r="M100" s="75">
        <f>IF(Main[[#This Row],[Tech Start Date]]&lt;1/1/1990,"",IF(Main[[#This Row],[Class]]="C",WORKDAY(Main[[#This Row],[Tech Start Date]],9),IF(Main[[#This Row],[Class]]="B", WORKDAY(Main[[#This Row],[Tech Start Date]],6),IF(Main[[#This Row],[Class]]="A",WORKDAY(Main[[#This Row],[Tech Start Date]],2),""))))</f>
        <v>40877</v>
      </c>
      <c r="N100" s="75">
        <f>IF(Main[[#This Row],[Tech Start Date]]&lt;1/1/1990,"",IF(Main[[#This Row],[Class]]="C",WORKDAY(Main[[#This Row],[Tech Start Date]],19),IF(Main[[#This Row],[Class]]="B", WORKDAY(Main[[#This Row],[Tech Start Date]],12),IF(Main[[#This Row],[Class]]="A",WORKDAY(Main[[#This Row],[Tech Start Date]],4),""))))</f>
        <v>40885</v>
      </c>
      <c r="O100" s="75">
        <f>IF(Main[[#This Row],[Tech Start Date]]&lt;1/1/1990,"",IF(Main[[#This Row],[Class]]="C",WORKDAY(Main[[#This Row],[Tech Start Date]],23),IF(Main[[#This Row],[Class]]="B", WORKDAY(Main[[#This Row],[Tech Start Date]],15),IF(Main[[#This Row],[Class]]="A",WORKDAY(Main[[#This Row],[Tech Start Date]],5),""))))</f>
        <v>40890</v>
      </c>
      <c r="P100" s="75">
        <f>IF(Main[[#This Row],[Tech Start Date]]&lt;1/1/1990,"",IF(Main[[#This Row],[Class]]="C",WORKDAY(Main[[#This Row],[Tech Start Date]],28),IF(Main[[#This Row],[Class]]="B", WORKDAY(Main[[#This Row],[Tech Start Date]],19),IF(Main[[#This Row],[Class]]="A",WORKDAY(Main[[#This Row],[Tech Start Date]],9),""))))</f>
        <v>40896</v>
      </c>
      <c r="Q100" s="89">
        <v>40904</v>
      </c>
      <c r="R100" s="121">
        <v>40998</v>
      </c>
      <c r="S100" s="99" t="s">
        <v>11</v>
      </c>
      <c r="T100" s="76" t="s">
        <v>3984</v>
      </c>
      <c r="U100" s="99" t="s">
        <v>29</v>
      </c>
      <c r="V100" s="99" t="s">
        <v>1913</v>
      </c>
      <c r="W100" s="99" t="s">
        <v>1921</v>
      </c>
      <c r="X100" s="99" t="s">
        <v>2846</v>
      </c>
      <c r="Y100" s="73" t="s">
        <v>3128</v>
      </c>
      <c r="Z100" s="73" t="s">
        <v>129</v>
      </c>
      <c r="AA100" s="99" t="s">
        <v>2846</v>
      </c>
    </row>
    <row r="101" spans="1:27" ht="17.25" customHeight="1">
      <c r="A101" s="65">
        <f>IF(priority(Main[[#This Row],[Comments]])&lt;&gt;0, priority(Main[[#This Row],[Comments]]),"")</f>
        <v>30</v>
      </c>
      <c r="B101" s="60" t="s">
        <v>1571</v>
      </c>
      <c r="C101" s="105" t="s">
        <v>1963</v>
      </c>
      <c r="D101" s="74" t="s">
        <v>653</v>
      </c>
      <c r="E101" s="89"/>
      <c r="F101" s="89"/>
      <c r="G101" s="65" t="str">
        <f>IF(stdProdLT(Main[[#This Row],[Comments]])=0.1,"N/A",IF(stdProdLT(Main[[#This Row],[Comments]])=0,"",TRIM(stdProdLT(Main[[#This Row],[Comments]]))))</f>
        <v>126</v>
      </c>
      <c r="H101" s="98" t="str">
        <f>IF(Main[[#This Row],[Std. Prod. Lead Time]]="N/A", "",IF(AND(Main[[#This Row],[In Stock Date]]&lt;&gt;"",Main[[#This Row],[Revised Due Date]]&lt;&gt;"",Main[[#This Row],[In Stock Date]]&lt;&gt;""),Main[[#This Row],[In Stock Date]]-Main[[#This Row],[Revised Due Date]],""))</f>
        <v/>
      </c>
      <c r="I101" s="110" t="s">
        <v>4</v>
      </c>
      <c r="J101" s="99" t="s">
        <v>4</v>
      </c>
      <c r="K101" s="99" t="s">
        <v>4</v>
      </c>
      <c r="L101" s="89"/>
      <c r="M101" s="75" t="str">
        <f>IF(Main[[#This Row],[Tech Start Date]]&lt;1/1/1990,"",IF(Main[[#This Row],[Class]]="C",WORKDAY(Main[[#This Row],[Tech Start Date]],9),IF(Main[[#This Row],[Class]]="B", WORKDAY(Main[[#This Row],[Tech Start Date]],6),IF(Main[[#This Row],[Class]]="A",WORKDAY(Main[[#This Row],[Tech Start Date]],2),""))))</f>
        <v/>
      </c>
      <c r="N101" s="75" t="str">
        <f>IF(Main[[#This Row],[Tech Start Date]]&lt;1/1/1990,"",IF(Main[[#This Row],[Class]]="C",WORKDAY(Main[[#This Row],[Tech Start Date]],19),IF(Main[[#This Row],[Class]]="B", WORKDAY(Main[[#This Row],[Tech Start Date]],12),IF(Main[[#This Row],[Class]]="A",WORKDAY(Main[[#This Row],[Tech Start Date]],4),""))))</f>
        <v/>
      </c>
      <c r="O101" s="75" t="str">
        <f>IF(Main[[#This Row],[Tech Start Date]]&lt;1/1/1990,"",IF(Main[[#This Row],[Class]]="C",WORKDAY(Main[[#This Row],[Tech Start Date]],23),IF(Main[[#This Row],[Class]]="B", WORKDAY(Main[[#This Row],[Tech Start Date]],15),IF(Main[[#This Row],[Class]]="A",WORKDAY(Main[[#This Row],[Tech Start Date]],5),""))))</f>
        <v/>
      </c>
      <c r="P101" s="75" t="str">
        <f>IF(Main[[#This Row],[Tech Start Date]]&lt;1/1/1990,"",IF(Main[[#This Row],[Class]]="C",WORKDAY(Main[[#This Row],[Tech Start Date]],28),IF(Main[[#This Row],[Class]]="B", WORKDAY(Main[[#This Row],[Tech Start Date]],19),IF(Main[[#This Row],[Class]]="A",WORKDAY(Main[[#This Row],[Tech Start Date]],9),""))))</f>
        <v/>
      </c>
      <c r="Q101" s="89">
        <v>40710</v>
      </c>
      <c r="R101" s="121">
        <v>40778</v>
      </c>
      <c r="S101" s="99" t="s">
        <v>11</v>
      </c>
      <c r="T101" s="76" t="s">
        <v>1964</v>
      </c>
      <c r="U101" s="99" t="s">
        <v>14</v>
      </c>
      <c r="V101" s="99" t="s">
        <v>1913</v>
      </c>
      <c r="W101" s="99" t="s">
        <v>1915</v>
      </c>
      <c r="X101" s="99" t="s">
        <v>2851</v>
      </c>
      <c r="Y101" s="73" t="s">
        <v>2992</v>
      </c>
      <c r="Z101" s="73" t="s">
        <v>4</v>
      </c>
      <c r="AA101" s="99" t="s">
        <v>2851</v>
      </c>
    </row>
    <row r="102" spans="1:27" ht="17.25" customHeight="1">
      <c r="A102" s="65">
        <f>IF(priority(Main[[#This Row],[Comments]])&lt;&gt;0, priority(Main[[#This Row],[Comments]]),"")</f>
        <v>30</v>
      </c>
      <c r="B102" s="60" t="s">
        <v>1030</v>
      </c>
      <c r="C102" s="105" t="s">
        <v>37</v>
      </c>
      <c r="D102" s="74" t="s">
        <v>2302</v>
      </c>
      <c r="E102" s="89">
        <v>40578.593101851853</v>
      </c>
      <c r="F102" s="89">
        <v>40603</v>
      </c>
      <c r="G102" s="65" t="str">
        <f>IF(stdProdLT(Main[[#This Row],[Comments]])=0.1,"N/A",IF(stdProdLT(Main[[#This Row],[Comments]])=0,"",TRIM(stdProdLT(Main[[#This Row],[Comments]]))))</f>
        <v/>
      </c>
      <c r="H102" s="98" t="str">
        <f>IF(Main[[#This Row],[Std. Prod. Lead Time]]="N/A", "",IF(AND(Main[[#This Row],[In Stock Date]]&lt;&gt;"",Main[[#This Row],[Revised Due Date]]&lt;&gt;"",Main[[#This Row],[In Stock Date]]&lt;&gt;""),Main[[#This Row],[In Stock Date]]-Main[[#This Row],[Revised Due Date]],""))</f>
        <v/>
      </c>
      <c r="I102" s="110" t="s">
        <v>50</v>
      </c>
      <c r="J102" s="99" t="s">
        <v>51</v>
      </c>
      <c r="K102" s="100" t="s">
        <v>1922</v>
      </c>
      <c r="L102" s="89"/>
      <c r="M102" s="75" t="str">
        <f>IF(Main[[#This Row],[Tech Start Date]]&lt;1/1/1990,"",IF(Main[[#This Row],[Class]]="C",WORKDAY(Main[[#This Row],[Tech Start Date]],9),IF(Main[[#This Row],[Class]]="B", WORKDAY(Main[[#This Row],[Tech Start Date]],6),IF(Main[[#This Row],[Class]]="A",WORKDAY(Main[[#This Row],[Tech Start Date]],2),""))))</f>
        <v/>
      </c>
      <c r="N102" s="75" t="str">
        <f>IF(Main[[#This Row],[Tech Start Date]]&lt;1/1/1990,"",IF(Main[[#This Row],[Class]]="C",WORKDAY(Main[[#This Row],[Tech Start Date]],19),IF(Main[[#This Row],[Class]]="B", WORKDAY(Main[[#This Row],[Tech Start Date]],12),IF(Main[[#This Row],[Class]]="A",WORKDAY(Main[[#This Row],[Tech Start Date]],4),""))))</f>
        <v/>
      </c>
      <c r="O102" s="75" t="str">
        <f>IF(Main[[#This Row],[Tech Start Date]]&lt;1/1/1990,"",IF(Main[[#This Row],[Class]]="C",WORKDAY(Main[[#This Row],[Tech Start Date]],23),IF(Main[[#This Row],[Class]]="B", WORKDAY(Main[[#This Row],[Tech Start Date]],15),IF(Main[[#This Row],[Class]]="A",WORKDAY(Main[[#This Row],[Tech Start Date]],5),""))))</f>
        <v/>
      </c>
      <c r="P102" s="75" t="str">
        <f>IF(Main[[#This Row],[Tech Start Date]]&lt;1/1/1990,"",IF(Main[[#This Row],[Class]]="C",WORKDAY(Main[[#This Row],[Tech Start Date]],28),IF(Main[[#This Row],[Class]]="B", WORKDAY(Main[[#This Row],[Tech Start Date]],19),IF(Main[[#This Row],[Class]]="A",WORKDAY(Main[[#This Row],[Tech Start Date]],9),""))))</f>
        <v/>
      </c>
      <c r="Q102" s="89">
        <v>40603</v>
      </c>
      <c r="R102" s="121"/>
      <c r="S102" s="99" t="s">
        <v>6</v>
      </c>
      <c r="T102" s="76" t="s">
        <v>2264</v>
      </c>
      <c r="U102" s="99" t="s">
        <v>29</v>
      </c>
      <c r="V102" s="99" t="s">
        <v>1913</v>
      </c>
      <c r="W102" s="99" t="s">
        <v>1924</v>
      </c>
      <c r="X102" s="99" t="s">
        <v>883</v>
      </c>
      <c r="Y102" s="73" t="s">
        <v>2957</v>
      </c>
      <c r="Z102" s="73" t="s">
        <v>129</v>
      </c>
      <c r="AA102" s="99" t="s">
        <v>883</v>
      </c>
    </row>
    <row r="103" spans="1:27" ht="17.25" customHeight="1">
      <c r="A103" s="65">
        <f>IF(priority(Main[[#This Row],[Comments]])&lt;&gt;0, priority(Main[[#This Row],[Comments]]),"")</f>
        <v>30</v>
      </c>
      <c r="B103" s="60" t="s">
        <v>3530</v>
      </c>
      <c r="C103" s="105" t="s">
        <v>3847</v>
      </c>
      <c r="D103" s="74" t="s">
        <v>3531</v>
      </c>
      <c r="E103" s="89"/>
      <c r="F103" s="89">
        <v>41153</v>
      </c>
      <c r="G103" s="65" t="str">
        <f>IF(stdProdLT(Main[[#This Row],[Comments]])=0.1,"N/A",IF(stdProdLT(Main[[#This Row],[Comments]])=0,"",TRIM(stdProdLT(Main[[#This Row],[Comments]]))))</f>
        <v>140</v>
      </c>
      <c r="H103" s="98">
        <f>IF(Main[[#This Row],[Std. Prod. Lead Time]]="N/A", "",IF(AND(Main[[#This Row],[In Stock Date]]&lt;&gt;"",Main[[#This Row],[Revised Due Date]]&lt;&gt;"",Main[[#This Row],[In Stock Date]]&lt;&gt;""),Main[[#This Row],[In Stock Date]]-Main[[#This Row],[Revised Due Date]],""))</f>
        <v>158</v>
      </c>
      <c r="I103" s="110" t="s">
        <v>3922</v>
      </c>
      <c r="J103" s="99" t="s">
        <v>28</v>
      </c>
      <c r="K103" s="99" t="s">
        <v>1920</v>
      </c>
      <c r="L103" s="89">
        <v>40960</v>
      </c>
      <c r="M103" s="75">
        <f>IF(Main[[#This Row],[Tech Start Date]]&lt;1/1/1990,"",IF(Main[[#This Row],[Class]]="C",WORKDAY(Main[[#This Row],[Tech Start Date]],9),IF(Main[[#This Row],[Class]]="B", WORKDAY(Main[[#This Row],[Tech Start Date]],6),IF(Main[[#This Row],[Class]]="A",WORKDAY(Main[[#This Row],[Tech Start Date]],2),""))))</f>
        <v>40968</v>
      </c>
      <c r="N103" s="75">
        <f>IF(Main[[#This Row],[Tech Start Date]]&lt;1/1/1990,"",IF(Main[[#This Row],[Class]]="C",WORKDAY(Main[[#This Row],[Tech Start Date]],19),IF(Main[[#This Row],[Class]]="B", WORKDAY(Main[[#This Row],[Tech Start Date]],12),IF(Main[[#This Row],[Class]]="A",WORKDAY(Main[[#This Row],[Tech Start Date]],4),""))))</f>
        <v>40976</v>
      </c>
      <c r="O103" s="75">
        <f>IF(Main[[#This Row],[Tech Start Date]]&lt;1/1/1990,"",IF(Main[[#This Row],[Class]]="C",WORKDAY(Main[[#This Row],[Tech Start Date]],23),IF(Main[[#This Row],[Class]]="B", WORKDAY(Main[[#This Row],[Tech Start Date]],15),IF(Main[[#This Row],[Class]]="A",WORKDAY(Main[[#This Row],[Tech Start Date]],5),""))))</f>
        <v>40981</v>
      </c>
      <c r="P103" s="75">
        <f>IF(Main[[#This Row],[Tech Start Date]]&lt;1/1/1990,"",IF(Main[[#This Row],[Class]]="C",WORKDAY(Main[[#This Row],[Tech Start Date]],28),IF(Main[[#This Row],[Class]]="B", WORKDAY(Main[[#This Row],[Tech Start Date]],19),IF(Main[[#This Row],[Class]]="A",WORKDAY(Main[[#This Row],[Tech Start Date]],9),""))))</f>
        <v>40987</v>
      </c>
      <c r="Q103" s="89">
        <v>40995</v>
      </c>
      <c r="R103" s="121">
        <v>40995</v>
      </c>
      <c r="S103" s="99" t="s">
        <v>11</v>
      </c>
      <c r="T103" s="76" t="s">
        <v>3848</v>
      </c>
      <c r="U103" s="99" t="s">
        <v>14</v>
      </c>
      <c r="V103" s="99" t="s">
        <v>1923</v>
      </c>
      <c r="W103" s="99" t="s">
        <v>1924</v>
      </c>
      <c r="X103" s="99" t="s">
        <v>2840</v>
      </c>
      <c r="Y103" s="73" t="s">
        <v>4</v>
      </c>
      <c r="Z103" s="73" t="s">
        <v>530</v>
      </c>
      <c r="AA103" s="99" t="s">
        <v>2840</v>
      </c>
    </row>
    <row r="104" spans="1:27" ht="17.25" customHeight="1">
      <c r="A104" s="65">
        <f>IF(priority(Main[[#This Row],[Comments]])&lt;&gt;0, priority(Main[[#This Row],[Comments]]),"")</f>
        <v>31</v>
      </c>
      <c r="B104" s="60" t="s">
        <v>3901</v>
      </c>
      <c r="C104" s="105" t="s">
        <v>3847</v>
      </c>
      <c r="D104" s="74" t="s">
        <v>3902</v>
      </c>
      <c r="E104" s="89"/>
      <c r="F104" s="89">
        <v>41153</v>
      </c>
      <c r="G104" s="65" t="str">
        <f>IF(stdProdLT(Main[[#This Row],[Comments]])=0.1,"N/A",IF(stdProdLT(Main[[#This Row],[Comments]])=0,"",TRIM(stdProdLT(Main[[#This Row],[Comments]]))))</f>
        <v>168</v>
      </c>
      <c r="H104" s="98" t="str">
        <f>IF(Main[[#This Row],[Std. Prod. Lead Time]]="N/A", "",IF(AND(Main[[#This Row],[In Stock Date]]&lt;&gt;"",Main[[#This Row],[Revised Due Date]]&lt;&gt;"",Main[[#This Row],[In Stock Date]]&lt;&gt;""),Main[[#This Row],[In Stock Date]]-Main[[#This Row],[Revised Due Date]],""))</f>
        <v/>
      </c>
      <c r="I104" s="110" t="s">
        <v>4</v>
      </c>
      <c r="J104" s="99" t="s">
        <v>52</v>
      </c>
      <c r="K104" s="99" t="s">
        <v>4</v>
      </c>
      <c r="L104" s="89"/>
      <c r="M104" s="75" t="str">
        <f>IF(Main[[#This Row],[Tech Start Date]]&lt;1/1/1990,"",IF(Main[[#This Row],[Class]]="C",WORKDAY(Main[[#This Row],[Tech Start Date]],9),IF(Main[[#This Row],[Class]]="B", WORKDAY(Main[[#This Row],[Tech Start Date]],6),IF(Main[[#This Row],[Class]]="A",WORKDAY(Main[[#This Row],[Tech Start Date]],2),""))))</f>
        <v/>
      </c>
      <c r="N104" s="75" t="str">
        <f>IF(Main[[#This Row],[Tech Start Date]]&lt;1/1/1990,"",IF(Main[[#This Row],[Class]]="C",WORKDAY(Main[[#This Row],[Tech Start Date]],19),IF(Main[[#This Row],[Class]]="B", WORKDAY(Main[[#This Row],[Tech Start Date]],12),IF(Main[[#This Row],[Class]]="A",WORKDAY(Main[[#This Row],[Tech Start Date]],4),""))))</f>
        <v/>
      </c>
      <c r="O104" s="75" t="str">
        <f>IF(Main[[#This Row],[Tech Start Date]]&lt;1/1/1990,"",IF(Main[[#This Row],[Class]]="C",WORKDAY(Main[[#This Row],[Tech Start Date]],23),IF(Main[[#This Row],[Class]]="B", WORKDAY(Main[[#This Row],[Tech Start Date]],15),IF(Main[[#This Row],[Class]]="A",WORKDAY(Main[[#This Row],[Tech Start Date]],5),""))))</f>
        <v/>
      </c>
      <c r="P104" s="75" t="str">
        <f>IF(Main[[#This Row],[Tech Start Date]]&lt;1/1/1990,"",IF(Main[[#This Row],[Class]]="C",WORKDAY(Main[[#This Row],[Tech Start Date]],28),IF(Main[[#This Row],[Class]]="B", WORKDAY(Main[[#This Row],[Tech Start Date]],19),IF(Main[[#This Row],[Class]]="A",WORKDAY(Main[[#This Row],[Tech Start Date]],9),""))))</f>
        <v/>
      </c>
      <c r="Q104" s="89">
        <v>41014</v>
      </c>
      <c r="R104" s="121"/>
      <c r="S104" s="99" t="s">
        <v>11</v>
      </c>
      <c r="T104" s="76" t="s">
        <v>3903</v>
      </c>
      <c r="U104" s="99" t="s">
        <v>14</v>
      </c>
      <c r="V104" s="99" t="s">
        <v>1916</v>
      </c>
      <c r="W104" s="99" t="s">
        <v>1921</v>
      </c>
      <c r="X104" s="99" t="s">
        <v>2842</v>
      </c>
      <c r="Y104" s="73" t="s">
        <v>4</v>
      </c>
      <c r="Z104" s="73" t="s">
        <v>530</v>
      </c>
      <c r="AA104" s="99" t="s">
        <v>2842</v>
      </c>
    </row>
    <row r="105" spans="1:27" ht="17.25" customHeight="1">
      <c r="A105" s="65">
        <f>IF(priority(Main[[#This Row],[Comments]])&lt;&gt;0, priority(Main[[#This Row],[Comments]]),"")</f>
        <v>32</v>
      </c>
      <c r="B105" s="60" t="s">
        <v>1074</v>
      </c>
      <c r="C105" s="105" t="s">
        <v>116</v>
      </c>
      <c r="D105" s="74" t="s">
        <v>117</v>
      </c>
      <c r="E105" s="89"/>
      <c r="F105" s="89"/>
      <c r="G105" s="65" t="str">
        <f>IF(stdProdLT(Main[[#This Row],[Comments]])=0.1,"N/A",IF(stdProdLT(Main[[#This Row],[Comments]])=0,"",TRIM(stdProdLT(Main[[#This Row],[Comments]]))))</f>
        <v/>
      </c>
      <c r="H105" s="98" t="str">
        <f>IF(Main[[#This Row],[Std. Prod. Lead Time]]="N/A", "",IF(AND(Main[[#This Row],[In Stock Date]]&lt;&gt;"",Main[[#This Row],[Revised Due Date]]&lt;&gt;"",Main[[#This Row],[In Stock Date]]&lt;&gt;""),Main[[#This Row],[In Stock Date]]-Main[[#This Row],[Revised Due Date]],""))</f>
        <v/>
      </c>
      <c r="I105" s="110" t="s">
        <v>4</v>
      </c>
      <c r="J105" s="99" t="s">
        <v>4</v>
      </c>
      <c r="K105" s="99" t="s">
        <v>4</v>
      </c>
      <c r="L105" s="89"/>
      <c r="M105" s="75" t="str">
        <f>IF(Main[[#This Row],[Tech Start Date]]&lt;1/1/1990,"",IF(Main[[#This Row],[Class]]="C",WORKDAY(Main[[#This Row],[Tech Start Date]],9),IF(Main[[#This Row],[Class]]="B", WORKDAY(Main[[#This Row],[Tech Start Date]],6),IF(Main[[#This Row],[Class]]="A",WORKDAY(Main[[#This Row],[Tech Start Date]],2),""))))</f>
        <v/>
      </c>
      <c r="N105" s="75" t="str">
        <f>IF(Main[[#This Row],[Tech Start Date]]&lt;1/1/1990,"",IF(Main[[#This Row],[Class]]="C",WORKDAY(Main[[#This Row],[Tech Start Date]],19),IF(Main[[#This Row],[Class]]="B", WORKDAY(Main[[#This Row],[Tech Start Date]],12),IF(Main[[#This Row],[Class]]="A",WORKDAY(Main[[#This Row],[Tech Start Date]],4),""))))</f>
        <v/>
      </c>
      <c r="O105" s="75" t="str">
        <f>IF(Main[[#This Row],[Tech Start Date]]&lt;1/1/1990,"",IF(Main[[#This Row],[Class]]="C",WORKDAY(Main[[#This Row],[Tech Start Date]],23),IF(Main[[#This Row],[Class]]="B", WORKDAY(Main[[#This Row],[Tech Start Date]],15),IF(Main[[#This Row],[Class]]="A",WORKDAY(Main[[#This Row],[Tech Start Date]],5),""))))</f>
        <v/>
      </c>
      <c r="P105" s="75" t="str">
        <f>IF(Main[[#This Row],[Tech Start Date]]&lt;1/1/1990,"",IF(Main[[#This Row],[Class]]="C",WORKDAY(Main[[#This Row],[Tech Start Date]],28),IF(Main[[#This Row],[Class]]="B", WORKDAY(Main[[#This Row],[Tech Start Date]],19),IF(Main[[#This Row],[Class]]="A",WORKDAY(Main[[#This Row],[Tech Start Date]],9),""))))</f>
        <v/>
      </c>
      <c r="Q105" s="89">
        <v>40786</v>
      </c>
      <c r="R105" s="121"/>
      <c r="S105" s="99" t="s">
        <v>11</v>
      </c>
      <c r="T105" s="76" t="s">
        <v>118</v>
      </c>
      <c r="U105" s="99" t="s">
        <v>14</v>
      </c>
      <c r="V105" s="99" t="s">
        <v>1913</v>
      </c>
      <c r="W105" s="99" t="s">
        <v>1918</v>
      </c>
      <c r="X105" s="99" t="s">
        <v>2833</v>
      </c>
      <c r="Y105" s="73" t="s">
        <v>2964</v>
      </c>
      <c r="Z105" s="73" t="s">
        <v>4</v>
      </c>
      <c r="AA105" s="99" t="s">
        <v>2833</v>
      </c>
    </row>
    <row r="106" spans="1:27" ht="17.25" customHeight="1">
      <c r="A106" s="65">
        <f>IF(priority(Main[[#This Row],[Comments]])&lt;&gt;0, priority(Main[[#This Row],[Comments]]),"")</f>
        <v>32</v>
      </c>
      <c r="B106" s="60" t="s">
        <v>1066</v>
      </c>
      <c r="C106" s="105" t="s">
        <v>4</v>
      </c>
      <c r="D106" s="74" t="s">
        <v>2305</v>
      </c>
      <c r="E106" s="89">
        <v>40591.506215277775</v>
      </c>
      <c r="F106" s="89"/>
      <c r="G106" s="65" t="str">
        <f>IF(stdProdLT(Main[[#This Row],[Comments]])=0.1,"N/A",IF(stdProdLT(Main[[#This Row],[Comments]])=0,"",TRIM(stdProdLT(Main[[#This Row],[Comments]]))))</f>
        <v/>
      </c>
      <c r="H106" s="98" t="str">
        <f>IF(Main[[#This Row],[Std. Prod. Lead Time]]="N/A", "",IF(AND(Main[[#This Row],[In Stock Date]]&lt;&gt;"",Main[[#This Row],[Revised Due Date]]&lt;&gt;"",Main[[#This Row],[In Stock Date]]&lt;&gt;""),Main[[#This Row],[In Stock Date]]-Main[[#This Row],[Revised Due Date]],""))</f>
        <v/>
      </c>
      <c r="I106" s="110" t="s">
        <v>912</v>
      </c>
      <c r="J106" s="99" t="s">
        <v>52</v>
      </c>
      <c r="K106" s="99" t="s">
        <v>1922</v>
      </c>
      <c r="L106" s="89"/>
      <c r="M106" s="75" t="str">
        <f>IF(Main[[#This Row],[Tech Start Date]]&lt;1/1/1990,"",IF(Main[[#This Row],[Class]]="C",WORKDAY(Main[[#This Row],[Tech Start Date]],9),IF(Main[[#This Row],[Class]]="B", WORKDAY(Main[[#This Row],[Tech Start Date]],6),IF(Main[[#This Row],[Class]]="A",WORKDAY(Main[[#This Row],[Tech Start Date]],2),""))))</f>
        <v/>
      </c>
      <c r="N106" s="75" t="str">
        <f>IF(Main[[#This Row],[Tech Start Date]]&lt;1/1/1990,"",IF(Main[[#This Row],[Class]]="C",WORKDAY(Main[[#This Row],[Tech Start Date]],19),IF(Main[[#This Row],[Class]]="B", WORKDAY(Main[[#This Row],[Tech Start Date]],12),IF(Main[[#This Row],[Class]]="A",WORKDAY(Main[[#This Row],[Tech Start Date]],4),""))))</f>
        <v/>
      </c>
      <c r="O106" s="75" t="str">
        <f>IF(Main[[#This Row],[Tech Start Date]]&lt;1/1/1990,"",IF(Main[[#This Row],[Class]]="C",WORKDAY(Main[[#This Row],[Tech Start Date]],23),IF(Main[[#This Row],[Class]]="B", WORKDAY(Main[[#This Row],[Tech Start Date]],15),IF(Main[[#This Row],[Class]]="A",WORKDAY(Main[[#This Row],[Tech Start Date]],5),""))))</f>
        <v/>
      </c>
      <c r="P106" s="75" t="str">
        <f>IF(Main[[#This Row],[Tech Start Date]]&lt;1/1/1990,"",IF(Main[[#This Row],[Class]]="C",WORKDAY(Main[[#This Row],[Tech Start Date]],28),IF(Main[[#This Row],[Class]]="B", WORKDAY(Main[[#This Row],[Tech Start Date]],19),IF(Main[[#This Row],[Class]]="A",WORKDAY(Main[[#This Row],[Tech Start Date]],9),""))))</f>
        <v/>
      </c>
      <c r="Q106" s="89">
        <v>40605</v>
      </c>
      <c r="R106" s="121"/>
      <c r="S106" s="99" t="s">
        <v>6</v>
      </c>
      <c r="T106" s="76" t="s">
        <v>118</v>
      </c>
      <c r="U106" s="99" t="s">
        <v>29</v>
      </c>
      <c r="V106" s="99" t="s">
        <v>1913</v>
      </c>
      <c r="W106" s="99" t="s">
        <v>1915</v>
      </c>
      <c r="X106" s="99" t="s">
        <v>2894</v>
      </c>
      <c r="Y106" s="73" t="s">
        <v>3068</v>
      </c>
      <c r="Z106" s="73" t="s">
        <v>129</v>
      </c>
      <c r="AA106" s="99" t="s">
        <v>2894</v>
      </c>
    </row>
    <row r="107" spans="1:27" ht="17.25" customHeight="1">
      <c r="A107" s="65">
        <f>IF(priority(Main[[#This Row],[Comments]])&lt;&gt;0, priority(Main[[#This Row],[Comments]]),"")</f>
        <v>32.1</v>
      </c>
      <c r="B107" s="60" t="s">
        <v>2167</v>
      </c>
      <c r="C107" s="105" t="s">
        <v>2168</v>
      </c>
      <c r="D107" s="74" t="s">
        <v>2169</v>
      </c>
      <c r="E107" s="89"/>
      <c r="F107" s="89">
        <v>40795</v>
      </c>
      <c r="G107" s="65" t="str">
        <f>IF(stdProdLT(Main[[#This Row],[Comments]])=0.1,"N/A",IF(stdProdLT(Main[[#This Row],[Comments]])=0,"",TRIM(stdProdLT(Main[[#This Row],[Comments]]))))</f>
        <v>21</v>
      </c>
      <c r="H107" s="98" t="str">
        <f>IF(Main[[#This Row],[Std. Prod. Lead Time]]="N/A", "",IF(AND(Main[[#This Row],[In Stock Date]]&lt;&gt;"",Main[[#This Row],[Revised Due Date]]&lt;&gt;"",Main[[#This Row],[In Stock Date]]&lt;&gt;""),Main[[#This Row],[In Stock Date]]-Main[[#This Row],[Revised Due Date]],""))</f>
        <v/>
      </c>
      <c r="I107" s="110" t="s">
        <v>4</v>
      </c>
      <c r="J107" s="99" t="s">
        <v>4</v>
      </c>
      <c r="K107" s="100" t="s">
        <v>4</v>
      </c>
      <c r="L107" s="89"/>
      <c r="M107" s="75" t="str">
        <f>IF(Main[[#This Row],[Tech Start Date]]&lt;1/1/1990,"",IF(Main[[#This Row],[Class]]="C",WORKDAY(Main[[#This Row],[Tech Start Date]],9),IF(Main[[#This Row],[Class]]="B", WORKDAY(Main[[#This Row],[Tech Start Date]],6),IF(Main[[#This Row],[Class]]="A",WORKDAY(Main[[#This Row],[Tech Start Date]],2),""))))</f>
        <v/>
      </c>
      <c r="N107" s="75" t="str">
        <f>IF(Main[[#This Row],[Tech Start Date]]&lt;1/1/1990,"",IF(Main[[#This Row],[Class]]="C",WORKDAY(Main[[#This Row],[Tech Start Date]],19),IF(Main[[#This Row],[Class]]="B", WORKDAY(Main[[#This Row],[Tech Start Date]],12),IF(Main[[#This Row],[Class]]="A",WORKDAY(Main[[#This Row],[Tech Start Date]],4),""))))</f>
        <v/>
      </c>
      <c r="O107" s="75" t="str">
        <f>IF(Main[[#This Row],[Tech Start Date]]&lt;1/1/1990,"",IF(Main[[#This Row],[Class]]="C",WORKDAY(Main[[#This Row],[Tech Start Date]],23),IF(Main[[#This Row],[Class]]="B", WORKDAY(Main[[#This Row],[Tech Start Date]],15),IF(Main[[#This Row],[Class]]="A",WORKDAY(Main[[#This Row],[Tech Start Date]],5),""))))</f>
        <v/>
      </c>
      <c r="P107" s="75" t="str">
        <f>IF(Main[[#This Row],[Tech Start Date]]&lt;1/1/1990,"",IF(Main[[#This Row],[Class]]="C",WORKDAY(Main[[#This Row],[Tech Start Date]],28),IF(Main[[#This Row],[Class]]="B", WORKDAY(Main[[#This Row],[Tech Start Date]],19),IF(Main[[#This Row],[Class]]="A",WORKDAY(Main[[#This Row],[Tech Start Date]],9),""))))</f>
        <v/>
      </c>
      <c r="Q107" s="89">
        <v>40795</v>
      </c>
      <c r="R107" s="121"/>
      <c r="S107" s="99" t="s">
        <v>11</v>
      </c>
      <c r="T107" s="76" t="s">
        <v>2219</v>
      </c>
      <c r="U107" s="99" t="s">
        <v>14</v>
      </c>
      <c r="V107" s="99" t="s">
        <v>1913</v>
      </c>
      <c r="W107" s="99" t="s">
        <v>1918</v>
      </c>
      <c r="X107" s="99" t="s">
        <v>2823</v>
      </c>
      <c r="Y107" s="73" t="s">
        <v>2945</v>
      </c>
      <c r="Z107" s="73" t="s">
        <v>4</v>
      </c>
      <c r="AA107" s="99" t="s">
        <v>2823</v>
      </c>
    </row>
    <row r="108" spans="1:27" ht="17.25" customHeight="1">
      <c r="A108" s="65">
        <f>IF(priority(Main[[#This Row],[Comments]])&lt;&gt;0, priority(Main[[#This Row],[Comments]]),"")</f>
        <v>33</v>
      </c>
      <c r="B108" s="60" t="s">
        <v>1221</v>
      </c>
      <c r="C108" s="105" t="s">
        <v>116</v>
      </c>
      <c r="D108" s="74" t="s">
        <v>324</v>
      </c>
      <c r="E108" s="89"/>
      <c r="F108" s="89"/>
      <c r="G108" s="65" t="str">
        <f>IF(stdProdLT(Main[[#This Row],[Comments]])=0.1,"N/A",IF(stdProdLT(Main[[#This Row],[Comments]])=0,"",TRIM(stdProdLT(Main[[#This Row],[Comments]]))))</f>
        <v/>
      </c>
      <c r="H108" s="98" t="str">
        <f>IF(Main[[#This Row],[Std. Prod. Lead Time]]="N/A", "",IF(AND(Main[[#This Row],[In Stock Date]]&lt;&gt;"",Main[[#This Row],[Revised Due Date]]&lt;&gt;"",Main[[#This Row],[In Stock Date]]&lt;&gt;""),Main[[#This Row],[In Stock Date]]-Main[[#This Row],[Revised Due Date]],""))</f>
        <v/>
      </c>
      <c r="I108" s="110" t="s">
        <v>4</v>
      </c>
      <c r="J108" s="99" t="s">
        <v>4</v>
      </c>
      <c r="K108" s="99" t="s">
        <v>4</v>
      </c>
      <c r="L108" s="89"/>
      <c r="M108" s="75" t="str">
        <f>IF(Main[[#This Row],[Tech Start Date]]&lt;1/1/1990,"",IF(Main[[#This Row],[Class]]="C",WORKDAY(Main[[#This Row],[Tech Start Date]],9),IF(Main[[#This Row],[Class]]="B", WORKDAY(Main[[#This Row],[Tech Start Date]],6),IF(Main[[#This Row],[Class]]="A",WORKDAY(Main[[#This Row],[Tech Start Date]],2),""))))</f>
        <v/>
      </c>
      <c r="N108" s="75" t="str">
        <f>IF(Main[[#This Row],[Tech Start Date]]&lt;1/1/1990,"",IF(Main[[#This Row],[Class]]="C",WORKDAY(Main[[#This Row],[Tech Start Date]],19),IF(Main[[#This Row],[Class]]="B", WORKDAY(Main[[#This Row],[Tech Start Date]],12),IF(Main[[#This Row],[Class]]="A",WORKDAY(Main[[#This Row],[Tech Start Date]],4),""))))</f>
        <v/>
      </c>
      <c r="O108" s="75" t="str">
        <f>IF(Main[[#This Row],[Tech Start Date]]&lt;1/1/1990,"",IF(Main[[#This Row],[Class]]="C",WORKDAY(Main[[#This Row],[Tech Start Date]],23),IF(Main[[#This Row],[Class]]="B", WORKDAY(Main[[#This Row],[Tech Start Date]],15),IF(Main[[#This Row],[Class]]="A",WORKDAY(Main[[#This Row],[Tech Start Date]],5),""))))</f>
        <v/>
      </c>
      <c r="P108" s="75" t="str">
        <f>IF(Main[[#This Row],[Tech Start Date]]&lt;1/1/1990,"",IF(Main[[#This Row],[Class]]="C",WORKDAY(Main[[#This Row],[Tech Start Date]],28),IF(Main[[#This Row],[Class]]="B", WORKDAY(Main[[#This Row],[Tech Start Date]],19),IF(Main[[#This Row],[Class]]="A",WORKDAY(Main[[#This Row],[Tech Start Date]],9),""))))</f>
        <v/>
      </c>
      <c r="Q108" s="89"/>
      <c r="R108" s="121"/>
      <c r="S108" s="99" t="s">
        <v>11</v>
      </c>
      <c r="T108" s="76" t="s">
        <v>325</v>
      </c>
      <c r="U108" s="99" t="s">
        <v>14</v>
      </c>
      <c r="V108" s="99" t="s">
        <v>1913</v>
      </c>
      <c r="W108" s="99" t="s">
        <v>1918</v>
      </c>
      <c r="X108" s="99" t="s">
        <v>2833</v>
      </c>
      <c r="Y108" s="73" t="s">
        <v>2964</v>
      </c>
      <c r="Z108" s="73" t="s">
        <v>4</v>
      </c>
      <c r="AA108" s="99" t="s">
        <v>2833</v>
      </c>
    </row>
    <row r="109" spans="1:27" ht="17.25" customHeight="1">
      <c r="A109" s="65">
        <f>IF(priority(Main[[#This Row],[Comments]])&lt;&gt;0, priority(Main[[#This Row],[Comments]]),"")</f>
        <v>33</v>
      </c>
      <c r="B109" s="60" t="s">
        <v>1080</v>
      </c>
      <c r="C109" s="105" t="s">
        <v>122</v>
      </c>
      <c r="D109" s="74" t="s">
        <v>123</v>
      </c>
      <c r="E109" s="89">
        <v>40534.411678240744</v>
      </c>
      <c r="F109" s="89">
        <v>40541</v>
      </c>
      <c r="G109" s="65" t="str">
        <f>IF(stdProdLT(Main[[#This Row],[Comments]])=0.1,"N/A",IF(stdProdLT(Main[[#This Row],[Comments]])=0,"",TRIM(stdProdLT(Main[[#This Row],[Comments]]))))</f>
        <v/>
      </c>
      <c r="H109" s="98" t="str">
        <f>IF(Main[[#This Row],[Std. Prod. Lead Time]]="N/A", "",IF(AND(Main[[#This Row],[In Stock Date]]&lt;&gt;"",Main[[#This Row],[Revised Due Date]]&lt;&gt;"",Main[[#This Row],[In Stock Date]]&lt;&gt;""),Main[[#This Row],[In Stock Date]]-Main[[#This Row],[Revised Due Date]],""))</f>
        <v/>
      </c>
      <c r="I109" s="110" t="s">
        <v>4</v>
      </c>
      <c r="J109" s="99" t="s">
        <v>28</v>
      </c>
      <c r="K109" s="99" t="s">
        <v>1922</v>
      </c>
      <c r="L109" s="89"/>
      <c r="M109" s="75" t="str">
        <f>IF(Main[[#This Row],[Tech Start Date]]&lt;1/1/1990,"",IF(Main[[#This Row],[Class]]="C",WORKDAY(Main[[#This Row],[Tech Start Date]],9),IF(Main[[#This Row],[Class]]="B", WORKDAY(Main[[#This Row],[Tech Start Date]],6),IF(Main[[#This Row],[Class]]="A",WORKDAY(Main[[#This Row],[Tech Start Date]],2),""))))</f>
        <v/>
      </c>
      <c r="N109" s="75" t="str">
        <f>IF(Main[[#This Row],[Tech Start Date]]&lt;1/1/1990,"",IF(Main[[#This Row],[Class]]="C",WORKDAY(Main[[#This Row],[Tech Start Date]],19),IF(Main[[#This Row],[Class]]="B", WORKDAY(Main[[#This Row],[Tech Start Date]],12),IF(Main[[#This Row],[Class]]="A",WORKDAY(Main[[#This Row],[Tech Start Date]],4),""))))</f>
        <v/>
      </c>
      <c r="O109" s="75" t="str">
        <f>IF(Main[[#This Row],[Tech Start Date]]&lt;1/1/1990,"",IF(Main[[#This Row],[Class]]="C",WORKDAY(Main[[#This Row],[Tech Start Date]],23),IF(Main[[#This Row],[Class]]="B", WORKDAY(Main[[#This Row],[Tech Start Date]],15),IF(Main[[#This Row],[Class]]="A",WORKDAY(Main[[#This Row],[Tech Start Date]],5),""))))</f>
        <v/>
      </c>
      <c r="P109" s="75" t="str">
        <f>IF(Main[[#This Row],[Tech Start Date]]&lt;1/1/1990,"",IF(Main[[#This Row],[Class]]="C",WORKDAY(Main[[#This Row],[Tech Start Date]],28),IF(Main[[#This Row],[Class]]="B", WORKDAY(Main[[#This Row],[Tech Start Date]],19),IF(Main[[#This Row],[Class]]="A",WORKDAY(Main[[#This Row],[Tech Start Date]],9),""))))</f>
        <v/>
      </c>
      <c r="Q109" s="89">
        <v>40541</v>
      </c>
      <c r="R109" s="121"/>
      <c r="S109" s="99" t="s">
        <v>6</v>
      </c>
      <c r="T109" s="76" t="s">
        <v>325</v>
      </c>
      <c r="U109" s="99" t="s">
        <v>7</v>
      </c>
      <c r="V109" s="99" t="s">
        <v>1913</v>
      </c>
      <c r="W109" s="99" t="s">
        <v>1917</v>
      </c>
      <c r="X109" s="99" t="s">
        <v>2811</v>
      </c>
      <c r="Y109" s="73" t="s">
        <v>3124</v>
      </c>
      <c r="Z109" s="73" t="s">
        <v>129</v>
      </c>
      <c r="AA109" s="99" t="s">
        <v>2811</v>
      </c>
    </row>
    <row r="110" spans="1:27" ht="17.25" customHeight="1">
      <c r="A110" s="65">
        <f>IF(priority(Main[[#This Row],[Comments]])&lt;&gt;0, priority(Main[[#This Row],[Comments]]),"")</f>
        <v>33</v>
      </c>
      <c r="B110" s="60" t="s">
        <v>2759</v>
      </c>
      <c r="C110" s="105" t="s">
        <v>2004</v>
      </c>
      <c r="D110" s="74" t="s">
        <v>2760</v>
      </c>
      <c r="E110" s="89">
        <v>40914.055902777778</v>
      </c>
      <c r="F110" s="89">
        <v>41153</v>
      </c>
      <c r="G110" s="65" t="str">
        <f>IF(stdProdLT(Main[[#This Row],[Comments]])=0.1,"N/A",IF(stdProdLT(Main[[#This Row],[Comments]])=0,"",TRIM(stdProdLT(Main[[#This Row],[Comments]]))))</f>
        <v>168</v>
      </c>
      <c r="H110" s="98">
        <f>IF(Main[[#This Row],[Std. Prod. Lead Time]]="N/A", "",IF(AND(Main[[#This Row],[In Stock Date]]&lt;&gt;"",Main[[#This Row],[Revised Due Date]]&lt;&gt;"",Main[[#This Row],[In Stock Date]]&lt;&gt;""),Main[[#This Row],[In Stock Date]]-Main[[#This Row],[Revised Due Date]],""))</f>
        <v>177</v>
      </c>
      <c r="I110" s="110" t="s">
        <v>30</v>
      </c>
      <c r="J110" s="99" t="s">
        <v>21</v>
      </c>
      <c r="K110" s="99" t="s">
        <v>1926</v>
      </c>
      <c r="L110" s="89">
        <v>40925</v>
      </c>
      <c r="M110" s="75">
        <f>IF(Main[[#This Row],[Tech Start Date]]&lt;1/1/1990,"",IF(Main[[#This Row],[Class]]="C",WORKDAY(Main[[#This Row],[Tech Start Date]],9),IF(Main[[#This Row],[Class]]="B", WORKDAY(Main[[#This Row],[Tech Start Date]],6),IF(Main[[#This Row],[Class]]="A",WORKDAY(Main[[#This Row],[Tech Start Date]],2),""))))</f>
        <v>40938</v>
      </c>
      <c r="N110" s="75">
        <f>IF(Main[[#This Row],[Tech Start Date]]&lt;1/1/1990,"",IF(Main[[#This Row],[Class]]="C",WORKDAY(Main[[#This Row],[Tech Start Date]],19),IF(Main[[#This Row],[Class]]="B", WORKDAY(Main[[#This Row],[Tech Start Date]],12),IF(Main[[#This Row],[Class]]="A",WORKDAY(Main[[#This Row],[Tech Start Date]],4),""))))</f>
        <v>40952</v>
      </c>
      <c r="O110" s="75">
        <f>IF(Main[[#This Row],[Tech Start Date]]&lt;1/1/1990,"",IF(Main[[#This Row],[Class]]="C",WORKDAY(Main[[#This Row],[Tech Start Date]],23),IF(Main[[#This Row],[Class]]="B", WORKDAY(Main[[#This Row],[Tech Start Date]],15),IF(Main[[#This Row],[Class]]="A",WORKDAY(Main[[#This Row],[Tech Start Date]],5),""))))</f>
        <v>40956</v>
      </c>
      <c r="P110" s="75">
        <f>IF(Main[[#This Row],[Tech Start Date]]&lt;1/1/1990,"",IF(Main[[#This Row],[Class]]="C",WORKDAY(Main[[#This Row],[Tech Start Date]],28),IF(Main[[#This Row],[Class]]="B", WORKDAY(Main[[#This Row],[Tech Start Date]],19),IF(Main[[#This Row],[Class]]="A",WORKDAY(Main[[#This Row],[Tech Start Date]],9),""))))</f>
        <v>40963</v>
      </c>
      <c r="Q110" s="89">
        <v>40984</v>
      </c>
      <c r="R110" s="121">
        <v>40976</v>
      </c>
      <c r="S110" s="99" t="s">
        <v>11</v>
      </c>
      <c r="T110" s="76" t="s">
        <v>3794</v>
      </c>
      <c r="U110" s="99" t="s">
        <v>29</v>
      </c>
      <c r="V110" s="99" t="s">
        <v>1916</v>
      </c>
      <c r="W110" s="99" t="s">
        <v>1919</v>
      </c>
      <c r="X110" s="99" t="s">
        <v>2848</v>
      </c>
      <c r="Y110" s="73" t="s">
        <v>4</v>
      </c>
      <c r="Z110" s="73" t="s">
        <v>530</v>
      </c>
      <c r="AA110" s="99" t="s">
        <v>2848</v>
      </c>
    </row>
    <row r="111" spans="1:27" ht="17.25" customHeight="1">
      <c r="A111" s="65">
        <f>IF(priority(Main[[#This Row],[Comments]])&lt;&gt;0, priority(Main[[#This Row],[Comments]]),"")</f>
        <v>34</v>
      </c>
      <c r="B111" s="60" t="s">
        <v>1102</v>
      </c>
      <c r="C111" s="105" t="s">
        <v>4</v>
      </c>
      <c r="D111" s="74" t="s">
        <v>2293</v>
      </c>
      <c r="E111" s="89">
        <v>40561.117199074077</v>
      </c>
      <c r="F111" s="89">
        <v>40592</v>
      </c>
      <c r="G111" s="65" t="str">
        <f>IF(stdProdLT(Main[[#This Row],[Comments]])=0.1,"N/A",IF(stdProdLT(Main[[#This Row],[Comments]])=0,"",TRIM(stdProdLT(Main[[#This Row],[Comments]]))))</f>
        <v/>
      </c>
      <c r="H111" s="98" t="str">
        <f>IF(Main[[#This Row],[Std. Prod. Lead Time]]="N/A", "",IF(AND(Main[[#This Row],[In Stock Date]]&lt;&gt;"",Main[[#This Row],[Revised Due Date]]&lt;&gt;"",Main[[#This Row],[In Stock Date]]&lt;&gt;""),Main[[#This Row],[In Stock Date]]-Main[[#This Row],[Revised Due Date]],""))</f>
        <v/>
      </c>
      <c r="I111" s="110" t="s">
        <v>912</v>
      </c>
      <c r="J111" s="99" t="s">
        <v>21</v>
      </c>
      <c r="K111" s="99" t="s">
        <v>1920</v>
      </c>
      <c r="L111" s="89"/>
      <c r="M111" s="75" t="str">
        <f>IF(Main[[#This Row],[Tech Start Date]]&lt;1/1/1990,"",IF(Main[[#This Row],[Class]]="C",WORKDAY(Main[[#This Row],[Tech Start Date]],9),IF(Main[[#This Row],[Class]]="B", WORKDAY(Main[[#This Row],[Tech Start Date]],6),IF(Main[[#This Row],[Class]]="A",WORKDAY(Main[[#This Row],[Tech Start Date]],2),""))))</f>
        <v/>
      </c>
      <c r="N111" s="75" t="str">
        <f>IF(Main[[#This Row],[Tech Start Date]]&lt;1/1/1990,"",IF(Main[[#This Row],[Class]]="C",WORKDAY(Main[[#This Row],[Tech Start Date]],19),IF(Main[[#This Row],[Class]]="B", WORKDAY(Main[[#This Row],[Tech Start Date]],12),IF(Main[[#This Row],[Class]]="A",WORKDAY(Main[[#This Row],[Tech Start Date]],4),""))))</f>
        <v/>
      </c>
      <c r="O111" s="75" t="str">
        <f>IF(Main[[#This Row],[Tech Start Date]]&lt;1/1/1990,"",IF(Main[[#This Row],[Class]]="C",WORKDAY(Main[[#This Row],[Tech Start Date]],23),IF(Main[[#This Row],[Class]]="B", WORKDAY(Main[[#This Row],[Tech Start Date]],15),IF(Main[[#This Row],[Class]]="A",WORKDAY(Main[[#This Row],[Tech Start Date]],5),""))))</f>
        <v/>
      </c>
      <c r="P111" s="75" t="str">
        <f>IF(Main[[#This Row],[Tech Start Date]]&lt;1/1/1990,"",IF(Main[[#This Row],[Class]]="C",WORKDAY(Main[[#This Row],[Tech Start Date]],28),IF(Main[[#This Row],[Class]]="B", WORKDAY(Main[[#This Row],[Tech Start Date]],19),IF(Main[[#This Row],[Class]]="A",WORKDAY(Main[[#This Row],[Tech Start Date]],9),""))))</f>
        <v/>
      </c>
      <c r="Q111" s="89">
        <v>40592</v>
      </c>
      <c r="R111" s="121"/>
      <c r="S111" s="99" t="s">
        <v>6</v>
      </c>
      <c r="T111" s="76" t="s">
        <v>2025</v>
      </c>
      <c r="U111" s="99" t="s">
        <v>29</v>
      </c>
      <c r="V111" s="99" t="s">
        <v>1913</v>
      </c>
      <c r="W111" s="99" t="s">
        <v>1915</v>
      </c>
      <c r="X111" s="99" t="s">
        <v>2897</v>
      </c>
      <c r="Y111" s="73" t="s">
        <v>3077</v>
      </c>
      <c r="Z111" s="73" t="s">
        <v>129</v>
      </c>
      <c r="AA111" s="99" t="s">
        <v>2897</v>
      </c>
    </row>
    <row r="112" spans="1:27" ht="17.25" customHeight="1">
      <c r="A112" s="65">
        <f>IF(priority(Main[[#This Row],[Comments]])&lt;&gt;0, priority(Main[[#This Row],[Comments]]),"")</f>
        <v>34</v>
      </c>
      <c r="B112" s="60" t="s">
        <v>3174</v>
      </c>
      <c r="C112" s="105" t="s">
        <v>3847</v>
      </c>
      <c r="D112" s="74" t="s">
        <v>3175</v>
      </c>
      <c r="E112" s="89">
        <v>40920.243854166663</v>
      </c>
      <c r="F112" s="89">
        <v>41153</v>
      </c>
      <c r="G112" s="65" t="str">
        <f>IF(stdProdLT(Main[[#This Row],[Comments]])=0.1,"N/A",IF(stdProdLT(Main[[#This Row],[Comments]])=0,"",TRIM(stdProdLT(Main[[#This Row],[Comments]]))))</f>
        <v>168</v>
      </c>
      <c r="H112" s="98">
        <f>IF(Main[[#This Row],[Std. Prod. Lead Time]]="N/A", "",IF(AND(Main[[#This Row],[In Stock Date]]&lt;&gt;"",Main[[#This Row],[Revised Due Date]]&lt;&gt;"",Main[[#This Row],[In Stock Date]]&lt;&gt;""),Main[[#This Row],[In Stock Date]]-Main[[#This Row],[Revised Due Date]],""))</f>
        <v>184</v>
      </c>
      <c r="I112" s="110" t="s">
        <v>130</v>
      </c>
      <c r="J112" s="99" t="s">
        <v>1974</v>
      </c>
      <c r="K112" s="100" t="s">
        <v>1926</v>
      </c>
      <c r="L112" s="89">
        <v>40925</v>
      </c>
      <c r="M112" s="75">
        <f>IF(Main[[#This Row],[Tech Start Date]]&lt;1/1/1990,"",IF(Main[[#This Row],[Class]]="C",WORKDAY(Main[[#This Row],[Tech Start Date]],9),IF(Main[[#This Row],[Class]]="B", WORKDAY(Main[[#This Row],[Tech Start Date]],6),IF(Main[[#This Row],[Class]]="A",WORKDAY(Main[[#This Row],[Tech Start Date]],2),""))))</f>
        <v>40938</v>
      </c>
      <c r="N112" s="75">
        <f>IF(Main[[#This Row],[Tech Start Date]]&lt;1/1/1990,"",IF(Main[[#This Row],[Class]]="C",WORKDAY(Main[[#This Row],[Tech Start Date]],19),IF(Main[[#This Row],[Class]]="B", WORKDAY(Main[[#This Row],[Tech Start Date]],12),IF(Main[[#This Row],[Class]]="A",WORKDAY(Main[[#This Row],[Tech Start Date]],4),""))))</f>
        <v>40952</v>
      </c>
      <c r="O112" s="75">
        <f>IF(Main[[#This Row],[Tech Start Date]]&lt;1/1/1990,"",IF(Main[[#This Row],[Class]]="C",WORKDAY(Main[[#This Row],[Tech Start Date]],23),IF(Main[[#This Row],[Class]]="B", WORKDAY(Main[[#This Row],[Tech Start Date]],15),IF(Main[[#This Row],[Class]]="A",WORKDAY(Main[[#This Row],[Tech Start Date]],5),""))))</f>
        <v>40956</v>
      </c>
      <c r="P112" s="75">
        <f>IF(Main[[#This Row],[Tech Start Date]]&lt;1/1/1990,"",IF(Main[[#This Row],[Class]]="C",WORKDAY(Main[[#This Row],[Tech Start Date]],28),IF(Main[[#This Row],[Class]]="B", WORKDAY(Main[[#This Row],[Tech Start Date]],19),IF(Main[[#This Row],[Class]]="A",WORKDAY(Main[[#This Row],[Tech Start Date]],9),""))))</f>
        <v>40963</v>
      </c>
      <c r="Q112" s="89">
        <v>40984</v>
      </c>
      <c r="R112" s="121">
        <v>40969</v>
      </c>
      <c r="S112" s="99" t="s">
        <v>11</v>
      </c>
      <c r="T112" s="76" t="s">
        <v>3795</v>
      </c>
      <c r="U112" s="99" t="s">
        <v>29</v>
      </c>
      <c r="V112" s="99" t="s">
        <v>1916</v>
      </c>
      <c r="W112" s="99" t="s">
        <v>1924</v>
      </c>
      <c r="X112" s="99" t="s">
        <v>2840</v>
      </c>
      <c r="Y112" s="73" t="s">
        <v>4</v>
      </c>
      <c r="Z112" s="73" t="s">
        <v>530</v>
      </c>
      <c r="AA112" s="99" t="s">
        <v>2840</v>
      </c>
    </row>
    <row r="113" spans="1:27" ht="17.25" customHeight="1">
      <c r="A113" s="65">
        <f>IF(priority(Main[[#This Row],[Comments]])&lt;&gt;0, priority(Main[[#This Row],[Comments]]),"")</f>
        <v>35</v>
      </c>
      <c r="B113" s="60" t="s">
        <v>2752</v>
      </c>
      <c r="C113" s="105" t="s">
        <v>3172</v>
      </c>
      <c r="D113" s="74" t="s">
        <v>3785</v>
      </c>
      <c r="E113" s="89">
        <v>40911.138009259259</v>
      </c>
      <c r="F113" s="89">
        <v>41334</v>
      </c>
      <c r="G113" s="65" t="str">
        <f>IF(stdProdLT(Main[[#This Row],[Comments]])=0.1,"N/A",IF(stdProdLT(Main[[#This Row],[Comments]])=0,"",TRIM(stdProdLT(Main[[#This Row],[Comments]]))))</f>
        <v>140</v>
      </c>
      <c r="H113" s="98">
        <f>IF(Main[[#This Row],[Std. Prod. Lead Time]]="N/A", "",IF(AND(Main[[#This Row],[In Stock Date]]&lt;&gt;"",Main[[#This Row],[Revised Due Date]]&lt;&gt;"",Main[[#This Row],[In Stock Date]]&lt;&gt;""),Main[[#This Row],[In Stock Date]]-Main[[#This Row],[Revised Due Date]],""))</f>
        <v>357</v>
      </c>
      <c r="I113" s="110" t="s">
        <v>399</v>
      </c>
      <c r="J113" s="99" t="s">
        <v>51</v>
      </c>
      <c r="K113" s="99" t="s">
        <v>1920</v>
      </c>
      <c r="L113" s="89">
        <v>40913</v>
      </c>
      <c r="M113" s="75">
        <f>IF(Main[[#This Row],[Tech Start Date]]&lt;1/1/1990,"",IF(Main[[#This Row],[Class]]="C",WORKDAY(Main[[#This Row],[Tech Start Date]],9),IF(Main[[#This Row],[Class]]="B", WORKDAY(Main[[#This Row],[Tech Start Date]],6),IF(Main[[#This Row],[Class]]="A",WORKDAY(Main[[#This Row],[Tech Start Date]],2),""))))</f>
        <v>40921</v>
      </c>
      <c r="N113" s="75">
        <f>IF(Main[[#This Row],[Tech Start Date]]&lt;1/1/1990,"",IF(Main[[#This Row],[Class]]="C",WORKDAY(Main[[#This Row],[Tech Start Date]],19),IF(Main[[#This Row],[Class]]="B", WORKDAY(Main[[#This Row],[Tech Start Date]],12),IF(Main[[#This Row],[Class]]="A",WORKDAY(Main[[#This Row],[Tech Start Date]],4),""))))</f>
        <v>40931</v>
      </c>
      <c r="O113" s="75">
        <f>IF(Main[[#This Row],[Tech Start Date]]&lt;1/1/1990,"",IF(Main[[#This Row],[Class]]="C",WORKDAY(Main[[#This Row],[Tech Start Date]],23),IF(Main[[#This Row],[Class]]="B", WORKDAY(Main[[#This Row],[Tech Start Date]],15),IF(Main[[#This Row],[Class]]="A",WORKDAY(Main[[#This Row],[Tech Start Date]],5),""))))</f>
        <v>40934</v>
      </c>
      <c r="P113" s="75">
        <f>IF(Main[[#This Row],[Tech Start Date]]&lt;1/1/1990,"",IF(Main[[#This Row],[Class]]="C",WORKDAY(Main[[#This Row],[Tech Start Date]],28),IF(Main[[#This Row],[Class]]="B", WORKDAY(Main[[#This Row],[Tech Start Date]],19),IF(Main[[#This Row],[Class]]="A",WORKDAY(Main[[#This Row],[Tech Start Date]],9),""))))</f>
        <v>40940</v>
      </c>
      <c r="Q113" s="89">
        <v>40903</v>
      </c>
      <c r="R113" s="121">
        <v>40977</v>
      </c>
      <c r="S113" s="99" t="s">
        <v>11</v>
      </c>
      <c r="T113" s="76" t="s">
        <v>3786</v>
      </c>
      <c r="U113" s="99" t="s">
        <v>29</v>
      </c>
      <c r="V113" s="99" t="s">
        <v>1923</v>
      </c>
      <c r="W113" s="99" t="s">
        <v>1919</v>
      </c>
      <c r="X113" s="99" t="s">
        <v>2840</v>
      </c>
      <c r="Y113" s="73" t="s">
        <v>4</v>
      </c>
      <c r="Z113" s="73" t="s">
        <v>530</v>
      </c>
      <c r="AA113" s="99" t="s">
        <v>2840</v>
      </c>
    </row>
    <row r="114" spans="1:27" ht="17.25" customHeight="1">
      <c r="A114" s="65">
        <f>IF(priority(Main[[#This Row],[Comments]])&lt;&gt;0, priority(Main[[#This Row],[Comments]]),"")</f>
        <v>36</v>
      </c>
      <c r="B114" s="60" t="s">
        <v>1208</v>
      </c>
      <c r="C114" s="105" t="s">
        <v>4</v>
      </c>
      <c r="D114" s="74" t="s">
        <v>267</v>
      </c>
      <c r="E114" s="89">
        <v>40681.617800925924</v>
      </c>
      <c r="F114" s="89"/>
      <c r="G114" s="65" t="str">
        <f>IF(stdProdLT(Main[[#This Row],[Comments]])=0.1,"N/A",IF(stdProdLT(Main[[#This Row],[Comments]])=0,"",TRIM(stdProdLT(Main[[#This Row],[Comments]]))))</f>
        <v/>
      </c>
      <c r="H114" s="98" t="str">
        <f>IF(Main[[#This Row],[Std. Prod. Lead Time]]="N/A", "",IF(AND(Main[[#This Row],[In Stock Date]]&lt;&gt;"",Main[[#This Row],[Revised Due Date]]&lt;&gt;"",Main[[#This Row],[In Stock Date]]&lt;&gt;""),Main[[#This Row],[In Stock Date]]-Main[[#This Row],[Revised Due Date]],""))</f>
        <v/>
      </c>
      <c r="I114" s="110" t="s">
        <v>4</v>
      </c>
      <c r="J114" s="99" t="s">
        <v>21</v>
      </c>
      <c r="K114" s="99" t="s">
        <v>4</v>
      </c>
      <c r="L114" s="89"/>
      <c r="M114" s="75" t="str">
        <f>IF(Main[[#This Row],[Tech Start Date]]&lt;1/1/1990,"",IF(Main[[#This Row],[Class]]="C",WORKDAY(Main[[#This Row],[Tech Start Date]],9),IF(Main[[#This Row],[Class]]="B", WORKDAY(Main[[#This Row],[Tech Start Date]],6),IF(Main[[#This Row],[Class]]="A",WORKDAY(Main[[#This Row],[Tech Start Date]],2),""))))</f>
        <v/>
      </c>
      <c r="N114" s="75" t="str">
        <f>IF(Main[[#This Row],[Tech Start Date]]&lt;1/1/1990,"",IF(Main[[#This Row],[Class]]="C",WORKDAY(Main[[#This Row],[Tech Start Date]],19),IF(Main[[#This Row],[Class]]="B", WORKDAY(Main[[#This Row],[Tech Start Date]],12),IF(Main[[#This Row],[Class]]="A",WORKDAY(Main[[#This Row],[Tech Start Date]],4),""))))</f>
        <v/>
      </c>
      <c r="O114" s="75" t="str">
        <f>IF(Main[[#This Row],[Tech Start Date]]&lt;1/1/1990,"",IF(Main[[#This Row],[Class]]="C",WORKDAY(Main[[#This Row],[Tech Start Date]],23),IF(Main[[#This Row],[Class]]="B", WORKDAY(Main[[#This Row],[Tech Start Date]],15),IF(Main[[#This Row],[Class]]="A",WORKDAY(Main[[#This Row],[Tech Start Date]],5),""))))</f>
        <v/>
      </c>
      <c r="P114" s="75" t="str">
        <f>IF(Main[[#This Row],[Tech Start Date]]&lt;1/1/1990,"",IF(Main[[#This Row],[Class]]="C",WORKDAY(Main[[#This Row],[Tech Start Date]],28),IF(Main[[#This Row],[Class]]="B", WORKDAY(Main[[#This Row],[Tech Start Date]],19),IF(Main[[#This Row],[Class]]="A",WORKDAY(Main[[#This Row],[Tech Start Date]],9),""))))</f>
        <v/>
      </c>
      <c r="Q114" s="89">
        <v>40710</v>
      </c>
      <c r="R114" s="121"/>
      <c r="S114" s="99" t="s">
        <v>6</v>
      </c>
      <c r="T114" s="76" t="s">
        <v>2266</v>
      </c>
      <c r="U114" s="99" t="s">
        <v>534</v>
      </c>
      <c r="V114" s="99" t="s">
        <v>1913</v>
      </c>
      <c r="W114" s="99" t="s">
        <v>1924</v>
      </c>
      <c r="X114" s="99" t="s">
        <v>970</v>
      </c>
      <c r="Y114" s="73" t="s">
        <v>3091</v>
      </c>
      <c r="Z114" s="73" t="s">
        <v>4</v>
      </c>
      <c r="AA114" s="99" t="s">
        <v>970</v>
      </c>
    </row>
    <row r="115" spans="1:27" ht="17.25" customHeight="1">
      <c r="A115" s="65">
        <f>IF(priority(Main[[#This Row],[Comments]])&lt;&gt;0, priority(Main[[#This Row],[Comments]]),"")</f>
        <v>36</v>
      </c>
      <c r="B115" s="60" t="s">
        <v>3843</v>
      </c>
      <c r="C115" s="105" t="s">
        <v>3844</v>
      </c>
      <c r="D115" s="74" t="s">
        <v>3845</v>
      </c>
      <c r="E115" s="89">
        <v>40953.264710648145</v>
      </c>
      <c r="F115" s="89">
        <v>41289</v>
      </c>
      <c r="G115" s="65" t="str">
        <f>IF(stdProdLT(Main[[#This Row],[Comments]])=0.1,"N/A",IF(stdProdLT(Main[[#This Row],[Comments]])=0,"",TRIM(stdProdLT(Main[[#This Row],[Comments]]))))</f>
        <v>140</v>
      </c>
      <c r="H115" s="98">
        <f>IF(Main[[#This Row],[Std. Prod. Lead Time]]="N/A", "",IF(AND(Main[[#This Row],[In Stock Date]]&lt;&gt;"",Main[[#This Row],[Revised Due Date]]&lt;&gt;"",Main[[#This Row],[In Stock Date]]&lt;&gt;""),Main[[#This Row],[In Stock Date]]-Main[[#This Row],[Revised Due Date]],""))</f>
        <v>294</v>
      </c>
      <c r="I115" s="110" t="s">
        <v>3922</v>
      </c>
      <c r="J115" s="99" t="s">
        <v>28</v>
      </c>
      <c r="K115" s="99" t="s">
        <v>1920</v>
      </c>
      <c r="L115" s="89">
        <v>40960</v>
      </c>
      <c r="M115" s="75">
        <f>IF(Main[[#This Row],[Tech Start Date]]&lt;1/1/1990,"",IF(Main[[#This Row],[Class]]="C",WORKDAY(Main[[#This Row],[Tech Start Date]],9),IF(Main[[#This Row],[Class]]="B", WORKDAY(Main[[#This Row],[Tech Start Date]],6),IF(Main[[#This Row],[Class]]="A",WORKDAY(Main[[#This Row],[Tech Start Date]],2),""))))</f>
        <v>40968</v>
      </c>
      <c r="N115" s="75">
        <f>IF(Main[[#This Row],[Tech Start Date]]&lt;1/1/1990,"",IF(Main[[#This Row],[Class]]="C",WORKDAY(Main[[#This Row],[Tech Start Date]],19),IF(Main[[#This Row],[Class]]="B", WORKDAY(Main[[#This Row],[Tech Start Date]],12),IF(Main[[#This Row],[Class]]="A",WORKDAY(Main[[#This Row],[Tech Start Date]],4),""))))</f>
        <v>40976</v>
      </c>
      <c r="O115" s="75">
        <f>IF(Main[[#This Row],[Tech Start Date]]&lt;1/1/1990,"",IF(Main[[#This Row],[Class]]="C",WORKDAY(Main[[#This Row],[Tech Start Date]],23),IF(Main[[#This Row],[Class]]="B", WORKDAY(Main[[#This Row],[Tech Start Date]],15),IF(Main[[#This Row],[Class]]="A",WORKDAY(Main[[#This Row],[Tech Start Date]],5),""))))</f>
        <v>40981</v>
      </c>
      <c r="P115" s="75">
        <f>IF(Main[[#This Row],[Tech Start Date]]&lt;1/1/1990,"",IF(Main[[#This Row],[Class]]="C",WORKDAY(Main[[#This Row],[Tech Start Date]],28),IF(Main[[#This Row],[Class]]="B", WORKDAY(Main[[#This Row],[Tech Start Date]],19),IF(Main[[#This Row],[Class]]="A",WORKDAY(Main[[#This Row],[Tech Start Date]],9),""))))</f>
        <v>40987</v>
      </c>
      <c r="Q115" s="89">
        <v>40995</v>
      </c>
      <c r="R115" s="121">
        <v>40995</v>
      </c>
      <c r="S115" s="99" t="s">
        <v>11</v>
      </c>
      <c r="T115" s="76" t="s">
        <v>3846</v>
      </c>
      <c r="U115" s="99" t="s">
        <v>29</v>
      </c>
      <c r="V115" s="99" t="s">
        <v>1923</v>
      </c>
      <c r="W115" s="99" t="s">
        <v>1919</v>
      </c>
      <c r="X115" s="99" t="s">
        <v>2840</v>
      </c>
      <c r="Y115" s="73" t="s">
        <v>4</v>
      </c>
      <c r="Z115" s="73" t="s">
        <v>530</v>
      </c>
      <c r="AA115" s="99" t="s">
        <v>2840</v>
      </c>
    </row>
    <row r="116" spans="1:27" ht="17.25" customHeight="1">
      <c r="A116" s="65">
        <f>IF(priority(Main[[#This Row],[Comments]])&lt;&gt;0, priority(Main[[#This Row],[Comments]]),"")</f>
        <v>37</v>
      </c>
      <c r="B116" s="60" t="s">
        <v>1172</v>
      </c>
      <c r="C116" s="105" t="s">
        <v>4</v>
      </c>
      <c r="D116" s="74" t="s">
        <v>227</v>
      </c>
      <c r="E116" s="89">
        <v>40567.332951388889</v>
      </c>
      <c r="F116" s="89">
        <v>40602</v>
      </c>
      <c r="G116" s="65" t="str">
        <f>IF(stdProdLT(Main[[#This Row],[Comments]])=0.1,"N/A",IF(stdProdLT(Main[[#This Row],[Comments]])=0,"",TRIM(stdProdLT(Main[[#This Row],[Comments]]))))</f>
        <v/>
      </c>
      <c r="H116" s="98" t="str">
        <f>IF(Main[[#This Row],[Std. Prod. Lead Time]]="N/A", "",IF(AND(Main[[#This Row],[In Stock Date]]&lt;&gt;"",Main[[#This Row],[Revised Due Date]]&lt;&gt;"",Main[[#This Row],[In Stock Date]]&lt;&gt;""),Main[[#This Row],[In Stock Date]]-Main[[#This Row],[Revised Due Date]],""))</f>
        <v/>
      </c>
      <c r="I116" s="110" t="s">
        <v>912</v>
      </c>
      <c r="J116" s="99" t="s">
        <v>52</v>
      </c>
      <c r="K116" s="100" t="s">
        <v>1922</v>
      </c>
      <c r="L116" s="89"/>
      <c r="M116" s="75" t="str">
        <f>IF(Main[[#This Row],[Tech Start Date]]&lt;1/1/1990,"",IF(Main[[#This Row],[Class]]="C",WORKDAY(Main[[#This Row],[Tech Start Date]],9),IF(Main[[#This Row],[Class]]="B", WORKDAY(Main[[#This Row],[Tech Start Date]],6),IF(Main[[#This Row],[Class]]="A",WORKDAY(Main[[#This Row],[Tech Start Date]],2),""))))</f>
        <v/>
      </c>
      <c r="N116" s="75" t="str">
        <f>IF(Main[[#This Row],[Tech Start Date]]&lt;1/1/1990,"",IF(Main[[#This Row],[Class]]="C",WORKDAY(Main[[#This Row],[Tech Start Date]],19),IF(Main[[#This Row],[Class]]="B", WORKDAY(Main[[#This Row],[Tech Start Date]],12),IF(Main[[#This Row],[Class]]="A",WORKDAY(Main[[#This Row],[Tech Start Date]],4),""))))</f>
        <v/>
      </c>
      <c r="O116" s="75" t="str">
        <f>IF(Main[[#This Row],[Tech Start Date]]&lt;1/1/1990,"",IF(Main[[#This Row],[Class]]="C",WORKDAY(Main[[#This Row],[Tech Start Date]],23),IF(Main[[#This Row],[Class]]="B", WORKDAY(Main[[#This Row],[Tech Start Date]],15),IF(Main[[#This Row],[Class]]="A",WORKDAY(Main[[#This Row],[Tech Start Date]],5),""))))</f>
        <v/>
      </c>
      <c r="P116" s="75" t="str">
        <f>IF(Main[[#This Row],[Tech Start Date]]&lt;1/1/1990,"",IF(Main[[#This Row],[Class]]="C",WORKDAY(Main[[#This Row],[Tech Start Date]],28),IF(Main[[#This Row],[Class]]="B", WORKDAY(Main[[#This Row],[Tech Start Date]],19),IF(Main[[#This Row],[Class]]="A",WORKDAY(Main[[#This Row],[Tech Start Date]],9),""))))</f>
        <v/>
      </c>
      <c r="Q116" s="89">
        <v>40602</v>
      </c>
      <c r="R116" s="121"/>
      <c r="S116" s="99" t="s">
        <v>6</v>
      </c>
      <c r="T116" s="76" t="s">
        <v>2026</v>
      </c>
      <c r="U116" s="99" t="s">
        <v>29</v>
      </c>
      <c r="V116" s="99" t="s">
        <v>1913</v>
      </c>
      <c r="W116" s="99" t="s">
        <v>1915</v>
      </c>
      <c r="X116" s="99" t="s">
        <v>126</v>
      </c>
      <c r="Y116" s="73" t="s">
        <v>3046</v>
      </c>
      <c r="Z116" s="73" t="s">
        <v>129</v>
      </c>
      <c r="AA116" s="99" t="s">
        <v>126</v>
      </c>
    </row>
    <row r="117" spans="1:27" ht="17.25" customHeight="1">
      <c r="A117" s="65">
        <f>IF(priority(Main[[#This Row],[Comments]])&lt;&gt;0, priority(Main[[#This Row],[Comments]]),"")</f>
        <v>37</v>
      </c>
      <c r="B117" s="60" t="s">
        <v>3291</v>
      </c>
      <c r="C117" s="105" t="s">
        <v>4</v>
      </c>
      <c r="D117" s="59" t="s">
        <v>3561</v>
      </c>
      <c r="E117" s="89">
        <v>40933.750428240739</v>
      </c>
      <c r="F117" s="89">
        <v>40969</v>
      </c>
      <c r="G117" s="65" t="str">
        <f>IF(stdProdLT(Main[[#This Row],[Comments]])=0.1,"N/A",IF(stdProdLT(Main[[#This Row],[Comments]])=0,"",TRIM(stdProdLT(Main[[#This Row],[Comments]]))))</f>
        <v>N/A</v>
      </c>
      <c r="H117" s="98" t="str">
        <f>IF(Main[[#This Row],[Std. Prod. Lead Time]]="N/A", "",IF(AND(Main[[#This Row],[In Stock Date]]&lt;&gt;"",Main[[#This Row],[Revised Due Date]]&lt;&gt;"",Main[[#This Row],[In Stock Date]]&lt;&gt;""),Main[[#This Row],[In Stock Date]]-Main[[#This Row],[Revised Due Date]],""))</f>
        <v/>
      </c>
      <c r="I117" s="110" t="s">
        <v>2040</v>
      </c>
      <c r="J117" s="99" t="s">
        <v>28</v>
      </c>
      <c r="K117" s="99" t="s">
        <v>1926</v>
      </c>
      <c r="L117" s="89">
        <v>40948</v>
      </c>
      <c r="M117" s="75">
        <f>IF(Main[[#This Row],[Tech Start Date]]&lt;1/1/1990,"",IF(Main[[#This Row],[Class]]="C",WORKDAY(Main[[#This Row],[Tech Start Date]],9),IF(Main[[#This Row],[Class]]="B", WORKDAY(Main[[#This Row],[Tech Start Date]],6),IF(Main[[#This Row],[Class]]="A",WORKDAY(Main[[#This Row],[Tech Start Date]],2),""))))</f>
        <v>40961</v>
      </c>
      <c r="N117" s="75">
        <f>IF(Main[[#This Row],[Tech Start Date]]&lt;1/1/1990,"",IF(Main[[#This Row],[Class]]="C",WORKDAY(Main[[#This Row],[Tech Start Date]],19),IF(Main[[#This Row],[Class]]="B", WORKDAY(Main[[#This Row],[Tech Start Date]],12),IF(Main[[#This Row],[Class]]="A",WORKDAY(Main[[#This Row],[Tech Start Date]],4),""))))</f>
        <v>40975</v>
      </c>
      <c r="O117" s="75">
        <f>IF(Main[[#This Row],[Tech Start Date]]&lt;1/1/1990,"",IF(Main[[#This Row],[Class]]="C",WORKDAY(Main[[#This Row],[Tech Start Date]],23),IF(Main[[#This Row],[Class]]="B", WORKDAY(Main[[#This Row],[Tech Start Date]],15),IF(Main[[#This Row],[Class]]="A",WORKDAY(Main[[#This Row],[Tech Start Date]],5),""))))</f>
        <v>40981</v>
      </c>
      <c r="P117" s="75">
        <f>IF(Main[[#This Row],[Tech Start Date]]&lt;1/1/1990,"",IF(Main[[#This Row],[Class]]="C",WORKDAY(Main[[#This Row],[Tech Start Date]],28),IF(Main[[#This Row],[Class]]="B", WORKDAY(Main[[#This Row],[Tech Start Date]],19),IF(Main[[#This Row],[Class]]="A",WORKDAY(Main[[#This Row],[Tech Start Date]],9),""))))</f>
        <v>40988</v>
      </c>
      <c r="Q117" s="89">
        <v>40969</v>
      </c>
      <c r="R117" s="121">
        <v>40977</v>
      </c>
      <c r="S117" s="99" t="s">
        <v>11</v>
      </c>
      <c r="T117" s="76" t="s">
        <v>3809</v>
      </c>
      <c r="U117" s="99" t="s">
        <v>29</v>
      </c>
      <c r="V117" s="99" t="s">
        <v>1916</v>
      </c>
      <c r="W117" s="99" t="s">
        <v>1918</v>
      </c>
      <c r="X117" s="99" t="s">
        <v>553</v>
      </c>
      <c r="Y117" s="73" t="s">
        <v>2946</v>
      </c>
      <c r="Z117" s="73" t="s">
        <v>530</v>
      </c>
      <c r="AA117" s="99" t="s">
        <v>553</v>
      </c>
    </row>
    <row r="118" spans="1:27" ht="17.25" customHeight="1">
      <c r="A118" s="65">
        <f>IF(priority(Main[[#This Row],[Comments]])&lt;&gt;0, priority(Main[[#This Row],[Comments]]),"")</f>
        <v>38</v>
      </c>
      <c r="B118" s="60" t="s">
        <v>1226</v>
      </c>
      <c r="C118" s="105" t="s">
        <v>4</v>
      </c>
      <c r="D118" s="74" t="s">
        <v>2360</v>
      </c>
      <c r="E118" s="89">
        <v>40337.30976851852</v>
      </c>
      <c r="F118" s="89"/>
      <c r="G118" s="65" t="str">
        <f>IF(stdProdLT(Main[[#This Row],[Comments]])=0.1,"N/A",IF(stdProdLT(Main[[#This Row],[Comments]])=0,"",TRIM(stdProdLT(Main[[#This Row],[Comments]]))))</f>
        <v/>
      </c>
      <c r="H118" s="98" t="str">
        <f>IF(Main[[#This Row],[Std. Prod. Lead Time]]="N/A", "",IF(AND(Main[[#This Row],[In Stock Date]]&lt;&gt;"",Main[[#This Row],[Revised Due Date]]&lt;&gt;"",Main[[#This Row],[In Stock Date]]&lt;&gt;""),Main[[#This Row],[In Stock Date]]-Main[[#This Row],[Revised Due Date]],""))</f>
        <v/>
      </c>
      <c r="I118" s="110" t="s">
        <v>912</v>
      </c>
      <c r="J118" s="99" t="s">
        <v>52</v>
      </c>
      <c r="K118" s="99" t="s">
        <v>4</v>
      </c>
      <c r="L118" s="89"/>
      <c r="M118" s="75" t="str">
        <f>IF(Main[[#This Row],[Tech Start Date]]&lt;1/1/1990,"",IF(Main[[#This Row],[Class]]="C",WORKDAY(Main[[#This Row],[Tech Start Date]],9),IF(Main[[#This Row],[Class]]="B", WORKDAY(Main[[#This Row],[Tech Start Date]],6),IF(Main[[#This Row],[Class]]="A",WORKDAY(Main[[#This Row],[Tech Start Date]],2),""))))</f>
        <v/>
      </c>
      <c r="N118" s="75" t="str">
        <f>IF(Main[[#This Row],[Tech Start Date]]&lt;1/1/1990,"",IF(Main[[#This Row],[Class]]="C",WORKDAY(Main[[#This Row],[Tech Start Date]],19),IF(Main[[#This Row],[Class]]="B", WORKDAY(Main[[#This Row],[Tech Start Date]],12),IF(Main[[#This Row],[Class]]="A",WORKDAY(Main[[#This Row],[Tech Start Date]],4),""))))</f>
        <v/>
      </c>
      <c r="O118" s="75" t="str">
        <f>IF(Main[[#This Row],[Tech Start Date]]&lt;1/1/1990,"",IF(Main[[#This Row],[Class]]="C",WORKDAY(Main[[#This Row],[Tech Start Date]],23),IF(Main[[#This Row],[Class]]="B", WORKDAY(Main[[#This Row],[Tech Start Date]],15),IF(Main[[#This Row],[Class]]="A",WORKDAY(Main[[#This Row],[Tech Start Date]],5),""))))</f>
        <v/>
      </c>
      <c r="P118" s="75" t="str">
        <f>IF(Main[[#This Row],[Tech Start Date]]&lt;1/1/1990,"",IF(Main[[#This Row],[Class]]="C",WORKDAY(Main[[#This Row],[Tech Start Date]],28),IF(Main[[#This Row],[Class]]="B", WORKDAY(Main[[#This Row],[Tech Start Date]],19),IF(Main[[#This Row],[Class]]="A",WORKDAY(Main[[#This Row],[Tech Start Date]],9),""))))</f>
        <v/>
      </c>
      <c r="Q118" s="89">
        <v>40344</v>
      </c>
      <c r="R118" s="121"/>
      <c r="S118" s="99" t="s">
        <v>6</v>
      </c>
      <c r="T118" s="76" t="s">
        <v>2027</v>
      </c>
      <c r="U118" s="99" t="s">
        <v>29</v>
      </c>
      <c r="V118" s="99" t="s">
        <v>1913</v>
      </c>
      <c r="W118" s="99" t="s">
        <v>1917</v>
      </c>
      <c r="X118" s="99" t="s">
        <v>2860</v>
      </c>
      <c r="Y118" s="73" t="s">
        <v>2994</v>
      </c>
      <c r="Z118" s="73" t="s">
        <v>129</v>
      </c>
      <c r="AA118" s="99" t="s">
        <v>2860</v>
      </c>
    </row>
    <row r="119" spans="1:27" ht="17.25" customHeight="1">
      <c r="A119" s="65">
        <f>IF(priority(Main[[#This Row],[Comments]])&lt;&gt;0, priority(Main[[#This Row],[Comments]]),"")</f>
        <v>38</v>
      </c>
      <c r="B119" s="60" t="s">
        <v>1955</v>
      </c>
      <c r="C119" s="105" t="s">
        <v>116</v>
      </c>
      <c r="D119" s="74" t="s">
        <v>2607</v>
      </c>
      <c r="E119" s="89">
        <v>40722.573900462965</v>
      </c>
      <c r="F119" s="89">
        <v>41379</v>
      </c>
      <c r="G119" s="65" t="str">
        <f>IF(stdProdLT(Main[[#This Row],[Comments]])=0.1,"N/A",IF(stdProdLT(Main[[#This Row],[Comments]])=0,"",TRIM(stdProdLT(Main[[#This Row],[Comments]]))))</f>
        <v>N/A</v>
      </c>
      <c r="H119" s="98" t="str">
        <f>IF(Main[[#This Row],[Std. Prod. Lead Time]]="N/A", "",IF(AND(Main[[#This Row],[In Stock Date]]&lt;&gt;"",Main[[#This Row],[Revised Due Date]]&lt;&gt;"",Main[[#This Row],[In Stock Date]]&lt;&gt;""),Main[[#This Row],[In Stock Date]]-Main[[#This Row],[Revised Due Date]],""))</f>
        <v/>
      </c>
      <c r="I119" s="110" t="s">
        <v>81</v>
      </c>
      <c r="J119" s="99" t="s">
        <v>21</v>
      </c>
      <c r="K119" s="100" t="s">
        <v>1926</v>
      </c>
      <c r="L119" s="89">
        <v>40767</v>
      </c>
      <c r="M119" s="75">
        <f>IF(Main[[#This Row],[Tech Start Date]]&lt;1/1/1990,"",IF(Main[[#This Row],[Class]]="C",WORKDAY(Main[[#This Row],[Tech Start Date]],9),IF(Main[[#This Row],[Class]]="B", WORKDAY(Main[[#This Row],[Tech Start Date]],6),IF(Main[[#This Row],[Class]]="A",WORKDAY(Main[[#This Row],[Tech Start Date]],2),""))))</f>
        <v>40780</v>
      </c>
      <c r="N119" s="75">
        <f>IF(Main[[#This Row],[Tech Start Date]]&lt;1/1/1990,"",IF(Main[[#This Row],[Class]]="C",WORKDAY(Main[[#This Row],[Tech Start Date]],19),IF(Main[[#This Row],[Class]]="B", WORKDAY(Main[[#This Row],[Tech Start Date]],12),IF(Main[[#This Row],[Class]]="A",WORKDAY(Main[[#This Row],[Tech Start Date]],4),""))))</f>
        <v>40794</v>
      </c>
      <c r="O119" s="75">
        <f>IF(Main[[#This Row],[Tech Start Date]]&lt;1/1/1990,"",IF(Main[[#This Row],[Class]]="C",WORKDAY(Main[[#This Row],[Tech Start Date]],23),IF(Main[[#This Row],[Class]]="B", WORKDAY(Main[[#This Row],[Tech Start Date]],15),IF(Main[[#This Row],[Class]]="A",WORKDAY(Main[[#This Row],[Tech Start Date]],5),""))))</f>
        <v>40800</v>
      </c>
      <c r="P119" s="75">
        <f>IF(Main[[#This Row],[Tech Start Date]]&lt;1/1/1990,"",IF(Main[[#This Row],[Class]]="C",WORKDAY(Main[[#This Row],[Tech Start Date]],28),IF(Main[[#This Row],[Class]]="B", WORKDAY(Main[[#This Row],[Tech Start Date]],19),IF(Main[[#This Row],[Class]]="A",WORKDAY(Main[[#This Row],[Tech Start Date]],9),""))))</f>
        <v>40807</v>
      </c>
      <c r="Q119" s="89">
        <v>41061</v>
      </c>
      <c r="R119" s="121">
        <v>40969</v>
      </c>
      <c r="S119" s="99" t="s">
        <v>11</v>
      </c>
      <c r="T119" s="76" t="s">
        <v>3768</v>
      </c>
      <c r="U119" s="99" t="s">
        <v>29</v>
      </c>
      <c r="V119" s="99" t="s">
        <v>1916</v>
      </c>
      <c r="W119" s="99" t="s">
        <v>1918</v>
      </c>
      <c r="X119" s="99" t="s">
        <v>2885</v>
      </c>
      <c r="Y119" s="73" t="s">
        <v>3096</v>
      </c>
      <c r="Z119" s="73" t="s">
        <v>81</v>
      </c>
      <c r="AA119" s="99" t="s">
        <v>2885</v>
      </c>
    </row>
    <row r="120" spans="1:27" ht="17.25" customHeight="1">
      <c r="A120" s="65">
        <f>IF(priority(Main[[#This Row],[Comments]])&lt;&gt;0, priority(Main[[#This Row],[Comments]]),"")</f>
        <v>39</v>
      </c>
      <c r="B120" s="60" t="s">
        <v>1403</v>
      </c>
      <c r="C120" s="105" t="s">
        <v>37</v>
      </c>
      <c r="D120" s="74" t="s">
        <v>485</v>
      </c>
      <c r="E120" s="89">
        <v>40682.478391203702</v>
      </c>
      <c r="F120" s="89"/>
      <c r="G120" s="65" t="str">
        <f>IF(stdProdLT(Main[[#This Row],[Comments]])=0.1,"N/A",IF(stdProdLT(Main[[#This Row],[Comments]])=0,"",TRIM(stdProdLT(Main[[#This Row],[Comments]]))))</f>
        <v/>
      </c>
      <c r="H120" s="98" t="str">
        <f>IF(Main[[#This Row],[Std. Prod. Lead Time]]="N/A", "",IF(AND(Main[[#This Row],[In Stock Date]]&lt;&gt;"",Main[[#This Row],[Revised Due Date]]&lt;&gt;"",Main[[#This Row],[In Stock Date]]&lt;&gt;""),Main[[#This Row],[In Stock Date]]-Main[[#This Row],[Revised Due Date]],""))</f>
        <v/>
      </c>
      <c r="I120" s="110" t="s">
        <v>4</v>
      </c>
      <c r="J120" s="99" t="s">
        <v>21</v>
      </c>
      <c r="K120" s="99" t="s">
        <v>4</v>
      </c>
      <c r="L120" s="89"/>
      <c r="M120" s="75" t="str">
        <f>IF(Main[[#This Row],[Tech Start Date]]&lt;1/1/1990,"",IF(Main[[#This Row],[Class]]="C",WORKDAY(Main[[#This Row],[Tech Start Date]],9),IF(Main[[#This Row],[Class]]="B", WORKDAY(Main[[#This Row],[Tech Start Date]],6),IF(Main[[#This Row],[Class]]="A",WORKDAY(Main[[#This Row],[Tech Start Date]],2),""))))</f>
        <v/>
      </c>
      <c r="N120" s="75" t="str">
        <f>IF(Main[[#This Row],[Tech Start Date]]&lt;1/1/1990,"",IF(Main[[#This Row],[Class]]="C",WORKDAY(Main[[#This Row],[Tech Start Date]],19),IF(Main[[#This Row],[Class]]="B", WORKDAY(Main[[#This Row],[Tech Start Date]],12),IF(Main[[#This Row],[Class]]="A",WORKDAY(Main[[#This Row],[Tech Start Date]],4),""))))</f>
        <v/>
      </c>
      <c r="O120" s="75" t="str">
        <f>IF(Main[[#This Row],[Tech Start Date]]&lt;1/1/1990,"",IF(Main[[#This Row],[Class]]="C",WORKDAY(Main[[#This Row],[Tech Start Date]],23),IF(Main[[#This Row],[Class]]="B", WORKDAY(Main[[#This Row],[Tech Start Date]],15),IF(Main[[#This Row],[Class]]="A",WORKDAY(Main[[#This Row],[Tech Start Date]],5),""))))</f>
        <v/>
      </c>
      <c r="P120" s="75" t="str">
        <f>IF(Main[[#This Row],[Tech Start Date]]&lt;1/1/1990,"",IF(Main[[#This Row],[Class]]="C",WORKDAY(Main[[#This Row],[Tech Start Date]],28),IF(Main[[#This Row],[Class]]="B", WORKDAY(Main[[#This Row],[Tech Start Date]],19),IF(Main[[#This Row],[Class]]="A",WORKDAY(Main[[#This Row],[Tech Start Date]],9),""))))</f>
        <v/>
      </c>
      <c r="Q120" s="89">
        <v>40696</v>
      </c>
      <c r="R120" s="121"/>
      <c r="S120" s="99" t="s">
        <v>6</v>
      </c>
      <c r="T120" s="76" t="s">
        <v>2028</v>
      </c>
      <c r="U120" s="99" t="s">
        <v>534</v>
      </c>
      <c r="V120" s="99" t="s">
        <v>1913</v>
      </c>
      <c r="W120" s="99" t="s">
        <v>1924</v>
      </c>
      <c r="X120" s="99" t="s">
        <v>970</v>
      </c>
      <c r="Y120" s="73" t="s">
        <v>3091</v>
      </c>
      <c r="Z120" s="73" t="s">
        <v>4</v>
      </c>
      <c r="AA120" s="99" t="s">
        <v>970</v>
      </c>
    </row>
    <row r="121" spans="1:27" ht="17.25" customHeight="1">
      <c r="A121" s="65">
        <f>IF(priority(Main[[#This Row],[Comments]])&lt;&gt;0, priority(Main[[#This Row],[Comments]]),"")</f>
        <v>39</v>
      </c>
      <c r="B121" s="60" t="s">
        <v>1957</v>
      </c>
      <c r="C121" s="105" t="s">
        <v>116</v>
      </c>
      <c r="D121" s="74" t="s">
        <v>2136</v>
      </c>
      <c r="E121" s="89">
        <v>40722.571018518516</v>
      </c>
      <c r="F121" s="89">
        <v>41379</v>
      </c>
      <c r="G121" s="65" t="str">
        <f>IF(stdProdLT(Main[[#This Row],[Comments]])=0.1,"N/A",IF(stdProdLT(Main[[#This Row],[Comments]])=0,"",TRIM(stdProdLT(Main[[#This Row],[Comments]]))))</f>
        <v>N/A</v>
      </c>
      <c r="H121" s="98" t="str">
        <f>IF(Main[[#This Row],[Std. Prod. Lead Time]]="N/A", "",IF(AND(Main[[#This Row],[In Stock Date]]&lt;&gt;"",Main[[#This Row],[Revised Due Date]]&lt;&gt;"",Main[[#This Row],[In Stock Date]]&lt;&gt;""),Main[[#This Row],[In Stock Date]]-Main[[#This Row],[Revised Due Date]],""))</f>
        <v/>
      </c>
      <c r="I121" s="110" t="s">
        <v>81</v>
      </c>
      <c r="J121" s="99" t="s">
        <v>21</v>
      </c>
      <c r="K121" s="99" t="s">
        <v>1926</v>
      </c>
      <c r="L121" s="89">
        <v>40767</v>
      </c>
      <c r="M121" s="75">
        <f>IF(Main[[#This Row],[Tech Start Date]]&lt;1/1/1990,"",IF(Main[[#This Row],[Class]]="C",WORKDAY(Main[[#This Row],[Tech Start Date]],9),IF(Main[[#This Row],[Class]]="B", WORKDAY(Main[[#This Row],[Tech Start Date]],6),IF(Main[[#This Row],[Class]]="A",WORKDAY(Main[[#This Row],[Tech Start Date]],2),""))))</f>
        <v>40780</v>
      </c>
      <c r="N121" s="75">
        <f>IF(Main[[#This Row],[Tech Start Date]]&lt;1/1/1990,"",IF(Main[[#This Row],[Class]]="C",WORKDAY(Main[[#This Row],[Tech Start Date]],19),IF(Main[[#This Row],[Class]]="B", WORKDAY(Main[[#This Row],[Tech Start Date]],12),IF(Main[[#This Row],[Class]]="A",WORKDAY(Main[[#This Row],[Tech Start Date]],4),""))))</f>
        <v>40794</v>
      </c>
      <c r="O121" s="75">
        <f>IF(Main[[#This Row],[Tech Start Date]]&lt;1/1/1990,"",IF(Main[[#This Row],[Class]]="C",WORKDAY(Main[[#This Row],[Tech Start Date]],23),IF(Main[[#This Row],[Class]]="B", WORKDAY(Main[[#This Row],[Tech Start Date]],15),IF(Main[[#This Row],[Class]]="A",WORKDAY(Main[[#This Row],[Tech Start Date]],5),""))))</f>
        <v>40800</v>
      </c>
      <c r="P121" s="75">
        <f>IF(Main[[#This Row],[Tech Start Date]]&lt;1/1/1990,"",IF(Main[[#This Row],[Class]]="C",WORKDAY(Main[[#This Row],[Tech Start Date]],28),IF(Main[[#This Row],[Class]]="B", WORKDAY(Main[[#This Row],[Tech Start Date]],19),IF(Main[[#This Row],[Class]]="A",WORKDAY(Main[[#This Row],[Tech Start Date]],9),""))))</f>
        <v>40807</v>
      </c>
      <c r="Q121" s="89">
        <v>41061</v>
      </c>
      <c r="R121" s="121">
        <v>40969</v>
      </c>
      <c r="S121" s="99" t="s">
        <v>11</v>
      </c>
      <c r="T121" s="76" t="s">
        <v>3767</v>
      </c>
      <c r="U121" s="99" t="s">
        <v>29</v>
      </c>
      <c r="V121" s="99" t="s">
        <v>1916</v>
      </c>
      <c r="W121" s="99" t="s">
        <v>1918</v>
      </c>
      <c r="X121" s="99" t="s">
        <v>2885</v>
      </c>
      <c r="Y121" s="73" t="s">
        <v>3096</v>
      </c>
      <c r="Z121" s="73" t="s">
        <v>81</v>
      </c>
      <c r="AA121" s="99" t="s">
        <v>2885</v>
      </c>
    </row>
    <row r="122" spans="1:27" ht="17.25" customHeight="1">
      <c r="A122" s="65">
        <f>IF(priority(Main[[#This Row],[Comments]])&lt;&gt;0, priority(Main[[#This Row],[Comments]]),"")</f>
        <v>40</v>
      </c>
      <c r="B122" s="60" t="s">
        <v>1441</v>
      </c>
      <c r="C122" s="105" t="s">
        <v>4</v>
      </c>
      <c r="D122" s="74" t="s">
        <v>531</v>
      </c>
      <c r="E122" s="89">
        <v>40358.575729166667</v>
      </c>
      <c r="F122" s="89"/>
      <c r="G122" s="65" t="str">
        <f>IF(stdProdLT(Main[[#This Row],[Comments]])=0.1,"N/A",IF(stdProdLT(Main[[#This Row],[Comments]])=0,"",TRIM(stdProdLT(Main[[#This Row],[Comments]]))))</f>
        <v/>
      </c>
      <c r="H122" s="98" t="str">
        <f>IF(Main[[#This Row],[Std. Prod. Lead Time]]="N/A", "",IF(AND(Main[[#This Row],[In Stock Date]]&lt;&gt;"",Main[[#This Row],[Revised Due Date]]&lt;&gt;"",Main[[#This Row],[In Stock Date]]&lt;&gt;""),Main[[#This Row],[In Stock Date]]-Main[[#This Row],[Revised Due Date]],""))</f>
        <v/>
      </c>
      <c r="I122" s="110" t="s">
        <v>4</v>
      </c>
      <c r="J122" s="99" t="s">
        <v>21</v>
      </c>
      <c r="K122" s="99" t="s">
        <v>4</v>
      </c>
      <c r="L122" s="89"/>
      <c r="M122" s="75" t="str">
        <f>IF(Main[[#This Row],[Tech Start Date]]&lt;1/1/1990,"",IF(Main[[#This Row],[Class]]="C",WORKDAY(Main[[#This Row],[Tech Start Date]],9),IF(Main[[#This Row],[Class]]="B", WORKDAY(Main[[#This Row],[Tech Start Date]],6),IF(Main[[#This Row],[Class]]="A",WORKDAY(Main[[#This Row],[Tech Start Date]],2),""))))</f>
        <v/>
      </c>
      <c r="N122" s="75" t="str">
        <f>IF(Main[[#This Row],[Tech Start Date]]&lt;1/1/1990,"",IF(Main[[#This Row],[Class]]="C",WORKDAY(Main[[#This Row],[Tech Start Date]],19),IF(Main[[#This Row],[Class]]="B", WORKDAY(Main[[#This Row],[Tech Start Date]],12),IF(Main[[#This Row],[Class]]="A",WORKDAY(Main[[#This Row],[Tech Start Date]],4),""))))</f>
        <v/>
      </c>
      <c r="O122" s="75" t="str">
        <f>IF(Main[[#This Row],[Tech Start Date]]&lt;1/1/1990,"",IF(Main[[#This Row],[Class]]="C",WORKDAY(Main[[#This Row],[Tech Start Date]],23),IF(Main[[#This Row],[Class]]="B", WORKDAY(Main[[#This Row],[Tech Start Date]],15),IF(Main[[#This Row],[Class]]="A",WORKDAY(Main[[#This Row],[Tech Start Date]],5),""))))</f>
        <v/>
      </c>
      <c r="P122" s="75" t="str">
        <f>IF(Main[[#This Row],[Tech Start Date]]&lt;1/1/1990,"",IF(Main[[#This Row],[Class]]="C",WORKDAY(Main[[#This Row],[Tech Start Date]],28),IF(Main[[#This Row],[Class]]="B", WORKDAY(Main[[#This Row],[Tech Start Date]],19),IF(Main[[#This Row],[Class]]="A",WORKDAY(Main[[#This Row],[Tech Start Date]],9),""))))</f>
        <v/>
      </c>
      <c r="Q122" s="89">
        <v>40389</v>
      </c>
      <c r="R122" s="121"/>
      <c r="S122" s="99" t="s">
        <v>6</v>
      </c>
      <c r="T122" s="76" t="s">
        <v>2029</v>
      </c>
      <c r="U122" s="99" t="s">
        <v>7</v>
      </c>
      <c r="V122" s="99" t="s">
        <v>1913</v>
      </c>
      <c r="W122" s="99" t="s">
        <v>1917</v>
      </c>
      <c r="X122" s="99" t="s">
        <v>2813</v>
      </c>
      <c r="Y122" s="73" t="s">
        <v>2926</v>
      </c>
      <c r="Z122" s="73" t="s">
        <v>129</v>
      </c>
      <c r="AA122" s="99" t="s">
        <v>2813</v>
      </c>
    </row>
    <row r="123" spans="1:27" ht="17.25" customHeight="1">
      <c r="A123" s="65">
        <f>IF(priority(Main[[#This Row],[Comments]])&lt;&gt;0, priority(Main[[#This Row],[Comments]]),"")</f>
        <v>40</v>
      </c>
      <c r="B123" s="60" t="s">
        <v>1958</v>
      </c>
      <c r="C123" s="105" t="s">
        <v>116</v>
      </c>
      <c r="D123" s="74" t="s">
        <v>2137</v>
      </c>
      <c r="E123" s="89">
        <v>40722.572418981479</v>
      </c>
      <c r="F123" s="89">
        <v>41379</v>
      </c>
      <c r="G123" s="65" t="str">
        <f>IF(stdProdLT(Main[[#This Row],[Comments]])=0.1,"N/A",IF(stdProdLT(Main[[#This Row],[Comments]])=0,"",TRIM(stdProdLT(Main[[#This Row],[Comments]]))))</f>
        <v>N/A</v>
      </c>
      <c r="H123" s="98" t="str">
        <f>IF(Main[[#This Row],[Std. Prod. Lead Time]]="N/A", "",IF(AND(Main[[#This Row],[In Stock Date]]&lt;&gt;"",Main[[#This Row],[Revised Due Date]]&lt;&gt;"",Main[[#This Row],[In Stock Date]]&lt;&gt;""),Main[[#This Row],[In Stock Date]]-Main[[#This Row],[Revised Due Date]],""))</f>
        <v/>
      </c>
      <c r="I123" s="110" t="s">
        <v>81</v>
      </c>
      <c r="J123" s="99" t="s">
        <v>21</v>
      </c>
      <c r="K123" s="99" t="s">
        <v>1926</v>
      </c>
      <c r="L123" s="89">
        <v>40767</v>
      </c>
      <c r="M123" s="75">
        <f>IF(Main[[#This Row],[Tech Start Date]]&lt;1/1/1990,"",IF(Main[[#This Row],[Class]]="C",WORKDAY(Main[[#This Row],[Tech Start Date]],9),IF(Main[[#This Row],[Class]]="B", WORKDAY(Main[[#This Row],[Tech Start Date]],6),IF(Main[[#This Row],[Class]]="A",WORKDAY(Main[[#This Row],[Tech Start Date]],2),""))))</f>
        <v>40780</v>
      </c>
      <c r="N123" s="75">
        <f>IF(Main[[#This Row],[Tech Start Date]]&lt;1/1/1990,"",IF(Main[[#This Row],[Class]]="C",WORKDAY(Main[[#This Row],[Tech Start Date]],19),IF(Main[[#This Row],[Class]]="B", WORKDAY(Main[[#This Row],[Tech Start Date]],12),IF(Main[[#This Row],[Class]]="A",WORKDAY(Main[[#This Row],[Tech Start Date]],4),""))))</f>
        <v>40794</v>
      </c>
      <c r="O123" s="75">
        <f>IF(Main[[#This Row],[Tech Start Date]]&lt;1/1/1990,"",IF(Main[[#This Row],[Class]]="C",WORKDAY(Main[[#This Row],[Tech Start Date]],23),IF(Main[[#This Row],[Class]]="B", WORKDAY(Main[[#This Row],[Tech Start Date]],15),IF(Main[[#This Row],[Class]]="A",WORKDAY(Main[[#This Row],[Tech Start Date]],5),""))))</f>
        <v>40800</v>
      </c>
      <c r="P123" s="75">
        <f>IF(Main[[#This Row],[Tech Start Date]]&lt;1/1/1990,"",IF(Main[[#This Row],[Class]]="C",WORKDAY(Main[[#This Row],[Tech Start Date]],28),IF(Main[[#This Row],[Class]]="B", WORKDAY(Main[[#This Row],[Tech Start Date]],19),IF(Main[[#This Row],[Class]]="A",WORKDAY(Main[[#This Row],[Tech Start Date]],9),""))))</f>
        <v>40807</v>
      </c>
      <c r="Q123" s="89">
        <v>41061</v>
      </c>
      <c r="R123" s="121">
        <v>40969</v>
      </c>
      <c r="S123" s="99" t="s">
        <v>11</v>
      </c>
      <c r="T123" s="76" t="s">
        <v>3765</v>
      </c>
      <c r="U123" s="99" t="s">
        <v>29</v>
      </c>
      <c r="V123" s="99" t="s">
        <v>1916</v>
      </c>
      <c r="W123" s="99" t="s">
        <v>1918</v>
      </c>
      <c r="X123" s="99" t="s">
        <v>2885</v>
      </c>
      <c r="Y123" s="73" t="s">
        <v>3096</v>
      </c>
      <c r="Z123" s="73" t="s">
        <v>81</v>
      </c>
      <c r="AA123" s="99" t="s">
        <v>2885</v>
      </c>
    </row>
    <row r="124" spans="1:27" ht="17.25" customHeight="1">
      <c r="A124" s="65">
        <f>IF(priority(Main[[#This Row],[Comments]])&lt;&gt;0, priority(Main[[#This Row],[Comments]]),"")</f>
        <v>41</v>
      </c>
      <c r="B124" s="60" t="s">
        <v>1994</v>
      </c>
      <c r="C124" s="105" t="s">
        <v>4</v>
      </c>
      <c r="D124" s="74" t="s">
        <v>1995</v>
      </c>
      <c r="E124" s="89">
        <v>40738.567210648151</v>
      </c>
      <c r="F124" s="89"/>
      <c r="G124" s="65" t="str">
        <f>IF(stdProdLT(Main[[#This Row],[Comments]])=0.1,"N/A",IF(stdProdLT(Main[[#This Row],[Comments]])=0,"",TRIM(stdProdLT(Main[[#This Row],[Comments]]))))</f>
        <v/>
      </c>
      <c r="H124" s="98" t="str">
        <f>IF(Main[[#This Row],[Std. Prod. Lead Time]]="N/A", "",IF(AND(Main[[#This Row],[In Stock Date]]&lt;&gt;"",Main[[#This Row],[Revised Due Date]]&lt;&gt;"",Main[[#This Row],[In Stock Date]]&lt;&gt;""),Main[[#This Row],[In Stock Date]]-Main[[#This Row],[Revised Due Date]],""))</f>
        <v/>
      </c>
      <c r="I124" s="110" t="s">
        <v>912</v>
      </c>
      <c r="J124" s="99" t="s">
        <v>52</v>
      </c>
      <c r="K124" s="100" t="s">
        <v>4</v>
      </c>
      <c r="L124" s="89"/>
      <c r="M124" s="75" t="str">
        <f>IF(Main[[#This Row],[Tech Start Date]]&lt;1/1/1990,"",IF(Main[[#This Row],[Class]]="C",WORKDAY(Main[[#This Row],[Tech Start Date]],9),IF(Main[[#This Row],[Class]]="B", WORKDAY(Main[[#This Row],[Tech Start Date]],6),IF(Main[[#This Row],[Class]]="A",WORKDAY(Main[[#This Row],[Tech Start Date]],2),""))))</f>
        <v/>
      </c>
      <c r="N124" s="75" t="str">
        <f>IF(Main[[#This Row],[Tech Start Date]]&lt;1/1/1990,"",IF(Main[[#This Row],[Class]]="C",WORKDAY(Main[[#This Row],[Tech Start Date]],19),IF(Main[[#This Row],[Class]]="B", WORKDAY(Main[[#This Row],[Tech Start Date]],12),IF(Main[[#This Row],[Class]]="A",WORKDAY(Main[[#This Row],[Tech Start Date]],4),""))))</f>
        <v/>
      </c>
      <c r="O124" s="75" t="str">
        <f>IF(Main[[#This Row],[Tech Start Date]]&lt;1/1/1990,"",IF(Main[[#This Row],[Class]]="C",WORKDAY(Main[[#This Row],[Tech Start Date]],23),IF(Main[[#This Row],[Class]]="B", WORKDAY(Main[[#This Row],[Tech Start Date]],15),IF(Main[[#This Row],[Class]]="A",WORKDAY(Main[[#This Row],[Tech Start Date]],5),""))))</f>
        <v/>
      </c>
      <c r="P124" s="75" t="str">
        <f>IF(Main[[#This Row],[Tech Start Date]]&lt;1/1/1990,"",IF(Main[[#This Row],[Class]]="C",WORKDAY(Main[[#This Row],[Tech Start Date]],28),IF(Main[[#This Row],[Class]]="B", WORKDAY(Main[[#This Row],[Tech Start Date]],19),IF(Main[[#This Row],[Class]]="A",WORKDAY(Main[[#This Row],[Tech Start Date]],9),""))))</f>
        <v/>
      </c>
      <c r="Q124" s="89">
        <v>40749</v>
      </c>
      <c r="R124" s="121"/>
      <c r="S124" s="99" t="s">
        <v>6</v>
      </c>
      <c r="T124" s="76" t="s">
        <v>2031</v>
      </c>
      <c r="U124" s="99" t="s">
        <v>29</v>
      </c>
      <c r="V124" s="99" t="s">
        <v>1913</v>
      </c>
      <c r="W124" s="99" t="s">
        <v>1919</v>
      </c>
      <c r="X124" s="99" t="s">
        <v>912</v>
      </c>
      <c r="Y124" s="73" t="s">
        <v>3043</v>
      </c>
      <c r="Z124" s="73" t="s">
        <v>129</v>
      </c>
      <c r="AA124" s="99" t="s">
        <v>2846</v>
      </c>
    </row>
    <row r="125" spans="1:27" ht="17.25" customHeight="1">
      <c r="A125" s="65">
        <f>IF(priority(Main[[#This Row],[Comments]])&lt;&gt;0, priority(Main[[#This Row],[Comments]]),"")</f>
        <v>41</v>
      </c>
      <c r="B125" s="60" t="s">
        <v>1956</v>
      </c>
      <c r="C125" s="105" t="s">
        <v>116</v>
      </c>
      <c r="D125" s="74" t="s">
        <v>2608</v>
      </c>
      <c r="E125" s="89">
        <v>40722.573182870372</v>
      </c>
      <c r="F125" s="89">
        <v>41379</v>
      </c>
      <c r="G125" s="65" t="str">
        <f>IF(stdProdLT(Main[[#This Row],[Comments]])=0.1,"N/A",IF(stdProdLT(Main[[#This Row],[Comments]])=0,"",TRIM(stdProdLT(Main[[#This Row],[Comments]]))))</f>
        <v>N/A</v>
      </c>
      <c r="H125" s="98" t="str">
        <f>IF(Main[[#This Row],[Std. Prod. Lead Time]]="N/A", "",IF(AND(Main[[#This Row],[In Stock Date]]&lt;&gt;"",Main[[#This Row],[Revised Due Date]]&lt;&gt;"",Main[[#This Row],[In Stock Date]]&lt;&gt;""),Main[[#This Row],[In Stock Date]]-Main[[#This Row],[Revised Due Date]],""))</f>
        <v/>
      </c>
      <c r="I125" s="110" t="s">
        <v>81</v>
      </c>
      <c r="J125" s="99" t="s">
        <v>21</v>
      </c>
      <c r="K125" s="99" t="s">
        <v>1926</v>
      </c>
      <c r="L125" s="89">
        <v>40767</v>
      </c>
      <c r="M125" s="75">
        <f>IF(Main[[#This Row],[Tech Start Date]]&lt;1/1/1990,"",IF(Main[[#This Row],[Class]]="C",WORKDAY(Main[[#This Row],[Tech Start Date]],9),IF(Main[[#This Row],[Class]]="B", WORKDAY(Main[[#This Row],[Tech Start Date]],6),IF(Main[[#This Row],[Class]]="A",WORKDAY(Main[[#This Row],[Tech Start Date]],2),""))))</f>
        <v>40780</v>
      </c>
      <c r="N125" s="75">
        <f>IF(Main[[#This Row],[Tech Start Date]]&lt;1/1/1990,"",IF(Main[[#This Row],[Class]]="C",WORKDAY(Main[[#This Row],[Tech Start Date]],19),IF(Main[[#This Row],[Class]]="B", WORKDAY(Main[[#This Row],[Tech Start Date]],12),IF(Main[[#This Row],[Class]]="A",WORKDAY(Main[[#This Row],[Tech Start Date]],4),""))))</f>
        <v>40794</v>
      </c>
      <c r="O125" s="75">
        <f>IF(Main[[#This Row],[Tech Start Date]]&lt;1/1/1990,"",IF(Main[[#This Row],[Class]]="C",WORKDAY(Main[[#This Row],[Tech Start Date]],23),IF(Main[[#This Row],[Class]]="B", WORKDAY(Main[[#This Row],[Tech Start Date]],15),IF(Main[[#This Row],[Class]]="A",WORKDAY(Main[[#This Row],[Tech Start Date]],5),""))))</f>
        <v>40800</v>
      </c>
      <c r="P125" s="75">
        <f>IF(Main[[#This Row],[Tech Start Date]]&lt;1/1/1990,"",IF(Main[[#This Row],[Class]]="C",WORKDAY(Main[[#This Row],[Tech Start Date]],28),IF(Main[[#This Row],[Class]]="B", WORKDAY(Main[[#This Row],[Tech Start Date]],19),IF(Main[[#This Row],[Class]]="A",WORKDAY(Main[[#This Row],[Tech Start Date]],9),""))))</f>
        <v>40807</v>
      </c>
      <c r="Q125" s="89">
        <v>41061</v>
      </c>
      <c r="R125" s="121">
        <v>40969</v>
      </c>
      <c r="S125" s="99" t="s">
        <v>11</v>
      </c>
      <c r="T125" s="76" t="s">
        <v>3766</v>
      </c>
      <c r="U125" s="99" t="s">
        <v>29</v>
      </c>
      <c r="V125" s="99" t="s">
        <v>1916</v>
      </c>
      <c r="W125" s="99" t="s">
        <v>1918</v>
      </c>
      <c r="X125" s="99" t="s">
        <v>2885</v>
      </c>
      <c r="Y125" s="73" t="s">
        <v>3096</v>
      </c>
      <c r="Z125" s="73" t="s">
        <v>81</v>
      </c>
      <c r="AA125" s="99" t="s">
        <v>2885</v>
      </c>
    </row>
    <row r="126" spans="1:27" ht="17.25" customHeight="1">
      <c r="A126" s="65">
        <f>IF(priority(Main[[#This Row],[Comments]])&lt;&gt;0, priority(Main[[#This Row],[Comments]]),"")</f>
        <v>42</v>
      </c>
      <c r="B126" s="60" t="s">
        <v>3219</v>
      </c>
      <c r="C126" s="105" t="s">
        <v>3200</v>
      </c>
      <c r="D126" s="74" t="s">
        <v>3189</v>
      </c>
      <c r="E126" s="89"/>
      <c r="F126" s="89">
        <v>41153</v>
      </c>
      <c r="G126" s="65" t="str">
        <f>IF(stdProdLT(Main[[#This Row],[Comments]])=0.1,"N/A",IF(stdProdLT(Main[[#This Row],[Comments]])=0,"",TRIM(stdProdLT(Main[[#This Row],[Comments]]))))</f>
        <v>140</v>
      </c>
      <c r="H126" s="98" t="str">
        <f>IF(Main[[#This Row],[Std. Prod. Lead Time]]="N/A", "",IF(AND(Main[[#This Row],[In Stock Date]]&lt;&gt;"",Main[[#This Row],[Revised Due Date]]&lt;&gt;"",Main[[#This Row],[In Stock Date]]&lt;&gt;""),Main[[#This Row],[In Stock Date]]-Main[[#This Row],[Revised Due Date]],""))</f>
        <v/>
      </c>
      <c r="I126" s="110" t="s">
        <v>4</v>
      </c>
      <c r="J126" s="99" t="s">
        <v>4</v>
      </c>
      <c r="K126" s="99" t="s">
        <v>4</v>
      </c>
      <c r="L126" s="89"/>
      <c r="M126" s="75" t="str">
        <f>IF(Main[[#This Row],[Tech Start Date]]&lt;1/1/1990,"",IF(Main[[#This Row],[Class]]="C",WORKDAY(Main[[#This Row],[Tech Start Date]],9),IF(Main[[#This Row],[Class]]="B", WORKDAY(Main[[#This Row],[Tech Start Date]],6),IF(Main[[#This Row],[Class]]="A",WORKDAY(Main[[#This Row],[Tech Start Date]],2),""))))</f>
        <v/>
      </c>
      <c r="N126" s="75" t="str">
        <f>IF(Main[[#This Row],[Tech Start Date]]&lt;1/1/1990,"",IF(Main[[#This Row],[Class]]="C",WORKDAY(Main[[#This Row],[Tech Start Date]],19),IF(Main[[#This Row],[Class]]="B", WORKDAY(Main[[#This Row],[Tech Start Date]],12),IF(Main[[#This Row],[Class]]="A",WORKDAY(Main[[#This Row],[Tech Start Date]],4),""))))</f>
        <v/>
      </c>
      <c r="O126" s="75" t="str">
        <f>IF(Main[[#This Row],[Tech Start Date]]&lt;1/1/1990,"",IF(Main[[#This Row],[Class]]="C",WORKDAY(Main[[#This Row],[Tech Start Date]],23),IF(Main[[#This Row],[Class]]="B", WORKDAY(Main[[#This Row],[Tech Start Date]],15),IF(Main[[#This Row],[Class]]="A",WORKDAY(Main[[#This Row],[Tech Start Date]],5),""))))</f>
        <v/>
      </c>
      <c r="P126" s="75" t="str">
        <f>IF(Main[[#This Row],[Tech Start Date]]&lt;1/1/1990,"",IF(Main[[#This Row],[Class]]="C",WORKDAY(Main[[#This Row],[Tech Start Date]],28),IF(Main[[#This Row],[Class]]="B", WORKDAY(Main[[#This Row],[Tech Start Date]],19),IF(Main[[#This Row],[Class]]="A",WORKDAY(Main[[#This Row],[Tech Start Date]],9),""))))</f>
        <v/>
      </c>
      <c r="Q126" s="89">
        <v>40982</v>
      </c>
      <c r="R126" s="121"/>
      <c r="S126" s="99" t="s">
        <v>11</v>
      </c>
      <c r="T126" s="76" t="s">
        <v>3201</v>
      </c>
      <c r="U126" s="99" t="s">
        <v>12</v>
      </c>
      <c r="V126" s="99" t="s">
        <v>1923</v>
      </c>
      <c r="W126" s="99" t="s">
        <v>1919</v>
      </c>
      <c r="X126" s="99" t="s">
        <v>2842</v>
      </c>
      <c r="Y126" s="73" t="s">
        <v>4</v>
      </c>
      <c r="Z126" s="73" t="s">
        <v>4</v>
      </c>
      <c r="AA126" s="99" t="s">
        <v>2840</v>
      </c>
    </row>
    <row r="127" spans="1:27" ht="17.25" customHeight="1">
      <c r="A127" s="65">
        <f>IF(priority(Main[[#This Row],[Comments]])&lt;&gt;0, priority(Main[[#This Row],[Comments]]),"")</f>
        <v>42</v>
      </c>
      <c r="B127" s="60" t="s">
        <v>1888</v>
      </c>
      <c r="C127" s="105" t="s">
        <v>116</v>
      </c>
      <c r="D127" s="74" t="s">
        <v>2129</v>
      </c>
      <c r="E127" s="89">
        <v>40606.548784722225</v>
      </c>
      <c r="F127" s="89">
        <v>41258</v>
      </c>
      <c r="G127" s="65" t="str">
        <f>IF(stdProdLT(Main[[#This Row],[Comments]])=0.1,"N/A",IF(stdProdLT(Main[[#This Row],[Comments]])=0,"",TRIM(stdProdLT(Main[[#This Row],[Comments]]))))</f>
        <v>154</v>
      </c>
      <c r="H127" s="98">
        <f>IF(Main[[#This Row],[Std. Prod. Lead Time]]="N/A", "",IF(AND(Main[[#This Row],[In Stock Date]]&lt;&gt;"",Main[[#This Row],[Revised Due Date]]&lt;&gt;"",Main[[#This Row],[In Stock Date]]&lt;&gt;""),Main[[#This Row],[In Stock Date]]-Main[[#This Row],[Revised Due Date]],""))</f>
        <v>289</v>
      </c>
      <c r="I127" s="110" t="s">
        <v>415</v>
      </c>
      <c r="J127" s="99" t="s">
        <v>2601</v>
      </c>
      <c r="K127" s="99" t="s">
        <v>1926</v>
      </c>
      <c r="L127" s="89">
        <v>40623</v>
      </c>
      <c r="M127" s="75">
        <f>IF(Main[[#This Row],[Tech Start Date]]&lt;1/1/1990,"",IF(Main[[#This Row],[Class]]="C",WORKDAY(Main[[#This Row],[Tech Start Date]],9),IF(Main[[#This Row],[Class]]="B", WORKDAY(Main[[#This Row],[Tech Start Date]],6),IF(Main[[#This Row],[Class]]="A",WORKDAY(Main[[#This Row],[Tech Start Date]],2),""))))</f>
        <v>40634</v>
      </c>
      <c r="N127" s="75">
        <f>IF(Main[[#This Row],[Tech Start Date]]&lt;1/1/1990,"",IF(Main[[#This Row],[Class]]="C",WORKDAY(Main[[#This Row],[Tech Start Date]],19),IF(Main[[#This Row],[Class]]="B", WORKDAY(Main[[#This Row],[Tech Start Date]],12),IF(Main[[#This Row],[Class]]="A",WORKDAY(Main[[#This Row],[Tech Start Date]],4),""))))</f>
        <v>40648</v>
      </c>
      <c r="O127" s="75">
        <f>IF(Main[[#This Row],[Tech Start Date]]&lt;1/1/1990,"",IF(Main[[#This Row],[Class]]="C",WORKDAY(Main[[#This Row],[Tech Start Date]],23),IF(Main[[#This Row],[Class]]="B", WORKDAY(Main[[#This Row],[Tech Start Date]],15),IF(Main[[#This Row],[Class]]="A",WORKDAY(Main[[#This Row],[Tech Start Date]],5),""))))</f>
        <v>40654</v>
      </c>
      <c r="P127" s="75">
        <f>IF(Main[[#This Row],[Tech Start Date]]&lt;1/1/1990,"",IF(Main[[#This Row],[Class]]="C",WORKDAY(Main[[#This Row],[Tech Start Date]],28),IF(Main[[#This Row],[Class]]="B", WORKDAY(Main[[#This Row],[Tech Start Date]],19),IF(Main[[#This Row],[Class]]="A",WORKDAY(Main[[#This Row],[Tech Start Date]],9),""))))</f>
        <v>40661</v>
      </c>
      <c r="Q127" s="89">
        <v>41082</v>
      </c>
      <c r="R127" s="121">
        <v>40969</v>
      </c>
      <c r="S127" s="99" t="s">
        <v>11</v>
      </c>
      <c r="T127" s="76" t="s">
        <v>3760</v>
      </c>
      <c r="U127" s="99" t="s">
        <v>29</v>
      </c>
      <c r="V127" s="99" t="s">
        <v>1916</v>
      </c>
      <c r="W127" s="99" t="s">
        <v>1918</v>
      </c>
      <c r="X127" s="99" t="s">
        <v>2838</v>
      </c>
      <c r="Y127" s="73" t="s">
        <v>2971</v>
      </c>
      <c r="Z127" s="73" t="s">
        <v>894</v>
      </c>
      <c r="AA127" s="99" t="s">
        <v>2838</v>
      </c>
    </row>
    <row r="128" spans="1:27" ht="17.25" customHeight="1">
      <c r="A128" s="65">
        <f>IF(priority(Main[[#This Row],[Comments]])&lt;&gt;0, priority(Main[[#This Row],[Comments]]),"")</f>
        <v>42</v>
      </c>
      <c r="B128" s="60" t="s">
        <v>1885</v>
      </c>
      <c r="C128" s="105" t="s">
        <v>116</v>
      </c>
      <c r="D128" s="74" t="s">
        <v>2313</v>
      </c>
      <c r="E128" s="89">
        <v>40641.274907407409</v>
      </c>
      <c r="F128" s="89">
        <v>40714</v>
      </c>
      <c r="G128" s="65" t="str">
        <f>IF(stdProdLT(Main[[#This Row],[Comments]])=0.1,"N/A",IF(stdProdLT(Main[[#This Row],[Comments]])=0,"",TRIM(stdProdLT(Main[[#This Row],[Comments]]))))</f>
        <v/>
      </c>
      <c r="H128" s="98">
        <f>IF(Main[[#This Row],[Std. Prod. Lead Time]]="N/A", "",IF(AND(Main[[#This Row],[In Stock Date]]&lt;&gt;"",Main[[#This Row],[Revised Due Date]]&lt;&gt;"",Main[[#This Row],[In Stock Date]]&lt;&gt;""),Main[[#This Row],[In Stock Date]]-Main[[#This Row],[Revised Due Date]],""))</f>
        <v>0</v>
      </c>
      <c r="I128" s="110" t="s">
        <v>912</v>
      </c>
      <c r="J128" s="99" t="s">
        <v>21</v>
      </c>
      <c r="K128" s="99" t="s">
        <v>1926</v>
      </c>
      <c r="L128" s="89">
        <v>40679</v>
      </c>
      <c r="M128" s="75">
        <f>IF(Main[[#This Row],[Tech Start Date]]&lt;1/1/1990,"",IF(Main[[#This Row],[Class]]="C",WORKDAY(Main[[#This Row],[Tech Start Date]],9),IF(Main[[#This Row],[Class]]="B", WORKDAY(Main[[#This Row],[Tech Start Date]],6),IF(Main[[#This Row],[Class]]="A",WORKDAY(Main[[#This Row],[Tech Start Date]],2),""))))</f>
        <v>40690</v>
      </c>
      <c r="N128" s="75">
        <f>IF(Main[[#This Row],[Tech Start Date]]&lt;1/1/1990,"",IF(Main[[#This Row],[Class]]="C",WORKDAY(Main[[#This Row],[Tech Start Date]],19),IF(Main[[#This Row],[Class]]="B", WORKDAY(Main[[#This Row],[Tech Start Date]],12),IF(Main[[#This Row],[Class]]="A",WORKDAY(Main[[#This Row],[Tech Start Date]],4),""))))</f>
        <v>40704</v>
      </c>
      <c r="O128" s="75">
        <f>IF(Main[[#This Row],[Tech Start Date]]&lt;1/1/1990,"",IF(Main[[#This Row],[Class]]="C",WORKDAY(Main[[#This Row],[Tech Start Date]],23),IF(Main[[#This Row],[Class]]="B", WORKDAY(Main[[#This Row],[Tech Start Date]],15),IF(Main[[#This Row],[Class]]="A",WORKDAY(Main[[#This Row],[Tech Start Date]],5),""))))</f>
        <v>40710</v>
      </c>
      <c r="P128" s="75">
        <f>IF(Main[[#This Row],[Tech Start Date]]&lt;1/1/1990,"",IF(Main[[#This Row],[Class]]="C",WORKDAY(Main[[#This Row],[Tech Start Date]],28),IF(Main[[#This Row],[Class]]="B", WORKDAY(Main[[#This Row],[Tech Start Date]],19),IF(Main[[#This Row],[Class]]="A",WORKDAY(Main[[#This Row],[Tech Start Date]],9),""))))</f>
        <v>40717</v>
      </c>
      <c r="Q128" s="89">
        <v>40714</v>
      </c>
      <c r="R128" s="121">
        <v>40714</v>
      </c>
      <c r="S128" s="99" t="s">
        <v>6</v>
      </c>
      <c r="T128" s="76" t="s">
        <v>2032</v>
      </c>
      <c r="U128" s="99" t="s">
        <v>29</v>
      </c>
      <c r="V128" s="99" t="s">
        <v>1913</v>
      </c>
      <c r="W128" s="99" t="s">
        <v>1915</v>
      </c>
      <c r="X128" s="99" t="s">
        <v>126</v>
      </c>
      <c r="Y128" s="73" t="s">
        <v>3027</v>
      </c>
      <c r="Z128" s="73" t="s">
        <v>129</v>
      </c>
      <c r="AA128" s="99" t="s">
        <v>126</v>
      </c>
    </row>
    <row r="129" spans="1:27" ht="17.25" customHeight="1">
      <c r="A129" s="65">
        <f>IF(priority(Main[[#This Row],[Comments]])&lt;&gt;0, priority(Main[[#This Row],[Comments]]),"")</f>
        <v>42</v>
      </c>
      <c r="B129" s="60" t="s">
        <v>3188</v>
      </c>
      <c r="C129" s="105" t="s">
        <v>3200</v>
      </c>
      <c r="D129" s="74" t="s">
        <v>3189</v>
      </c>
      <c r="E129" s="89"/>
      <c r="F129" s="89">
        <v>41153</v>
      </c>
      <c r="G129" s="65" t="str">
        <f>IF(stdProdLT(Main[[#This Row],[Comments]])=0.1,"N/A",IF(stdProdLT(Main[[#This Row],[Comments]])=0,"",TRIM(stdProdLT(Main[[#This Row],[Comments]]))))</f>
        <v>140</v>
      </c>
      <c r="H129" s="98">
        <f>IF(Main[[#This Row],[Std. Prod. Lead Time]]="N/A", "",IF(AND(Main[[#This Row],[In Stock Date]]&lt;&gt;"",Main[[#This Row],[Revised Due Date]]&lt;&gt;"",Main[[#This Row],[In Stock Date]]&lt;&gt;""),Main[[#This Row],[In Stock Date]]-Main[[#This Row],[Revised Due Date]],""))</f>
        <v>194</v>
      </c>
      <c r="I129" s="110" t="s">
        <v>69</v>
      </c>
      <c r="J129" s="99" t="s">
        <v>70</v>
      </c>
      <c r="K129" s="99" t="s">
        <v>1920</v>
      </c>
      <c r="L129" s="89">
        <v>40925</v>
      </c>
      <c r="M129" s="75">
        <f>IF(Main[[#This Row],[Tech Start Date]]&lt;1/1/1990,"",IF(Main[[#This Row],[Class]]="C",WORKDAY(Main[[#This Row],[Tech Start Date]],9),IF(Main[[#This Row],[Class]]="B", WORKDAY(Main[[#This Row],[Tech Start Date]],6),IF(Main[[#This Row],[Class]]="A",WORKDAY(Main[[#This Row],[Tech Start Date]],2),""))))</f>
        <v>40933</v>
      </c>
      <c r="N129" s="75">
        <f>IF(Main[[#This Row],[Tech Start Date]]&lt;1/1/1990,"",IF(Main[[#This Row],[Class]]="C",WORKDAY(Main[[#This Row],[Tech Start Date]],19),IF(Main[[#This Row],[Class]]="B", WORKDAY(Main[[#This Row],[Tech Start Date]],12),IF(Main[[#This Row],[Class]]="A",WORKDAY(Main[[#This Row],[Tech Start Date]],4),""))))</f>
        <v>40941</v>
      </c>
      <c r="O129" s="75">
        <f>IF(Main[[#This Row],[Tech Start Date]]&lt;1/1/1990,"",IF(Main[[#This Row],[Class]]="C",WORKDAY(Main[[#This Row],[Tech Start Date]],23),IF(Main[[#This Row],[Class]]="B", WORKDAY(Main[[#This Row],[Tech Start Date]],15),IF(Main[[#This Row],[Class]]="A",WORKDAY(Main[[#This Row],[Tech Start Date]],5),""))))</f>
        <v>40946</v>
      </c>
      <c r="P129" s="75">
        <f>IF(Main[[#This Row],[Tech Start Date]]&lt;1/1/1990,"",IF(Main[[#This Row],[Class]]="C",WORKDAY(Main[[#This Row],[Tech Start Date]],28),IF(Main[[#This Row],[Class]]="B", WORKDAY(Main[[#This Row],[Tech Start Date]],19),IF(Main[[#This Row],[Class]]="A",WORKDAY(Main[[#This Row],[Tech Start Date]],9),""))))</f>
        <v>40952</v>
      </c>
      <c r="Q129" s="89">
        <v>40959</v>
      </c>
      <c r="R129" s="121">
        <v>40959</v>
      </c>
      <c r="S129" s="99" t="s">
        <v>11</v>
      </c>
      <c r="T129" s="76" t="s">
        <v>3227</v>
      </c>
      <c r="U129" s="99" t="s">
        <v>14</v>
      </c>
      <c r="V129" s="99" t="s">
        <v>1923</v>
      </c>
      <c r="W129" s="99" t="s">
        <v>1919</v>
      </c>
      <c r="X129" s="99" t="s">
        <v>2840</v>
      </c>
      <c r="Y129" s="73" t="s">
        <v>4</v>
      </c>
      <c r="Z129" s="73" t="s">
        <v>530</v>
      </c>
      <c r="AA129" s="99" t="s">
        <v>2840</v>
      </c>
    </row>
    <row r="130" spans="1:27" ht="17.25" customHeight="1">
      <c r="A130" s="65">
        <f>IF(priority(Main[[#This Row],[Comments]])&lt;&gt;0, priority(Main[[#This Row],[Comments]]),"")</f>
        <v>43</v>
      </c>
      <c r="B130" s="60" t="s">
        <v>1886</v>
      </c>
      <c r="C130" s="105" t="s">
        <v>116</v>
      </c>
      <c r="D130" s="74" t="s">
        <v>2314</v>
      </c>
      <c r="E130" s="89">
        <v>40668.56144675926</v>
      </c>
      <c r="F130" s="89">
        <v>40714</v>
      </c>
      <c r="G130" s="65" t="str">
        <f>IF(stdProdLT(Main[[#This Row],[Comments]])=0.1,"N/A",IF(stdProdLT(Main[[#This Row],[Comments]])=0,"",TRIM(stdProdLT(Main[[#This Row],[Comments]]))))</f>
        <v/>
      </c>
      <c r="H130" s="98">
        <f>IF(Main[[#This Row],[Std. Prod. Lead Time]]="N/A", "",IF(AND(Main[[#This Row],[In Stock Date]]&lt;&gt;"",Main[[#This Row],[Revised Due Date]]&lt;&gt;"",Main[[#This Row],[In Stock Date]]&lt;&gt;""),Main[[#This Row],[In Stock Date]]-Main[[#This Row],[Revised Due Date]],""))</f>
        <v>0</v>
      </c>
      <c r="I130" s="110" t="s">
        <v>912</v>
      </c>
      <c r="J130" s="99" t="s">
        <v>21</v>
      </c>
      <c r="K130" s="99" t="s">
        <v>1926</v>
      </c>
      <c r="L130" s="89">
        <v>40679</v>
      </c>
      <c r="M130" s="75">
        <f>IF(Main[[#This Row],[Tech Start Date]]&lt;1/1/1990,"",IF(Main[[#This Row],[Class]]="C",WORKDAY(Main[[#This Row],[Tech Start Date]],9),IF(Main[[#This Row],[Class]]="B", WORKDAY(Main[[#This Row],[Tech Start Date]],6),IF(Main[[#This Row],[Class]]="A",WORKDAY(Main[[#This Row],[Tech Start Date]],2),""))))</f>
        <v>40690</v>
      </c>
      <c r="N130" s="75">
        <f>IF(Main[[#This Row],[Tech Start Date]]&lt;1/1/1990,"",IF(Main[[#This Row],[Class]]="C",WORKDAY(Main[[#This Row],[Tech Start Date]],19),IF(Main[[#This Row],[Class]]="B", WORKDAY(Main[[#This Row],[Tech Start Date]],12),IF(Main[[#This Row],[Class]]="A",WORKDAY(Main[[#This Row],[Tech Start Date]],4),""))))</f>
        <v>40704</v>
      </c>
      <c r="O130" s="75">
        <f>IF(Main[[#This Row],[Tech Start Date]]&lt;1/1/1990,"",IF(Main[[#This Row],[Class]]="C",WORKDAY(Main[[#This Row],[Tech Start Date]],23),IF(Main[[#This Row],[Class]]="B", WORKDAY(Main[[#This Row],[Tech Start Date]],15),IF(Main[[#This Row],[Class]]="A",WORKDAY(Main[[#This Row],[Tech Start Date]],5),""))))</f>
        <v>40710</v>
      </c>
      <c r="P130" s="75">
        <f>IF(Main[[#This Row],[Tech Start Date]]&lt;1/1/1990,"",IF(Main[[#This Row],[Class]]="C",WORKDAY(Main[[#This Row],[Tech Start Date]],28),IF(Main[[#This Row],[Class]]="B", WORKDAY(Main[[#This Row],[Tech Start Date]],19),IF(Main[[#This Row],[Class]]="A",WORKDAY(Main[[#This Row],[Tech Start Date]],9),""))))</f>
        <v>40717</v>
      </c>
      <c r="Q130" s="89">
        <v>40714</v>
      </c>
      <c r="R130" s="121">
        <v>40714</v>
      </c>
      <c r="S130" s="99" t="s">
        <v>6</v>
      </c>
      <c r="T130" s="76" t="s">
        <v>2497</v>
      </c>
      <c r="U130" s="99" t="s">
        <v>29</v>
      </c>
      <c r="V130" s="99" t="s">
        <v>1913</v>
      </c>
      <c r="W130" s="99" t="s">
        <v>1915</v>
      </c>
      <c r="X130" s="99" t="s">
        <v>126</v>
      </c>
      <c r="Y130" s="73" t="s">
        <v>3027</v>
      </c>
      <c r="Z130" s="73" t="s">
        <v>129</v>
      </c>
      <c r="AA130" s="99" t="s">
        <v>126</v>
      </c>
    </row>
    <row r="131" spans="1:27" ht="17.25" customHeight="1">
      <c r="A131" s="65">
        <f>IF(priority(Main[[#This Row],[Comments]])&lt;&gt;0, priority(Main[[#This Row],[Comments]]),"")</f>
        <v>43</v>
      </c>
      <c r="B131" s="60" t="s">
        <v>2631</v>
      </c>
      <c r="C131" s="105" t="s">
        <v>2632</v>
      </c>
      <c r="D131" s="74" t="s">
        <v>2633</v>
      </c>
      <c r="E131" s="89">
        <v>40848.70516203704</v>
      </c>
      <c r="F131" s="89">
        <v>40969</v>
      </c>
      <c r="G131" s="65" t="str">
        <f>IF(stdProdLT(Main[[#This Row],[Comments]])=0.1,"N/A",IF(stdProdLT(Main[[#This Row],[Comments]])=0,"",TRIM(stdProdLT(Main[[#This Row],[Comments]]))))</f>
        <v>N/A</v>
      </c>
      <c r="H131" s="98" t="str">
        <f>IF(Main[[#This Row],[Std. Prod. Lead Time]]="N/A", "",IF(AND(Main[[#This Row],[In Stock Date]]&lt;&gt;"",Main[[#This Row],[Revised Due Date]]&lt;&gt;"",Main[[#This Row],[In Stock Date]]&lt;&gt;""),Main[[#This Row],[In Stock Date]]-Main[[#This Row],[Revised Due Date]],""))</f>
        <v/>
      </c>
      <c r="I131" s="110" t="s">
        <v>69</v>
      </c>
      <c r="J131" s="99" t="s">
        <v>28</v>
      </c>
      <c r="K131" s="99" t="s">
        <v>1922</v>
      </c>
      <c r="L131" s="89">
        <v>40849</v>
      </c>
      <c r="M131" s="75">
        <f>IF(Main[[#This Row],[Tech Start Date]]&lt;1/1/1990,"",IF(Main[[#This Row],[Class]]="C",WORKDAY(Main[[#This Row],[Tech Start Date]],9),IF(Main[[#This Row],[Class]]="B", WORKDAY(Main[[#This Row],[Tech Start Date]],6),IF(Main[[#This Row],[Class]]="A",WORKDAY(Main[[#This Row],[Tech Start Date]],2),""))))</f>
        <v>40851</v>
      </c>
      <c r="N131" s="75">
        <f>IF(Main[[#This Row],[Tech Start Date]]&lt;1/1/1990,"",IF(Main[[#This Row],[Class]]="C",WORKDAY(Main[[#This Row],[Tech Start Date]],19),IF(Main[[#This Row],[Class]]="B", WORKDAY(Main[[#This Row],[Tech Start Date]],12),IF(Main[[#This Row],[Class]]="A",WORKDAY(Main[[#This Row],[Tech Start Date]],4),""))))</f>
        <v>40855</v>
      </c>
      <c r="O131" s="75">
        <f>IF(Main[[#This Row],[Tech Start Date]]&lt;1/1/1990,"",IF(Main[[#This Row],[Class]]="C",WORKDAY(Main[[#This Row],[Tech Start Date]],23),IF(Main[[#This Row],[Class]]="B", WORKDAY(Main[[#This Row],[Tech Start Date]],15),IF(Main[[#This Row],[Class]]="A",WORKDAY(Main[[#This Row],[Tech Start Date]],5),""))))</f>
        <v>40856</v>
      </c>
      <c r="P131" s="75">
        <f>IF(Main[[#This Row],[Tech Start Date]]&lt;1/1/1990,"",IF(Main[[#This Row],[Class]]="C",WORKDAY(Main[[#This Row],[Tech Start Date]],28),IF(Main[[#This Row],[Class]]="B", WORKDAY(Main[[#This Row],[Tech Start Date]],19),IF(Main[[#This Row],[Class]]="A",WORKDAY(Main[[#This Row],[Tech Start Date]],9),""))))</f>
        <v>40862</v>
      </c>
      <c r="Q131" s="89"/>
      <c r="R131" s="121">
        <v>40974</v>
      </c>
      <c r="S131" s="99" t="s">
        <v>11</v>
      </c>
      <c r="T131" s="76" t="s">
        <v>3776</v>
      </c>
      <c r="U131" s="99" t="s">
        <v>29</v>
      </c>
      <c r="V131" s="99" t="s">
        <v>1923</v>
      </c>
      <c r="W131" s="99" t="s">
        <v>1917</v>
      </c>
      <c r="X131" s="99" t="s">
        <v>2835</v>
      </c>
      <c r="Y131" s="73" t="s">
        <v>2965</v>
      </c>
      <c r="Z131" s="73" t="s">
        <v>2859</v>
      </c>
      <c r="AA131" s="99" t="s">
        <v>2835</v>
      </c>
    </row>
    <row r="132" spans="1:27" ht="17.25" customHeight="1">
      <c r="A132" s="65">
        <f>IF(priority(Main[[#This Row],[Comments]])&lt;&gt;0, priority(Main[[#This Row],[Comments]]),"")</f>
        <v>46</v>
      </c>
      <c r="B132" s="60" t="s">
        <v>2524</v>
      </c>
      <c r="C132" s="105" t="s">
        <v>2004</v>
      </c>
      <c r="D132" s="74" t="s">
        <v>2525</v>
      </c>
      <c r="E132" s="89"/>
      <c r="F132" s="89"/>
      <c r="G132" s="65" t="str">
        <f>IF(stdProdLT(Main[[#This Row],[Comments]])=0.1,"N/A",IF(stdProdLT(Main[[#This Row],[Comments]])=0,"",TRIM(stdProdLT(Main[[#This Row],[Comments]]))))</f>
        <v>168</v>
      </c>
      <c r="H132" s="98" t="str">
        <f>IF(Main[[#This Row],[Std. Prod. Lead Time]]="N/A", "",IF(AND(Main[[#This Row],[In Stock Date]]&lt;&gt;"",Main[[#This Row],[Revised Due Date]]&lt;&gt;"",Main[[#This Row],[In Stock Date]]&lt;&gt;""),Main[[#This Row],[In Stock Date]]-Main[[#This Row],[Revised Due Date]],""))</f>
        <v/>
      </c>
      <c r="I132" s="110" t="s">
        <v>4</v>
      </c>
      <c r="J132" s="99" t="s">
        <v>4</v>
      </c>
      <c r="K132" s="100" t="s">
        <v>4</v>
      </c>
      <c r="L132" s="89"/>
      <c r="M132" s="75" t="str">
        <f>IF(Main[[#This Row],[Tech Start Date]]&lt;1/1/1990,"",IF(Main[[#This Row],[Class]]="C",WORKDAY(Main[[#This Row],[Tech Start Date]],9),IF(Main[[#This Row],[Class]]="B", WORKDAY(Main[[#This Row],[Tech Start Date]],6),IF(Main[[#This Row],[Class]]="A",WORKDAY(Main[[#This Row],[Tech Start Date]],2),""))))</f>
        <v/>
      </c>
      <c r="N132" s="75" t="str">
        <f>IF(Main[[#This Row],[Tech Start Date]]&lt;1/1/1990,"",IF(Main[[#This Row],[Class]]="C",WORKDAY(Main[[#This Row],[Tech Start Date]],19),IF(Main[[#This Row],[Class]]="B", WORKDAY(Main[[#This Row],[Tech Start Date]],12),IF(Main[[#This Row],[Class]]="A",WORKDAY(Main[[#This Row],[Tech Start Date]],4),""))))</f>
        <v/>
      </c>
      <c r="O132" s="75" t="str">
        <f>IF(Main[[#This Row],[Tech Start Date]]&lt;1/1/1990,"",IF(Main[[#This Row],[Class]]="C",WORKDAY(Main[[#This Row],[Tech Start Date]],23),IF(Main[[#This Row],[Class]]="B", WORKDAY(Main[[#This Row],[Tech Start Date]],15),IF(Main[[#This Row],[Class]]="A",WORKDAY(Main[[#This Row],[Tech Start Date]],5),""))))</f>
        <v/>
      </c>
      <c r="P132" s="75" t="str">
        <f>IF(Main[[#This Row],[Tech Start Date]]&lt;1/1/1990,"",IF(Main[[#This Row],[Class]]="C",WORKDAY(Main[[#This Row],[Tech Start Date]],28),IF(Main[[#This Row],[Class]]="B", WORKDAY(Main[[#This Row],[Tech Start Date]],19),IF(Main[[#This Row],[Class]]="A",WORKDAY(Main[[#This Row],[Tech Start Date]],9),""))))</f>
        <v/>
      </c>
      <c r="Q132" s="89">
        <v>40874</v>
      </c>
      <c r="R132" s="121"/>
      <c r="S132" s="99" t="s">
        <v>11</v>
      </c>
      <c r="T132" s="76" t="s">
        <v>2526</v>
      </c>
      <c r="U132" s="99" t="s">
        <v>14</v>
      </c>
      <c r="V132" s="99" t="s">
        <v>1916</v>
      </c>
      <c r="W132" s="99" t="s">
        <v>1915</v>
      </c>
      <c r="X132" s="99" t="s">
        <v>2848</v>
      </c>
      <c r="Y132" s="73" t="s">
        <v>4</v>
      </c>
      <c r="Z132" s="73" t="s">
        <v>4</v>
      </c>
      <c r="AA132" s="99" t="s">
        <v>2848</v>
      </c>
    </row>
    <row r="133" spans="1:27" ht="17.25" customHeight="1">
      <c r="A133" s="65">
        <f>IF(priority(Main[[#This Row],[Comments]])&lt;&gt;0, priority(Main[[#This Row],[Comments]]),"")</f>
        <v>99</v>
      </c>
      <c r="B133" s="60" t="s">
        <v>3176</v>
      </c>
      <c r="C133" s="105" t="s">
        <v>3847</v>
      </c>
      <c r="D133" s="74" t="s">
        <v>3789</v>
      </c>
      <c r="E133" s="89">
        <v>40920.303043981483</v>
      </c>
      <c r="F133" s="89">
        <v>41153</v>
      </c>
      <c r="G133" s="65" t="str">
        <f>IF(stdProdLT(Main[[#This Row],[Comments]])=0.1,"N/A",IF(stdProdLT(Main[[#This Row],[Comments]])=0,"",TRIM(stdProdLT(Main[[#This Row],[Comments]]))))</f>
        <v>168</v>
      </c>
      <c r="H133" s="98">
        <f>IF(Main[[#This Row],[Std. Prod. Lead Time]]="N/A", "",IF(AND(Main[[#This Row],[In Stock Date]]&lt;&gt;"",Main[[#This Row],[Revised Due Date]]&lt;&gt;"",Main[[#This Row],[In Stock Date]]&lt;&gt;""),Main[[#This Row],[In Stock Date]]-Main[[#This Row],[Revised Due Date]],""))</f>
        <v>183</v>
      </c>
      <c r="I133" s="110" t="s">
        <v>765</v>
      </c>
      <c r="J133" s="99" t="s">
        <v>52</v>
      </c>
      <c r="K133" s="99" t="s">
        <v>1926</v>
      </c>
      <c r="L133" s="89">
        <v>40925</v>
      </c>
      <c r="M133" s="75">
        <f>IF(Main[[#This Row],[Tech Start Date]]&lt;1/1/1990,"",IF(Main[[#This Row],[Class]]="C",WORKDAY(Main[[#This Row],[Tech Start Date]],9),IF(Main[[#This Row],[Class]]="B", WORKDAY(Main[[#This Row],[Tech Start Date]],6),IF(Main[[#This Row],[Class]]="A",WORKDAY(Main[[#This Row],[Tech Start Date]],2),""))))</f>
        <v>40938</v>
      </c>
      <c r="N133" s="75">
        <f>IF(Main[[#This Row],[Tech Start Date]]&lt;1/1/1990,"",IF(Main[[#This Row],[Class]]="C",WORKDAY(Main[[#This Row],[Tech Start Date]],19),IF(Main[[#This Row],[Class]]="B", WORKDAY(Main[[#This Row],[Tech Start Date]],12),IF(Main[[#This Row],[Class]]="A",WORKDAY(Main[[#This Row],[Tech Start Date]],4),""))))</f>
        <v>40952</v>
      </c>
      <c r="O133" s="75">
        <f>IF(Main[[#This Row],[Tech Start Date]]&lt;1/1/1990,"",IF(Main[[#This Row],[Class]]="C",WORKDAY(Main[[#This Row],[Tech Start Date]],23),IF(Main[[#This Row],[Class]]="B", WORKDAY(Main[[#This Row],[Tech Start Date]],15),IF(Main[[#This Row],[Class]]="A",WORKDAY(Main[[#This Row],[Tech Start Date]],5),""))))</f>
        <v>40956</v>
      </c>
      <c r="P133" s="75">
        <f>IF(Main[[#This Row],[Tech Start Date]]&lt;1/1/1990,"",IF(Main[[#This Row],[Class]]="C",WORKDAY(Main[[#This Row],[Tech Start Date]],28),IF(Main[[#This Row],[Class]]="B", WORKDAY(Main[[#This Row],[Tech Start Date]],19),IF(Main[[#This Row],[Class]]="A",WORKDAY(Main[[#This Row],[Tech Start Date]],9),""))))</f>
        <v>40963</v>
      </c>
      <c r="Q133" s="89">
        <v>40984</v>
      </c>
      <c r="R133" s="121">
        <v>40970</v>
      </c>
      <c r="S133" s="99" t="s">
        <v>11</v>
      </c>
      <c r="T133" s="76" t="s">
        <v>3934</v>
      </c>
      <c r="U133" s="99" t="s">
        <v>29</v>
      </c>
      <c r="V133" s="99" t="s">
        <v>1916</v>
      </c>
      <c r="W133" s="99" t="s">
        <v>1924</v>
      </c>
      <c r="X133" s="99" t="s">
        <v>2840</v>
      </c>
      <c r="Y133" s="73" t="s">
        <v>4</v>
      </c>
      <c r="Z133" s="73" t="s">
        <v>530</v>
      </c>
      <c r="AA133" s="99" t="s">
        <v>2840</v>
      </c>
    </row>
    <row r="134" spans="1:27" ht="17.25" customHeight="1">
      <c r="A134" s="65" t="str">
        <f>IF(priority(Main[[#This Row],[Comments]])&lt;&gt;0, priority(Main[[#This Row],[Comments]]),"")</f>
        <v/>
      </c>
      <c r="B134" s="60" t="s">
        <v>1039</v>
      </c>
      <c r="C134" s="105" t="s">
        <v>4</v>
      </c>
      <c r="D134" s="74" t="s">
        <v>62</v>
      </c>
      <c r="E134" s="89"/>
      <c r="F134" s="89"/>
      <c r="G134" s="65" t="str">
        <f>IF(stdProdLT(Main[[#This Row],[Comments]])=0.1,"N/A",IF(stdProdLT(Main[[#This Row],[Comments]])=0,"",TRIM(stdProdLT(Main[[#This Row],[Comments]]))))</f>
        <v/>
      </c>
      <c r="H134" s="98" t="str">
        <f>IF(Main[[#This Row],[Std. Prod. Lead Time]]="N/A", "",IF(AND(Main[[#This Row],[In Stock Date]]&lt;&gt;"",Main[[#This Row],[Revised Due Date]]&lt;&gt;"",Main[[#This Row],[In Stock Date]]&lt;&gt;""),Main[[#This Row],[In Stock Date]]-Main[[#This Row],[Revised Due Date]],""))</f>
        <v/>
      </c>
      <c r="I134" s="110" t="s">
        <v>44</v>
      </c>
      <c r="J134" s="99" t="s">
        <v>28</v>
      </c>
      <c r="K134" s="99" t="s">
        <v>1922</v>
      </c>
      <c r="L134" s="89"/>
      <c r="M134" s="75" t="str">
        <f>IF(Main[[#This Row],[Tech Start Date]]&lt;1/1/1990,"",IF(Main[[#This Row],[Class]]="C",WORKDAY(Main[[#This Row],[Tech Start Date]],9),IF(Main[[#This Row],[Class]]="B", WORKDAY(Main[[#This Row],[Tech Start Date]],6),IF(Main[[#This Row],[Class]]="A",WORKDAY(Main[[#This Row],[Tech Start Date]],2),""))))</f>
        <v/>
      </c>
      <c r="N134" s="75" t="str">
        <f>IF(Main[[#This Row],[Tech Start Date]]&lt;1/1/1990,"",IF(Main[[#This Row],[Class]]="C",WORKDAY(Main[[#This Row],[Tech Start Date]],19),IF(Main[[#This Row],[Class]]="B", WORKDAY(Main[[#This Row],[Tech Start Date]],12),IF(Main[[#This Row],[Class]]="A",WORKDAY(Main[[#This Row],[Tech Start Date]],4),""))))</f>
        <v/>
      </c>
      <c r="O134" s="75" t="str">
        <f>IF(Main[[#This Row],[Tech Start Date]]&lt;1/1/1990,"",IF(Main[[#This Row],[Class]]="C",WORKDAY(Main[[#This Row],[Tech Start Date]],23),IF(Main[[#This Row],[Class]]="B", WORKDAY(Main[[#This Row],[Tech Start Date]],15),IF(Main[[#This Row],[Class]]="A",WORKDAY(Main[[#This Row],[Tech Start Date]],5),""))))</f>
        <v/>
      </c>
      <c r="P134" s="75" t="str">
        <f>IF(Main[[#This Row],[Tech Start Date]]&lt;1/1/1990,"",IF(Main[[#This Row],[Class]]="C",WORKDAY(Main[[#This Row],[Tech Start Date]],28),IF(Main[[#This Row],[Class]]="B", WORKDAY(Main[[#This Row],[Tech Start Date]],19),IF(Main[[#This Row],[Class]]="A",WORKDAY(Main[[#This Row],[Tech Start Date]],9),""))))</f>
        <v/>
      </c>
      <c r="Q134" s="89"/>
      <c r="R134" s="121"/>
      <c r="S134" s="99" t="s">
        <v>23</v>
      </c>
      <c r="T134" s="76" t="s">
        <v>4</v>
      </c>
      <c r="U134" s="99" t="s">
        <v>14</v>
      </c>
      <c r="V134" s="99" t="s">
        <v>1916</v>
      </c>
      <c r="W134" s="99" t="s">
        <v>1915</v>
      </c>
      <c r="X134" s="99" t="s">
        <v>102</v>
      </c>
      <c r="Y134" s="73" t="s">
        <v>4</v>
      </c>
      <c r="Z134" s="73" t="s">
        <v>44</v>
      </c>
      <c r="AA134" s="99" t="s">
        <v>3372</v>
      </c>
    </row>
    <row r="135" spans="1:27" ht="17.25" customHeight="1">
      <c r="A135" s="65" t="str">
        <f>IF(priority(Main[[#This Row],[Comments]])&lt;&gt;0, priority(Main[[#This Row],[Comments]]),"")</f>
        <v/>
      </c>
      <c r="B135" s="60" t="s">
        <v>1040</v>
      </c>
      <c r="C135" s="105" t="s">
        <v>63</v>
      </c>
      <c r="D135" s="74" t="s">
        <v>64</v>
      </c>
      <c r="E135" s="89"/>
      <c r="F135" s="89">
        <v>40513</v>
      </c>
      <c r="G135" s="65" t="str">
        <f>IF(stdProdLT(Main[[#This Row],[Comments]])=0.1,"N/A",IF(stdProdLT(Main[[#This Row],[Comments]])=0,"",TRIM(stdProdLT(Main[[#This Row],[Comments]]))))</f>
        <v/>
      </c>
      <c r="H135" s="98" t="str">
        <f>IF(Main[[#This Row],[Std. Prod. Lead Time]]="N/A", "",IF(AND(Main[[#This Row],[In Stock Date]]&lt;&gt;"",Main[[#This Row],[Revised Due Date]]&lt;&gt;"",Main[[#This Row],[In Stock Date]]&lt;&gt;""),Main[[#This Row],[In Stock Date]]-Main[[#This Row],[Revised Due Date]],""))</f>
        <v/>
      </c>
      <c r="I135" s="110" t="s">
        <v>65</v>
      </c>
      <c r="J135" s="99" t="s">
        <v>28</v>
      </c>
      <c r="K135" s="99" t="s">
        <v>4</v>
      </c>
      <c r="L135" s="89"/>
      <c r="M135" s="75" t="str">
        <f>IF(Main[[#This Row],[Tech Start Date]]&lt;1/1/1990,"",IF(Main[[#This Row],[Class]]="C",WORKDAY(Main[[#This Row],[Tech Start Date]],9),IF(Main[[#This Row],[Class]]="B", WORKDAY(Main[[#This Row],[Tech Start Date]],6),IF(Main[[#This Row],[Class]]="A",WORKDAY(Main[[#This Row],[Tech Start Date]],2),""))))</f>
        <v/>
      </c>
      <c r="N135" s="75" t="str">
        <f>IF(Main[[#This Row],[Tech Start Date]]&lt;1/1/1990,"",IF(Main[[#This Row],[Class]]="C",WORKDAY(Main[[#This Row],[Tech Start Date]],19),IF(Main[[#This Row],[Class]]="B", WORKDAY(Main[[#This Row],[Tech Start Date]],12),IF(Main[[#This Row],[Class]]="A",WORKDAY(Main[[#This Row],[Tech Start Date]],4),""))))</f>
        <v/>
      </c>
      <c r="O135" s="75" t="str">
        <f>IF(Main[[#This Row],[Tech Start Date]]&lt;1/1/1990,"",IF(Main[[#This Row],[Class]]="C",WORKDAY(Main[[#This Row],[Tech Start Date]],23),IF(Main[[#This Row],[Class]]="B", WORKDAY(Main[[#This Row],[Tech Start Date]],15),IF(Main[[#This Row],[Class]]="A",WORKDAY(Main[[#This Row],[Tech Start Date]],5),""))))</f>
        <v/>
      </c>
      <c r="P135" s="75" t="str">
        <f>IF(Main[[#This Row],[Tech Start Date]]&lt;1/1/1990,"",IF(Main[[#This Row],[Class]]="C",WORKDAY(Main[[#This Row],[Tech Start Date]],28),IF(Main[[#This Row],[Class]]="B", WORKDAY(Main[[#This Row],[Tech Start Date]],19),IF(Main[[#This Row],[Class]]="A",WORKDAY(Main[[#This Row],[Tech Start Date]],9),""))))</f>
        <v/>
      </c>
      <c r="Q135" s="89">
        <v>40513</v>
      </c>
      <c r="R135" s="121"/>
      <c r="S135" s="99" t="s">
        <v>11</v>
      </c>
      <c r="T135" s="76" t="s">
        <v>4</v>
      </c>
      <c r="U135" s="99" t="s">
        <v>14</v>
      </c>
      <c r="V135" s="99" t="s">
        <v>1916</v>
      </c>
      <c r="W135" s="99" t="s">
        <v>1918</v>
      </c>
      <c r="X135" s="99" t="s">
        <v>2809</v>
      </c>
      <c r="Y135" s="73" t="s">
        <v>2921</v>
      </c>
      <c r="Z135" s="73" t="s">
        <v>530</v>
      </c>
      <c r="AA135" s="99" t="s">
        <v>2809</v>
      </c>
    </row>
    <row r="136" spans="1:27" ht="17.25" customHeight="1">
      <c r="A136" s="65" t="str">
        <f>IF(priority(Main[[#This Row],[Comments]])&lt;&gt;0, priority(Main[[#This Row],[Comments]]),"")</f>
        <v/>
      </c>
      <c r="B136" s="60" t="s">
        <v>2045</v>
      </c>
      <c r="C136" s="105" t="s">
        <v>692</v>
      </c>
      <c r="D136" s="74" t="s">
        <v>2046</v>
      </c>
      <c r="E136" s="89"/>
      <c r="F136" s="89"/>
      <c r="G136" s="65" t="str">
        <f>IF(stdProdLT(Main[[#This Row],[Comments]])=0.1,"N/A",IF(stdProdLT(Main[[#This Row],[Comments]])=0,"",TRIM(stdProdLT(Main[[#This Row],[Comments]]))))</f>
        <v/>
      </c>
      <c r="H136" s="98" t="str">
        <f>IF(Main[[#This Row],[Std. Prod. Lead Time]]="N/A", "",IF(AND(Main[[#This Row],[In Stock Date]]&lt;&gt;"",Main[[#This Row],[Revised Due Date]]&lt;&gt;"",Main[[#This Row],[In Stock Date]]&lt;&gt;""),Main[[#This Row],[In Stock Date]]-Main[[#This Row],[Revised Due Date]],""))</f>
        <v/>
      </c>
      <c r="I136" s="110" t="s">
        <v>4</v>
      </c>
      <c r="J136" s="99" t="s">
        <v>4</v>
      </c>
      <c r="K136" s="99" t="s">
        <v>4</v>
      </c>
      <c r="L136" s="89"/>
      <c r="M136" s="75" t="str">
        <f>IF(Main[[#This Row],[Tech Start Date]]&lt;1/1/1990,"",IF(Main[[#This Row],[Class]]="C",WORKDAY(Main[[#This Row],[Tech Start Date]],9),IF(Main[[#This Row],[Class]]="B", WORKDAY(Main[[#This Row],[Tech Start Date]],6),IF(Main[[#This Row],[Class]]="A",WORKDAY(Main[[#This Row],[Tech Start Date]],2),""))))</f>
        <v/>
      </c>
      <c r="N136" s="75" t="str">
        <f>IF(Main[[#This Row],[Tech Start Date]]&lt;1/1/1990,"",IF(Main[[#This Row],[Class]]="C",WORKDAY(Main[[#This Row],[Tech Start Date]],19),IF(Main[[#This Row],[Class]]="B", WORKDAY(Main[[#This Row],[Tech Start Date]],12),IF(Main[[#This Row],[Class]]="A",WORKDAY(Main[[#This Row],[Tech Start Date]],4),""))))</f>
        <v/>
      </c>
      <c r="O136" s="75" t="str">
        <f>IF(Main[[#This Row],[Tech Start Date]]&lt;1/1/1990,"",IF(Main[[#This Row],[Class]]="C",WORKDAY(Main[[#This Row],[Tech Start Date]],23),IF(Main[[#This Row],[Class]]="B", WORKDAY(Main[[#This Row],[Tech Start Date]],15),IF(Main[[#This Row],[Class]]="A",WORKDAY(Main[[#This Row],[Tech Start Date]],5),""))))</f>
        <v/>
      </c>
      <c r="P136" s="75" t="str">
        <f>IF(Main[[#This Row],[Tech Start Date]]&lt;1/1/1990,"",IF(Main[[#This Row],[Class]]="C",WORKDAY(Main[[#This Row],[Tech Start Date]],28),IF(Main[[#This Row],[Class]]="B", WORKDAY(Main[[#This Row],[Tech Start Date]],19),IF(Main[[#This Row],[Class]]="A",WORKDAY(Main[[#This Row],[Tech Start Date]],9),""))))</f>
        <v/>
      </c>
      <c r="Q136" s="89">
        <v>40760</v>
      </c>
      <c r="R136" s="121"/>
      <c r="S136" s="99" t="s">
        <v>11</v>
      </c>
      <c r="T136" s="76" t="s">
        <v>4</v>
      </c>
      <c r="U136" s="99" t="s">
        <v>14</v>
      </c>
      <c r="V136" s="99" t="s">
        <v>1914</v>
      </c>
      <c r="W136" s="99" t="s">
        <v>1915</v>
      </c>
      <c r="X136" s="99" t="s">
        <v>2810</v>
      </c>
      <c r="Y136" s="73" t="s">
        <v>4</v>
      </c>
      <c r="Z136" s="73" t="s">
        <v>4</v>
      </c>
      <c r="AA136" s="99" t="s">
        <v>2810</v>
      </c>
    </row>
    <row r="137" spans="1:27" ht="17.25" customHeight="1">
      <c r="A137" s="65" t="str">
        <f>IF(priority(Main[[#This Row],[Comments]])&lt;&gt;0, priority(Main[[#This Row],[Comments]]),"")</f>
        <v/>
      </c>
      <c r="B137" s="60" t="s">
        <v>1031</v>
      </c>
      <c r="C137" s="105" t="s">
        <v>53</v>
      </c>
      <c r="D137" s="74" t="s">
        <v>54</v>
      </c>
      <c r="E137" s="89"/>
      <c r="F137" s="89"/>
      <c r="G137" s="65" t="str">
        <f>IF(stdProdLT(Main[[#This Row],[Comments]])=0.1,"N/A",IF(stdProdLT(Main[[#This Row],[Comments]])=0,"",TRIM(stdProdLT(Main[[#This Row],[Comments]]))))</f>
        <v/>
      </c>
      <c r="H137" s="98" t="str">
        <f>IF(Main[[#This Row],[Std. Prod. Lead Time]]="N/A", "",IF(AND(Main[[#This Row],[In Stock Date]]&lt;&gt;"",Main[[#This Row],[Revised Due Date]]&lt;&gt;"",Main[[#This Row],[In Stock Date]]&lt;&gt;""),Main[[#This Row],[In Stock Date]]-Main[[#This Row],[Revised Due Date]],""))</f>
        <v/>
      </c>
      <c r="I137" s="110" t="s">
        <v>4</v>
      </c>
      <c r="J137" s="99" t="s">
        <v>28</v>
      </c>
      <c r="K137" s="99" t="s">
        <v>1926</v>
      </c>
      <c r="L137" s="89"/>
      <c r="M137" s="75" t="str">
        <f>IF(Main[[#This Row],[Tech Start Date]]&lt;1/1/1990,"",IF(Main[[#This Row],[Class]]="C",WORKDAY(Main[[#This Row],[Tech Start Date]],9),IF(Main[[#This Row],[Class]]="B", WORKDAY(Main[[#This Row],[Tech Start Date]],6),IF(Main[[#This Row],[Class]]="A",WORKDAY(Main[[#This Row],[Tech Start Date]],2),""))))</f>
        <v/>
      </c>
      <c r="N137" s="75" t="str">
        <f>IF(Main[[#This Row],[Tech Start Date]]&lt;1/1/1990,"",IF(Main[[#This Row],[Class]]="C",WORKDAY(Main[[#This Row],[Tech Start Date]],19),IF(Main[[#This Row],[Class]]="B", WORKDAY(Main[[#This Row],[Tech Start Date]],12),IF(Main[[#This Row],[Class]]="A",WORKDAY(Main[[#This Row],[Tech Start Date]],4),""))))</f>
        <v/>
      </c>
      <c r="O137" s="75" t="str">
        <f>IF(Main[[#This Row],[Tech Start Date]]&lt;1/1/1990,"",IF(Main[[#This Row],[Class]]="C",WORKDAY(Main[[#This Row],[Tech Start Date]],23),IF(Main[[#This Row],[Class]]="B", WORKDAY(Main[[#This Row],[Tech Start Date]],15),IF(Main[[#This Row],[Class]]="A",WORKDAY(Main[[#This Row],[Tech Start Date]],5),""))))</f>
        <v/>
      </c>
      <c r="P137" s="75" t="str">
        <f>IF(Main[[#This Row],[Tech Start Date]]&lt;1/1/1990,"",IF(Main[[#This Row],[Class]]="C",WORKDAY(Main[[#This Row],[Tech Start Date]],28),IF(Main[[#This Row],[Class]]="B", WORKDAY(Main[[#This Row],[Tech Start Date]],19),IF(Main[[#This Row],[Class]]="A",WORKDAY(Main[[#This Row],[Tech Start Date]],9),""))))</f>
        <v/>
      </c>
      <c r="Q137" s="89">
        <v>40626</v>
      </c>
      <c r="R137" s="121"/>
      <c r="S137" s="99" t="s">
        <v>11</v>
      </c>
      <c r="T137" s="76" t="s">
        <v>4</v>
      </c>
      <c r="U137" s="99" t="s">
        <v>14</v>
      </c>
      <c r="V137" s="99" t="s">
        <v>1914</v>
      </c>
      <c r="W137" s="99" t="s">
        <v>1915</v>
      </c>
      <c r="X137" s="99" t="s">
        <v>2810</v>
      </c>
      <c r="Y137" s="73" t="s">
        <v>2922</v>
      </c>
      <c r="Z137" s="73" t="s">
        <v>3153</v>
      </c>
      <c r="AA137" s="99" t="s">
        <v>2810</v>
      </c>
    </row>
    <row r="138" spans="1:27" ht="17.25" customHeight="1">
      <c r="A138" s="65" t="str">
        <f>IF(priority(Main[[#This Row],[Comments]])&lt;&gt;0, priority(Main[[#This Row],[Comments]]),"")</f>
        <v/>
      </c>
      <c r="B138" s="60" t="s">
        <v>1032</v>
      </c>
      <c r="C138" s="105" t="s">
        <v>4</v>
      </c>
      <c r="D138" s="74" t="s">
        <v>55</v>
      </c>
      <c r="E138" s="89"/>
      <c r="F138" s="89"/>
      <c r="G138" s="65" t="str">
        <f>IF(stdProdLT(Main[[#This Row],[Comments]])=0.1,"N/A",IF(stdProdLT(Main[[#This Row],[Comments]])=0,"",TRIM(stdProdLT(Main[[#This Row],[Comments]]))))</f>
        <v/>
      </c>
      <c r="H138" s="98" t="str">
        <f>IF(Main[[#This Row],[Std. Prod. Lead Time]]="N/A", "",IF(AND(Main[[#This Row],[In Stock Date]]&lt;&gt;"",Main[[#This Row],[Revised Due Date]]&lt;&gt;"",Main[[#This Row],[In Stock Date]]&lt;&gt;""),Main[[#This Row],[In Stock Date]]-Main[[#This Row],[Revised Due Date]],""))</f>
        <v/>
      </c>
      <c r="I138" s="110" t="s">
        <v>4</v>
      </c>
      <c r="J138" s="99" t="s">
        <v>4</v>
      </c>
      <c r="K138" s="99" t="s">
        <v>4</v>
      </c>
      <c r="L138" s="89"/>
      <c r="M138" s="75" t="str">
        <f>IF(Main[[#This Row],[Tech Start Date]]&lt;1/1/1990,"",IF(Main[[#This Row],[Class]]="C",WORKDAY(Main[[#This Row],[Tech Start Date]],9),IF(Main[[#This Row],[Class]]="B", WORKDAY(Main[[#This Row],[Tech Start Date]],6),IF(Main[[#This Row],[Class]]="A",WORKDAY(Main[[#This Row],[Tech Start Date]],2),""))))</f>
        <v/>
      </c>
      <c r="N138" s="75" t="str">
        <f>IF(Main[[#This Row],[Tech Start Date]]&lt;1/1/1990,"",IF(Main[[#This Row],[Class]]="C",WORKDAY(Main[[#This Row],[Tech Start Date]],19),IF(Main[[#This Row],[Class]]="B", WORKDAY(Main[[#This Row],[Tech Start Date]],12),IF(Main[[#This Row],[Class]]="A",WORKDAY(Main[[#This Row],[Tech Start Date]],4),""))))</f>
        <v/>
      </c>
      <c r="O138" s="75" t="str">
        <f>IF(Main[[#This Row],[Tech Start Date]]&lt;1/1/1990,"",IF(Main[[#This Row],[Class]]="C",WORKDAY(Main[[#This Row],[Tech Start Date]],23),IF(Main[[#This Row],[Class]]="B", WORKDAY(Main[[#This Row],[Tech Start Date]],15),IF(Main[[#This Row],[Class]]="A",WORKDAY(Main[[#This Row],[Tech Start Date]],5),""))))</f>
        <v/>
      </c>
      <c r="P138" s="75" t="str">
        <f>IF(Main[[#This Row],[Tech Start Date]]&lt;1/1/1990,"",IF(Main[[#This Row],[Class]]="C",WORKDAY(Main[[#This Row],[Tech Start Date]],28),IF(Main[[#This Row],[Class]]="B", WORKDAY(Main[[#This Row],[Tech Start Date]],19),IF(Main[[#This Row],[Class]]="A",WORKDAY(Main[[#This Row],[Tech Start Date]],9),""))))</f>
        <v/>
      </c>
      <c r="Q138" s="89"/>
      <c r="R138" s="121"/>
      <c r="S138" s="99" t="s">
        <v>6</v>
      </c>
      <c r="T138" s="76" t="s">
        <v>4</v>
      </c>
      <c r="U138" s="99" t="s">
        <v>14</v>
      </c>
      <c r="V138" s="99" t="s">
        <v>1916</v>
      </c>
      <c r="W138" s="99" t="s">
        <v>1917</v>
      </c>
      <c r="X138" s="99" t="s">
        <v>306</v>
      </c>
      <c r="Y138" s="73" t="s">
        <v>4</v>
      </c>
      <c r="Z138" s="73" t="s">
        <v>4</v>
      </c>
      <c r="AA138" s="99" t="s">
        <v>4</v>
      </c>
    </row>
    <row r="139" spans="1:27" ht="17.25" customHeight="1">
      <c r="A139" s="65" t="str">
        <f>IF(priority(Main[[#This Row],[Comments]])&lt;&gt;0, priority(Main[[#This Row],[Comments]]),"")</f>
        <v/>
      </c>
      <c r="B139" s="60" t="s">
        <v>1033</v>
      </c>
      <c r="C139" s="105" t="s">
        <v>4</v>
      </c>
      <c r="D139" s="74" t="s">
        <v>56</v>
      </c>
      <c r="E139" s="89"/>
      <c r="F139" s="89"/>
      <c r="G139" s="65" t="str">
        <f>IF(stdProdLT(Main[[#This Row],[Comments]])=0.1,"N/A",IF(stdProdLT(Main[[#This Row],[Comments]])=0,"",TRIM(stdProdLT(Main[[#This Row],[Comments]]))))</f>
        <v/>
      </c>
      <c r="H139" s="98" t="str">
        <f>IF(Main[[#This Row],[Std. Prod. Lead Time]]="N/A", "",IF(AND(Main[[#This Row],[In Stock Date]]&lt;&gt;"",Main[[#This Row],[Revised Due Date]]&lt;&gt;"",Main[[#This Row],[In Stock Date]]&lt;&gt;""),Main[[#This Row],[In Stock Date]]-Main[[#This Row],[Revised Due Date]],""))</f>
        <v/>
      </c>
      <c r="I139" s="110" t="s">
        <v>4</v>
      </c>
      <c r="J139" s="99" t="s">
        <v>4</v>
      </c>
      <c r="K139" s="99" t="s">
        <v>4</v>
      </c>
      <c r="L139" s="89"/>
      <c r="M139" s="75" t="str">
        <f>IF(Main[[#This Row],[Tech Start Date]]&lt;1/1/1990,"",IF(Main[[#This Row],[Class]]="C",WORKDAY(Main[[#This Row],[Tech Start Date]],9),IF(Main[[#This Row],[Class]]="B", WORKDAY(Main[[#This Row],[Tech Start Date]],6),IF(Main[[#This Row],[Class]]="A",WORKDAY(Main[[#This Row],[Tech Start Date]],2),""))))</f>
        <v/>
      </c>
      <c r="N139" s="75" t="str">
        <f>IF(Main[[#This Row],[Tech Start Date]]&lt;1/1/1990,"",IF(Main[[#This Row],[Class]]="C",WORKDAY(Main[[#This Row],[Tech Start Date]],19),IF(Main[[#This Row],[Class]]="B", WORKDAY(Main[[#This Row],[Tech Start Date]],12),IF(Main[[#This Row],[Class]]="A",WORKDAY(Main[[#This Row],[Tech Start Date]],4),""))))</f>
        <v/>
      </c>
      <c r="O139" s="75" t="str">
        <f>IF(Main[[#This Row],[Tech Start Date]]&lt;1/1/1990,"",IF(Main[[#This Row],[Class]]="C",WORKDAY(Main[[#This Row],[Tech Start Date]],23),IF(Main[[#This Row],[Class]]="B", WORKDAY(Main[[#This Row],[Tech Start Date]],15),IF(Main[[#This Row],[Class]]="A",WORKDAY(Main[[#This Row],[Tech Start Date]],5),""))))</f>
        <v/>
      </c>
      <c r="P139" s="75" t="str">
        <f>IF(Main[[#This Row],[Tech Start Date]]&lt;1/1/1990,"",IF(Main[[#This Row],[Class]]="C",WORKDAY(Main[[#This Row],[Tech Start Date]],28),IF(Main[[#This Row],[Class]]="B", WORKDAY(Main[[#This Row],[Tech Start Date]],19),IF(Main[[#This Row],[Class]]="A",WORKDAY(Main[[#This Row],[Tech Start Date]],9),""))))</f>
        <v/>
      </c>
      <c r="Q139" s="89"/>
      <c r="R139" s="121"/>
      <c r="S139" s="99" t="s">
        <v>49</v>
      </c>
      <c r="T139" s="76" t="s">
        <v>4</v>
      </c>
      <c r="U139" s="99" t="s">
        <v>14</v>
      </c>
      <c r="V139" s="99" t="s">
        <v>1916</v>
      </c>
      <c r="W139" s="99" t="s">
        <v>1917</v>
      </c>
      <c r="X139" s="99" t="s">
        <v>306</v>
      </c>
      <c r="Y139" s="73" t="s">
        <v>4</v>
      </c>
      <c r="Z139" s="73" t="s">
        <v>4</v>
      </c>
      <c r="AA139" s="99" t="s">
        <v>4</v>
      </c>
    </row>
    <row r="140" spans="1:27" ht="17.25" customHeight="1">
      <c r="A140" s="65" t="str">
        <f>IF(priority(Main[[#This Row],[Comments]])&lt;&gt;0, priority(Main[[#This Row],[Comments]]),"")</f>
        <v/>
      </c>
      <c r="B140" s="60" t="s">
        <v>1034</v>
      </c>
      <c r="C140" s="105" t="s">
        <v>4</v>
      </c>
      <c r="D140" s="74" t="s">
        <v>57</v>
      </c>
      <c r="E140" s="89"/>
      <c r="F140" s="89"/>
      <c r="G140" s="65" t="str">
        <f>IF(stdProdLT(Main[[#This Row],[Comments]])=0.1,"N/A",IF(stdProdLT(Main[[#This Row],[Comments]])=0,"",TRIM(stdProdLT(Main[[#This Row],[Comments]]))))</f>
        <v/>
      </c>
      <c r="H140" s="98" t="str">
        <f>IF(Main[[#This Row],[Std. Prod. Lead Time]]="N/A", "",IF(AND(Main[[#This Row],[In Stock Date]]&lt;&gt;"",Main[[#This Row],[Revised Due Date]]&lt;&gt;"",Main[[#This Row],[In Stock Date]]&lt;&gt;""),Main[[#This Row],[In Stock Date]]-Main[[#This Row],[Revised Due Date]],""))</f>
        <v/>
      </c>
      <c r="I140" s="110" t="s">
        <v>4</v>
      </c>
      <c r="J140" s="99" t="s">
        <v>4</v>
      </c>
      <c r="K140" s="99" t="s">
        <v>4</v>
      </c>
      <c r="L140" s="89"/>
      <c r="M140" s="75" t="str">
        <f>IF(Main[[#This Row],[Tech Start Date]]&lt;1/1/1990,"",IF(Main[[#This Row],[Class]]="C",WORKDAY(Main[[#This Row],[Tech Start Date]],9),IF(Main[[#This Row],[Class]]="B", WORKDAY(Main[[#This Row],[Tech Start Date]],6),IF(Main[[#This Row],[Class]]="A",WORKDAY(Main[[#This Row],[Tech Start Date]],2),""))))</f>
        <v/>
      </c>
      <c r="N140" s="75" t="str">
        <f>IF(Main[[#This Row],[Tech Start Date]]&lt;1/1/1990,"",IF(Main[[#This Row],[Class]]="C",WORKDAY(Main[[#This Row],[Tech Start Date]],19),IF(Main[[#This Row],[Class]]="B", WORKDAY(Main[[#This Row],[Tech Start Date]],12),IF(Main[[#This Row],[Class]]="A",WORKDAY(Main[[#This Row],[Tech Start Date]],4),""))))</f>
        <v/>
      </c>
      <c r="O140" s="75" t="str">
        <f>IF(Main[[#This Row],[Tech Start Date]]&lt;1/1/1990,"",IF(Main[[#This Row],[Class]]="C",WORKDAY(Main[[#This Row],[Tech Start Date]],23),IF(Main[[#This Row],[Class]]="B", WORKDAY(Main[[#This Row],[Tech Start Date]],15),IF(Main[[#This Row],[Class]]="A",WORKDAY(Main[[#This Row],[Tech Start Date]],5),""))))</f>
        <v/>
      </c>
      <c r="P140" s="75" t="str">
        <f>IF(Main[[#This Row],[Tech Start Date]]&lt;1/1/1990,"",IF(Main[[#This Row],[Class]]="C",WORKDAY(Main[[#This Row],[Tech Start Date]],28),IF(Main[[#This Row],[Class]]="B", WORKDAY(Main[[#This Row],[Tech Start Date]],19),IF(Main[[#This Row],[Class]]="A",WORKDAY(Main[[#This Row],[Tech Start Date]],9),""))))</f>
        <v/>
      </c>
      <c r="Q140" s="89"/>
      <c r="R140" s="121"/>
      <c r="S140" s="99" t="s">
        <v>49</v>
      </c>
      <c r="T140" s="76" t="s">
        <v>4</v>
      </c>
      <c r="U140" s="99" t="s">
        <v>14</v>
      </c>
      <c r="V140" s="99" t="s">
        <v>1923</v>
      </c>
      <c r="W140" s="99" t="s">
        <v>1917</v>
      </c>
      <c r="X140" s="99" t="s">
        <v>306</v>
      </c>
      <c r="Y140" s="73" t="s">
        <v>4</v>
      </c>
      <c r="Z140" s="73" t="s">
        <v>4</v>
      </c>
      <c r="AA140" s="99" t="s">
        <v>4</v>
      </c>
    </row>
    <row r="141" spans="1:27" ht="17.25" customHeight="1">
      <c r="A141" s="65" t="str">
        <f>IF(priority(Main[[#This Row],[Comments]])&lt;&gt;0, priority(Main[[#This Row],[Comments]]),"")</f>
        <v/>
      </c>
      <c r="B141" s="60" t="s">
        <v>1035</v>
      </c>
      <c r="C141" s="105" t="s">
        <v>58</v>
      </c>
      <c r="D141" s="74" t="s">
        <v>59</v>
      </c>
      <c r="E141" s="89"/>
      <c r="F141" s="89"/>
      <c r="G141" s="65" t="str">
        <f>IF(stdProdLT(Main[[#This Row],[Comments]])=0.1,"N/A",IF(stdProdLT(Main[[#This Row],[Comments]])=0,"",TRIM(stdProdLT(Main[[#This Row],[Comments]]))))</f>
        <v/>
      </c>
      <c r="H141" s="98" t="str">
        <f>IF(Main[[#This Row],[Std. Prod. Lead Time]]="N/A", "",IF(AND(Main[[#This Row],[In Stock Date]]&lt;&gt;"",Main[[#This Row],[Revised Due Date]]&lt;&gt;"",Main[[#This Row],[In Stock Date]]&lt;&gt;""),Main[[#This Row],[In Stock Date]]-Main[[#This Row],[Revised Due Date]],""))</f>
        <v/>
      </c>
      <c r="I141" s="110" t="s">
        <v>4</v>
      </c>
      <c r="J141" s="99" t="s">
        <v>4</v>
      </c>
      <c r="K141" s="99" t="s">
        <v>4</v>
      </c>
      <c r="L141" s="89"/>
      <c r="M141" s="75" t="str">
        <f>IF(Main[[#This Row],[Tech Start Date]]&lt;1/1/1990,"",IF(Main[[#This Row],[Class]]="C",WORKDAY(Main[[#This Row],[Tech Start Date]],9),IF(Main[[#This Row],[Class]]="B", WORKDAY(Main[[#This Row],[Tech Start Date]],6),IF(Main[[#This Row],[Class]]="A",WORKDAY(Main[[#This Row],[Tech Start Date]],2),""))))</f>
        <v/>
      </c>
      <c r="N141" s="75" t="str">
        <f>IF(Main[[#This Row],[Tech Start Date]]&lt;1/1/1990,"",IF(Main[[#This Row],[Class]]="C",WORKDAY(Main[[#This Row],[Tech Start Date]],19),IF(Main[[#This Row],[Class]]="B", WORKDAY(Main[[#This Row],[Tech Start Date]],12),IF(Main[[#This Row],[Class]]="A",WORKDAY(Main[[#This Row],[Tech Start Date]],4),""))))</f>
        <v/>
      </c>
      <c r="O141" s="75" t="str">
        <f>IF(Main[[#This Row],[Tech Start Date]]&lt;1/1/1990,"",IF(Main[[#This Row],[Class]]="C",WORKDAY(Main[[#This Row],[Tech Start Date]],23),IF(Main[[#This Row],[Class]]="B", WORKDAY(Main[[#This Row],[Tech Start Date]],15),IF(Main[[#This Row],[Class]]="A",WORKDAY(Main[[#This Row],[Tech Start Date]],5),""))))</f>
        <v/>
      </c>
      <c r="P141" s="75" t="str">
        <f>IF(Main[[#This Row],[Tech Start Date]]&lt;1/1/1990,"",IF(Main[[#This Row],[Class]]="C",WORKDAY(Main[[#This Row],[Tech Start Date]],28),IF(Main[[#This Row],[Class]]="B", WORKDAY(Main[[#This Row],[Tech Start Date]],19),IF(Main[[#This Row],[Class]]="A",WORKDAY(Main[[#This Row],[Tech Start Date]],9),""))))</f>
        <v/>
      </c>
      <c r="Q141" s="89"/>
      <c r="R141" s="121"/>
      <c r="S141" s="99" t="s">
        <v>11</v>
      </c>
      <c r="T141" s="76" t="s">
        <v>4</v>
      </c>
      <c r="U141" s="99" t="s">
        <v>14</v>
      </c>
      <c r="V141" s="99" t="s">
        <v>1914</v>
      </c>
      <c r="W141" s="99" t="s">
        <v>1918</v>
      </c>
      <c r="X141" s="99" t="s">
        <v>2814</v>
      </c>
      <c r="Y141" s="73" t="s">
        <v>2928</v>
      </c>
      <c r="Z141" s="73" t="s">
        <v>4</v>
      </c>
      <c r="AA141" s="99" t="s">
        <v>3373</v>
      </c>
    </row>
    <row r="142" spans="1:27" ht="17.25" customHeight="1">
      <c r="A142" s="65" t="str">
        <f>IF(priority(Main[[#This Row],[Comments]])&lt;&gt;0, priority(Main[[#This Row],[Comments]]),"")</f>
        <v/>
      </c>
      <c r="B142" s="60" t="s">
        <v>1036</v>
      </c>
      <c r="C142" s="105" t="s">
        <v>4</v>
      </c>
      <c r="D142" s="74" t="s">
        <v>60</v>
      </c>
      <c r="E142" s="89"/>
      <c r="F142" s="89"/>
      <c r="G142" s="65" t="str">
        <f>IF(stdProdLT(Main[[#This Row],[Comments]])=0.1,"N/A",IF(stdProdLT(Main[[#This Row],[Comments]])=0,"",TRIM(stdProdLT(Main[[#This Row],[Comments]]))))</f>
        <v/>
      </c>
      <c r="H142" s="98" t="str">
        <f>IF(Main[[#This Row],[Std. Prod. Lead Time]]="N/A", "",IF(AND(Main[[#This Row],[In Stock Date]]&lt;&gt;"",Main[[#This Row],[Revised Due Date]]&lt;&gt;"",Main[[#This Row],[In Stock Date]]&lt;&gt;""),Main[[#This Row],[In Stock Date]]-Main[[#This Row],[Revised Due Date]],""))</f>
        <v/>
      </c>
      <c r="I142" s="110" t="s">
        <v>4</v>
      </c>
      <c r="J142" s="99" t="s">
        <v>4</v>
      </c>
      <c r="K142" s="100" t="s">
        <v>4</v>
      </c>
      <c r="L142" s="89"/>
      <c r="M142" s="75" t="str">
        <f>IF(Main[[#This Row],[Tech Start Date]]&lt;1/1/1990,"",IF(Main[[#This Row],[Class]]="C",WORKDAY(Main[[#This Row],[Tech Start Date]],9),IF(Main[[#This Row],[Class]]="B", WORKDAY(Main[[#This Row],[Tech Start Date]],6),IF(Main[[#This Row],[Class]]="A",WORKDAY(Main[[#This Row],[Tech Start Date]],2),""))))</f>
        <v/>
      </c>
      <c r="N142" s="75" t="str">
        <f>IF(Main[[#This Row],[Tech Start Date]]&lt;1/1/1990,"",IF(Main[[#This Row],[Class]]="C",WORKDAY(Main[[#This Row],[Tech Start Date]],19),IF(Main[[#This Row],[Class]]="B", WORKDAY(Main[[#This Row],[Tech Start Date]],12),IF(Main[[#This Row],[Class]]="A",WORKDAY(Main[[#This Row],[Tech Start Date]],4),""))))</f>
        <v/>
      </c>
      <c r="O142" s="75" t="str">
        <f>IF(Main[[#This Row],[Tech Start Date]]&lt;1/1/1990,"",IF(Main[[#This Row],[Class]]="C",WORKDAY(Main[[#This Row],[Tech Start Date]],23),IF(Main[[#This Row],[Class]]="B", WORKDAY(Main[[#This Row],[Tech Start Date]],15),IF(Main[[#This Row],[Class]]="A",WORKDAY(Main[[#This Row],[Tech Start Date]],5),""))))</f>
        <v/>
      </c>
      <c r="P142" s="75" t="str">
        <f>IF(Main[[#This Row],[Tech Start Date]]&lt;1/1/1990,"",IF(Main[[#This Row],[Class]]="C",WORKDAY(Main[[#This Row],[Tech Start Date]],28),IF(Main[[#This Row],[Class]]="B", WORKDAY(Main[[#This Row],[Tech Start Date]],19),IF(Main[[#This Row],[Class]]="A",WORKDAY(Main[[#This Row],[Tech Start Date]],9),""))))</f>
        <v/>
      </c>
      <c r="Q142" s="89"/>
      <c r="R142" s="121"/>
      <c r="S142" s="99" t="s">
        <v>49</v>
      </c>
      <c r="T142" s="76" t="s">
        <v>4</v>
      </c>
      <c r="U142" s="99" t="s">
        <v>14</v>
      </c>
      <c r="V142" s="99" t="s">
        <v>1914</v>
      </c>
      <c r="W142" s="99" t="s">
        <v>1917</v>
      </c>
      <c r="X142" s="99" t="s">
        <v>306</v>
      </c>
      <c r="Y142" s="73" t="s">
        <v>4</v>
      </c>
      <c r="Z142" s="73" t="s">
        <v>4</v>
      </c>
      <c r="AA142" s="99" t="s">
        <v>4</v>
      </c>
    </row>
    <row r="143" spans="1:27" ht="17.25" customHeight="1">
      <c r="A143" s="65" t="str">
        <f>IF(priority(Main[[#This Row],[Comments]])&lt;&gt;0, priority(Main[[#This Row],[Comments]]),"")</f>
        <v/>
      </c>
      <c r="B143" s="60" t="s">
        <v>2318</v>
      </c>
      <c r="C143" s="105" t="s">
        <v>4</v>
      </c>
      <c r="D143" s="74" t="s">
        <v>2319</v>
      </c>
      <c r="E143" s="89">
        <v>40841.712557870371</v>
      </c>
      <c r="F143" s="89"/>
      <c r="G143" s="65" t="str">
        <f>IF(stdProdLT(Main[[#This Row],[Comments]])=0.1,"N/A",IF(stdProdLT(Main[[#This Row],[Comments]])=0,"",TRIM(stdProdLT(Main[[#This Row],[Comments]]))))</f>
        <v/>
      </c>
      <c r="H143" s="98" t="str">
        <f>IF(Main[[#This Row],[Std. Prod. Lead Time]]="N/A", "",IF(AND(Main[[#This Row],[In Stock Date]]&lt;&gt;"",Main[[#This Row],[Revised Due Date]]&lt;&gt;"",Main[[#This Row],[In Stock Date]]&lt;&gt;""),Main[[#This Row],[In Stock Date]]-Main[[#This Row],[Revised Due Date]],""))</f>
        <v/>
      </c>
      <c r="I143" s="110" t="s">
        <v>912</v>
      </c>
      <c r="J143" s="99" t="s">
        <v>52</v>
      </c>
      <c r="K143" s="99" t="s">
        <v>4</v>
      </c>
      <c r="L143" s="89"/>
      <c r="M143" s="75" t="str">
        <f>IF(Main[[#This Row],[Tech Start Date]]&lt;1/1/1990,"",IF(Main[[#This Row],[Class]]="C",WORKDAY(Main[[#This Row],[Tech Start Date]],9),IF(Main[[#This Row],[Class]]="B", WORKDAY(Main[[#This Row],[Tech Start Date]],6),IF(Main[[#This Row],[Class]]="A",WORKDAY(Main[[#This Row],[Tech Start Date]],2),""))))</f>
        <v/>
      </c>
      <c r="N143" s="75" t="str">
        <f>IF(Main[[#This Row],[Tech Start Date]]&lt;1/1/1990,"",IF(Main[[#This Row],[Class]]="C",WORKDAY(Main[[#This Row],[Tech Start Date]],19),IF(Main[[#This Row],[Class]]="B", WORKDAY(Main[[#This Row],[Tech Start Date]],12),IF(Main[[#This Row],[Class]]="A",WORKDAY(Main[[#This Row],[Tech Start Date]],4),""))))</f>
        <v/>
      </c>
      <c r="O143" s="75" t="str">
        <f>IF(Main[[#This Row],[Tech Start Date]]&lt;1/1/1990,"",IF(Main[[#This Row],[Class]]="C",WORKDAY(Main[[#This Row],[Tech Start Date]],23),IF(Main[[#This Row],[Class]]="B", WORKDAY(Main[[#This Row],[Tech Start Date]],15),IF(Main[[#This Row],[Class]]="A",WORKDAY(Main[[#This Row],[Tech Start Date]],5),""))))</f>
        <v/>
      </c>
      <c r="P143" s="75" t="str">
        <f>IF(Main[[#This Row],[Tech Start Date]]&lt;1/1/1990,"",IF(Main[[#This Row],[Class]]="C",WORKDAY(Main[[#This Row],[Tech Start Date]],28),IF(Main[[#This Row],[Class]]="B", WORKDAY(Main[[#This Row],[Tech Start Date]],19),IF(Main[[#This Row],[Class]]="A",WORKDAY(Main[[#This Row],[Tech Start Date]],9),""))))</f>
        <v/>
      </c>
      <c r="Q143" s="89">
        <v>40856</v>
      </c>
      <c r="R143" s="121"/>
      <c r="S143" s="99" t="s">
        <v>6</v>
      </c>
      <c r="T143" s="76" t="s">
        <v>4</v>
      </c>
      <c r="U143" s="99" t="s">
        <v>29</v>
      </c>
      <c r="V143" s="99" t="s">
        <v>1913</v>
      </c>
      <c r="W143" s="99" t="s">
        <v>1921</v>
      </c>
      <c r="X143" s="99" t="s">
        <v>2815</v>
      </c>
      <c r="Y143" s="73" t="s">
        <v>2930</v>
      </c>
      <c r="Z143" s="73" t="s">
        <v>129</v>
      </c>
      <c r="AA143" s="99" t="s">
        <v>2815</v>
      </c>
    </row>
    <row r="144" spans="1:27" ht="17.25" customHeight="1">
      <c r="A144" s="65" t="str">
        <f>IF(priority(Main[[#This Row],[Comments]])&lt;&gt;0, priority(Main[[#This Row],[Comments]]),"")</f>
        <v/>
      </c>
      <c r="B144" s="60" t="s">
        <v>1038</v>
      </c>
      <c r="C144" s="105" t="s">
        <v>4</v>
      </c>
      <c r="D144" s="74" t="s">
        <v>61</v>
      </c>
      <c r="E144" s="89"/>
      <c r="F144" s="89"/>
      <c r="G144" s="65" t="str">
        <f>IF(stdProdLT(Main[[#This Row],[Comments]])=0.1,"N/A",IF(stdProdLT(Main[[#This Row],[Comments]])=0,"",TRIM(stdProdLT(Main[[#This Row],[Comments]]))))</f>
        <v/>
      </c>
      <c r="H144" s="98" t="str">
        <f>IF(Main[[#This Row],[Std. Prod. Lead Time]]="N/A", "",IF(AND(Main[[#This Row],[In Stock Date]]&lt;&gt;"",Main[[#This Row],[Revised Due Date]]&lt;&gt;"",Main[[#This Row],[In Stock Date]]&lt;&gt;""),Main[[#This Row],[In Stock Date]]-Main[[#This Row],[Revised Due Date]],""))</f>
        <v/>
      </c>
      <c r="I144" s="110" t="s">
        <v>4</v>
      </c>
      <c r="J144" s="99" t="s">
        <v>4</v>
      </c>
      <c r="K144" s="99" t="s">
        <v>4</v>
      </c>
      <c r="L144" s="89"/>
      <c r="M144" s="75" t="str">
        <f>IF(Main[[#This Row],[Tech Start Date]]&lt;1/1/1990,"",IF(Main[[#This Row],[Class]]="C",WORKDAY(Main[[#This Row],[Tech Start Date]],9),IF(Main[[#This Row],[Class]]="B", WORKDAY(Main[[#This Row],[Tech Start Date]],6),IF(Main[[#This Row],[Class]]="A",WORKDAY(Main[[#This Row],[Tech Start Date]],2),""))))</f>
        <v/>
      </c>
      <c r="N144" s="75" t="str">
        <f>IF(Main[[#This Row],[Tech Start Date]]&lt;1/1/1990,"",IF(Main[[#This Row],[Class]]="C",WORKDAY(Main[[#This Row],[Tech Start Date]],19),IF(Main[[#This Row],[Class]]="B", WORKDAY(Main[[#This Row],[Tech Start Date]],12),IF(Main[[#This Row],[Class]]="A",WORKDAY(Main[[#This Row],[Tech Start Date]],4),""))))</f>
        <v/>
      </c>
      <c r="O144" s="75" t="str">
        <f>IF(Main[[#This Row],[Tech Start Date]]&lt;1/1/1990,"",IF(Main[[#This Row],[Class]]="C",WORKDAY(Main[[#This Row],[Tech Start Date]],23),IF(Main[[#This Row],[Class]]="B", WORKDAY(Main[[#This Row],[Tech Start Date]],15),IF(Main[[#This Row],[Class]]="A",WORKDAY(Main[[#This Row],[Tech Start Date]],5),""))))</f>
        <v/>
      </c>
      <c r="P144" s="75" t="str">
        <f>IF(Main[[#This Row],[Tech Start Date]]&lt;1/1/1990,"",IF(Main[[#This Row],[Class]]="C",WORKDAY(Main[[#This Row],[Tech Start Date]],28),IF(Main[[#This Row],[Class]]="B", WORKDAY(Main[[#This Row],[Tech Start Date]],19),IF(Main[[#This Row],[Class]]="A",WORKDAY(Main[[#This Row],[Tech Start Date]],9),""))))</f>
        <v/>
      </c>
      <c r="Q144" s="89">
        <v>40564</v>
      </c>
      <c r="R144" s="121"/>
      <c r="S144" s="99" t="s">
        <v>23</v>
      </c>
      <c r="T144" s="76" t="s">
        <v>4</v>
      </c>
      <c r="U144" s="99" t="s">
        <v>12</v>
      </c>
      <c r="V144" s="99" t="s">
        <v>1916</v>
      </c>
      <c r="W144" s="99" t="s">
        <v>1917</v>
      </c>
      <c r="X144" s="99" t="s">
        <v>417</v>
      </c>
      <c r="Y144" s="73" t="s">
        <v>2931</v>
      </c>
      <c r="Z144" s="73" t="s">
        <v>4</v>
      </c>
      <c r="AA144" s="99" t="s">
        <v>3374</v>
      </c>
    </row>
    <row r="145" spans="1:27" ht="17.25" customHeight="1">
      <c r="A145" s="65" t="str">
        <f>IF(priority(Main[[#This Row],[Comments]])&lt;&gt;0, priority(Main[[#This Row],[Comments]]),"")</f>
        <v/>
      </c>
      <c r="B145" s="60" t="s">
        <v>1041</v>
      </c>
      <c r="C145" s="105" t="s">
        <v>83</v>
      </c>
      <c r="D145" s="74" t="s">
        <v>84</v>
      </c>
      <c r="E145" s="89"/>
      <c r="F145" s="89"/>
      <c r="G145" s="65" t="str">
        <f>IF(stdProdLT(Main[[#This Row],[Comments]])=0.1,"N/A",IF(stdProdLT(Main[[#This Row],[Comments]])=0,"",TRIM(stdProdLT(Main[[#This Row],[Comments]]))))</f>
        <v/>
      </c>
      <c r="H145" s="98" t="str">
        <f>IF(Main[[#This Row],[Std. Prod. Lead Time]]="N/A", "",IF(AND(Main[[#This Row],[In Stock Date]]&lt;&gt;"",Main[[#This Row],[Revised Due Date]]&lt;&gt;"",Main[[#This Row],[In Stock Date]]&lt;&gt;""),Main[[#This Row],[In Stock Date]]-Main[[#This Row],[Revised Due Date]],""))</f>
        <v/>
      </c>
      <c r="I145" s="110" t="s">
        <v>4</v>
      </c>
      <c r="J145" s="99" t="s">
        <v>4</v>
      </c>
      <c r="K145" s="99" t="s">
        <v>4</v>
      </c>
      <c r="L145" s="89"/>
      <c r="M145" s="75" t="str">
        <f>IF(Main[[#This Row],[Tech Start Date]]&lt;1/1/1990,"",IF(Main[[#This Row],[Class]]="C",WORKDAY(Main[[#This Row],[Tech Start Date]],9),IF(Main[[#This Row],[Class]]="B", WORKDAY(Main[[#This Row],[Tech Start Date]],6),IF(Main[[#This Row],[Class]]="A",WORKDAY(Main[[#This Row],[Tech Start Date]],2),""))))</f>
        <v/>
      </c>
      <c r="N145" s="75" t="str">
        <f>IF(Main[[#This Row],[Tech Start Date]]&lt;1/1/1990,"",IF(Main[[#This Row],[Class]]="C",WORKDAY(Main[[#This Row],[Tech Start Date]],19),IF(Main[[#This Row],[Class]]="B", WORKDAY(Main[[#This Row],[Tech Start Date]],12),IF(Main[[#This Row],[Class]]="A",WORKDAY(Main[[#This Row],[Tech Start Date]],4),""))))</f>
        <v/>
      </c>
      <c r="O145" s="75" t="str">
        <f>IF(Main[[#This Row],[Tech Start Date]]&lt;1/1/1990,"",IF(Main[[#This Row],[Class]]="C",WORKDAY(Main[[#This Row],[Tech Start Date]],23),IF(Main[[#This Row],[Class]]="B", WORKDAY(Main[[#This Row],[Tech Start Date]],15),IF(Main[[#This Row],[Class]]="A",WORKDAY(Main[[#This Row],[Tech Start Date]],5),""))))</f>
        <v/>
      </c>
      <c r="P145" s="75" t="str">
        <f>IF(Main[[#This Row],[Tech Start Date]]&lt;1/1/1990,"",IF(Main[[#This Row],[Class]]="C",WORKDAY(Main[[#This Row],[Tech Start Date]],28),IF(Main[[#This Row],[Class]]="B", WORKDAY(Main[[#This Row],[Tech Start Date]],19),IF(Main[[#This Row],[Class]]="A",WORKDAY(Main[[#This Row],[Tech Start Date]],9),""))))</f>
        <v/>
      </c>
      <c r="Q145" s="89">
        <v>40259</v>
      </c>
      <c r="R145" s="121"/>
      <c r="S145" s="99" t="s">
        <v>11</v>
      </c>
      <c r="T145" s="76" t="s">
        <v>4</v>
      </c>
      <c r="U145" s="99" t="s">
        <v>14</v>
      </c>
      <c r="V145" s="99" t="s">
        <v>1913</v>
      </c>
      <c r="W145" s="99" t="s">
        <v>1924</v>
      </c>
      <c r="X145" s="99" t="s">
        <v>2811</v>
      </c>
      <c r="Y145" s="73" t="s">
        <v>4</v>
      </c>
      <c r="Z145" s="73" t="s">
        <v>4</v>
      </c>
      <c r="AA145" s="99" t="s">
        <v>2811</v>
      </c>
    </row>
    <row r="146" spans="1:27" ht="17.25" customHeight="1">
      <c r="A146" s="65" t="str">
        <f>IF(priority(Main[[#This Row],[Comments]])&lt;&gt;0, priority(Main[[#This Row],[Comments]]),"")</f>
        <v/>
      </c>
      <c r="B146" s="60" t="s">
        <v>3267</v>
      </c>
      <c r="C146" s="105" t="s">
        <v>47</v>
      </c>
      <c r="D146" s="74" t="s">
        <v>3309</v>
      </c>
      <c r="E146" s="89">
        <v>40933.456712962965</v>
      </c>
      <c r="F146" s="89"/>
      <c r="G146" s="65" t="str">
        <f>IF(stdProdLT(Main[[#This Row],[Comments]])=0.1,"N/A",IF(stdProdLT(Main[[#This Row],[Comments]])=0,"",TRIM(stdProdLT(Main[[#This Row],[Comments]]))))</f>
        <v/>
      </c>
      <c r="H146" s="98" t="str">
        <f>IF(Main[[#This Row],[Std. Prod. Lead Time]]="N/A", "",IF(AND(Main[[#This Row],[In Stock Date]]&lt;&gt;"",Main[[#This Row],[Revised Due Date]]&lt;&gt;"",Main[[#This Row],[In Stock Date]]&lt;&gt;""),Main[[#This Row],[In Stock Date]]-Main[[#This Row],[Revised Due Date]],""))</f>
        <v/>
      </c>
      <c r="I146" s="110" t="s">
        <v>4</v>
      </c>
      <c r="J146" s="99" t="s">
        <v>4</v>
      </c>
      <c r="K146" s="100" t="s">
        <v>4</v>
      </c>
      <c r="L146" s="89"/>
      <c r="M146" s="75" t="str">
        <f>IF(Main[[#This Row],[Tech Start Date]]&lt;1/1/1990,"",IF(Main[[#This Row],[Class]]="C",WORKDAY(Main[[#This Row],[Tech Start Date]],9),IF(Main[[#This Row],[Class]]="B", WORKDAY(Main[[#This Row],[Tech Start Date]],6),IF(Main[[#This Row],[Class]]="A",WORKDAY(Main[[#This Row],[Tech Start Date]],2),""))))</f>
        <v/>
      </c>
      <c r="N146" s="75" t="str">
        <f>IF(Main[[#This Row],[Tech Start Date]]&lt;1/1/1990,"",IF(Main[[#This Row],[Class]]="C",WORKDAY(Main[[#This Row],[Tech Start Date]],19),IF(Main[[#This Row],[Class]]="B", WORKDAY(Main[[#This Row],[Tech Start Date]],12),IF(Main[[#This Row],[Class]]="A",WORKDAY(Main[[#This Row],[Tech Start Date]],4),""))))</f>
        <v/>
      </c>
      <c r="O146" s="75" t="str">
        <f>IF(Main[[#This Row],[Tech Start Date]]&lt;1/1/1990,"",IF(Main[[#This Row],[Class]]="C",WORKDAY(Main[[#This Row],[Tech Start Date]],23),IF(Main[[#This Row],[Class]]="B", WORKDAY(Main[[#This Row],[Tech Start Date]],15),IF(Main[[#This Row],[Class]]="A",WORKDAY(Main[[#This Row],[Tech Start Date]],5),""))))</f>
        <v/>
      </c>
      <c r="P146" s="75" t="str">
        <f>IF(Main[[#This Row],[Tech Start Date]]&lt;1/1/1990,"",IF(Main[[#This Row],[Class]]="C",WORKDAY(Main[[#This Row],[Tech Start Date]],28),IF(Main[[#This Row],[Class]]="B", WORKDAY(Main[[#This Row],[Tech Start Date]],19),IF(Main[[#This Row],[Class]]="A",WORKDAY(Main[[#This Row],[Tech Start Date]],9),""))))</f>
        <v/>
      </c>
      <c r="Q146" s="89">
        <v>40939</v>
      </c>
      <c r="R146" s="121"/>
      <c r="S146" s="99" t="s">
        <v>6</v>
      </c>
      <c r="T146" s="76" t="s">
        <v>4</v>
      </c>
      <c r="U146" s="99" t="s">
        <v>29</v>
      </c>
      <c r="V146" s="99" t="s">
        <v>2279</v>
      </c>
      <c r="W146" s="99" t="s">
        <v>4</v>
      </c>
      <c r="X146" s="99" t="s">
        <v>2859</v>
      </c>
      <c r="Y146" s="73" t="s">
        <v>3004</v>
      </c>
      <c r="Z146" s="73" t="s">
        <v>4</v>
      </c>
      <c r="AA146" s="99" t="s">
        <v>2859</v>
      </c>
    </row>
    <row r="147" spans="1:27" ht="17.25" customHeight="1">
      <c r="A147" s="65" t="str">
        <f>IF(priority(Main[[#This Row],[Comments]])&lt;&gt;0, priority(Main[[#This Row],[Comments]]),"")</f>
        <v/>
      </c>
      <c r="B147" s="60" t="s">
        <v>1747</v>
      </c>
      <c r="C147" s="105" t="s">
        <v>4</v>
      </c>
      <c r="D147" s="74" t="s">
        <v>2327</v>
      </c>
      <c r="E147" s="89"/>
      <c r="F147" s="89"/>
      <c r="G147" s="65" t="str">
        <f>IF(stdProdLT(Main[[#This Row],[Comments]])=0.1,"N/A",IF(stdProdLT(Main[[#This Row],[Comments]])=0,"",TRIM(stdProdLT(Main[[#This Row],[Comments]]))))</f>
        <v/>
      </c>
      <c r="H147" s="98" t="str">
        <f>IF(Main[[#This Row],[Std. Prod. Lead Time]]="N/A", "",IF(AND(Main[[#This Row],[In Stock Date]]&lt;&gt;"",Main[[#This Row],[Revised Due Date]]&lt;&gt;"",Main[[#This Row],[In Stock Date]]&lt;&gt;""),Main[[#This Row],[In Stock Date]]-Main[[#This Row],[Revised Due Date]],""))</f>
        <v/>
      </c>
      <c r="I147" s="110" t="s">
        <v>130</v>
      </c>
      <c r="J147" s="99" t="s">
        <v>70</v>
      </c>
      <c r="K147" s="99" t="s">
        <v>1922</v>
      </c>
      <c r="L147" s="89"/>
      <c r="M147" s="75" t="str">
        <f>IF(Main[[#This Row],[Tech Start Date]]&lt;1/1/1990,"",IF(Main[[#This Row],[Class]]="C",WORKDAY(Main[[#This Row],[Tech Start Date]],9),IF(Main[[#This Row],[Class]]="B", WORKDAY(Main[[#This Row],[Tech Start Date]],6),IF(Main[[#This Row],[Class]]="A",WORKDAY(Main[[#This Row],[Tech Start Date]],2),""))))</f>
        <v/>
      </c>
      <c r="N147" s="75" t="str">
        <f>IF(Main[[#This Row],[Tech Start Date]]&lt;1/1/1990,"",IF(Main[[#This Row],[Class]]="C",WORKDAY(Main[[#This Row],[Tech Start Date]],19),IF(Main[[#This Row],[Class]]="B", WORKDAY(Main[[#This Row],[Tech Start Date]],12),IF(Main[[#This Row],[Class]]="A",WORKDAY(Main[[#This Row],[Tech Start Date]],4),""))))</f>
        <v/>
      </c>
      <c r="O147" s="75" t="str">
        <f>IF(Main[[#This Row],[Tech Start Date]]&lt;1/1/1990,"",IF(Main[[#This Row],[Class]]="C",WORKDAY(Main[[#This Row],[Tech Start Date]],23),IF(Main[[#This Row],[Class]]="B", WORKDAY(Main[[#This Row],[Tech Start Date]],15),IF(Main[[#This Row],[Class]]="A",WORKDAY(Main[[#This Row],[Tech Start Date]],5),""))))</f>
        <v/>
      </c>
      <c r="P147" s="75" t="str">
        <f>IF(Main[[#This Row],[Tech Start Date]]&lt;1/1/1990,"",IF(Main[[#This Row],[Class]]="C",WORKDAY(Main[[#This Row],[Tech Start Date]],28),IF(Main[[#This Row],[Class]]="B", WORKDAY(Main[[#This Row],[Tech Start Date]],19),IF(Main[[#This Row],[Class]]="A",WORKDAY(Main[[#This Row],[Tech Start Date]],9),""))))</f>
        <v/>
      </c>
      <c r="Q147" s="89">
        <v>40786</v>
      </c>
      <c r="R147" s="121"/>
      <c r="S147" s="99" t="s">
        <v>6</v>
      </c>
      <c r="T147" s="76" t="s">
        <v>4</v>
      </c>
      <c r="U147" s="99" t="s">
        <v>14</v>
      </c>
      <c r="V147" s="99" t="s">
        <v>1916</v>
      </c>
      <c r="W147" s="99" t="s">
        <v>1917</v>
      </c>
      <c r="X147" s="99" t="s">
        <v>399</v>
      </c>
      <c r="Y147" s="73" t="s">
        <v>4</v>
      </c>
      <c r="Z147" s="73" t="s">
        <v>44</v>
      </c>
      <c r="AA147" s="99" t="s">
        <v>3371</v>
      </c>
    </row>
    <row r="148" spans="1:27" ht="17.25" customHeight="1">
      <c r="A148" s="65" t="str">
        <f>IF(priority(Main[[#This Row],[Comments]])&lt;&gt;0, priority(Main[[#This Row],[Comments]]),"")</f>
        <v/>
      </c>
      <c r="B148" s="60" t="s">
        <v>1944</v>
      </c>
      <c r="C148" s="105" t="s">
        <v>4</v>
      </c>
      <c r="D148" s="74" t="s">
        <v>3310</v>
      </c>
      <c r="E148" s="89">
        <v>40721.395208333335</v>
      </c>
      <c r="F148" s="89"/>
      <c r="G148" s="65" t="str">
        <f>IF(stdProdLT(Main[[#This Row],[Comments]])=0.1,"N/A",IF(stdProdLT(Main[[#This Row],[Comments]])=0,"",TRIM(stdProdLT(Main[[#This Row],[Comments]]))))</f>
        <v/>
      </c>
      <c r="H148" s="98" t="str">
        <f>IF(Main[[#This Row],[Std. Prod. Lead Time]]="N/A", "",IF(AND(Main[[#This Row],[In Stock Date]]&lt;&gt;"",Main[[#This Row],[Revised Due Date]]&lt;&gt;"",Main[[#This Row],[In Stock Date]]&lt;&gt;""),Main[[#This Row],[In Stock Date]]-Main[[#This Row],[Revised Due Date]],""))</f>
        <v/>
      </c>
      <c r="I148" s="110" t="s">
        <v>2047</v>
      </c>
      <c r="J148" s="99" t="s">
        <v>21</v>
      </c>
      <c r="K148" s="99" t="s">
        <v>1922</v>
      </c>
      <c r="L148" s="89"/>
      <c r="M148" s="75" t="str">
        <f>IF(Main[[#This Row],[Tech Start Date]]&lt;1/1/1990,"",IF(Main[[#This Row],[Class]]="C",WORKDAY(Main[[#This Row],[Tech Start Date]],9),IF(Main[[#This Row],[Class]]="B", WORKDAY(Main[[#This Row],[Tech Start Date]],6),IF(Main[[#This Row],[Class]]="A",WORKDAY(Main[[#This Row],[Tech Start Date]],2),""))))</f>
        <v/>
      </c>
      <c r="N148" s="75" t="str">
        <f>IF(Main[[#This Row],[Tech Start Date]]&lt;1/1/1990,"",IF(Main[[#This Row],[Class]]="C",WORKDAY(Main[[#This Row],[Tech Start Date]],19),IF(Main[[#This Row],[Class]]="B", WORKDAY(Main[[#This Row],[Tech Start Date]],12),IF(Main[[#This Row],[Class]]="A",WORKDAY(Main[[#This Row],[Tech Start Date]],4),""))))</f>
        <v/>
      </c>
      <c r="O148" s="75" t="str">
        <f>IF(Main[[#This Row],[Tech Start Date]]&lt;1/1/1990,"",IF(Main[[#This Row],[Class]]="C",WORKDAY(Main[[#This Row],[Tech Start Date]],23),IF(Main[[#This Row],[Class]]="B", WORKDAY(Main[[#This Row],[Tech Start Date]],15),IF(Main[[#This Row],[Class]]="A",WORKDAY(Main[[#This Row],[Tech Start Date]],5),""))))</f>
        <v/>
      </c>
      <c r="P148" s="75" t="str">
        <f>IF(Main[[#This Row],[Tech Start Date]]&lt;1/1/1990,"",IF(Main[[#This Row],[Class]]="C",WORKDAY(Main[[#This Row],[Tech Start Date]],28),IF(Main[[#This Row],[Class]]="B", WORKDAY(Main[[#This Row],[Tech Start Date]],19),IF(Main[[#This Row],[Class]]="A",WORKDAY(Main[[#This Row],[Tech Start Date]],9),""))))</f>
        <v/>
      </c>
      <c r="Q148" s="89">
        <v>40753</v>
      </c>
      <c r="R148" s="121"/>
      <c r="S148" s="99" t="s">
        <v>6</v>
      </c>
      <c r="T148" s="76" t="s">
        <v>4</v>
      </c>
      <c r="U148" s="99" t="s">
        <v>29</v>
      </c>
      <c r="V148" s="99" t="s">
        <v>1916</v>
      </c>
      <c r="W148" s="99" t="s">
        <v>1917</v>
      </c>
      <c r="X148" s="99" t="s">
        <v>2812</v>
      </c>
      <c r="Y148" s="73" t="s">
        <v>2923</v>
      </c>
      <c r="Z148" s="73" t="s">
        <v>44</v>
      </c>
      <c r="AA148" s="99" t="s">
        <v>2812</v>
      </c>
    </row>
    <row r="149" spans="1:27" ht="17.25" customHeight="1">
      <c r="A149" s="65" t="str">
        <f>IF(priority(Main[[#This Row],[Comments]])&lt;&gt;0, priority(Main[[#This Row],[Comments]]),"")</f>
        <v/>
      </c>
      <c r="B149" s="60" t="s">
        <v>3504</v>
      </c>
      <c r="C149" s="105" t="s">
        <v>4</v>
      </c>
      <c r="D149" s="74" t="s">
        <v>3575</v>
      </c>
      <c r="E149" s="89"/>
      <c r="F149" s="89"/>
      <c r="G149" s="65" t="str">
        <f>IF(stdProdLT(Main[[#This Row],[Comments]])=0.1,"N/A",IF(stdProdLT(Main[[#This Row],[Comments]])=0,"",TRIM(stdProdLT(Main[[#This Row],[Comments]]))))</f>
        <v/>
      </c>
      <c r="H149" s="98" t="str">
        <f>IF(Main[[#This Row],[Std. Prod. Lead Time]]="N/A", "",IF(AND(Main[[#This Row],[In Stock Date]]&lt;&gt;"",Main[[#This Row],[Revised Due Date]]&lt;&gt;"",Main[[#This Row],[In Stock Date]]&lt;&gt;""),Main[[#This Row],[In Stock Date]]-Main[[#This Row],[Revised Due Date]],""))</f>
        <v/>
      </c>
      <c r="I149" s="110" t="s">
        <v>4</v>
      </c>
      <c r="J149" s="99" t="s">
        <v>4</v>
      </c>
      <c r="K149" s="99" t="s">
        <v>4</v>
      </c>
      <c r="L149" s="89"/>
      <c r="M149" s="75" t="str">
        <f>IF(Main[[#This Row],[Tech Start Date]]&lt;1/1/1990,"",IF(Main[[#This Row],[Class]]="C",WORKDAY(Main[[#This Row],[Tech Start Date]],9),IF(Main[[#This Row],[Class]]="B", WORKDAY(Main[[#This Row],[Tech Start Date]],6),IF(Main[[#This Row],[Class]]="A",WORKDAY(Main[[#This Row],[Tech Start Date]],2),""))))</f>
        <v/>
      </c>
      <c r="N149" s="75" t="str">
        <f>IF(Main[[#This Row],[Tech Start Date]]&lt;1/1/1990,"",IF(Main[[#This Row],[Class]]="C",WORKDAY(Main[[#This Row],[Tech Start Date]],19),IF(Main[[#This Row],[Class]]="B", WORKDAY(Main[[#This Row],[Tech Start Date]],12),IF(Main[[#This Row],[Class]]="A",WORKDAY(Main[[#This Row],[Tech Start Date]],4),""))))</f>
        <v/>
      </c>
      <c r="O149" s="75" t="str">
        <f>IF(Main[[#This Row],[Tech Start Date]]&lt;1/1/1990,"",IF(Main[[#This Row],[Class]]="C",WORKDAY(Main[[#This Row],[Tech Start Date]],23),IF(Main[[#This Row],[Class]]="B", WORKDAY(Main[[#This Row],[Tech Start Date]],15),IF(Main[[#This Row],[Class]]="A",WORKDAY(Main[[#This Row],[Tech Start Date]],5),""))))</f>
        <v/>
      </c>
      <c r="P149" s="75" t="str">
        <f>IF(Main[[#This Row],[Tech Start Date]]&lt;1/1/1990,"",IF(Main[[#This Row],[Class]]="C",WORKDAY(Main[[#This Row],[Tech Start Date]],28),IF(Main[[#This Row],[Class]]="B", WORKDAY(Main[[#This Row],[Tech Start Date]],19),IF(Main[[#This Row],[Class]]="A",WORKDAY(Main[[#This Row],[Tech Start Date]],9),""))))</f>
        <v/>
      </c>
      <c r="Q149" s="89">
        <v>40970</v>
      </c>
      <c r="R149" s="121"/>
      <c r="S149" s="99" t="s">
        <v>6</v>
      </c>
      <c r="T149" s="76" t="s">
        <v>4</v>
      </c>
      <c r="U149" s="99" t="s">
        <v>14</v>
      </c>
      <c r="V149" s="99" t="s">
        <v>1916</v>
      </c>
      <c r="W149" s="99" t="s">
        <v>4</v>
      </c>
      <c r="X149" s="99" t="s">
        <v>2813</v>
      </c>
      <c r="Y149" s="73" t="s">
        <v>2926</v>
      </c>
      <c r="Z149" s="73" t="s">
        <v>4</v>
      </c>
      <c r="AA149" s="99" t="s">
        <v>2813</v>
      </c>
    </row>
    <row r="150" spans="1:27" ht="17.25" customHeight="1">
      <c r="A150" s="65" t="str">
        <f>IF(priority(Main[[#This Row],[Comments]])&lt;&gt;0, priority(Main[[#This Row],[Comments]]),"")</f>
        <v/>
      </c>
      <c r="B150" s="60" t="s">
        <v>1042</v>
      </c>
      <c r="C150" s="105" t="s">
        <v>53</v>
      </c>
      <c r="D150" s="74" t="s">
        <v>66</v>
      </c>
      <c r="E150" s="89"/>
      <c r="F150" s="89"/>
      <c r="G150" s="65" t="str">
        <f>IF(stdProdLT(Main[[#This Row],[Comments]])=0.1,"N/A",IF(stdProdLT(Main[[#This Row],[Comments]])=0,"",TRIM(stdProdLT(Main[[#This Row],[Comments]]))))</f>
        <v/>
      </c>
      <c r="H150" s="98" t="str">
        <f>IF(Main[[#This Row],[Std. Prod. Lead Time]]="N/A", "",IF(AND(Main[[#This Row],[In Stock Date]]&lt;&gt;"",Main[[#This Row],[Revised Due Date]]&lt;&gt;"",Main[[#This Row],[In Stock Date]]&lt;&gt;""),Main[[#This Row],[In Stock Date]]-Main[[#This Row],[Revised Due Date]],""))</f>
        <v/>
      </c>
      <c r="I150" s="110" t="s">
        <v>4</v>
      </c>
      <c r="J150" s="99" t="s">
        <v>4</v>
      </c>
      <c r="K150" s="99" t="s">
        <v>4</v>
      </c>
      <c r="L150" s="89"/>
      <c r="M150" s="75" t="str">
        <f>IF(Main[[#This Row],[Tech Start Date]]&lt;1/1/1990,"",IF(Main[[#This Row],[Class]]="C",WORKDAY(Main[[#This Row],[Tech Start Date]],9),IF(Main[[#This Row],[Class]]="B", WORKDAY(Main[[#This Row],[Tech Start Date]],6),IF(Main[[#This Row],[Class]]="A",WORKDAY(Main[[#This Row],[Tech Start Date]],2),""))))</f>
        <v/>
      </c>
      <c r="N150" s="75" t="str">
        <f>IF(Main[[#This Row],[Tech Start Date]]&lt;1/1/1990,"",IF(Main[[#This Row],[Class]]="C",WORKDAY(Main[[#This Row],[Tech Start Date]],19),IF(Main[[#This Row],[Class]]="B", WORKDAY(Main[[#This Row],[Tech Start Date]],12),IF(Main[[#This Row],[Class]]="A",WORKDAY(Main[[#This Row],[Tech Start Date]],4),""))))</f>
        <v/>
      </c>
      <c r="O150" s="75" t="str">
        <f>IF(Main[[#This Row],[Tech Start Date]]&lt;1/1/1990,"",IF(Main[[#This Row],[Class]]="C",WORKDAY(Main[[#This Row],[Tech Start Date]],23),IF(Main[[#This Row],[Class]]="B", WORKDAY(Main[[#This Row],[Tech Start Date]],15),IF(Main[[#This Row],[Class]]="A",WORKDAY(Main[[#This Row],[Tech Start Date]],5),""))))</f>
        <v/>
      </c>
      <c r="P150" s="75" t="str">
        <f>IF(Main[[#This Row],[Tech Start Date]]&lt;1/1/1990,"",IF(Main[[#This Row],[Class]]="C",WORKDAY(Main[[#This Row],[Tech Start Date]],28),IF(Main[[#This Row],[Class]]="B", WORKDAY(Main[[#This Row],[Tech Start Date]],19),IF(Main[[#This Row],[Class]]="A",WORKDAY(Main[[#This Row],[Tech Start Date]],9),""))))</f>
        <v/>
      </c>
      <c r="Q150" s="89">
        <v>40667</v>
      </c>
      <c r="R150" s="121"/>
      <c r="S150" s="99" t="s">
        <v>11</v>
      </c>
      <c r="T150" s="76" t="s">
        <v>4</v>
      </c>
      <c r="U150" s="99" t="s">
        <v>14</v>
      </c>
      <c r="V150" s="99" t="s">
        <v>1914</v>
      </c>
      <c r="W150" s="99" t="s">
        <v>1915</v>
      </c>
      <c r="X150" s="99" t="s">
        <v>2810</v>
      </c>
      <c r="Y150" s="73" t="s">
        <v>4</v>
      </c>
      <c r="Z150" s="73" t="s">
        <v>4</v>
      </c>
      <c r="AA150" s="99" t="s">
        <v>2810</v>
      </c>
    </row>
    <row r="151" spans="1:27" ht="17.25" customHeight="1">
      <c r="A151" s="66" t="str">
        <f>IF(priority(Main[[#This Row],[Comments]])&lt;&gt;0, priority(Main[[#This Row],[Comments]]),"")</f>
        <v/>
      </c>
      <c r="B151" s="60" t="s">
        <v>2023</v>
      </c>
      <c r="C151" s="106" t="s">
        <v>4</v>
      </c>
      <c r="D151" s="82" t="s">
        <v>2024</v>
      </c>
      <c r="E151" s="91">
        <v>40749.684224537035</v>
      </c>
      <c r="F151" s="91"/>
      <c r="G151" s="66" t="str">
        <f>IF(stdProdLT(Main[[#This Row],[Comments]])=0.1,"N/A",IF(stdProdLT(Main[[#This Row],[Comments]])=0,"",TRIM(stdProdLT(Main[[#This Row],[Comments]]))))</f>
        <v/>
      </c>
      <c r="H151" s="102" t="str">
        <f>IF(Main[[#This Row],[Std. Prod. Lead Time]]="N/A", "",IF(AND(Main[[#This Row],[In Stock Date]]&lt;&gt;"",Main[[#This Row],[Revised Due Date]]&lt;&gt;"",Main[[#This Row],[In Stock Date]]&lt;&gt;""),Main[[#This Row],[In Stock Date]]-Main[[#This Row],[Revised Due Date]],""))</f>
        <v/>
      </c>
      <c r="I151" s="112" t="s">
        <v>4</v>
      </c>
      <c r="J151" s="103" t="s">
        <v>4</v>
      </c>
      <c r="K151" s="103" t="s">
        <v>4</v>
      </c>
      <c r="L151" s="91"/>
      <c r="M151" s="83" t="str">
        <f>IF(Main[[#This Row],[Tech Start Date]]&lt;1/1/1990,"",IF(Main[[#This Row],[Class]]="C",WORKDAY(Main[[#This Row],[Tech Start Date]],9),IF(Main[[#This Row],[Class]]="B", WORKDAY(Main[[#This Row],[Tech Start Date]],6),IF(Main[[#This Row],[Class]]="A",WORKDAY(Main[[#This Row],[Tech Start Date]],2),""))))</f>
        <v/>
      </c>
      <c r="N151" s="83" t="str">
        <f>IF(Main[[#This Row],[Tech Start Date]]&lt;1/1/1990,"",IF(Main[[#This Row],[Class]]="C",WORKDAY(Main[[#This Row],[Tech Start Date]],19),IF(Main[[#This Row],[Class]]="B", WORKDAY(Main[[#This Row],[Tech Start Date]],12),IF(Main[[#This Row],[Class]]="A",WORKDAY(Main[[#This Row],[Tech Start Date]],4),""))))</f>
        <v/>
      </c>
      <c r="O151" s="83" t="str">
        <f>IF(Main[[#This Row],[Tech Start Date]]&lt;1/1/1990,"",IF(Main[[#This Row],[Class]]="C",WORKDAY(Main[[#This Row],[Tech Start Date]],23),IF(Main[[#This Row],[Class]]="B", WORKDAY(Main[[#This Row],[Tech Start Date]],15),IF(Main[[#This Row],[Class]]="A",WORKDAY(Main[[#This Row],[Tech Start Date]],5),""))))</f>
        <v/>
      </c>
      <c r="P151" s="83" t="str">
        <f>IF(Main[[#This Row],[Tech Start Date]]&lt;1/1/1990,"",IF(Main[[#This Row],[Class]]="C",WORKDAY(Main[[#This Row],[Tech Start Date]],28),IF(Main[[#This Row],[Class]]="B", WORKDAY(Main[[#This Row],[Tech Start Date]],19),IF(Main[[#This Row],[Class]]="A",WORKDAY(Main[[#This Row],[Tech Start Date]],9),""))))</f>
        <v/>
      </c>
      <c r="Q151" s="91">
        <v>40781</v>
      </c>
      <c r="R151" s="123"/>
      <c r="S151" s="103" t="s">
        <v>6</v>
      </c>
      <c r="T151" s="84" t="s">
        <v>4</v>
      </c>
      <c r="U151" s="103" t="s">
        <v>7</v>
      </c>
      <c r="V151" s="103" t="s">
        <v>1913</v>
      </c>
      <c r="W151" s="103" t="s">
        <v>4</v>
      </c>
      <c r="X151" s="103" t="s">
        <v>2813</v>
      </c>
      <c r="Y151" s="81" t="s">
        <v>2926</v>
      </c>
      <c r="Z151" s="81" t="s">
        <v>4</v>
      </c>
      <c r="AA151" s="103" t="s">
        <v>2813</v>
      </c>
    </row>
    <row r="152" spans="1:27" ht="17.25" customHeight="1">
      <c r="A152" s="65" t="str">
        <f>IF(priority(Main[[#This Row],[Comments]])&lt;&gt;0, priority(Main[[#This Row],[Comments]]),"")</f>
        <v/>
      </c>
      <c r="B152" s="60" t="s">
        <v>1053</v>
      </c>
      <c r="C152" s="105" t="s">
        <v>4</v>
      </c>
      <c r="D152" s="74" t="s">
        <v>85</v>
      </c>
      <c r="E152" s="89"/>
      <c r="F152" s="89"/>
      <c r="G152" s="65" t="str">
        <f>IF(stdProdLT(Main[[#This Row],[Comments]])=0.1,"N/A",IF(stdProdLT(Main[[#This Row],[Comments]])=0,"",TRIM(stdProdLT(Main[[#This Row],[Comments]]))))</f>
        <v/>
      </c>
      <c r="H152" s="98" t="str">
        <f>IF(Main[[#This Row],[Std. Prod. Lead Time]]="N/A", "",IF(AND(Main[[#This Row],[In Stock Date]]&lt;&gt;"",Main[[#This Row],[Revised Due Date]]&lt;&gt;"",Main[[#This Row],[In Stock Date]]&lt;&gt;""),Main[[#This Row],[In Stock Date]]-Main[[#This Row],[Revised Due Date]],""))</f>
        <v/>
      </c>
      <c r="I152" s="110" t="s">
        <v>4</v>
      </c>
      <c r="J152" s="99" t="s">
        <v>4</v>
      </c>
      <c r="K152" s="99" t="s">
        <v>4</v>
      </c>
      <c r="L152" s="89"/>
      <c r="M152" s="75" t="str">
        <f>IF(Main[[#This Row],[Tech Start Date]]&lt;1/1/1990,"",IF(Main[[#This Row],[Class]]="C",WORKDAY(Main[[#This Row],[Tech Start Date]],9),IF(Main[[#This Row],[Class]]="B", WORKDAY(Main[[#This Row],[Tech Start Date]],6),IF(Main[[#This Row],[Class]]="A",WORKDAY(Main[[#This Row],[Tech Start Date]],2),""))))</f>
        <v/>
      </c>
      <c r="N152" s="75" t="str">
        <f>IF(Main[[#This Row],[Tech Start Date]]&lt;1/1/1990,"",IF(Main[[#This Row],[Class]]="C",WORKDAY(Main[[#This Row],[Tech Start Date]],19),IF(Main[[#This Row],[Class]]="B", WORKDAY(Main[[#This Row],[Tech Start Date]],12),IF(Main[[#This Row],[Class]]="A",WORKDAY(Main[[#This Row],[Tech Start Date]],4),""))))</f>
        <v/>
      </c>
      <c r="O152" s="75" t="str">
        <f>IF(Main[[#This Row],[Tech Start Date]]&lt;1/1/1990,"",IF(Main[[#This Row],[Class]]="C",WORKDAY(Main[[#This Row],[Tech Start Date]],23),IF(Main[[#This Row],[Class]]="B", WORKDAY(Main[[#This Row],[Tech Start Date]],15),IF(Main[[#This Row],[Class]]="A",WORKDAY(Main[[#This Row],[Tech Start Date]],5),""))))</f>
        <v/>
      </c>
      <c r="P152" s="75" t="str">
        <f>IF(Main[[#This Row],[Tech Start Date]]&lt;1/1/1990,"",IF(Main[[#This Row],[Class]]="C",WORKDAY(Main[[#This Row],[Tech Start Date]],28),IF(Main[[#This Row],[Class]]="B", WORKDAY(Main[[#This Row],[Tech Start Date]],19),IF(Main[[#This Row],[Class]]="A",WORKDAY(Main[[#This Row],[Tech Start Date]],9),""))))</f>
        <v/>
      </c>
      <c r="Q152" s="89"/>
      <c r="R152" s="121"/>
      <c r="S152" s="99" t="s">
        <v>6</v>
      </c>
      <c r="T152" s="76" t="s">
        <v>4</v>
      </c>
      <c r="U152" s="99" t="s">
        <v>14</v>
      </c>
      <c r="V152" s="99" t="s">
        <v>1914</v>
      </c>
      <c r="W152" s="99" t="s">
        <v>1917</v>
      </c>
      <c r="X152" s="99" t="s">
        <v>399</v>
      </c>
      <c r="Y152" s="73" t="s">
        <v>4</v>
      </c>
      <c r="Z152" s="73" t="s">
        <v>4</v>
      </c>
      <c r="AA152" s="99" t="s">
        <v>3375</v>
      </c>
    </row>
    <row r="153" spans="1:27" ht="17.25" customHeight="1">
      <c r="A153" s="65" t="str">
        <f>IF(priority(Main[[#This Row],[Comments]])&lt;&gt;0, priority(Main[[#This Row],[Comments]]),"")</f>
        <v/>
      </c>
      <c r="B153" s="60" t="s">
        <v>1014</v>
      </c>
      <c r="C153" s="105" t="s">
        <v>24</v>
      </c>
      <c r="D153" s="74" t="s">
        <v>25</v>
      </c>
      <c r="E153" s="89"/>
      <c r="F153" s="89"/>
      <c r="G153" s="65" t="str">
        <f>IF(stdProdLT(Main[[#This Row],[Comments]])=0.1,"N/A",IF(stdProdLT(Main[[#This Row],[Comments]])=0,"",TRIM(stdProdLT(Main[[#This Row],[Comments]]))))</f>
        <v/>
      </c>
      <c r="H153" s="98" t="str">
        <f>IF(Main[[#This Row],[Std. Prod. Lead Time]]="N/A", "",IF(AND(Main[[#This Row],[In Stock Date]]&lt;&gt;"",Main[[#This Row],[Revised Due Date]]&lt;&gt;"",Main[[#This Row],[In Stock Date]]&lt;&gt;""),Main[[#This Row],[In Stock Date]]-Main[[#This Row],[Revised Due Date]],""))</f>
        <v/>
      </c>
      <c r="I153" s="110" t="s">
        <v>4</v>
      </c>
      <c r="J153" s="99" t="s">
        <v>4</v>
      </c>
      <c r="K153" s="99" t="s">
        <v>4</v>
      </c>
      <c r="L153" s="89"/>
      <c r="M153" s="75" t="str">
        <f>IF(Main[[#This Row],[Tech Start Date]]&lt;1/1/1990,"",IF(Main[[#This Row],[Class]]="C",WORKDAY(Main[[#This Row],[Tech Start Date]],9),IF(Main[[#This Row],[Class]]="B", WORKDAY(Main[[#This Row],[Tech Start Date]],6),IF(Main[[#This Row],[Class]]="A",WORKDAY(Main[[#This Row],[Tech Start Date]],2),""))))</f>
        <v/>
      </c>
      <c r="N153" s="75" t="str">
        <f>IF(Main[[#This Row],[Tech Start Date]]&lt;1/1/1990,"",IF(Main[[#This Row],[Class]]="C",WORKDAY(Main[[#This Row],[Tech Start Date]],19),IF(Main[[#This Row],[Class]]="B", WORKDAY(Main[[#This Row],[Tech Start Date]],12),IF(Main[[#This Row],[Class]]="A",WORKDAY(Main[[#This Row],[Tech Start Date]],4),""))))</f>
        <v/>
      </c>
      <c r="O153" s="75" t="str">
        <f>IF(Main[[#This Row],[Tech Start Date]]&lt;1/1/1990,"",IF(Main[[#This Row],[Class]]="C",WORKDAY(Main[[#This Row],[Tech Start Date]],23),IF(Main[[#This Row],[Class]]="B", WORKDAY(Main[[#This Row],[Tech Start Date]],15),IF(Main[[#This Row],[Class]]="A",WORKDAY(Main[[#This Row],[Tech Start Date]],5),""))))</f>
        <v/>
      </c>
      <c r="P153" s="75" t="str">
        <f>IF(Main[[#This Row],[Tech Start Date]]&lt;1/1/1990,"",IF(Main[[#This Row],[Class]]="C",WORKDAY(Main[[#This Row],[Tech Start Date]],28),IF(Main[[#This Row],[Class]]="B", WORKDAY(Main[[#This Row],[Tech Start Date]],19),IF(Main[[#This Row],[Class]]="A",WORKDAY(Main[[#This Row],[Tech Start Date]],9),""))))</f>
        <v/>
      </c>
      <c r="Q153" s="89"/>
      <c r="R153" s="121"/>
      <c r="S153" s="99" t="s">
        <v>11</v>
      </c>
      <c r="T153" s="76" t="s">
        <v>4</v>
      </c>
      <c r="U153" s="99" t="s">
        <v>14</v>
      </c>
      <c r="V153" s="99" t="s">
        <v>1914</v>
      </c>
      <c r="W153" s="99" t="s">
        <v>1918</v>
      </c>
      <c r="X153" s="99" t="s">
        <v>306</v>
      </c>
      <c r="Y153" s="73" t="s">
        <v>2935</v>
      </c>
      <c r="Z153" s="73" t="s">
        <v>4</v>
      </c>
      <c r="AA153" s="99" t="s">
        <v>306</v>
      </c>
    </row>
    <row r="154" spans="1:27" ht="17.25" customHeight="1">
      <c r="A154" s="65" t="str">
        <f>IF(priority(Main[[#This Row],[Comments]])&lt;&gt;0, priority(Main[[#This Row],[Comments]]),"")</f>
        <v/>
      </c>
      <c r="B154" s="60" t="s">
        <v>1468</v>
      </c>
      <c r="C154" s="105" t="s">
        <v>4</v>
      </c>
      <c r="D154" s="74" t="s">
        <v>2328</v>
      </c>
      <c r="E154" s="89">
        <v>40431.641157407408</v>
      </c>
      <c r="F154" s="89"/>
      <c r="G154" s="65" t="str">
        <f>IF(stdProdLT(Main[[#This Row],[Comments]])=0.1,"N/A",IF(stdProdLT(Main[[#This Row],[Comments]])=0,"",TRIM(stdProdLT(Main[[#This Row],[Comments]]))))</f>
        <v/>
      </c>
      <c r="H154" s="98" t="str">
        <f>IF(Main[[#This Row],[Std. Prod. Lead Time]]="N/A", "",IF(AND(Main[[#This Row],[In Stock Date]]&lt;&gt;"",Main[[#This Row],[Revised Due Date]]&lt;&gt;"",Main[[#This Row],[In Stock Date]]&lt;&gt;""),Main[[#This Row],[In Stock Date]]-Main[[#This Row],[Revised Due Date]],""))</f>
        <v/>
      </c>
      <c r="I154" s="110" t="s">
        <v>912</v>
      </c>
      <c r="J154" s="99" t="s">
        <v>52</v>
      </c>
      <c r="K154" s="100" t="s">
        <v>4</v>
      </c>
      <c r="L154" s="89"/>
      <c r="M154" s="75" t="str">
        <f>IF(Main[[#This Row],[Tech Start Date]]&lt;1/1/1990,"",IF(Main[[#This Row],[Class]]="C",WORKDAY(Main[[#This Row],[Tech Start Date]],9),IF(Main[[#This Row],[Class]]="B", WORKDAY(Main[[#This Row],[Tech Start Date]],6),IF(Main[[#This Row],[Class]]="A",WORKDAY(Main[[#This Row],[Tech Start Date]],2),""))))</f>
        <v/>
      </c>
      <c r="N154" s="75" t="str">
        <f>IF(Main[[#This Row],[Tech Start Date]]&lt;1/1/1990,"",IF(Main[[#This Row],[Class]]="C",WORKDAY(Main[[#This Row],[Tech Start Date]],19),IF(Main[[#This Row],[Class]]="B", WORKDAY(Main[[#This Row],[Tech Start Date]],12),IF(Main[[#This Row],[Class]]="A",WORKDAY(Main[[#This Row],[Tech Start Date]],4),""))))</f>
        <v/>
      </c>
      <c r="O154" s="75" t="str">
        <f>IF(Main[[#This Row],[Tech Start Date]]&lt;1/1/1990,"",IF(Main[[#This Row],[Class]]="C",WORKDAY(Main[[#This Row],[Tech Start Date]],23),IF(Main[[#This Row],[Class]]="B", WORKDAY(Main[[#This Row],[Tech Start Date]],15),IF(Main[[#This Row],[Class]]="A",WORKDAY(Main[[#This Row],[Tech Start Date]],5),""))))</f>
        <v/>
      </c>
      <c r="P154" s="75" t="str">
        <f>IF(Main[[#This Row],[Tech Start Date]]&lt;1/1/1990,"",IF(Main[[#This Row],[Class]]="C",WORKDAY(Main[[#This Row],[Tech Start Date]],28),IF(Main[[#This Row],[Class]]="B", WORKDAY(Main[[#This Row],[Tech Start Date]],19),IF(Main[[#This Row],[Class]]="A",WORKDAY(Main[[#This Row],[Tech Start Date]],9),""))))</f>
        <v/>
      </c>
      <c r="Q154" s="89">
        <v>40466</v>
      </c>
      <c r="R154" s="121"/>
      <c r="S154" s="99" t="s">
        <v>6</v>
      </c>
      <c r="T154" s="76" t="s">
        <v>4</v>
      </c>
      <c r="U154" s="99" t="s">
        <v>29</v>
      </c>
      <c r="V154" s="99" t="s">
        <v>1913</v>
      </c>
      <c r="W154" s="99" t="s">
        <v>1915</v>
      </c>
      <c r="X154" s="99" t="s">
        <v>2812</v>
      </c>
      <c r="Y154" s="73" t="s">
        <v>2923</v>
      </c>
      <c r="Z154" s="73" t="s">
        <v>129</v>
      </c>
      <c r="AA154" s="99" t="s">
        <v>2812</v>
      </c>
    </row>
    <row r="155" spans="1:27" ht="17.25" customHeight="1">
      <c r="A155" s="65" t="str">
        <f>IF(priority(Main[[#This Row],[Comments]])&lt;&gt;0, priority(Main[[#This Row],[Comments]]),"")</f>
        <v/>
      </c>
      <c r="B155" s="60" t="s">
        <v>2320</v>
      </c>
      <c r="C155" s="105" t="s">
        <v>4</v>
      </c>
      <c r="D155" s="74" t="s">
        <v>2321</v>
      </c>
      <c r="E155" s="89">
        <v>40828.669305555559</v>
      </c>
      <c r="F155" s="89"/>
      <c r="G155" s="65" t="str">
        <f>IF(stdProdLT(Main[[#This Row],[Comments]])=0.1,"N/A",IF(stdProdLT(Main[[#This Row],[Comments]])=0,"",TRIM(stdProdLT(Main[[#This Row],[Comments]]))))</f>
        <v/>
      </c>
      <c r="H155" s="98" t="str">
        <f>IF(Main[[#This Row],[Std. Prod. Lead Time]]="N/A", "",IF(AND(Main[[#This Row],[In Stock Date]]&lt;&gt;"",Main[[#This Row],[Revised Due Date]]&lt;&gt;"",Main[[#This Row],[In Stock Date]]&lt;&gt;""),Main[[#This Row],[In Stock Date]]-Main[[#This Row],[Revised Due Date]],""))</f>
        <v/>
      </c>
      <c r="I155" s="110" t="s">
        <v>4</v>
      </c>
      <c r="J155" s="99" t="s">
        <v>4</v>
      </c>
      <c r="K155" s="99" t="s">
        <v>4</v>
      </c>
      <c r="L155" s="89"/>
      <c r="M155" s="75" t="str">
        <f>IF(Main[[#This Row],[Tech Start Date]]&lt;1/1/1990,"",IF(Main[[#This Row],[Class]]="C",WORKDAY(Main[[#This Row],[Tech Start Date]],9),IF(Main[[#This Row],[Class]]="B", WORKDAY(Main[[#This Row],[Tech Start Date]],6),IF(Main[[#This Row],[Class]]="A",WORKDAY(Main[[#This Row],[Tech Start Date]],2),""))))</f>
        <v/>
      </c>
      <c r="N155" s="75" t="str">
        <f>IF(Main[[#This Row],[Tech Start Date]]&lt;1/1/1990,"",IF(Main[[#This Row],[Class]]="C",WORKDAY(Main[[#This Row],[Tech Start Date]],19),IF(Main[[#This Row],[Class]]="B", WORKDAY(Main[[#This Row],[Tech Start Date]],12),IF(Main[[#This Row],[Class]]="A",WORKDAY(Main[[#This Row],[Tech Start Date]],4),""))))</f>
        <v/>
      </c>
      <c r="O155" s="75" t="str">
        <f>IF(Main[[#This Row],[Tech Start Date]]&lt;1/1/1990,"",IF(Main[[#This Row],[Class]]="C",WORKDAY(Main[[#This Row],[Tech Start Date]],23),IF(Main[[#This Row],[Class]]="B", WORKDAY(Main[[#This Row],[Tech Start Date]],15),IF(Main[[#This Row],[Class]]="A",WORKDAY(Main[[#This Row],[Tech Start Date]],5),""))))</f>
        <v/>
      </c>
      <c r="P155" s="75" t="str">
        <f>IF(Main[[#This Row],[Tech Start Date]]&lt;1/1/1990,"",IF(Main[[#This Row],[Class]]="C",WORKDAY(Main[[#This Row],[Tech Start Date]],28),IF(Main[[#This Row],[Class]]="B", WORKDAY(Main[[#This Row],[Tech Start Date]],19),IF(Main[[#This Row],[Class]]="A",WORKDAY(Main[[#This Row],[Tech Start Date]],9),""))))</f>
        <v/>
      </c>
      <c r="Q155" s="89"/>
      <c r="R155" s="121"/>
      <c r="S155" s="99" t="s">
        <v>6</v>
      </c>
      <c r="T155" s="76" t="s">
        <v>4</v>
      </c>
      <c r="U155" s="99" t="s">
        <v>29</v>
      </c>
      <c r="V155" s="99" t="s">
        <v>1913</v>
      </c>
      <c r="W155" s="99" t="s">
        <v>1917</v>
      </c>
      <c r="X155" s="99" t="s">
        <v>102</v>
      </c>
      <c r="Y155" s="73" t="s">
        <v>2936</v>
      </c>
      <c r="Z155" s="73" t="s">
        <v>4</v>
      </c>
      <c r="AA155" s="99" t="s">
        <v>3366</v>
      </c>
    </row>
    <row r="156" spans="1:27" ht="17.25" customHeight="1">
      <c r="A156" s="65" t="str">
        <f>IF(priority(Main[[#This Row],[Comments]])&lt;&gt;0, priority(Main[[#This Row],[Comments]]),"")</f>
        <v/>
      </c>
      <c r="B156" s="60" t="s">
        <v>1015</v>
      </c>
      <c r="C156" s="105" t="s">
        <v>26</v>
      </c>
      <c r="D156" s="74" t="s">
        <v>27</v>
      </c>
      <c r="E156" s="89"/>
      <c r="F156" s="89">
        <v>40563</v>
      </c>
      <c r="G156" s="65" t="str">
        <f>IF(stdProdLT(Main[[#This Row],[Comments]])=0.1,"N/A",IF(stdProdLT(Main[[#This Row],[Comments]])=0,"",TRIM(stdProdLT(Main[[#This Row],[Comments]]))))</f>
        <v/>
      </c>
      <c r="H156" s="98" t="str">
        <f>IF(Main[[#This Row],[Std. Prod. Lead Time]]="N/A", "",IF(AND(Main[[#This Row],[In Stock Date]]&lt;&gt;"",Main[[#This Row],[Revised Due Date]]&lt;&gt;"",Main[[#This Row],[In Stock Date]]&lt;&gt;""),Main[[#This Row],[In Stock Date]]-Main[[#This Row],[Revised Due Date]],""))</f>
        <v/>
      </c>
      <c r="I156" s="110" t="s">
        <v>4</v>
      </c>
      <c r="J156" s="99" t="s">
        <v>28</v>
      </c>
      <c r="K156" s="100" t="s">
        <v>1920</v>
      </c>
      <c r="L156" s="89"/>
      <c r="M156" s="75" t="str">
        <f>IF(Main[[#This Row],[Tech Start Date]]&lt;1/1/1990,"",IF(Main[[#This Row],[Class]]="C",WORKDAY(Main[[#This Row],[Tech Start Date]],9),IF(Main[[#This Row],[Class]]="B", WORKDAY(Main[[#This Row],[Tech Start Date]],6),IF(Main[[#This Row],[Class]]="A",WORKDAY(Main[[#This Row],[Tech Start Date]],2),""))))</f>
        <v/>
      </c>
      <c r="N156" s="75" t="str">
        <f>IF(Main[[#This Row],[Tech Start Date]]&lt;1/1/1990,"",IF(Main[[#This Row],[Class]]="C",WORKDAY(Main[[#This Row],[Tech Start Date]],19),IF(Main[[#This Row],[Class]]="B", WORKDAY(Main[[#This Row],[Tech Start Date]],12),IF(Main[[#This Row],[Class]]="A",WORKDAY(Main[[#This Row],[Tech Start Date]],4),""))))</f>
        <v/>
      </c>
      <c r="O156" s="75" t="str">
        <f>IF(Main[[#This Row],[Tech Start Date]]&lt;1/1/1990,"",IF(Main[[#This Row],[Class]]="C",WORKDAY(Main[[#This Row],[Tech Start Date]],23),IF(Main[[#This Row],[Class]]="B", WORKDAY(Main[[#This Row],[Tech Start Date]],15),IF(Main[[#This Row],[Class]]="A",WORKDAY(Main[[#This Row],[Tech Start Date]],5),""))))</f>
        <v/>
      </c>
      <c r="P156" s="75" t="str">
        <f>IF(Main[[#This Row],[Tech Start Date]]&lt;1/1/1990,"",IF(Main[[#This Row],[Class]]="C",WORKDAY(Main[[#This Row],[Tech Start Date]],28),IF(Main[[#This Row],[Class]]="B", WORKDAY(Main[[#This Row],[Tech Start Date]],19),IF(Main[[#This Row],[Class]]="A",WORKDAY(Main[[#This Row],[Tech Start Date]],9),""))))</f>
        <v/>
      </c>
      <c r="Q156" s="89">
        <v>40563</v>
      </c>
      <c r="R156" s="121"/>
      <c r="S156" s="99" t="s">
        <v>11</v>
      </c>
      <c r="T156" s="76" t="s">
        <v>4</v>
      </c>
      <c r="U156" s="99" t="s">
        <v>14</v>
      </c>
      <c r="V156" s="99" t="s">
        <v>1914</v>
      </c>
      <c r="W156" s="99" t="s">
        <v>1915</v>
      </c>
      <c r="X156" s="99" t="s">
        <v>2810</v>
      </c>
      <c r="Y156" s="73" t="s">
        <v>2922</v>
      </c>
      <c r="Z156" s="73" t="s">
        <v>3153</v>
      </c>
      <c r="AA156" s="99" t="s">
        <v>2810</v>
      </c>
    </row>
    <row r="157" spans="1:27" ht="17.25" customHeight="1">
      <c r="A157" s="65" t="str">
        <f>IF(priority(Main[[#This Row],[Comments]])&lt;&gt;0, priority(Main[[#This Row],[Comments]]),"")</f>
        <v/>
      </c>
      <c r="B157" s="60" t="s">
        <v>1932</v>
      </c>
      <c r="C157" s="105" t="s">
        <v>4</v>
      </c>
      <c r="D157" s="74" t="s">
        <v>1933</v>
      </c>
      <c r="E157" s="89"/>
      <c r="F157" s="89">
        <v>40309</v>
      </c>
      <c r="G157" s="65" t="str">
        <f>IF(stdProdLT(Main[[#This Row],[Comments]])=0.1,"N/A",IF(stdProdLT(Main[[#This Row],[Comments]])=0,"",TRIM(stdProdLT(Main[[#This Row],[Comments]]))))</f>
        <v/>
      </c>
      <c r="H157" s="98" t="str">
        <f>IF(Main[[#This Row],[Std. Prod. Lead Time]]="N/A", "",IF(AND(Main[[#This Row],[In Stock Date]]&lt;&gt;"",Main[[#This Row],[Revised Due Date]]&lt;&gt;"",Main[[#This Row],[In Stock Date]]&lt;&gt;""),Main[[#This Row],[In Stock Date]]-Main[[#This Row],[Revised Due Date]],""))</f>
        <v/>
      </c>
      <c r="I157" s="110" t="s">
        <v>4</v>
      </c>
      <c r="J157" s="99" t="s">
        <v>4</v>
      </c>
      <c r="K157" s="99" t="s">
        <v>4</v>
      </c>
      <c r="L157" s="89"/>
      <c r="M157" s="75" t="str">
        <f>IF(Main[[#This Row],[Tech Start Date]]&lt;1/1/1990,"",IF(Main[[#This Row],[Class]]="C",WORKDAY(Main[[#This Row],[Tech Start Date]],9),IF(Main[[#This Row],[Class]]="B", WORKDAY(Main[[#This Row],[Tech Start Date]],6),IF(Main[[#This Row],[Class]]="A",WORKDAY(Main[[#This Row],[Tech Start Date]],2),""))))</f>
        <v/>
      </c>
      <c r="N157" s="75" t="str">
        <f>IF(Main[[#This Row],[Tech Start Date]]&lt;1/1/1990,"",IF(Main[[#This Row],[Class]]="C",WORKDAY(Main[[#This Row],[Tech Start Date]],19),IF(Main[[#This Row],[Class]]="B", WORKDAY(Main[[#This Row],[Tech Start Date]],12),IF(Main[[#This Row],[Class]]="A",WORKDAY(Main[[#This Row],[Tech Start Date]],4),""))))</f>
        <v/>
      </c>
      <c r="O157" s="75" t="str">
        <f>IF(Main[[#This Row],[Tech Start Date]]&lt;1/1/1990,"",IF(Main[[#This Row],[Class]]="C",WORKDAY(Main[[#This Row],[Tech Start Date]],23),IF(Main[[#This Row],[Class]]="B", WORKDAY(Main[[#This Row],[Tech Start Date]],15),IF(Main[[#This Row],[Class]]="A",WORKDAY(Main[[#This Row],[Tech Start Date]],5),""))))</f>
        <v/>
      </c>
      <c r="P157" s="75" t="str">
        <f>IF(Main[[#This Row],[Tech Start Date]]&lt;1/1/1990,"",IF(Main[[#This Row],[Class]]="C",WORKDAY(Main[[#This Row],[Tech Start Date]],28),IF(Main[[#This Row],[Class]]="B", WORKDAY(Main[[#This Row],[Tech Start Date]],19),IF(Main[[#This Row],[Class]]="A",WORKDAY(Main[[#This Row],[Tech Start Date]],9),""))))</f>
        <v/>
      </c>
      <c r="Q157" s="89">
        <v>40305</v>
      </c>
      <c r="R157" s="121"/>
      <c r="S157" s="99" t="s">
        <v>6</v>
      </c>
      <c r="T157" s="76" t="s">
        <v>4</v>
      </c>
      <c r="U157" s="99" t="s">
        <v>14</v>
      </c>
      <c r="V157" s="99" t="s">
        <v>1913</v>
      </c>
      <c r="W157" s="99" t="s">
        <v>1921</v>
      </c>
      <c r="X157" s="99" t="s">
        <v>2818</v>
      </c>
      <c r="Y157" s="73" t="s">
        <v>2937</v>
      </c>
      <c r="Z157" s="73" t="s">
        <v>4</v>
      </c>
      <c r="AA157" s="99" t="s">
        <v>2818</v>
      </c>
    </row>
    <row r="158" spans="1:27" ht="17.25" customHeight="1">
      <c r="A158" s="65" t="str">
        <f>IF(priority(Main[[#This Row],[Comments]])&lt;&gt;0, priority(Main[[#This Row],[Comments]]),"")</f>
        <v/>
      </c>
      <c r="B158" s="60" t="s">
        <v>1016</v>
      </c>
      <c r="C158" s="105" t="s">
        <v>4</v>
      </c>
      <c r="D158" s="74" t="s">
        <v>1946</v>
      </c>
      <c r="E158" s="89">
        <v>40130.654374999998</v>
      </c>
      <c r="F158" s="89"/>
      <c r="G158" s="65" t="str">
        <f>IF(stdProdLT(Main[[#This Row],[Comments]])=0.1,"N/A",IF(stdProdLT(Main[[#This Row],[Comments]])=0,"",TRIM(stdProdLT(Main[[#This Row],[Comments]]))))</f>
        <v/>
      </c>
      <c r="H158" s="98" t="str">
        <f>IF(Main[[#This Row],[Std. Prod. Lead Time]]="N/A", "",IF(AND(Main[[#This Row],[In Stock Date]]&lt;&gt;"",Main[[#This Row],[Revised Due Date]]&lt;&gt;"",Main[[#This Row],[In Stock Date]]&lt;&gt;""),Main[[#This Row],[In Stock Date]]-Main[[#This Row],[Revised Due Date]],""))</f>
        <v/>
      </c>
      <c r="I158" s="110" t="s">
        <v>4</v>
      </c>
      <c r="J158" s="99" t="s">
        <v>4</v>
      </c>
      <c r="K158" s="99" t="s">
        <v>4</v>
      </c>
      <c r="L158" s="89"/>
      <c r="M158" s="75" t="str">
        <f>IF(Main[[#This Row],[Tech Start Date]]&lt;1/1/1990,"",IF(Main[[#This Row],[Class]]="C",WORKDAY(Main[[#This Row],[Tech Start Date]],9),IF(Main[[#This Row],[Class]]="B", WORKDAY(Main[[#This Row],[Tech Start Date]],6),IF(Main[[#This Row],[Class]]="A",WORKDAY(Main[[#This Row],[Tech Start Date]],2),""))))</f>
        <v/>
      </c>
      <c r="N158" s="75" t="str">
        <f>IF(Main[[#This Row],[Tech Start Date]]&lt;1/1/1990,"",IF(Main[[#This Row],[Class]]="C",WORKDAY(Main[[#This Row],[Tech Start Date]],19),IF(Main[[#This Row],[Class]]="B", WORKDAY(Main[[#This Row],[Tech Start Date]],12),IF(Main[[#This Row],[Class]]="A",WORKDAY(Main[[#This Row],[Tech Start Date]],4),""))))</f>
        <v/>
      </c>
      <c r="O158" s="75" t="str">
        <f>IF(Main[[#This Row],[Tech Start Date]]&lt;1/1/1990,"",IF(Main[[#This Row],[Class]]="C",WORKDAY(Main[[#This Row],[Tech Start Date]],23),IF(Main[[#This Row],[Class]]="B", WORKDAY(Main[[#This Row],[Tech Start Date]],15),IF(Main[[#This Row],[Class]]="A",WORKDAY(Main[[#This Row],[Tech Start Date]],5),""))))</f>
        <v/>
      </c>
      <c r="P158" s="75" t="str">
        <f>IF(Main[[#This Row],[Tech Start Date]]&lt;1/1/1990,"",IF(Main[[#This Row],[Class]]="C",WORKDAY(Main[[#This Row],[Tech Start Date]],28),IF(Main[[#This Row],[Class]]="B", WORKDAY(Main[[#This Row],[Tech Start Date]],19),IF(Main[[#This Row],[Class]]="A",WORKDAY(Main[[#This Row],[Tech Start Date]],9),""))))</f>
        <v/>
      </c>
      <c r="Q158" s="89"/>
      <c r="R158" s="121"/>
      <c r="S158" s="99" t="s">
        <v>6</v>
      </c>
      <c r="T158" s="76" t="s">
        <v>4</v>
      </c>
      <c r="U158" s="99" t="s">
        <v>29</v>
      </c>
      <c r="V158" s="99" t="s">
        <v>1913</v>
      </c>
      <c r="W158" s="99" t="s">
        <v>1921</v>
      </c>
      <c r="X158" s="99" t="s">
        <v>2814</v>
      </c>
      <c r="Y158" s="73" t="s">
        <v>2938</v>
      </c>
      <c r="Z158" s="73" t="s">
        <v>4</v>
      </c>
      <c r="AA158" s="99" t="s">
        <v>2867</v>
      </c>
    </row>
    <row r="159" spans="1:27" ht="17.25" customHeight="1">
      <c r="A159" s="65" t="str">
        <f>IF(priority(Main[[#This Row],[Comments]])&lt;&gt;0, priority(Main[[#This Row],[Comments]]),"")</f>
        <v/>
      </c>
      <c r="B159" s="60" t="s">
        <v>1018</v>
      </c>
      <c r="C159" s="105" t="s">
        <v>31</v>
      </c>
      <c r="D159" s="74" t="s">
        <v>32</v>
      </c>
      <c r="E159" s="89"/>
      <c r="F159" s="89">
        <v>40634</v>
      </c>
      <c r="G159" s="65" t="str">
        <f>IF(stdProdLT(Main[[#This Row],[Comments]])=0.1,"N/A",IF(stdProdLT(Main[[#This Row],[Comments]])=0,"",TRIM(stdProdLT(Main[[#This Row],[Comments]]))))</f>
        <v/>
      </c>
      <c r="H159" s="98" t="str">
        <f>IF(Main[[#This Row],[Std. Prod. Lead Time]]="N/A", "",IF(AND(Main[[#This Row],[In Stock Date]]&lt;&gt;"",Main[[#This Row],[Revised Due Date]]&lt;&gt;"",Main[[#This Row],[In Stock Date]]&lt;&gt;""),Main[[#This Row],[In Stock Date]]-Main[[#This Row],[Revised Due Date]],""))</f>
        <v/>
      </c>
      <c r="I159" s="110" t="s">
        <v>4</v>
      </c>
      <c r="J159" s="99" t="s">
        <v>4</v>
      </c>
      <c r="K159" s="99" t="s">
        <v>4</v>
      </c>
      <c r="L159" s="89"/>
      <c r="M159" s="75" t="str">
        <f>IF(Main[[#This Row],[Tech Start Date]]&lt;1/1/1990,"",IF(Main[[#This Row],[Class]]="C",WORKDAY(Main[[#This Row],[Tech Start Date]],9),IF(Main[[#This Row],[Class]]="B", WORKDAY(Main[[#This Row],[Tech Start Date]],6),IF(Main[[#This Row],[Class]]="A",WORKDAY(Main[[#This Row],[Tech Start Date]],2),""))))</f>
        <v/>
      </c>
      <c r="N159" s="75" t="str">
        <f>IF(Main[[#This Row],[Tech Start Date]]&lt;1/1/1990,"",IF(Main[[#This Row],[Class]]="C",WORKDAY(Main[[#This Row],[Tech Start Date]],19),IF(Main[[#This Row],[Class]]="B", WORKDAY(Main[[#This Row],[Tech Start Date]],12),IF(Main[[#This Row],[Class]]="A",WORKDAY(Main[[#This Row],[Tech Start Date]],4),""))))</f>
        <v/>
      </c>
      <c r="O159" s="75" t="str">
        <f>IF(Main[[#This Row],[Tech Start Date]]&lt;1/1/1990,"",IF(Main[[#This Row],[Class]]="C",WORKDAY(Main[[#This Row],[Tech Start Date]],23),IF(Main[[#This Row],[Class]]="B", WORKDAY(Main[[#This Row],[Tech Start Date]],15),IF(Main[[#This Row],[Class]]="A",WORKDAY(Main[[#This Row],[Tech Start Date]],5),""))))</f>
        <v/>
      </c>
      <c r="P159" s="75" t="str">
        <f>IF(Main[[#This Row],[Tech Start Date]]&lt;1/1/1990,"",IF(Main[[#This Row],[Class]]="C",WORKDAY(Main[[#This Row],[Tech Start Date]],28),IF(Main[[#This Row],[Class]]="B", WORKDAY(Main[[#This Row],[Tech Start Date]],19),IF(Main[[#This Row],[Class]]="A",WORKDAY(Main[[#This Row],[Tech Start Date]],9),""))))</f>
        <v/>
      </c>
      <c r="Q159" s="89"/>
      <c r="R159" s="121"/>
      <c r="S159" s="99" t="s">
        <v>11</v>
      </c>
      <c r="T159" s="76" t="s">
        <v>4</v>
      </c>
      <c r="U159" s="99" t="s">
        <v>14</v>
      </c>
      <c r="V159" s="99" t="s">
        <v>1916</v>
      </c>
      <c r="W159" s="99" t="s">
        <v>1918</v>
      </c>
      <c r="X159" s="99" t="s">
        <v>2819</v>
      </c>
      <c r="Y159" s="73" t="s">
        <v>2939</v>
      </c>
      <c r="Z159" s="73" t="s">
        <v>4</v>
      </c>
      <c r="AA159" s="99" t="s">
        <v>2839</v>
      </c>
    </row>
    <row r="160" spans="1:27" ht="17.25" customHeight="1">
      <c r="A160" s="65" t="str">
        <f>IF(priority(Main[[#This Row],[Comments]])&lt;&gt;0, priority(Main[[#This Row],[Comments]]),"")</f>
        <v/>
      </c>
      <c r="B160" s="60" t="s">
        <v>1019</v>
      </c>
      <c r="C160" s="105" t="s">
        <v>33</v>
      </c>
      <c r="D160" s="74" t="s">
        <v>34</v>
      </c>
      <c r="E160" s="89"/>
      <c r="F160" s="89">
        <v>40764</v>
      </c>
      <c r="G160" s="65" t="str">
        <f>IF(stdProdLT(Main[[#This Row],[Comments]])=0.1,"N/A",IF(stdProdLT(Main[[#This Row],[Comments]])=0,"",TRIM(stdProdLT(Main[[#This Row],[Comments]]))))</f>
        <v/>
      </c>
      <c r="H160" s="98" t="str">
        <f>IF(Main[[#This Row],[Std. Prod. Lead Time]]="N/A", "",IF(AND(Main[[#This Row],[In Stock Date]]&lt;&gt;"",Main[[#This Row],[Revised Due Date]]&lt;&gt;"",Main[[#This Row],[In Stock Date]]&lt;&gt;""),Main[[#This Row],[In Stock Date]]-Main[[#This Row],[Revised Due Date]],""))</f>
        <v/>
      </c>
      <c r="I160" s="110" t="s">
        <v>4</v>
      </c>
      <c r="J160" s="99" t="s">
        <v>28</v>
      </c>
      <c r="K160" s="99" t="s">
        <v>1920</v>
      </c>
      <c r="L160" s="89"/>
      <c r="M160" s="75" t="str">
        <f>IF(Main[[#This Row],[Tech Start Date]]&lt;1/1/1990,"",IF(Main[[#This Row],[Class]]="C",WORKDAY(Main[[#This Row],[Tech Start Date]],9),IF(Main[[#This Row],[Class]]="B", WORKDAY(Main[[#This Row],[Tech Start Date]],6),IF(Main[[#This Row],[Class]]="A",WORKDAY(Main[[#This Row],[Tech Start Date]],2),""))))</f>
        <v/>
      </c>
      <c r="N160" s="75" t="str">
        <f>IF(Main[[#This Row],[Tech Start Date]]&lt;1/1/1990,"",IF(Main[[#This Row],[Class]]="C",WORKDAY(Main[[#This Row],[Tech Start Date]],19),IF(Main[[#This Row],[Class]]="B", WORKDAY(Main[[#This Row],[Tech Start Date]],12),IF(Main[[#This Row],[Class]]="A",WORKDAY(Main[[#This Row],[Tech Start Date]],4),""))))</f>
        <v/>
      </c>
      <c r="O160" s="75" t="str">
        <f>IF(Main[[#This Row],[Tech Start Date]]&lt;1/1/1990,"",IF(Main[[#This Row],[Class]]="C",WORKDAY(Main[[#This Row],[Tech Start Date]],23),IF(Main[[#This Row],[Class]]="B", WORKDAY(Main[[#This Row],[Tech Start Date]],15),IF(Main[[#This Row],[Class]]="A",WORKDAY(Main[[#This Row],[Tech Start Date]],5),""))))</f>
        <v/>
      </c>
      <c r="P160" s="75" t="str">
        <f>IF(Main[[#This Row],[Tech Start Date]]&lt;1/1/1990,"",IF(Main[[#This Row],[Class]]="C",WORKDAY(Main[[#This Row],[Tech Start Date]],28),IF(Main[[#This Row],[Class]]="B", WORKDAY(Main[[#This Row],[Tech Start Date]],19),IF(Main[[#This Row],[Class]]="A",WORKDAY(Main[[#This Row],[Tech Start Date]],9),""))))</f>
        <v/>
      </c>
      <c r="Q160" s="89">
        <v>40568</v>
      </c>
      <c r="R160" s="121"/>
      <c r="S160" s="99" t="s">
        <v>11</v>
      </c>
      <c r="T160" s="76" t="s">
        <v>4</v>
      </c>
      <c r="U160" s="99" t="s">
        <v>14</v>
      </c>
      <c r="V160" s="99" t="s">
        <v>1913</v>
      </c>
      <c r="W160" s="99" t="s">
        <v>1921</v>
      </c>
      <c r="X160" s="99" t="s">
        <v>2820</v>
      </c>
      <c r="Y160" s="73" t="s">
        <v>2940</v>
      </c>
      <c r="Z160" s="73" t="s">
        <v>129</v>
      </c>
      <c r="AA160" s="99" t="s">
        <v>2820</v>
      </c>
    </row>
    <row r="161" spans="1:27" ht="17.25" customHeight="1">
      <c r="A161" s="65" t="str">
        <f>IF(priority(Main[[#This Row],[Comments]])&lt;&gt;0, priority(Main[[#This Row],[Comments]]),"")</f>
        <v/>
      </c>
      <c r="B161" s="60" t="s">
        <v>1934</v>
      </c>
      <c r="C161" s="105" t="s">
        <v>4</v>
      </c>
      <c r="D161" s="74" t="s">
        <v>35</v>
      </c>
      <c r="E161" s="89"/>
      <c r="F161" s="89"/>
      <c r="G161" s="65" t="str">
        <f>IF(stdProdLT(Main[[#This Row],[Comments]])=0.1,"N/A",IF(stdProdLT(Main[[#This Row],[Comments]])=0,"",TRIM(stdProdLT(Main[[#This Row],[Comments]]))))</f>
        <v/>
      </c>
      <c r="H161" s="98" t="str">
        <f>IF(Main[[#This Row],[Std. Prod. Lead Time]]="N/A", "",IF(AND(Main[[#This Row],[In Stock Date]]&lt;&gt;"",Main[[#This Row],[Revised Due Date]]&lt;&gt;"",Main[[#This Row],[In Stock Date]]&lt;&gt;""),Main[[#This Row],[In Stock Date]]-Main[[#This Row],[Revised Due Date]],""))</f>
        <v/>
      </c>
      <c r="I161" s="110" t="s">
        <v>4</v>
      </c>
      <c r="J161" s="99" t="s">
        <v>4</v>
      </c>
      <c r="K161" s="99" t="s">
        <v>4</v>
      </c>
      <c r="L161" s="89"/>
      <c r="M161" s="75" t="str">
        <f>IF(Main[[#This Row],[Tech Start Date]]&lt;1/1/1990,"",IF(Main[[#This Row],[Class]]="C",WORKDAY(Main[[#This Row],[Tech Start Date]],9),IF(Main[[#This Row],[Class]]="B", WORKDAY(Main[[#This Row],[Tech Start Date]],6),IF(Main[[#This Row],[Class]]="A",WORKDAY(Main[[#This Row],[Tech Start Date]],2),""))))</f>
        <v/>
      </c>
      <c r="N161" s="75" t="str">
        <f>IF(Main[[#This Row],[Tech Start Date]]&lt;1/1/1990,"",IF(Main[[#This Row],[Class]]="C",WORKDAY(Main[[#This Row],[Tech Start Date]],19),IF(Main[[#This Row],[Class]]="B", WORKDAY(Main[[#This Row],[Tech Start Date]],12),IF(Main[[#This Row],[Class]]="A",WORKDAY(Main[[#This Row],[Tech Start Date]],4),""))))</f>
        <v/>
      </c>
      <c r="O161" s="75" t="str">
        <f>IF(Main[[#This Row],[Tech Start Date]]&lt;1/1/1990,"",IF(Main[[#This Row],[Class]]="C",WORKDAY(Main[[#This Row],[Tech Start Date]],23),IF(Main[[#This Row],[Class]]="B", WORKDAY(Main[[#This Row],[Tech Start Date]],15),IF(Main[[#This Row],[Class]]="A",WORKDAY(Main[[#This Row],[Tech Start Date]],5),""))))</f>
        <v/>
      </c>
      <c r="P161" s="75" t="str">
        <f>IF(Main[[#This Row],[Tech Start Date]]&lt;1/1/1990,"",IF(Main[[#This Row],[Class]]="C",WORKDAY(Main[[#This Row],[Tech Start Date]],28),IF(Main[[#This Row],[Class]]="B", WORKDAY(Main[[#This Row],[Tech Start Date]],19),IF(Main[[#This Row],[Class]]="A",WORKDAY(Main[[#This Row],[Tech Start Date]],9),""))))</f>
        <v/>
      </c>
      <c r="Q161" s="89"/>
      <c r="R161" s="121"/>
      <c r="S161" s="99" t="s">
        <v>23</v>
      </c>
      <c r="T161" s="76" t="s">
        <v>4</v>
      </c>
      <c r="U161" s="99" t="s">
        <v>14</v>
      </c>
      <c r="V161" s="99" t="s">
        <v>1923</v>
      </c>
      <c r="W161" s="99" t="s">
        <v>1917</v>
      </c>
      <c r="X161" s="99" t="s">
        <v>399</v>
      </c>
      <c r="Y161" s="73" t="s">
        <v>4</v>
      </c>
      <c r="Z161" s="73" t="s">
        <v>4</v>
      </c>
      <c r="AA161" s="99" t="s">
        <v>3367</v>
      </c>
    </row>
    <row r="162" spans="1:27" ht="17.25" customHeight="1">
      <c r="A162" s="65" t="str">
        <f>IF(priority(Main[[#This Row],[Comments]])&lt;&gt;0, priority(Main[[#This Row],[Comments]]),"")</f>
        <v/>
      </c>
      <c r="B162" s="60" t="s">
        <v>1020</v>
      </c>
      <c r="C162" s="105" t="s">
        <v>4</v>
      </c>
      <c r="D162" s="74" t="s">
        <v>36</v>
      </c>
      <c r="E162" s="89"/>
      <c r="F162" s="89"/>
      <c r="G162" s="65" t="str">
        <f>IF(stdProdLT(Main[[#This Row],[Comments]])=0.1,"N/A",IF(stdProdLT(Main[[#This Row],[Comments]])=0,"",TRIM(stdProdLT(Main[[#This Row],[Comments]]))))</f>
        <v/>
      </c>
      <c r="H162" s="98" t="str">
        <f>IF(Main[[#This Row],[Std. Prod. Lead Time]]="N/A", "",IF(AND(Main[[#This Row],[In Stock Date]]&lt;&gt;"",Main[[#This Row],[Revised Due Date]]&lt;&gt;"",Main[[#This Row],[In Stock Date]]&lt;&gt;""),Main[[#This Row],[In Stock Date]]-Main[[#This Row],[Revised Due Date]],""))</f>
        <v/>
      </c>
      <c r="I162" s="110" t="s">
        <v>4</v>
      </c>
      <c r="J162" s="99" t="s">
        <v>4</v>
      </c>
      <c r="K162" s="99" t="s">
        <v>4</v>
      </c>
      <c r="L162" s="89"/>
      <c r="M162" s="75" t="str">
        <f>IF(Main[[#This Row],[Tech Start Date]]&lt;1/1/1990,"",IF(Main[[#This Row],[Class]]="C",WORKDAY(Main[[#This Row],[Tech Start Date]],9),IF(Main[[#This Row],[Class]]="B", WORKDAY(Main[[#This Row],[Tech Start Date]],6),IF(Main[[#This Row],[Class]]="A",WORKDAY(Main[[#This Row],[Tech Start Date]],2),""))))</f>
        <v/>
      </c>
      <c r="N162" s="75" t="str">
        <f>IF(Main[[#This Row],[Tech Start Date]]&lt;1/1/1990,"",IF(Main[[#This Row],[Class]]="C",WORKDAY(Main[[#This Row],[Tech Start Date]],19),IF(Main[[#This Row],[Class]]="B", WORKDAY(Main[[#This Row],[Tech Start Date]],12),IF(Main[[#This Row],[Class]]="A",WORKDAY(Main[[#This Row],[Tech Start Date]],4),""))))</f>
        <v/>
      </c>
      <c r="O162" s="75" t="str">
        <f>IF(Main[[#This Row],[Tech Start Date]]&lt;1/1/1990,"",IF(Main[[#This Row],[Class]]="C",WORKDAY(Main[[#This Row],[Tech Start Date]],23),IF(Main[[#This Row],[Class]]="B", WORKDAY(Main[[#This Row],[Tech Start Date]],15),IF(Main[[#This Row],[Class]]="A",WORKDAY(Main[[#This Row],[Tech Start Date]],5),""))))</f>
        <v/>
      </c>
      <c r="P162" s="75" t="str">
        <f>IF(Main[[#This Row],[Tech Start Date]]&lt;1/1/1990,"",IF(Main[[#This Row],[Class]]="C",WORKDAY(Main[[#This Row],[Tech Start Date]],28),IF(Main[[#This Row],[Class]]="B", WORKDAY(Main[[#This Row],[Tech Start Date]],19),IF(Main[[#This Row],[Class]]="A",WORKDAY(Main[[#This Row],[Tech Start Date]],9),""))))</f>
        <v/>
      </c>
      <c r="Q162" s="89">
        <v>40781</v>
      </c>
      <c r="R162" s="121"/>
      <c r="S162" s="99" t="s">
        <v>11</v>
      </c>
      <c r="T162" s="76" t="s">
        <v>4</v>
      </c>
      <c r="U162" s="99" t="s">
        <v>14</v>
      </c>
      <c r="V162" s="99" t="s">
        <v>1913</v>
      </c>
      <c r="W162" s="99" t="s">
        <v>1917</v>
      </c>
      <c r="X162" s="99" t="s">
        <v>2815</v>
      </c>
      <c r="Y162" s="73" t="s">
        <v>2930</v>
      </c>
      <c r="Z162" s="73" t="s">
        <v>4</v>
      </c>
      <c r="AA162" s="99" t="s">
        <v>2815</v>
      </c>
    </row>
    <row r="163" spans="1:27" ht="17.25" customHeight="1">
      <c r="A163" s="65" t="str">
        <f>IF(priority(Main[[#This Row],[Comments]])&lt;&gt;0, priority(Main[[#This Row],[Comments]]),"")</f>
        <v/>
      </c>
      <c r="B163" s="60" t="s">
        <v>1021</v>
      </c>
      <c r="C163" s="105" t="s">
        <v>26</v>
      </c>
      <c r="D163" s="74" t="s">
        <v>38</v>
      </c>
      <c r="E163" s="89"/>
      <c r="F163" s="89">
        <v>40743</v>
      </c>
      <c r="G163" s="65" t="str">
        <f>IF(stdProdLT(Main[[#This Row],[Comments]])=0.1,"N/A",IF(stdProdLT(Main[[#This Row],[Comments]])=0,"",TRIM(stdProdLT(Main[[#This Row],[Comments]]))))</f>
        <v/>
      </c>
      <c r="H163" s="98" t="str">
        <f>IF(Main[[#This Row],[Std. Prod. Lead Time]]="N/A", "",IF(AND(Main[[#This Row],[In Stock Date]]&lt;&gt;"",Main[[#This Row],[Revised Due Date]]&lt;&gt;"",Main[[#This Row],[In Stock Date]]&lt;&gt;""),Main[[#This Row],[In Stock Date]]-Main[[#This Row],[Revised Due Date]],""))</f>
        <v/>
      </c>
      <c r="I163" s="110" t="s">
        <v>4</v>
      </c>
      <c r="J163" s="99" t="s">
        <v>28</v>
      </c>
      <c r="K163" s="99" t="s">
        <v>4</v>
      </c>
      <c r="L163" s="89"/>
      <c r="M163" s="75" t="str">
        <f>IF(Main[[#This Row],[Tech Start Date]]&lt;1/1/1990,"",IF(Main[[#This Row],[Class]]="C",WORKDAY(Main[[#This Row],[Tech Start Date]],9),IF(Main[[#This Row],[Class]]="B", WORKDAY(Main[[#This Row],[Tech Start Date]],6),IF(Main[[#This Row],[Class]]="A",WORKDAY(Main[[#This Row],[Tech Start Date]],2),""))))</f>
        <v/>
      </c>
      <c r="N163" s="75" t="str">
        <f>IF(Main[[#This Row],[Tech Start Date]]&lt;1/1/1990,"",IF(Main[[#This Row],[Class]]="C",WORKDAY(Main[[#This Row],[Tech Start Date]],19),IF(Main[[#This Row],[Class]]="B", WORKDAY(Main[[#This Row],[Tech Start Date]],12),IF(Main[[#This Row],[Class]]="A",WORKDAY(Main[[#This Row],[Tech Start Date]],4),""))))</f>
        <v/>
      </c>
      <c r="O163" s="75" t="str">
        <f>IF(Main[[#This Row],[Tech Start Date]]&lt;1/1/1990,"",IF(Main[[#This Row],[Class]]="C",WORKDAY(Main[[#This Row],[Tech Start Date]],23),IF(Main[[#This Row],[Class]]="B", WORKDAY(Main[[#This Row],[Tech Start Date]],15),IF(Main[[#This Row],[Class]]="A",WORKDAY(Main[[#This Row],[Tech Start Date]],5),""))))</f>
        <v/>
      </c>
      <c r="P163" s="75" t="str">
        <f>IF(Main[[#This Row],[Tech Start Date]]&lt;1/1/1990,"",IF(Main[[#This Row],[Class]]="C",WORKDAY(Main[[#This Row],[Tech Start Date]],28),IF(Main[[#This Row],[Class]]="B", WORKDAY(Main[[#This Row],[Tech Start Date]],19),IF(Main[[#This Row],[Class]]="A",WORKDAY(Main[[#This Row],[Tech Start Date]],9),""))))</f>
        <v/>
      </c>
      <c r="Q163" s="89">
        <v>40638</v>
      </c>
      <c r="R163" s="121"/>
      <c r="S163" s="99" t="s">
        <v>11</v>
      </c>
      <c r="T163" s="76" t="s">
        <v>4</v>
      </c>
      <c r="U163" s="99" t="s">
        <v>12</v>
      </c>
      <c r="V163" s="99" t="s">
        <v>1913</v>
      </c>
      <c r="W163" s="99" t="s">
        <v>1921</v>
      </c>
      <c r="X163" s="99" t="s">
        <v>129</v>
      </c>
      <c r="Y163" s="73" t="s">
        <v>4</v>
      </c>
      <c r="Z163" s="73" t="s">
        <v>129</v>
      </c>
      <c r="AA163" s="99" t="s">
        <v>3368</v>
      </c>
    </row>
    <row r="164" spans="1:27" ht="17.25" customHeight="1">
      <c r="A164" s="65" t="str">
        <f>IF(priority(Main[[#This Row],[Comments]])&lt;&gt;0, priority(Main[[#This Row],[Comments]]),"")</f>
        <v/>
      </c>
      <c r="B164" s="60" t="s">
        <v>1022</v>
      </c>
      <c r="C164" s="105" t="s">
        <v>4</v>
      </c>
      <c r="D164" s="74" t="s">
        <v>39</v>
      </c>
      <c r="E164" s="89"/>
      <c r="F164" s="89"/>
      <c r="G164" s="65" t="str">
        <f>IF(stdProdLT(Main[[#This Row],[Comments]])=0.1,"N/A",IF(stdProdLT(Main[[#This Row],[Comments]])=0,"",TRIM(stdProdLT(Main[[#This Row],[Comments]]))))</f>
        <v/>
      </c>
      <c r="H164" s="98" t="str">
        <f>IF(Main[[#This Row],[Std. Prod. Lead Time]]="N/A", "",IF(AND(Main[[#This Row],[In Stock Date]]&lt;&gt;"",Main[[#This Row],[Revised Due Date]]&lt;&gt;"",Main[[#This Row],[In Stock Date]]&lt;&gt;""),Main[[#This Row],[In Stock Date]]-Main[[#This Row],[Revised Due Date]],""))</f>
        <v/>
      </c>
      <c r="I164" s="110" t="s">
        <v>4</v>
      </c>
      <c r="J164" s="99" t="s">
        <v>4</v>
      </c>
      <c r="K164" s="99" t="s">
        <v>4</v>
      </c>
      <c r="L164" s="89"/>
      <c r="M164" s="75" t="str">
        <f>IF(Main[[#This Row],[Tech Start Date]]&lt;1/1/1990,"",IF(Main[[#This Row],[Class]]="C",WORKDAY(Main[[#This Row],[Tech Start Date]],9),IF(Main[[#This Row],[Class]]="B", WORKDAY(Main[[#This Row],[Tech Start Date]],6),IF(Main[[#This Row],[Class]]="A",WORKDAY(Main[[#This Row],[Tech Start Date]],2),""))))</f>
        <v/>
      </c>
      <c r="N164" s="75" t="str">
        <f>IF(Main[[#This Row],[Tech Start Date]]&lt;1/1/1990,"",IF(Main[[#This Row],[Class]]="C",WORKDAY(Main[[#This Row],[Tech Start Date]],19),IF(Main[[#This Row],[Class]]="B", WORKDAY(Main[[#This Row],[Tech Start Date]],12),IF(Main[[#This Row],[Class]]="A",WORKDAY(Main[[#This Row],[Tech Start Date]],4),""))))</f>
        <v/>
      </c>
      <c r="O164" s="75" t="str">
        <f>IF(Main[[#This Row],[Tech Start Date]]&lt;1/1/1990,"",IF(Main[[#This Row],[Class]]="C",WORKDAY(Main[[#This Row],[Tech Start Date]],23),IF(Main[[#This Row],[Class]]="B", WORKDAY(Main[[#This Row],[Tech Start Date]],15),IF(Main[[#This Row],[Class]]="A",WORKDAY(Main[[#This Row],[Tech Start Date]],5),""))))</f>
        <v/>
      </c>
      <c r="P164" s="75" t="str">
        <f>IF(Main[[#This Row],[Tech Start Date]]&lt;1/1/1990,"",IF(Main[[#This Row],[Class]]="C",WORKDAY(Main[[#This Row],[Tech Start Date]],28),IF(Main[[#This Row],[Class]]="B", WORKDAY(Main[[#This Row],[Tech Start Date]],19),IF(Main[[#This Row],[Class]]="A",WORKDAY(Main[[#This Row],[Tech Start Date]],9),""))))</f>
        <v/>
      </c>
      <c r="Q164" s="89">
        <v>40669</v>
      </c>
      <c r="R164" s="121"/>
      <c r="S164" s="99" t="s">
        <v>6</v>
      </c>
      <c r="T164" s="76" t="s">
        <v>4</v>
      </c>
      <c r="U164" s="99" t="s">
        <v>14</v>
      </c>
      <c r="V164" s="99" t="s">
        <v>1916</v>
      </c>
      <c r="W164" s="99" t="s">
        <v>4</v>
      </c>
      <c r="X164" s="99" t="s">
        <v>2812</v>
      </c>
      <c r="Y164" s="73" t="s">
        <v>2923</v>
      </c>
      <c r="Z164" s="73" t="s">
        <v>4</v>
      </c>
      <c r="AA164" s="99" t="s">
        <v>2812</v>
      </c>
    </row>
    <row r="165" spans="1:27" ht="17.25" customHeight="1">
      <c r="A165" s="65" t="str">
        <f>IF(priority(Main[[#This Row],[Comments]])&lt;&gt;0, priority(Main[[#This Row],[Comments]]),"")</f>
        <v/>
      </c>
      <c r="B165" s="60" t="s">
        <v>1023</v>
      </c>
      <c r="C165" s="105" t="s">
        <v>4</v>
      </c>
      <c r="D165" s="74" t="s">
        <v>40</v>
      </c>
      <c r="E165" s="89"/>
      <c r="F165" s="89"/>
      <c r="G165" s="65" t="str">
        <f>IF(stdProdLT(Main[[#This Row],[Comments]])=0.1,"N/A",IF(stdProdLT(Main[[#This Row],[Comments]])=0,"",TRIM(stdProdLT(Main[[#This Row],[Comments]]))))</f>
        <v/>
      </c>
      <c r="H165" s="98" t="str">
        <f>IF(Main[[#This Row],[Std. Prod. Lead Time]]="N/A", "",IF(AND(Main[[#This Row],[In Stock Date]]&lt;&gt;"",Main[[#This Row],[Revised Due Date]]&lt;&gt;"",Main[[#This Row],[In Stock Date]]&lt;&gt;""),Main[[#This Row],[In Stock Date]]-Main[[#This Row],[Revised Due Date]],""))</f>
        <v/>
      </c>
      <c r="I165" s="110" t="s">
        <v>4</v>
      </c>
      <c r="J165" s="99" t="s">
        <v>4</v>
      </c>
      <c r="K165" s="99" t="s">
        <v>4</v>
      </c>
      <c r="L165" s="89"/>
      <c r="M165" s="75" t="str">
        <f>IF(Main[[#This Row],[Tech Start Date]]&lt;1/1/1990,"",IF(Main[[#This Row],[Class]]="C",WORKDAY(Main[[#This Row],[Tech Start Date]],9),IF(Main[[#This Row],[Class]]="B", WORKDAY(Main[[#This Row],[Tech Start Date]],6),IF(Main[[#This Row],[Class]]="A",WORKDAY(Main[[#This Row],[Tech Start Date]],2),""))))</f>
        <v/>
      </c>
      <c r="N165" s="75" t="str">
        <f>IF(Main[[#This Row],[Tech Start Date]]&lt;1/1/1990,"",IF(Main[[#This Row],[Class]]="C",WORKDAY(Main[[#This Row],[Tech Start Date]],19),IF(Main[[#This Row],[Class]]="B", WORKDAY(Main[[#This Row],[Tech Start Date]],12),IF(Main[[#This Row],[Class]]="A",WORKDAY(Main[[#This Row],[Tech Start Date]],4),""))))</f>
        <v/>
      </c>
      <c r="O165" s="75" t="str">
        <f>IF(Main[[#This Row],[Tech Start Date]]&lt;1/1/1990,"",IF(Main[[#This Row],[Class]]="C",WORKDAY(Main[[#This Row],[Tech Start Date]],23),IF(Main[[#This Row],[Class]]="B", WORKDAY(Main[[#This Row],[Tech Start Date]],15),IF(Main[[#This Row],[Class]]="A",WORKDAY(Main[[#This Row],[Tech Start Date]],5),""))))</f>
        <v/>
      </c>
      <c r="P165" s="75" t="str">
        <f>IF(Main[[#This Row],[Tech Start Date]]&lt;1/1/1990,"",IF(Main[[#This Row],[Class]]="C",WORKDAY(Main[[#This Row],[Tech Start Date]],28),IF(Main[[#This Row],[Class]]="B", WORKDAY(Main[[#This Row],[Tech Start Date]],19),IF(Main[[#This Row],[Class]]="A",WORKDAY(Main[[#This Row],[Tech Start Date]],9),""))))</f>
        <v/>
      </c>
      <c r="Q165" s="89">
        <v>40368</v>
      </c>
      <c r="R165" s="121"/>
      <c r="S165" s="99" t="s">
        <v>6</v>
      </c>
      <c r="T165" s="76" t="s">
        <v>4</v>
      </c>
      <c r="U165" s="99" t="s">
        <v>14</v>
      </c>
      <c r="V165" s="99" t="s">
        <v>1923</v>
      </c>
      <c r="W165" s="99" t="s">
        <v>1915</v>
      </c>
      <c r="X165" s="99" t="s">
        <v>50</v>
      </c>
      <c r="Y165" s="73" t="s">
        <v>2941</v>
      </c>
      <c r="Z165" s="73" t="s">
        <v>4</v>
      </c>
      <c r="AA165" s="99" t="s">
        <v>971</v>
      </c>
    </row>
    <row r="166" spans="1:27" ht="17.25" customHeight="1">
      <c r="A166" s="65" t="str">
        <f>IF(priority(Main[[#This Row],[Comments]])&lt;&gt;0, priority(Main[[#This Row],[Comments]]),"")</f>
        <v/>
      </c>
      <c r="B166" s="60" t="s">
        <v>1024</v>
      </c>
      <c r="C166" s="105" t="s">
        <v>33</v>
      </c>
      <c r="D166" s="74" t="s">
        <v>41</v>
      </c>
      <c r="E166" s="89"/>
      <c r="F166" s="89"/>
      <c r="G166" s="65" t="str">
        <f>IF(stdProdLT(Main[[#This Row],[Comments]])=0.1,"N/A",IF(stdProdLT(Main[[#This Row],[Comments]])=0,"",TRIM(stdProdLT(Main[[#This Row],[Comments]]))))</f>
        <v/>
      </c>
      <c r="H166" s="98" t="str">
        <f>IF(Main[[#This Row],[Std. Prod. Lead Time]]="N/A", "",IF(AND(Main[[#This Row],[In Stock Date]]&lt;&gt;"",Main[[#This Row],[Revised Due Date]]&lt;&gt;"",Main[[#This Row],[In Stock Date]]&lt;&gt;""),Main[[#This Row],[In Stock Date]]-Main[[#This Row],[Revised Due Date]],""))</f>
        <v/>
      </c>
      <c r="I166" s="110" t="s">
        <v>4</v>
      </c>
      <c r="J166" s="99" t="s">
        <v>4</v>
      </c>
      <c r="K166" s="99" t="s">
        <v>4</v>
      </c>
      <c r="L166" s="89"/>
      <c r="M166" s="75" t="str">
        <f>IF(Main[[#This Row],[Tech Start Date]]&lt;1/1/1990,"",IF(Main[[#This Row],[Class]]="C",WORKDAY(Main[[#This Row],[Tech Start Date]],9),IF(Main[[#This Row],[Class]]="B", WORKDAY(Main[[#This Row],[Tech Start Date]],6),IF(Main[[#This Row],[Class]]="A",WORKDAY(Main[[#This Row],[Tech Start Date]],2),""))))</f>
        <v/>
      </c>
      <c r="N166" s="75" t="str">
        <f>IF(Main[[#This Row],[Tech Start Date]]&lt;1/1/1990,"",IF(Main[[#This Row],[Class]]="C",WORKDAY(Main[[#This Row],[Tech Start Date]],19),IF(Main[[#This Row],[Class]]="B", WORKDAY(Main[[#This Row],[Tech Start Date]],12),IF(Main[[#This Row],[Class]]="A",WORKDAY(Main[[#This Row],[Tech Start Date]],4),""))))</f>
        <v/>
      </c>
      <c r="O166" s="75" t="str">
        <f>IF(Main[[#This Row],[Tech Start Date]]&lt;1/1/1990,"",IF(Main[[#This Row],[Class]]="C",WORKDAY(Main[[#This Row],[Tech Start Date]],23),IF(Main[[#This Row],[Class]]="B", WORKDAY(Main[[#This Row],[Tech Start Date]],15),IF(Main[[#This Row],[Class]]="A",WORKDAY(Main[[#This Row],[Tech Start Date]],5),""))))</f>
        <v/>
      </c>
      <c r="P166" s="75" t="str">
        <f>IF(Main[[#This Row],[Tech Start Date]]&lt;1/1/1990,"",IF(Main[[#This Row],[Class]]="C",WORKDAY(Main[[#This Row],[Tech Start Date]],28),IF(Main[[#This Row],[Class]]="B", WORKDAY(Main[[#This Row],[Tech Start Date]],19),IF(Main[[#This Row],[Class]]="A",WORKDAY(Main[[#This Row],[Tech Start Date]],9),""))))</f>
        <v/>
      </c>
      <c r="Q166" s="89"/>
      <c r="R166" s="121"/>
      <c r="S166" s="99" t="s">
        <v>11</v>
      </c>
      <c r="T166" s="76" t="s">
        <v>4</v>
      </c>
      <c r="U166" s="99" t="s">
        <v>14</v>
      </c>
      <c r="V166" s="99" t="s">
        <v>1914</v>
      </c>
      <c r="W166" s="99" t="s">
        <v>1921</v>
      </c>
      <c r="X166" s="99" t="s">
        <v>2821</v>
      </c>
      <c r="Y166" s="73" t="s">
        <v>2942</v>
      </c>
      <c r="Z166" s="73" t="s">
        <v>4</v>
      </c>
      <c r="AA166" s="99" t="s">
        <v>2821</v>
      </c>
    </row>
    <row r="167" spans="1:27" ht="17.25" customHeight="1">
      <c r="A167" s="65" t="str">
        <f>IF(priority(Main[[#This Row],[Comments]])&lt;&gt;0, priority(Main[[#This Row],[Comments]]),"")</f>
        <v/>
      </c>
      <c r="B167" s="60" t="s">
        <v>1025</v>
      </c>
      <c r="C167" s="105" t="s">
        <v>4</v>
      </c>
      <c r="D167" s="74" t="s">
        <v>43</v>
      </c>
      <c r="E167" s="89">
        <v>40500.605023148149</v>
      </c>
      <c r="F167" s="89"/>
      <c r="G167" s="65" t="str">
        <f>IF(stdProdLT(Main[[#This Row],[Comments]])=0.1,"N/A",IF(stdProdLT(Main[[#This Row],[Comments]])=0,"",TRIM(stdProdLT(Main[[#This Row],[Comments]]))))</f>
        <v/>
      </c>
      <c r="H167" s="98" t="str">
        <f>IF(Main[[#This Row],[Std. Prod. Lead Time]]="N/A", "",IF(AND(Main[[#This Row],[In Stock Date]]&lt;&gt;"",Main[[#This Row],[Revised Due Date]]&lt;&gt;"",Main[[#This Row],[In Stock Date]]&lt;&gt;""),Main[[#This Row],[In Stock Date]]-Main[[#This Row],[Revised Due Date]],""))</f>
        <v/>
      </c>
      <c r="I167" s="110" t="s">
        <v>4</v>
      </c>
      <c r="J167" s="99" t="s">
        <v>4</v>
      </c>
      <c r="K167" s="99" t="s">
        <v>4</v>
      </c>
      <c r="L167" s="89"/>
      <c r="M167" s="75" t="str">
        <f>IF(Main[[#This Row],[Tech Start Date]]&lt;1/1/1990,"",IF(Main[[#This Row],[Class]]="C",WORKDAY(Main[[#This Row],[Tech Start Date]],9),IF(Main[[#This Row],[Class]]="B", WORKDAY(Main[[#This Row],[Tech Start Date]],6),IF(Main[[#This Row],[Class]]="A",WORKDAY(Main[[#This Row],[Tech Start Date]],2),""))))</f>
        <v/>
      </c>
      <c r="N167" s="75" t="str">
        <f>IF(Main[[#This Row],[Tech Start Date]]&lt;1/1/1990,"",IF(Main[[#This Row],[Class]]="C",WORKDAY(Main[[#This Row],[Tech Start Date]],19),IF(Main[[#This Row],[Class]]="B", WORKDAY(Main[[#This Row],[Tech Start Date]],12),IF(Main[[#This Row],[Class]]="A",WORKDAY(Main[[#This Row],[Tech Start Date]],4),""))))</f>
        <v/>
      </c>
      <c r="O167" s="75" t="str">
        <f>IF(Main[[#This Row],[Tech Start Date]]&lt;1/1/1990,"",IF(Main[[#This Row],[Class]]="C",WORKDAY(Main[[#This Row],[Tech Start Date]],23),IF(Main[[#This Row],[Class]]="B", WORKDAY(Main[[#This Row],[Tech Start Date]],15),IF(Main[[#This Row],[Class]]="A",WORKDAY(Main[[#This Row],[Tech Start Date]],5),""))))</f>
        <v/>
      </c>
      <c r="P167" s="75" t="str">
        <f>IF(Main[[#This Row],[Tech Start Date]]&lt;1/1/1990,"",IF(Main[[#This Row],[Class]]="C",WORKDAY(Main[[#This Row],[Tech Start Date]],28),IF(Main[[#This Row],[Class]]="B", WORKDAY(Main[[#This Row],[Tech Start Date]],19),IF(Main[[#This Row],[Class]]="A",WORKDAY(Main[[#This Row],[Tech Start Date]],9),""))))</f>
        <v/>
      </c>
      <c r="Q167" s="89">
        <v>40519</v>
      </c>
      <c r="R167" s="121"/>
      <c r="S167" s="99" t="s">
        <v>4</v>
      </c>
      <c r="T167" s="76" t="s">
        <v>4</v>
      </c>
      <c r="U167" s="99" t="s">
        <v>7</v>
      </c>
      <c r="V167" s="99" t="s">
        <v>1913</v>
      </c>
      <c r="W167" s="99" t="s">
        <v>4</v>
      </c>
      <c r="X167" s="99" t="s">
        <v>2815</v>
      </c>
      <c r="Y167" s="73" t="s">
        <v>2930</v>
      </c>
      <c r="Z167" s="73" t="s">
        <v>4</v>
      </c>
      <c r="AA167" s="99" t="s">
        <v>2815</v>
      </c>
    </row>
    <row r="168" spans="1:27" ht="17.25" customHeight="1">
      <c r="A168" s="65" t="str">
        <f>IF(priority(Main[[#This Row],[Comments]])&lt;&gt;0, priority(Main[[#This Row],[Comments]]),"")</f>
        <v/>
      </c>
      <c r="B168" s="60" t="s">
        <v>1027</v>
      </c>
      <c r="C168" s="105" t="s">
        <v>4</v>
      </c>
      <c r="D168" s="74" t="s">
        <v>45</v>
      </c>
      <c r="E168" s="89">
        <v>40486.407523148147</v>
      </c>
      <c r="F168" s="89"/>
      <c r="G168" s="65" t="str">
        <f>IF(stdProdLT(Main[[#This Row],[Comments]])=0.1,"N/A",IF(stdProdLT(Main[[#This Row],[Comments]])=0,"",TRIM(stdProdLT(Main[[#This Row],[Comments]]))))</f>
        <v/>
      </c>
      <c r="H168" s="98" t="str">
        <f>IF(Main[[#This Row],[Std. Prod. Lead Time]]="N/A", "",IF(AND(Main[[#This Row],[In Stock Date]]&lt;&gt;"",Main[[#This Row],[Revised Due Date]]&lt;&gt;"",Main[[#This Row],[In Stock Date]]&lt;&gt;""),Main[[#This Row],[In Stock Date]]-Main[[#This Row],[Revised Due Date]],""))</f>
        <v/>
      </c>
      <c r="I168" s="110" t="s">
        <v>4</v>
      </c>
      <c r="J168" s="99" t="s">
        <v>4</v>
      </c>
      <c r="K168" s="99" t="s">
        <v>4</v>
      </c>
      <c r="L168" s="89"/>
      <c r="M168" s="75" t="str">
        <f>IF(Main[[#This Row],[Tech Start Date]]&lt;1/1/1990,"",IF(Main[[#This Row],[Class]]="C",WORKDAY(Main[[#This Row],[Tech Start Date]],9),IF(Main[[#This Row],[Class]]="B", WORKDAY(Main[[#This Row],[Tech Start Date]],6),IF(Main[[#This Row],[Class]]="A",WORKDAY(Main[[#This Row],[Tech Start Date]],2),""))))</f>
        <v/>
      </c>
      <c r="N168" s="75" t="str">
        <f>IF(Main[[#This Row],[Tech Start Date]]&lt;1/1/1990,"",IF(Main[[#This Row],[Class]]="C",WORKDAY(Main[[#This Row],[Tech Start Date]],19),IF(Main[[#This Row],[Class]]="B", WORKDAY(Main[[#This Row],[Tech Start Date]],12),IF(Main[[#This Row],[Class]]="A",WORKDAY(Main[[#This Row],[Tech Start Date]],4),""))))</f>
        <v/>
      </c>
      <c r="O168" s="75" t="str">
        <f>IF(Main[[#This Row],[Tech Start Date]]&lt;1/1/1990,"",IF(Main[[#This Row],[Class]]="C",WORKDAY(Main[[#This Row],[Tech Start Date]],23),IF(Main[[#This Row],[Class]]="B", WORKDAY(Main[[#This Row],[Tech Start Date]],15),IF(Main[[#This Row],[Class]]="A",WORKDAY(Main[[#This Row],[Tech Start Date]],5),""))))</f>
        <v/>
      </c>
      <c r="P168" s="75" t="str">
        <f>IF(Main[[#This Row],[Tech Start Date]]&lt;1/1/1990,"",IF(Main[[#This Row],[Class]]="C",WORKDAY(Main[[#This Row],[Tech Start Date]],28),IF(Main[[#This Row],[Class]]="B", WORKDAY(Main[[#This Row],[Tech Start Date]],19),IF(Main[[#This Row],[Class]]="A",WORKDAY(Main[[#This Row],[Tech Start Date]],9),""))))</f>
        <v/>
      </c>
      <c r="Q168" s="89">
        <v>40522</v>
      </c>
      <c r="R168" s="121"/>
      <c r="S168" s="99" t="s">
        <v>6</v>
      </c>
      <c r="T168" s="76" t="s">
        <v>4</v>
      </c>
      <c r="U168" s="99" t="s">
        <v>7</v>
      </c>
      <c r="V168" s="99" t="s">
        <v>1913</v>
      </c>
      <c r="W168" s="99" t="s">
        <v>4</v>
      </c>
      <c r="X168" s="99" t="s">
        <v>2812</v>
      </c>
      <c r="Y168" s="73" t="s">
        <v>2923</v>
      </c>
      <c r="Z168" s="73" t="s">
        <v>4</v>
      </c>
      <c r="AA168" s="99" t="s">
        <v>2812</v>
      </c>
    </row>
    <row r="169" spans="1:27" ht="17.25" customHeight="1">
      <c r="A169" s="65" t="str">
        <f>IF(priority(Main[[#This Row],[Comments]])&lt;&gt;0, priority(Main[[#This Row],[Comments]]),"")</f>
        <v/>
      </c>
      <c r="B169" s="60" t="s">
        <v>1029</v>
      </c>
      <c r="C169" s="105" t="s">
        <v>47</v>
      </c>
      <c r="D169" s="74" t="s">
        <v>48</v>
      </c>
      <c r="E169" s="89"/>
      <c r="F169" s="89"/>
      <c r="G169" s="65" t="str">
        <f>IF(stdProdLT(Main[[#This Row],[Comments]])=0.1,"N/A",IF(stdProdLT(Main[[#This Row],[Comments]])=0,"",TRIM(stdProdLT(Main[[#This Row],[Comments]]))))</f>
        <v/>
      </c>
      <c r="H169" s="98" t="str">
        <f>IF(Main[[#This Row],[Std. Prod. Lead Time]]="N/A", "",IF(AND(Main[[#This Row],[In Stock Date]]&lt;&gt;"",Main[[#This Row],[Revised Due Date]]&lt;&gt;"",Main[[#This Row],[In Stock Date]]&lt;&gt;""),Main[[#This Row],[In Stock Date]]-Main[[#This Row],[Revised Due Date]],""))</f>
        <v/>
      </c>
      <c r="I169" s="110" t="s">
        <v>4</v>
      </c>
      <c r="J169" s="99" t="s">
        <v>4</v>
      </c>
      <c r="K169" s="99" t="s">
        <v>4</v>
      </c>
      <c r="L169" s="89"/>
      <c r="M169" s="75" t="str">
        <f>IF(Main[[#This Row],[Tech Start Date]]&lt;1/1/1990,"",IF(Main[[#This Row],[Class]]="C",WORKDAY(Main[[#This Row],[Tech Start Date]],9),IF(Main[[#This Row],[Class]]="B", WORKDAY(Main[[#This Row],[Tech Start Date]],6),IF(Main[[#This Row],[Class]]="A",WORKDAY(Main[[#This Row],[Tech Start Date]],2),""))))</f>
        <v/>
      </c>
      <c r="N169" s="75" t="str">
        <f>IF(Main[[#This Row],[Tech Start Date]]&lt;1/1/1990,"",IF(Main[[#This Row],[Class]]="C",WORKDAY(Main[[#This Row],[Tech Start Date]],19),IF(Main[[#This Row],[Class]]="B", WORKDAY(Main[[#This Row],[Tech Start Date]],12),IF(Main[[#This Row],[Class]]="A",WORKDAY(Main[[#This Row],[Tech Start Date]],4),""))))</f>
        <v/>
      </c>
      <c r="O169" s="75" t="str">
        <f>IF(Main[[#This Row],[Tech Start Date]]&lt;1/1/1990,"",IF(Main[[#This Row],[Class]]="C",WORKDAY(Main[[#This Row],[Tech Start Date]],23),IF(Main[[#This Row],[Class]]="B", WORKDAY(Main[[#This Row],[Tech Start Date]],15),IF(Main[[#This Row],[Class]]="A",WORKDAY(Main[[#This Row],[Tech Start Date]],5),""))))</f>
        <v/>
      </c>
      <c r="P169" s="75" t="str">
        <f>IF(Main[[#This Row],[Tech Start Date]]&lt;1/1/1990,"",IF(Main[[#This Row],[Class]]="C",WORKDAY(Main[[#This Row],[Tech Start Date]],28),IF(Main[[#This Row],[Class]]="B", WORKDAY(Main[[#This Row],[Tech Start Date]],19),IF(Main[[#This Row],[Class]]="A",WORKDAY(Main[[#This Row],[Tech Start Date]],9),""))))</f>
        <v/>
      </c>
      <c r="Q169" s="89"/>
      <c r="R169" s="121"/>
      <c r="S169" s="99" t="s">
        <v>49</v>
      </c>
      <c r="T169" s="76" t="s">
        <v>4</v>
      </c>
      <c r="U169" s="99" t="s">
        <v>14</v>
      </c>
      <c r="V169" s="99" t="s">
        <v>1916</v>
      </c>
      <c r="W169" s="99" t="s">
        <v>1917</v>
      </c>
      <c r="X169" s="99" t="s">
        <v>306</v>
      </c>
      <c r="Y169" s="73" t="s">
        <v>2935</v>
      </c>
      <c r="Z169" s="73" t="s">
        <v>4</v>
      </c>
      <c r="AA169" s="99" t="s">
        <v>3369</v>
      </c>
    </row>
    <row r="170" spans="1:27" ht="17.25" customHeight="1">
      <c r="A170" s="65" t="str">
        <f>IF(priority(Main[[#This Row],[Comments]])&lt;&gt;0, priority(Main[[#This Row],[Comments]]),"")</f>
        <v/>
      </c>
      <c r="B170" s="60" t="s">
        <v>1043</v>
      </c>
      <c r="C170" s="105" t="s">
        <v>67</v>
      </c>
      <c r="D170" s="74" t="s">
        <v>68</v>
      </c>
      <c r="E170" s="89"/>
      <c r="F170" s="89"/>
      <c r="G170" s="65" t="str">
        <f>IF(stdProdLT(Main[[#This Row],[Comments]])=0.1,"N/A",IF(stdProdLT(Main[[#This Row],[Comments]])=0,"",TRIM(stdProdLT(Main[[#This Row],[Comments]]))))</f>
        <v/>
      </c>
      <c r="H170" s="98" t="str">
        <f>IF(Main[[#This Row],[Std. Prod. Lead Time]]="N/A", "",IF(AND(Main[[#This Row],[In Stock Date]]&lt;&gt;"",Main[[#This Row],[Revised Due Date]]&lt;&gt;"",Main[[#This Row],[In Stock Date]]&lt;&gt;""),Main[[#This Row],[In Stock Date]]-Main[[#This Row],[Revised Due Date]],""))</f>
        <v/>
      </c>
      <c r="I170" s="110" t="s">
        <v>4</v>
      </c>
      <c r="J170" s="99" t="s">
        <v>4</v>
      </c>
      <c r="K170" s="99" t="s">
        <v>4</v>
      </c>
      <c r="L170" s="89"/>
      <c r="M170" s="75" t="str">
        <f>IF(Main[[#This Row],[Tech Start Date]]&lt;1/1/1990,"",IF(Main[[#This Row],[Class]]="C",WORKDAY(Main[[#This Row],[Tech Start Date]],9),IF(Main[[#This Row],[Class]]="B", WORKDAY(Main[[#This Row],[Tech Start Date]],6),IF(Main[[#This Row],[Class]]="A",WORKDAY(Main[[#This Row],[Tech Start Date]],2),""))))</f>
        <v/>
      </c>
      <c r="N170" s="75" t="str">
        <f>IF(Main[[#This Row],[Tech Start Date]]&lt;1/1/1990,"",IF(Main[[#This Row],[Class]]="C",WORKDAY(Main[[#This Row],[Tech Start Date]],19),IF(Main[[#This Row],[Class]]="B", WORKDAY(Main[[#This Row],[Tech Start Date]],12),IF(Main[[#This Row],[Class]]="A",WORKDAY(Main[[#This Row],[Tech Start Date]],4),""))))</f>
        <v/>
      </c>
      <c r="O170" s="75" t="str">
        <f>IF(Main[[#This Row],[Tech Start Date]]&lt;1/1/1990,"",IF(Main[[#This Row],[Class]]="C",WORKDAY(Main[[#This Row],[Tech Start Date]],23),IF(Main[[#This Row],[Class]]="B", WORKDAY(Main[[#This Row],[Tech Start Date]],15),IF(Main[[#This Row],[Class]]="A",WORKDAY(Main[[#This Row],[Tech Start Date]],5),""))))</f>
        <v/>
      </c>
      <c r="P170" s="75" t="str">
        <f>IF(Main[[#This Row],[Tech Start Date]]&lt;1/1/1990,"",IF(Main[[#This Row],[Class]]="C",WORKDAY(Main[[#This Row],[Tech Start Date]],28),IF(Main[[#This Row],[Class]]="B", WORKDAY(Main[[#This Row],[Tech Start Date]],19),IF(Main[[#This Row],[Class]]="A",WORKDAY(Main[[#This Row],[Tech Start Date]],9),""))))</f>
        <v/>
      </c>
      <c r="Q170" s="89">
        <v>40298</v>
      </c>
      <c r="R170" s="121"/>
      <c r="S170" s="99" t="s">
        <v>17</v>
      </c>
      <c r="T170" s="76" t="s">
        <v>4</v>
      </c>
      <c r="U170" s="99" t="s">
        <v>14</v>
      </c>
      <c r="V170" s="99" t="s">
        <v>1916</v>
      </c>
      <c r="W170" s="99" t="s">
        <v>1921</v>
      </c>
      <c r="X170" s="99" t="s">
        <v>306</v>
      </c>
      <c r="Y170" s="73" t="s">
        <v>2943</v>
      </c>
      <c r="Z170" s="73" t="s">
        <v>4</v>
      </c>
      <c r="AA170" s="99" t="s">
        <v>415</v>
      </c>
    </row>
    <row r="171" spans="1:27" ht="17.25" customHeight="1">
      <c r="A171" s="65" t="str">
        <f>IF(priority(Main[[#This Row],[Comments]])&lt;&gt;0, priority(Main[[#This Row],[Comments]]),"")</f>
        <v/>
      </c>
      <c r="B171" s="60" t="s">
        <v>1276</v>
      </c>
      <c r="C171" s="105" t="s">
        <v>4</v>
      </c>
      <c r="D171" s="74" t="s">
        <v>2322</v>
      </c>
      <c r="E171" s="89">
        <v>40578.5078587963</v>
      </c>
      <c r="F171" s="89"/>
      <c r="G171" s="65" t="str">
        <f>IF(stdProdLT(Main[[#This Row],[Comments]])=0.1,"N/A",IF(stdProdLT(Main[[#This Row],[Comments]])=0,"",TRIM(stdProdLT(Main[[#This Row],[Comments]]))))</f>
        <v/>
      </c>
      <c r="H171" s="98" t="str">
        <f>IF(Main[[#This Row],[Std. Prod. Lead Time]]="N/A", "",IF(AND(Main[[#This Row],[In Stock Date]]&lt;&gt;"",Main[[#This Row],[Revised Due Date]]&lt;&gt;"",Main[[#This Row],[In Stock Date]]&lt;&gt;""),Main[[#This Row],[In Stock Date]]-Main[[#This Row],[Revised Due Date]],""))</f>
        <v/>
      </c>
      <c r="I171" s="110" t="s">
        <v>912</v>
      </c>
      <c r="J171" s="99" t="s">
        <v>52</v>
      </c>
      <c r="K171" s="100" t="s">
        <v>4</v>
      </c>
      <c r="L171" s="89"/>
      <c r="M171" s="75" t="str">
        <f>IF(Main[[#This Row],[Tech Start Date]]&lt;1/1/1990,"",IF(Main[[#This Row],[Class]]="C",WORKDAY(Main[[#This Row],[Tech Start Date]],9),IF(Main[[#This Row],[Class]]="B", WORKDAY(Main[[#This Row],[Tech Start Date]],6),IF(Main[[#This Row],[Class]]="A",WORKDAY(Main[[#This Row],[Tech Start Date]],2),""))))</f>
        <v/>
      </c>
      <c r="N171" s="75" t="str">
        <f>IF(Main[[#This Row],[Tech Start Date]]&lt;1/1/1990,"",IF(Main[[#This Row],[Class]]="C",WORKDAY(Main[[#This Row],[Tech Start Date]],19),IF(Main[[#This Row],[Class]]="B", WORKDAY(Main[[#This Row],[Tech Start Date]],12),IF(Main[[#This Row],[Class]]="A",WORKDAY(Main[[#This Row],[Tech Start Date]],4),""))))</f>
        <v/>
      </c>
      <c r="O171" s="75" t="str">
        <f>IF(Main[[#This Row],[Tech Start Date]]&lt;1/1/1990,"",IF(Main[[#This Row],[Class]]="C",WORKDAY(Main[[#This Row],[Tech Start Date]],23),IF(Main[[#This Row],[Class]]="B", WORKDAY(Main[[#This Row],[Tech Start Date]],15),IF(Main[[#This Row],[Class]]="A",WORKDAY(Main[[#This Row],[Tech Start Date]],5),""))))</f>
        <v/>
      </c>
      <c r="P171" s="75" t="str">
        <f>IF(Main[[#This Row],[Tech Start Date]]&lt;1/1/1990,"",IF(Main[[#This Row],[Class]]="C",WORKDAY(Main[[#This Row],[Tech Start Date]],28),IF(Main[[#This Row],[Class]]="B", WORKDAY(Main[[#This Row],[Tech Start Date]],19),IF(Main[[#This Row],[Class]]="A",WORKDAY(Main[[#This Row],[Tech Start Date]],9),""))))</f>
        <v/>
      </c>
      <c r="Q171" s="89">
        <v>40592</v>
      </c>
      <c r="R171" s="121"/>
      <c r="S171" s="99" t="s">
        <v>6</v>
      </c>
      <c r="T171" s="76" t="s">
        <v>4</v>
      </c>
      <c r="U171" s="99" t="s">
        <v>29</v>
      </c>
      <c r="V171" s="99" t="s">
        <v>1913</v>
      </c>
      <c r="W171" s="99" t="s">
        <v>1917</v>
      </c>
      <c r="X171" s="99" t="s">
        <v>2822</v>
      </c>
      <c r="Y171" s="73" t="s">
        <v>2944</v>
      </c>
      <c r="Z171" s="73" t="s">
        <v>4</v>
      </c>
      <c r="AA171" s="99" t="s">
        <v>2822</v>
      </c>
    </row>
    <row r="172" spans="1:27" ht="17.25" customHeight="1">
      <c r="A172" s="65" t="str">
        <f>IF(priority(Main[[#This Row],[Comments]])&lt;&gt;0, priority(Main[[#This Row],[Comments]]),"")</f>
        <v/>
      </c>
      <c r="B172" s="60" t="s">
        <v>1044</v>
      </c>
      <c r="C172" s="105" t="s">
        <v>4</v>
      </c>
      <c r="D172" s="74" t="s">
        <v>71</v>
      </c>
      <c r="E172" s="89"/>
      <c r="F172" s="89"/>
      <c r="G172" s="65" t="str">
        <f>IF(stdProdLT(Main[[#This Row],[Comments]])=0.1,"N/A",IF(stdProdLT(Main[[#This Row],[Comments]])=0,"",TRIM(stdProdLT(Main[[#This Row],[Comments]]))))</f>
        <v/>
      </c>
      <c r="H172" s="98" t="str">
        <f>IF(Main[[#This Row],[Std. Prod. Lead Time]]="N/A", "",IF(AND(Main[[#This Row],[In Stock Date]]&lt;&gt;"",Main[[#This Row],[Revised Due Date]]&lt;&gt;"",Main[[#This Row],[In Stock Date]]&lt;&gt;""),Main[[#This Row],[In Stock Date]]-Main[[#This Row],[Revised Due Date]],""))</f>
        <v/>
      </c>
      <c r="I172" s="110" t="s">
        <v>4</v>
      </c>
      <c r="J172" s="99" t="s">
        <v>4</v>
      </c>
      <c r="K172" s="99" t="s">
        <v>4</v>
      </c>
      <c r="L172" s="89"/>
      <c r="M172" s="75" t="str">
        <f>IF(Main[[#This Row],[Tech Start Date]]&lt;1/1/1990,"",IF(Main[[#This Row],[Class]]="C",WORKDAY(Main[[#This Row],[Tech Start Date]],9),IF(Main[[#This Row],[Class]]="B", WORKDAY(Main[[#This Row],[Tech Start Date]],6),IF(Main[[#This Row],[Class]]="A",WORKDAY(Main[[#This Row],[Tech Start Date]],2),""))))</f>
        <v/>
      </c>
      <c r="N172" s="75" t="str">
        <f>IF(Main[[#This Row],[Tech Start Date]]&lt;1/1/1990,"",IF(Main[[#This Row],[Class]]="C",WORKDAY(Main[[#This Row],[Tech Start Date]],19),IF(Main[[#This Row],[Class]]="B", WORKDAY(Main[[#This Row],[Tech Start Date]],12),IF(Main[[#This Row],[Class]]="A",WORKDAY(Main[[#This Row],[Tech Start Date]],4),""))))</f>
        <v/>
      </c>
      <c r="O172" s="75" t="str">
        <f>IF(Main[[#This Row],[Tech Start Date]]&lt;1/1/1990,"",IF(Main[[#This Row],[Class]]="C",WORKDAY(Main[[#This Row],[Tech Start Date]],23),IF(Main[[#This Row],[Class]]="B", WORKDAY(Main[[#This Row],[Tech Start Date]],15),IF(Main[[#This Row],[Class]]="A",WORKDAY(Main[[#This Row],[Tech Start Date]],5),""))))</f>
        <v/>
      </c>
      <c r="P172" s="75" t="str">
        <f>IF(Main[[#This Row],[Tech Start Date]]&lt;1/1/1990,"",IF(Main[[#This Row],[Class]]="C",WORKDAY(Main[[#This Row],[Tech Start Date]],28),IF(Main[[#This Row],[Class]]="B", WORKDAY(Main[[#This Row],[Tech Start Date]],19),IF(Main[[#This Row],[Class]]="A",WORKDAY(Main[[#This Row],[Tech Start Date]],9),""))))</f>
        <v/>
      </c>
      <c r="Q172" s="89"/>
      <c r="R172" s="121"/>
      <c r="S172" s="99" t="s">
        <v>23</v>
      </c>
      <c r="T172" s="76" t="s">
        <v>4</v>
      </c>
      <c r="U172" s="99" t="s">
        <v>14</v>
      </c>
      <c r="V172" s="99" t="s">
        <v>1913</v>
      </c>
      <c r="W172" s="99" t="s">
        <v>1917</v>
      </c>
      <c r="X172" s="99" t="s">
        <v>399</v>
      </c>
      <c r="Y172" s="73" t="s">
        <v>4</v>
      </c>
      <c r="Z172" s="73" t="s">
        <v>4</v>
      </c>
      <c r="AA172" s="99" t="s">
        <v>3367</v>
      </c>
    </row>
    <row r="173" spans="1:27" ht="17.25" customHeight="1">
      <c r="A173" s="65" t="str">
        <f>IF(priority(Main[[#This Row],[Comments]])&lt;&gt;0, priority(Main[[#This Row],[Comments]]),"")</f>
        <v/>
      </c>
      <c r="B173" s="60" t="s">
        <v>1011</v>
      </c>
      <c r="C173" s="105" t="s">
        <v>15</v>
      </c>
      <c r="D173" s="74" t="s">
        <v>16</v>
      </c>
      <c r="E173" s="89">
        <v>40611.379872685182</v>
      </c>
      <c r="F173" s="89"/>
      <c r="G173" s="65" t="str">
        <f>IF(stdProdLT(Main[[#This Row],[Comments]])=0.1,"N/A",IF(stdProdLT(Main[[#This Row],[Comments]])=0,"",TRIM(stdProdLT(Main[[#This Row],[Comments]]))))</f>
        <v/>
      </c>
      <c r="H173" s="98" t="str">
        <f>IF(Main[[#This Row],[Std. Prod. Lead Time]]="N/A", "",IF(AND(Main[[#This Row],[In Stock Date]]&lt;&gt;"",Main[[#This Row],[Revised Due Date]]&lt;&gt;"",Main[[#This Row],[In Stock Date]]&lt;&gt;""),Main[[#This Row],[In Stock Date]]-Main[[#This Row],[Revised Due Date]],""))</f>
        <v/>
      </c>
      <c r="I173" s="110" t="s">
        <v>4</v>
      </c>
      <c r="J173" s="99" t="s">
        <v>4</v>
      </c>
      <c r="K173" s="99" t="s">
        <v>4</v>
      </c>
      <c r="L173" s="89"/>
      <c r="M173" s="75" t="str">
        <f>IF(Main[[#This Row],[Tech Start Date]]&lt;1/1/1990,"",IF(Main[[#This Row],[Class]]="C",WORKDAY(Main[[#This Row],[Tech Start Date]],9),IF(Main[[#This Row],[Class]]="B", WORKDAY(Main[[#This Row],[Tech Start Date]],6),IF(Main[[#This Row],[Class]]="A",WORKDAY(Main[[#This Row],[Tech Start Date]],2),""))))</f>
        <v/>
      </c>
      <c r="N173" s="75" t="str">
        <f>IF(Main[[#This Row],[Tech Start Date]]&lt;1/1/1990,"",IF(Main[[#This Row],[Class]]="C",WORKDAY(Main[[#This Row],[Tech Start Date]],19),IF(Main[[#This Row],[Class]]="B", WORKDAY(Main[[#This Row],[Tech Start Date]],12),IF(Main[[#This Row],[Class]]="A",WORKDAY(Main[[#This Row],[Tech Start Date]],4),""))))</f>
        <v/>
      </c>
      <c r="O173" s="75" t="str">
        <f>IF(Main[[#This Row],[Tech Start Date]]&lt;1/1/1990,"",IF(Main[[#This Row],[Class]]="C",WORKDAY(Main[[#This Row],[Tech Start Date]],23),IF(Main[[#This Row],[Class]]="B", WORKDAY(Main[[#This Row],[Tech Start Date]],15),IF(Main[[#This Row],[Class]]="A",WORKDAY(Main[[#This Row],[Tech Start Date]],5),""))))</f>
        <v/>
      </c>
      <c r="P173" s="75" t="str">
        <f>IF(Main[[#This Row],[Tech Start Date]]&lt;1/1/1990,"",IF(Main[[#This Row],[Class]]="C",WORKDAY(Main[[#This Row],[Tech Start Date]],28),IF(Main[[#This Row],[Class]]="B", WORKDAY(Main[[#This Row],[Tech Start Date]],19),IF(Main[[#This Row],[Class]]="A",WORKDAY(Main[[#This Row],[Tech Start Date]],9),""))))</f>
        <v/>
      </c>
      <c r="Q173" s="89">
        <v>40695</v>
      </c>
      <c r="R173" s="121"/>
      <c r="S173" s="99" t="s">
        <v>17</v>
      </c>
      <c r="T173" s="76" t="s">
        <v>4</v>
      </c>
      <c r="U173" s="99" t="s">
        <v>7</v>
      </c>
      <c r="V173" s="99" t="s">
        <v>1916</v>
      </c>
      <c r="W173" s="99" t="s">
        <v>1918</v>
      </c>
      <c r="X173" s="99" t="s">
        <v>553</v>
      </c>
      <c r="Y173" s="73" t="s">
        <v>2946</v>
      </c>
      <c r="Z173" s="73" t="s">
        <v>4</v>
      </c>
      <c r="AA173" s="99" t="s">
        <v>553</v>
      </c>
    </row>
    <row r="174" spans="1:27" ht="17.25" customHeight="1">
      <c r="A174" s="65" t="str">
        <f>IF(priority(Main[[#This Row],[Comments]])&lt;&gt;0, priority(Main[[#This Row],[Comments]]),"")</f>
        <v/>
      </c>
      <c r="B174" s="60" t="s">
        <v>2164</v>
      </c>
      <c r="C174" s="105" t="s">
        <v>2156</v>
      </c>
      <c r="D174" s="74" t="s">
        <v>3237</v>
      </c>
      <c r="E174" s="89">
        <v>40781.402488425927</v>
      </c>
      <c r="F174" s="89"/>
      <c r="G174" s="65" t="str">
        <f>IF(stdProdLT(Main[[#This Row],[Comments]])=0.1,"N/A",IF(stdProdLT(Main[[#This Row],[Comments]])=0,"",TRIM(stdProdLT(Main[[#This Row],[Comments]]))))</f>
        <v/>
      </c>
      <c r="H174" s="98" t="str">
        <f>IF(Main[[#This Row],[Std. Prod. Lead Time]]="N/A", "",IF(AND(Main[[#This Row],[In Stock Date]]&lt;&gt;"",Main[[#This Row],[Revised Due Date]]&lt;&gt;"",Main[[#This Row],[In Stock Date]]&lt;&gt;""),Main[[#This Row],[In Stock Date]]-Main[[#This Row],[Revised Due Date]],""))</f>
        <v/>
      </c>
      <c r="I174" s="110" t="s">
        <v>429</v>
      </c>
      <c r="J174" s="99" t="s">
        <v>70</v>
      </c>
      <c r="K174" s="99" t="s">
        <v>1922</v>
      </c>
      <c r="L174" s="89"/>
      <c r="M174" s="75" t="str">
        <f>IF(Main[[#This Row],[Tech Start Date]]&lt;1/1/1990,"",IF(Main[[#This Row],[Class]]="C",WORKDAY(Main[[#This Row],[Tech Start Date]],9),IF(Main[[#This Row],[Class]]="B", WORKDAY(Main[[#This Row],[Tech Start Date]],6),IF(Main[[#This Row],[Class]]="A",WORKDAY(Main[[#This Row],[Tech Start Date]],2),""))))</f>
        <v/>
      </c>
      <c r="N174" s="75" t="str">
        <f>IF(Main[[#This Row],[Tech Start Date]]&lt;1/1/1990,"",IF(Main[[#This Row],[Class]]="C",WORKDAY(Main[[#This Row],[Tech Start Date]],19),IF(Main[[#This Row],[Class]]="B", WORKDAY(Main[[#This Row],[Tech Start Date]],12),IF(Main[[#This Row],[Class]]="A",WORKDAY(Main[[#This Row],[Tech Start Date]],4),""))))</f>
        <v/>
      </c>
      <c r="O174" s="75" t="str">
        <f>IF(Main[[#This Row],[Tech Start Date]]&lt;1/1/1990,"",IF(Main[[#This Row],[Class]]="C",WORKDAY(Main[[#This Row],[Tech Start Date]],23),IF(Main[[#This Row],[Class]]="B", WORKDAY(Main[[#This Row],[Tech Start Date]],15),IF(Main[[#This Row],[Class]]="A",WORKDAY(Main[[#This Row],[Tech Start Date]],5),""))))</f>
        <v/>
      </c>
      <c r="P174" s="75" t="str">
        <f>IF(Main[[#This Row],[Tech Start Date]]&lt;1/1/1990,"",IF(Main[[#This Row],[Class]]="C",WORKDAY(Main[[#This Row],[Tech Start Date]],28),IF(Main[[#This Row],[Class]]="B", WORKDAY(Main[[#This Row],[Tech Start Date]],19),IF(Main[[#This Row],[Class]]="A",WORKDAY(Main[[#This Row],[Tech Start Date]],9),""))))</f>
        <v/>
      </c>
      <c r="Q174" s="89">
        <v>40836</v>
      </c>
      <c r="R174" s="121"/>
      <c r="S174" s="99" t="s">
        <v>6</v>
      </c>
      <c r="T174" s="76" t="s">
        <v>4</v>
      </c>
      <c r="U174" s="99" t="s">
        <v>29</v>
      </c>
      <c r="V174" s="99" t="s">
        <v>1916</v>
      </c>
      <c r="W174" s="99" t="s">
        <v>1917</v>
      </c>
      <c r="X174" s="99" t="s">
        <v>2830</v>
      </c>
      <c r="Y174" s="73" t="s">
        <v>2959</v>
      </c>
      <c r="Z174" s="73" t="s">
        <v>30</v>
      </c>
      <c r="AA174" s="99" t="s">
        <v>2830</v>
      </c>
    </row>
    <row r="175" spans="1:27" ht="17.25" customHeight="1">
      <c r="A175" s="65" t="str">
        <f>IF(priority(Main[[#This Row],[Comments]])&lt;&gt;0, priority(Main[[#This Row],[Comments]]),"")</f>
        <v/>
      </c>
      <c r="B175" s="60" t="s">
        <v>1046</v>
      </c>
      <c r="C175" s="105" t="s">
        <v>31</v>
      </c>
      <c r="D175" s="74" t="s">
        <v>77</v>
      </c>
      <c r="E175" s="89"/>
      <c r="F175" s="89">
        <v>40512</v>
      </c>
      <c r="G175" s="65" t="str">
        <f>IF(stdProdLT(Main[[#This Row],[Comments]])=0.1,"N/A",IF(stdProdLT(Main[[#This Row],[Comments]])=0,"",TRIM(stdProdLT(Main[[#This Row],[Comments]]))))</f>
        <v/>
      </c>
      <c r="H175" s="98" t="str">
        <f>IF(Main[[#This Row],[Std. Prod. Lead Time]]="N/A", "",IF(AND(Main[[#This Row],[In Stock Date]]&lt;&gt;"",Main[[#This Row],[Revised Due Date]]&lt;&gt;"",Main[[#This Row],[In Stock Date]]&lt;&gt;""),Main[[#This Row],[In Stock Date]]-Main[[#This Row],[Revised Due Date]],""))</f>
        <v/>
      </c>
      <c r="I175" s="110" t="s">
        <v>4</v>
      </c>
      <c r="J175" s="99" t="s">
        <v>4</v>
      </c>
      <c r="K175" s="99" t="s">
        <v>4</v>
      </c>
      <c r="L175" s="89"/>
      <c r="M175" s="75" t="str">
        <f>IF(Main[[#This Row],[Tech Start Date]]&lt;1/1/1990,"",IF(Main[[#This Row],[Class]]="C",WORKDAY(Main[[#This Row],[Tech Start Date]],9),IF(Main[[#This Row],[Class]]="B", WORKDAY(Main[[#This Row],[Tech Start Date]],6),IF(Main[[#This Row],[Class]]="A",WORKDAY(Main[[#This Row],[Tech Start Date]],2),""))))</f>
        <v/>
      </c>
      <c r="N175" s="75" t="str">
        <f>IF(Main[[#This Row],[Tech Start Date]]&lt;1/1/1990,"",IF(Main[[#This Row],[Class]]="C",WORKDAY(Main[[#This Row],[Tech Start Date]],19),IF(Main[[#This Row],[Class]]="B", WORKDAY(Main[[#This Row],[Tech Start Date]],12),IF(Main[[#This Row],[Class]]="A",WORKDAY(Main[[#This Row],[Tech Start Date]],4),""))))</f>
        <v/>
      </c>
      <c r="O175" s="75" t="str">
        <f>IF(Main[[#This Row],[Tech Start Date]]&lt;1/1/1990,"",IF(Main[[#This Row],[Class]]="C",WORKDAY(Main[[#This Row],[Tech Start Date]],23),IF(Main[[#This Row],[Class]]="B", WORKDAY(Main[[#This Row],[Tech Start Date]],15),IF(Main[[#This Row],[Class]]="A",WORKDAY(Main[[#This Row],[Tech Start Date]],5),""))))</f>
        <v/>
      </c>
      <c r="P175" s="75" t="str">
        <f>IF(Main[[#This Row],[Tech Start Date]]&lt;1/1/1990,"",IF(Main[[#This Row],[Class]]="C",WORKDAY(Main[[#This Row],[Tech Start Date]],28),IF(Main[[#This Row],[Class]]="B", WORKDAY(Main[[#This Row],[Tech Start Date]],19),IF(Main[[#This Row],[Class]]="A",WORKDAY(Main[[#This Row],[Tech Start Date]],9),""))))</f>
        <v/>
      </c>
      <c r="Q175" s="89">
        <v>40415</v>
      </c>
      <c r="R175" s="121"/>
      <c r="S175" s="99" t="s">
        <v>11</v>
      </c>
      <c r="T175" s="76" t="s">
        <v>4</v>
      </c>
      <c r="U175" s="99" t="s">
        <v>14</v>
      </c>
      <c r="V175" s="99" t="s">
        <v>1916</v>
      </c>
      <c r="W175" s="99" t="s">
        <v>1919</v>
      </c>
      <c r="X175" s="99" t="s">
        <v>2824</v>
      </c>
      <c r="Y175" s="73" t="s">
        <v>2947</v>
      </c>
      <c r="Z175" s="73" t="s">
        <v>4</v>
      </c>
      <c r="AA175" s="99" t="s">
        <v>2824</v>
      </c>
    </row>
    <row r="176" spans="1:27" ht="17.25" customHeight="1">
      <c r="A176" s="65" t="str">
        <f>IF(priority(Main[[#This Row],[Comments]])&lt;&gt;0, priority(Main[[#This Row],[Comments]]),"")</f>
        <v/>
      </c>
      <c r="B176" s="60" t="s">
        <v>1047</v>
      </c>
      <c r="C176" s="105" t="s">
        <v>4</v>
      </c>
      <c r="D176" s="74" t="s">
        <v>78</v>
      </c>
      <c r="E176" s="89"/>
      <c r="F176" s="89"/>
      <c r="G176" s="65" t="str">
        <f>IF(stdProdLT(Main[[#This Row],[Comments]])=0.1,"N/A",IF(stdProdLT(Main[[#This Row],[Comments]])=0,"",TRIM(stdProdLT(Main[[#This Row],[Comments]]))))</f>
        <v/>
      </c>
      <c r="H176" s="98" t="str">
        <f>IF(Main[[#This Row],[Std. Prod. Lead Time]]="N/A", "",IF(AND(Main[[#This Row],[In Stock Date]]&lt;&gt;"",Main[[#This Row],[Revised Due Date]]&lt;&gt;"",Main[[#This Row],[In Stock Date]]&lt;&gt;""),Main[[#This Row],[In Stock Date]]-Main[[#This Row],[Revised Due Date]],""))</f>
        <v/>
      </c>
      <c r="I176" s="110" t="s">
        <v>4</v>
      </c>
      <c r="J176" s="99" t="s">
        <v>4</v>
      </c>
      <c r="K176" s="99" t="s">
        <v>4</v>
      </c>
      <c r="L176" s="89"/>
      <c r="M176" s="75" t="str">
        <f>IF(Main[[#This Row],[Tech Start Date]]&lt;1/1/1990,"",IF(Main[[#This Row],[Class]]="C",WORKDAY(Main[[#This Row],[Tech Start Date]],9),IF(Main[[#This Row],[Class]]="B", WORKDAY(Main[[#This Row],[Tech Start Date]],6),IF(Main[[#This Row],[Class]]="A",WORKDAY(Main[[#This Row],[Tech Start Date]],2),""))))</f>
        <v/>
      </c>
      <c r="N176" s="75" t="str">
        <f>IF(Main[[#This Row],[Tech Start Date]]&lt;1/1/1990,"",IF(Main[[#This Row],[Class]]="C",WORKDAY(Main[[#This Row],[Tech Start Date]],19),IF(Main[[#This Row],[Class]]="B", WORKDAY(Main[[#This Row],[Tech Start Date]],12),IF(Main[[#This Row],[Class]]="A",WORKDAY(Main[[#This Row],[Tech Start Date]],4),""))))</f>
        <v/>
      </c>
      <c r="O176" s="75" t="str">
        <f>IF(Main[[#This Row],[Tech Start Date]]&lt;1/1/1990,"",IF(Main[[#This Row],[Class]]="C",WORKDAY(Main[[#This Row],[Tech Start Date]],23),IF(Main[[#This Row],[Class]]="B", WORKDAY(Main[[#This Row],[Tech Start Date]],15),IF(Main[[#This Row],[Class]]="A",WORKDAY(Main[[#This Row],[Tech Start Date]],5),""))))</f>
        <v/>
      </c>
      <c r="P176" s="75" t="str">
        <f>IF(Main[[#This Row],[Tech Start Date]]&lt;1/1/1990,"",IF(Main[[#This Row],[Class]]="C",WORKDAY(Main[[#This Row],[Tech Start Date]],28),IF(Main[[#This Row],[Class]]="B", WORKDAY(Main[[#This Row],[Tech Start Date]],19),IF(Main[[#This Row],[Class]]="A",WORKDAY(Main[[#This Row],[Tech Start Date]],9),""))))</f>
        <v/>
      </c>
      <c r="Q176" s="89"/>
      <c r="R176" s="121"/>
      <c r="S176" s="99" t="s">
        <v>49</v>
      </c>
      <c r="T176" s="76" t="s">
        <v>4</v>
      </c>
      <c r="U176" s="99" t="s">
        <v>14</v>
      </c>
      <c r="V176" s="99" t="s">
        <v>1913</v>
      </c>
      <c r="W176" s="99" t="s">
        <v>1917</v>
      </c>
      <c r="X176" s="99" t="s">
        <v>306</v>
      </c>
      <c r="Y176" s="73" t="s">
        <v>4</v>
      </c>
      <c r="Z176" s="73" t="s">
        <v>4</v>
      </c>
      <c r="AA176" s="99" t="s">
        <v>4</v>
      </c>
    </row>
    <row r="177" spans="1:27" ht="17.25" customHeight="1">
      <c r="A177" s="65" t="str">
        <f>IF(priority(Main[[#This Row],[Comments]])&lt;&gt;0, priority(Main[[#This Row],[Comments]]),"")</f>
        <v/>
      </c>
      <c r="B177" s="60" t="s">
        <v>2083</v>
      </c>
      <c r="C177" s="105" t="s">
        <v>2084</v>
      </c>
      <c r="D177" s="74" t="s">
        <v>2085</v>
      </c>
      <c r="E177" s="89"/>
      <c r="F177" s="89">
        <v>40831</v>
      </c>
      <c r="G177" s="65" t="str">
        <f>IF(stdProdLT(Main[[#This Row],[Comments]])=0.1,"N/A",IF(stdProdLT(Main[[#This Row],[Comments]])=0,"",TRIM(stdProdLT(Main[[#This Row],[Comments]]))))</f>
        <v/>
      </c>
      <c r="H177" s="98" t="str">
        <f>IF(Main[[#This Row],[Std. Prod. Lead Time]]="N/A", "",IF(AND(Main[[#This Row],[In Stock Date]]&lt;&gt;"",Main[[#This Row],[Revised Due Date]]&lt;&gt;"",Main[[#This Row],[In Stock Date]]&lt;&gt;""),Main[[#This Row],[In Stock Date]]-Main[[#This Row],[Revised Due Date]],""))</f>
        <v/>
      </c>
      <c r="I177" s="110" t="s">
        <v>4</v>
      </c>
      <c r="J177" s="99" t="s">
        <v>4</v>
      </c>
      <c r="K177" s="99" t="s">
        <v>4</v>
      </c>
      <c r="L177" s="89"/>
      <c r="M177" s="75" t="str">
        <f>IF(Main[[#This Row],[Tech Start Date]]&lt;1/1/1990,"",IF(Main[[#This Row],[Class]]="C",WORKDAY(Main[[#This Row],[Tech Start Date]],9),IF(Main[[#This Row],[Class]]="B", WORKDAY(Main[[#This Row],[Tech Start Date]],6),IF(Main[[#This Row],[Class]]="A",WORKDAY(Main[[#This Row],[Tech Start Date]],2),""))))</f>
        <v/>
      </c>
      <c r="N177" s="75" t="str">
        <f>IF(Main[[#This Row],[Tech Start Date]]&lt;1/1/1990,"",IF(Main[[#This Row],[Class]]="C",WORKDAY(Main[[#This Row],[Tech Start Date]],19),IF(Main[[#This Row],[Class]]="B", WORKDAY(Main[[#This Row],[Tech Start Date]],12),IF(Main[[#This Row],[Class]]="A",WORKDAY(Main[[#This Row],[Tech Start Date]],4),""))))</f>
        <v/>
      </c>
      <c r="O177" s="75" t="str">
        <f>IF(Main[[#This Row],[Tech Start Date]]&lt;1/1/1990,"",IF(Main[[#This Row],[Class]]="C",WORKDAY(Main[[#This Row],[Tech Start Date]],23),IF(Main[[#This Row],[Class]]="B", WORKDAY(Main[[#This Row],[Tech Start Date]],15),IF(Main[[#This Row],[Class]]="A",WORKDAY(Main[[#This Row],[Tech Start Date]],5),""))))</f>
        <v/>
      </c>
      <c r="P177" s="75" t="str">
        <f>IF(Main[[#This Row],[Tech Start Date]]&lt;1/1/1990,"",IF(Main[[#This Row],[Class]]="C",WORKDAY(Main[[#This Row],[Tech Start Date]],28),IF(Main[[#This Row],[Class]]="B", WORKDAY(Main[[#This Row],[Tech Start Date]],19),IF(Main[[#This Row],[Class]]="A",WORKDAY(Main[[#This Row],[Tech Start Date]],9),""))))</f>
        <v/>
      </c>
      <c r="Q177" s="89">
        <v>40786</v>
      </c>
      <c r="R177" s="121"/>
      <c r="S177" s="99" t="s">
        <v>11</v>
      </c>
      <c r="T177" s="76" t="s">
        <v>4</v>
      </c>
      <c r="U177" s="99" t="s">
        <v>12</v>
      </c>
      <c r="V177" s="99" t="s">
        <v>1916</v>
      </c>
      <c r="W177" s="99" t="s">
        <v>1921</v>
      </c>
      <c r="X177" s="99" t="s">
        <v>2825</v>
      </c>
      <c r="Y177" s="73" t="s">
        <v>2948</v>
      </c>
      <c r="Z177" s="73" t="s">
        <v>4</v>
      </c>
      <c r="AA177" s="99" t="s">
        <v>2825</v>
      </c>
    </row>
    <row r="178" spans="1:27" ht="17.25" customHeight="1">
      <c r="A178" s="65" t="str">
        <f>IF(priority(Main[[#This Row],[Comments]])&lt;&gt;0, priority(Main[[#This Row],[Comments]]),"")</f>
        <v/>
      </c>
      <c r="B178" s="60" t="s">
        <v>2209</v>
      </c>
      <c r="C178" s="105" t="s">
        <v>2210</v>
      </c>
      <c r="D178" s="74" t="s">
        <v>2211</v>
      </c>
      <c r="E178" s="89">
        <v>40798.585381944446</v>
      </c>
      <c r="F178" s="89">
        <v>40848</v>
      </c>
      <c r="G178" s="65" t="str">
        <f>IF(stdProdLT(Main[[#This Row],[Comments]])=0.1,"N/A",IF(stdProdLT(Main[[#This Row],[Comments]])=0,"",TRIM(stdProdLT(Main[[#This Row],[Comments]]))))</f>
        <v/>
      </c>
      <c r="H178" s="98" t="str">
        <f>IF(Main[[#This Row],[Std. Prod. Lead Time]]="N/A", "",IF(AND(Main[[#This Row],[In Stock Date]]&lt;&gt;"",Main[[#This Row],[Revised Due Date]]&lt;&gt;"",Main[[#This Row],[In Stock Date]]&lt;&gt;""),Main[[#This Row],[In Stock Date]]-Main[[#This Row],[Revised Due Date]],""))</f>
        <v/>
      </c>
      <c r="I178" s="110" t="s">
        <v>4</v>
      </c>
      <c r="J178" s="99" t="s">
        <v>4</v>
      </c>
      <c r="K178" s="99" t="s">
        <v>4</v>
      </c>
      <c r="L178" s="89"/>
      <c r="M178" s="75" t="str">
        <f>IF(Main[[#This Row],[Tech Start Date]]&lt;1/1/1990,"",IF(Main[[#This Row],[Class]]="C",WORKDAY(Main[[#This Row],[Tech Start Date]],9),IF(Main[[#This Row],[Class]]="B", WORKDAY(Main[[#This Row],[Tech Start Date]],6),IF(Main[[#This Row],[Class]]="A",WORKDAY(Main[[#This Row],[Tech Start Date]],2),""))))</f>
        <v/>
      </c>
      <c r="N178" s="75" t="str">
        <f>IF(Main[[#This Row],[Tech Start Date]]&lt;1/1/1990,"",IF(Main[[#This Row],[Class]]="C",WORKDAY(Main[[#This Row],[Tech Start Date]],19),IF(Main[[#This Row],[Class]]="B", WORKDAY(Main[[#This Row],[Tech Start Date]],12),IF(Main[[#This Row],[Class]]="A",WORKDAY(Main[[#This Row],[Tech Start Date]],4),""))))</f>
        <v/>
      </c>
      <c r="O178" s="75" t="str">
        <f>IF(Main[[#This Row],[Tech Start Date]]&lt;1/1/1990,"",IF(Main[[#This Row],[Class]]="C",WORKDAY(Main[[#This Row],[Tech Start Date]],23),IF(Main[[#This Row],[Class]]="B", WORKDAY(Main[[#This Row],[Tech Start Date]],15),IF(Main[[#This Row],[Class]]="A",WORKDAY(Main[[#This Row],[Tech Start Date]],5),""))))</f>
        <v/>
      </c>
      <c r="P178" s="75" t="str">
        <f>IF(Main[[#This Row],[Tech Start Date]]&lt;1/1/1990,"",IF(Main[[#This Row],[Class]]="C",WORKDAY(Main[[#This Row],[Tech Start Date]],28),IF(Main[[#This Row],[Class]]="B", WORKDAY(Main[[#This Row],[Tech Start Date]],19),IF(Main[[#This Row],[Class]]="A",WORKDAY(Main[[#This Row],[Tech Start Date]],9),""))))</f>
        <v/>
      </c>
      <c r="Q178" s="89"/>
      <c r="R178" s="121"/>
      <c r="S178" s="99" t="s">
        <v>49</v>
      </c>
      <c r="T178" s="76" t="s">
        <v>4</v>
      </c>
      <c r="U178" s="99" t="s">
        <v>7</v>
      </c>
      <c r="V178" s="99" t="s">
        <v>1913</v>
      </c>
      <c r="W178" s="99" t="s">
        <v>1918</v>
      </c>
      <c r="X178" s="99" t="s">
        <v>2826</v>
      </c>
      <c r="Y178" s="73" t="s">
        <v>2949</v>
      </c>
      <c r="Z178" s="73" t="s">
        <v>4</v>
      </c>
      <c r="AA178" s="99" t="s">
        <v>2826</v>
      </c>
    </row>
    <row r="179" spans="1:27" ht="17.25" customHeight="1">
      <c r="A179" s="65" t="str">
        <f>IF(priority(Main[[#This Row],[Comments]])&lt;&gt;0, priority(Main[[#This Row],[Comments]]),"")</f>
        <v/>
      </c>
      <c r="B179" s="60" t="s">
        <v>1048</v>
      </c>
      <c r="C179" s="105" t="s">
        <v>79</v>
      </c>
      <c r="D179" s="74" t="s">
        <v>80</v>
      </c>
      <c r="E179" s="89"/>
      <c r="F179" s="89"/>
      <c r="G179" s="65" t="str">
        <f>IF(stdProdLT(Main[[#This Row],[Comments]])=0.1,"N/A",IF(stdProdLT(Main[[#This Row],[Comments]])=0,"",TRIM(stdProdLT(Main[[#This Row],[Comments]]))))</f>
        <v/>
      </c>
      <c r="H179" s="98" t="str">
        <f>IF(Main[[#This Row],[Std. Prod. Lead Time]]="N/A", "",IF(AND(Main[[#This Row],[In Stock Date]]&lt;&gt;"",Main[[#This Row],[Revised Due Date]]&lt;&gt;"",Main[[#This Row],[In Stock Date]]&lt;&gt;""),Main[[#This Row],[In Stock Date]]-Main[[#This Row],[Revised Due Date]],""))</f>
        <v/>
      </c>
      <c r="I179" s="110" t="s">
        <v>81</v>
      </c>
      <c r="J179" s="99" t="s">
        <v>4</v>
      </c>
      <c r="K179" s="99" t="s">
        <v>4</v>
      </c>
      <c r="L179" s="89"/>
      <c r="M179" s="75" t="str">
        <f>IF(Main[[#This Row],[Tech Start Date]]&lt;1/1/1990,"",IF(Main[[#This Row],[Class]]="C",WORKDAY(Main[[#This Row],[Tech Start Date]],9),IF(Main[[#This Row],[Class]]="B", WORKDAY(Main[[#This Row],[Tech Start Date]],6),IF(Main[[#This Row],[Class]]="A",WORKDAY(Main[[#This Row],[Tech Start Date]],2),""))))</f>
        <v/>
      </c>
      <c r="N179" s="75" t="str">
        <f>IF(Main[[#This Row],[Tech Start Date]]&lt;1/1/1990,"",IF(Main[[#This Row],[Class]]="C",WORKDAY(Main[[#This Row],[Tech Start Date]],19),IF(Main[[#This Row],[Class]]="B", WORKDAY(Main[[#This Row],[Tech Start Date]],12),IF(Main[[#This Row],[Class]]="A",WORKDAY(Main[[#This Row],[Tech Start Date]],4),""))))</f>
        <v/>
      </c>
      <c r="O179" s="75" t="str">
        <f>IF(Main[[#This Row],[Tech Start Date]]&lt;1/1/1990,"",IF(Main[[#This Row],[Class]]="C",WORKDAY(Main[[#This Row],[Tech Start Date]],23),IF(Main[[#This Row],[Class]]="B", WORKDAY(Main[[#This Row],[Tech Start Date]],15),IF(Main[[#This Row],[Class]]="A",WORKDAY(Main[[#This Row],[Tech Start Date]],5),""))))</f>
        <v/>
      </c>
      <c r="P179" s="75" t="str">
        <f>IF(Main[[#This Row],[Tech Start Date]]&lt;1/1/1990,"",IF(Main[[#This Row],[Class]]="C",WORKDAY(Main[[#This Row],[Tech Start Date]],28),IF(Main[[#This Row],[Class]]="B", WORKDAY(Main[[#This Row],[Tech Start Date]],19),IF(Main[[#This Row],[Class]]="A",WORKDAY(Main[[#This Row],[Tech Start Date]],9),""))))</f>
        <v/>
      </c>
      <c r="Q179" s="89">
        <v>39986</v>
      </c>
      <c r="R179" s="121"/>
      <c r="S179" s="99" t="s">
        <v>11</v>
      </c>
      <c r="T179" s="76" t="s">
        <v>4</v>
      </c>
      <c r="U179" s="99" t="s">
        <v>14</v>
      </c>
      <c r="V179" s="99" t="s">
        <v>1916</v>
      </c>
      <c r="W179" s="99" t="s">
        <v>1924</v>
      </c>
      <c r="X179" s="99" t="s">
        <v>2814</v>
      </c>
      <c r="Y179" s="73" t="s">
        <v>2950</v>
      </c>
      <c r="Z179" s="73" t="s">
        <v>4</v>
      </c>
      <c r="AA179" s="99" t="s">
        <v>2855</v>
      </c>
    </row>
    <row r="180" spans="1:27" ht="17.25" customHeight="1">
      <c r="A180" s="65" t="str">
        <f>IF(priority(Main[[#This Row],[Comments]])&lt;&gt;0, priority(Main[[#This Row],[Comments]]),"")</f>
        <v/>
      </c>
      <c r="B180" s="60" t="s">
        <v>1049</v>
      </c>
      <c r="C180" s="105" t="s">
        <v>4</v>
      </c>
      <c r="D180" s="74" t="s">
        <v>82</v>
      </c>
      <c r="E180" s="89"/>
      <c r="F180" s="89"/>
      <c r="G180" s="65" t="str">
        <f>IF(stdProdLT(Main[[#This Row],[Comments]])=0.1,"N/A",IF(stdProdLT(Main[[#This Row],[Comments]])=0,"",TRIM(stdProdLT(Main[[#This Row],[Comments]]))))</f>
        <v/>
      </c>
      <c r="H180" s="98" t="str">
        <f>IF(Main[[#This Row],[Std. Prod. Lead Time]]="N/A", "",IF(AND(Main[[#This Row],[In Stock Date]]&lt;&gt;"",Main[[#This Row],[Revised Due Date]]&lt;&gt;"",Main[[#This Row],[In Stock Date]]&lt;&gt;""),Main[[#This Row],[In Stock Date]]-Main[[#This Row],[Revised Due Date]],""))</f>
        <v/>
      </c>
      <c r="I180" s="110" t="s">
        <v>4</v>
      </c>
      <c r="J180" s="99" t="s">
        <v>4</v>
      </c>
      <c r="K180" s="100" t="s">
        <v>4</v>
      </c>
      <c r="L180" s="89"/>
      <c r="M180" s="75" t="str">
        <f>IF(Main[[#This Row],[Tech Start Date]]&lt;1/1/1990,"",IF(Main[[#This Row],[Class]]="C",WORKDAY(Main[[#This Row],[Tech Start Date]],9),IF(Main[[#This Row],[Class]]="B", WORKDAY(Main[[#This Row],[Tech Start Date]],6),IF(Main[[#This Row],[Class]]="A",WORKDAY(Main[[#This Row],[Tech Start Date]],2),""))))</f>
        <v/>
      </c>
      <c r="N180" s="75" t="str">
        <f>IF(Main[[#This Row],[Tech Start Date]]&lt;1/1/1990,"",IF(Main[[#This Row],[Class]]="C",WORKDAY(Main[[#This Row],[Tech Start Date]],19),IF(Main[[#This Row],[Class]]="B", WORKDAY(Main[[#This Row],[Tech Start Date]],12),IF(Main[[#This Row],[Class]]="A",WORKDAY(Main[[#This Row],[Tech Start Date]],4),""))))</f>
        <v/>
      </c>
      <c r="O180" s="75" t="str">
        <f>IF(Main[[#This Row],[Tech Start Date]]&lt;1/1/1990,"",IF(Main[[#This Row],[Class]]="C",WORKDAY(Main[[#This Row],[Tech Start Date]],23),IF(Main[[#This Row],[Class]]="B", WORKDAY(Main[[#This Row],[Tech Start Date]],15),IF(Main[[#This Row],[Class]]="A",WORKDAY(Main[[#This Row],[Tech Start Date]],5),""))))</f>
        <v/>
      </c>
      <c r="P180" s="75" t="str">
        <f>IF(Main[[#This Row],[Tech Start Date]]&lt;1/1/1990,"",IF(Main[[#This Row],[Class]]="C",WORKDAY(Main[[#This Row],[Tech Start Date]],28),IF(Main[[#This Row],[Class]]="B", WORKDAY(Main[[#This Row],[Tech Start Date]],19),IF(Main[[#This Row],[Class]]="A",WORKDAY(Main[[#This Row],[Tech Start Date]],9),""))))</f>
        <v/>
      </c>
      <c r="Q180" s="89">
        <v>40602</v>
      </c>
      <c r="R180" s="121"/>
      <c r="S180" s="99" t="s">
        <v>6</v>
      </c>
      <c r="T180" s="76" t="s">
        <v>4</v>
      </c>
      <c r="U180" s="99" t="s">
        <v>14</v>
      </c>
      <c r="V180" s="99" t="s">
        <v>1923</v>
      </c>
      <c r="W180" s="99" t="s">
        <v>1917</v>
      </c>
      <c r="X180" s="99" t="s">
        <v>30</v>
      </c>
      <c r="Y180" s="73" t="s">
        <v>2951</v>
      </c>
      <c r="Z180" s="73" t="s">
        <v>4</v>
      </c>
      <c r="AA180" s="99" t="s">
        <v>30</v>
      </c>
    </row>
    <row r="181" spans="1:27" ht="17.25" customHeight="1">
      <c r="A181" s="65" t="str">
        <f>IF(priority(Main[[#This Row],[Comments]])&lt;&gt;0, priority(Main[[#This Row],[Comments]]),"")</f>
        <v/>
      </c>
      <c r="B181" s="60" t="s">
        <v>2677</v>
      </c>
      <c r="C181" s="105" t="s">
        <v>2678</v>
      </c>
      <c r="D181" s="74" t="s">
        <v>2679</v>
      </c>
      <c r="E181" s="89"/>
      <c r="F181" s="89"/>
      <c r="G181" s="65" t="str">
        <f>IF(stdProdLT(Main[[#This Row],[Comments]])=0.1,"N/A",IF(stdProdLT(Main[[#This Row],[Comments]])=0,"",TRIM(stdProdLT(Main[[#This Row],[Comments]]))))</f>
        <v/>
      </c>
      <c r="H181" s="98" t="str">
        <f>IF(Main[[#This Row],[Std. Prod. Lead Time]]="N/A", "",IF(AND(Main[[#This Row],[In Stock Date]]&lt;&gt;"",Main[[#This Row],[Revised Due Date]]&lt;&gt;"",Main[[#This Row],[In Stock Date]]&lt;&gt;""),Main[[#This Row],[In Stock Date]]-Main[[#This Row],[Revised Due Date]],""))</f>
        <v/>
      </c>
      <c r="I181" s="110" t="s">
        <v>4</v>
      </c>
      <c r="J181" s="99" t="s">
        <v>4</v>
      </c>
      <c r="K181" s="99" t="s">
        <v>4</v>
      </c>
      <c r="L181" s="89"/>
      <c r="M181" s="75" t="str">
        <f>IF(Main[[#This Row],[Tech Start Date]]&lt;1/1/1990,"",IF(Main[[#This Row],[Class]]="C",WORKDAY(Main[[#This Row],[Tech Start Date]],9),IF(Main[[#This Row],[Class]]="B", WORKDAY(Main[[#This Row],[Tech Start Date]],6),IF(Main[[#This Row],[Class]]="A",WORKDAY(Main[[#This Row],[Tech Start Date]],2),""))))</f>
        <v/>
      </c>
      <c r="N181" s="75" t="str">
        <f>IF(Main[[#This Row],[Tech Start Date]]&lt;1/1/1990,"",IF(Main[[#This Row],[Class]]="C",WORKDAY(Main[[#This Row],[Tech Start Date]],19),IF(Main[[#This Row],[Class]]="B", WORKDAY(Main[[#This Row],[Tech Start Date]],12),IF(Main[[#This Row],[Class]]="A",WORKDAY(Main[[#This Row],[Tech Start Date]],4),""))))</f>
        <v/>
      </c>
      <c r="O181" s="75" t="str">
        <f>IF(Main[[#This Row],[Tech Start Date]]&lt;1/1/1990,"",IF(Main[[#This Row],[Class]]="C",WORKDAY(Main[[#This Row],[Tech Start Date]],23),IF(Main[[#This Row],[Class]]="B", WORKDAY(Main[[#This Row],[Tech Start Date]],15),IF(Main[[#This Row],[Class]]="A",WORKDAY(Main[[#This Row],[Tech Start Date]],5),""))))</f>
        <v/>
      </c>
      <c r="P181" s="75" t="str">
        <f>IF(Main[[#This Row],[Tech Start Date]]&lt;1/1/1990,"",IF(Main[[#This Row],[Class]]="C",WORKDAY(Main[[#This Row],[Tech Start Date]],28),IF(Main[[#This Row],[Class]]="B", WORKDAY(Main[[#This Row],[Tech Start Date]],19),IF(Main[[#This Row],[Class]]="A",WORKDAY(Main[[#This Row],[Tech Start Date]],9),""))))</f>
        <v/>
      </c>
      <c r="Q181" s="89"/>
      <c r="R181" s="121"/>
      <c r="S181" s="99" t="s">
        <v>6</v>
      </c>
      <c r="T181" s="76" t="s">
        <v>4</v>
      </c>
      <c r="U181" s="99" t="s">
        <v>14</v>
      </c>
      <c r="V181" s="99" t="s">
        <v>1916</v>
      </c>
      <c r="W181" s="99" t="s">
        <v>1921</v>
      </c>
      <c r="X181" s="99" t="s">
        <v>883</v>
      </c>
      <c r="Y181" s="73" t="s">
        <v>2952</v>
      </c>
      <c r="Z181" s="73" t="s">
        <v>4</v>
      </c>
      <c r="AA181" s="99" t="s">
        <v>3370</v>
      </c>
    </row>
    <row r="182" spans="1:27" ht="17.25" customHeight="1">
      <c r="A182" s="65" t="str">
        <f>IF(priority(Main[[#This Row],[Comments]])&lt;&gt;0, priority(Main[[#This Row],[Comments]]),"")</f>
        <v/>
      </c>
      <c r="B182" s="60" t="s">
        <v>1060</v>
      </c>
      <c r="C182" s="105" t="s">
        <v>4</v>
      </c>
      <c r="D182" s="74" t="s">
        <v>105</v>
      </c>
      <c r="E182" s="89"/>
      <c r="F182" s="89"/>
      <c r="G182" s="65" t="str">
        <f>IF(stdProdLT(Main[[#This Row],[Comments]])=0.1,"N/A",IF(stdProdLT(Main[[#This Row],[Comments]])=0,"",TRIM(stdProdLT(Main[[#This Row],[Comments]]))))</f>
        <v/>
      </c>
      <c r="H182" s="98" t="str">
        <f>IF(Main[[#This Row],[Std. Prod. Lead Time]]="N/A", "",IF(AND(Main[[#This Row],[In Stock Date]]&lt;&gt;"",Main[[#This Row],[Revised Due Date]]&lt;&gt;"",Main[[#This Row],[In Stock Date]]&lt;&gt;""),Main[[#This Row],[In Stock Date]]-Main[[#This Row],[Revised Due Date]],""))</f>
        <v/>
      </c>
      <c r="I182" s="110" t="s">
        <v>44</v>
      </c>
      <c r="J182" s="99" t="s">
        <v>28</v>
      </c>
      <c r="K182" s="99" t="s">
        <v>1922</v>
      </c>
      <c r="L182" s="89"/>
      <c r="M182" s="75" t="str">
        <f>IF(Main[[#This Row],[Tech Start Date]]&lt;1/1/1990,"",IF(Main[[#This Row],[Class]]="C",WORKDAY(Main[[#This Row],[Tech Start Date]],9),IF(Main[[#This Row],[Class]]="B", WORKDAY(Main[[#This Row],[Tech Start Date]],6),IF(Main[[#This Row],[Class]]="A",WORKDAY(Main[[#This Row],[Tech Start Date]],2),""))))</f>
        <v/>
      </c>
      <c r="N182" s="75" t="str">
        <f>IF(Main[[#This Row],[Tech Start Date]]&lt;1/1/1990,"",IF(Main[[#This Row],[Class]]="C",WORKDAY(Main[[#This Row],[Tech Start Date]],19),IF(Main[[#This Row],[Class]]="B", WORKDAY(Main[[#This Row],[Tech Start Date]],12),IF(Main[[#This Row],[Class]]="A",WORKDAY(Main[[#This Row],[Tech Start Date]],4),""))))</f>
        <v/>
      </c>
      <c r="O182" s="75" t="str">
        <f>IF(Main[[#This Row],[Tech Start Date]]&lt;1/1/1990,"",IF(Main[[#This Row],[Class]]="C",WORKDAY(Main[[#This Row],[Tech Start Date]],23),IF(Main[[#This Row],[Class]]="B", WORKDAY(Main[[#This Row],[Tech Start Date]],15),IF(Main[[#This Row],[Class]]="A",WORKDAY(Main[[#This Row],[Tech Start Date]],5),""))))</f>
        <v/>
      </c>
      <c r="P182" s="75" t="str">
        <f>IF(Main[[#This Row],[Tech Start Date]]&lt;1/1/1990,"",IF(Main[[#This Row],[Class]]="C",WORKDAY(Main[[#This Row],[Tech Start Date]],28),IF(Main[[#This Row],[Class]]="B", WORKDAY(Main[[#This Row],[Tech Start Date]],19),IF(Main[[#This Row],[Class]]="A",WORKDAY(Main[[#This Row],[Tech Start Date]],9),""))))</f>
        <v/>
      </c>
      <c r="Q182" s="89">
        <v>40725</v>
      </c>
      <c r="R182" s="121"/>
      <c r="S182" s="99" t="s">
        <v>6</v>
      </c>
      <c r="T182" s="76" t="s">
        <v>4</v>
      </c>
      <c r="U182" s="99" t="s">
        <v>14</v>
      </c>
      <c r="V182" s="99" t="s">
        <v>1916</v>
      </c>
      <c r="W182" s="99" t="s">
        <v>1917</v>
      </c>
      <c r="X182" s="99" t="s">
        <v>2813</v>
      </c>
      <c r="Y182" s="73" t="s">
        <v>2926</v>
      </c>
      <c r="Z182" s="73" t="s">
        <v>44</v>
      </c>
      <c r="AA182" s="99" t="s">
        <v>2813</v>
      </c>
    </row>
    <row r="183" spans="1:27" ht="17.25" customHeight="1">
      <c r="A183" s="65" t="str">
        <f>IF(priority(Main[[#This Row],[Comments]])&lt;&gt;0, priority(Main[[#This Row],[Comments]]),"")</f>
        <v/>
      </c>
      <c r="B183" s="60" t="s">
        <v>1061</v>
      </c>
      <c r="C183" s="105" t="s">
        <v>106</v>
      </c>
      <c r="D183" s="74" t="s">
        <v>107</v>
      </c>
      <c r="E183" s="89"/>
      <c r="F183" s="89"/>
      <c r="G183" s="65" t="str">
        <f>IF(stdProdLT(Main[[#This Row],[Comments]])=0.1,"N/A",IF(stdProdLT(Main[[#This Row],[Comments]])=0,"",TRIM(stdProdLT(Main[[#This Row],[Comments]]))))</f>
        <v/>
      </c>
      <c r="H183" s="98" t="str">
        <f>IF(Main[[#This Row],[Std. Prod. Lead Time]]="N/A", "",IF(AND(Main[[#This Row],[In Stock Date]]&lt;&gt;"",Main[[#This Row],[Revised Due Date]]&lt;&gt;"",Main[[#This Row],[In Stock Date]]&lt;&gt;""),Main[[#This Row],[In Stock Date]]-Main[[#This Row],[Revised Due Date]],""))</f>
        <v/>
      </c>
      <c r="I183" s="110" t="s">
        <v>108</v>
      </c>
      <c r="J183" s="99" t="s">
        <v>28</v>
      </c>
      <c r="K183" s="99" t="s">
        <v>1926</v>
      </c>
      <c r="L183" s="89"/>
      <c r="M183" s="75" t="str">
        <f>IF(Main[[#This Row],[Tech Start Date]]&lt;1/1/1990,"",IF(Main[[#This Row],[Class]]="C",WORKDAY(Main[[#This Row],[Tech Start Date]],9),IF(Main[[#This Row],[Class]]="B", WORKDAY(Main[[#This Row],[Tech Start Date]],6),IF(Main[[#This Row],[Class]]="A",WORKDAY(Main[[#This Row],[Tech Start Date]],2),""))))</f>
        <v/>
      </c>
      <c r="N183" s="75" t="str">
        <f>IF(Main[[#This Row],[Tech Start Date]]&lt;1/1/1990,"",IF(Main[[#This Row],[Class]]="C",WORKDAY(Main[[#This Row],[Tech Start Date]],19),IF(Main[[#This Row],[Class]]="B", WORKDAY(Main[[#This Row],[Tech Start Date]],12),IF(Main[[#This Row],[Class]]="A",WORKDAY(Main[[#This Row],[Tech Start Date]],4),""))))</f>
        <v/>
      </c>
      <c r="O183" s="75" t="str">
        <f>IF(Main[[#This Row],[Tech Start Date]]&lt;1/1/1990,"",IF(Main[[#This Row],[Class]]="C",WORKDAY(Main[[#This Row],[Tech Start Date]],23),IF(Main[[#This Row],[Class]]="B", WORKDAY(Main[[#This Row],[Tech Start Date]],15),IF(Main[[#This Row],[Class]]="A",WORKDAY(Main[[#This Row],[Tech Start Date]],5),""))))</f>
        <v/>
      </c>
      <c r="P183" s="75" t="str">
        <f>IF(Main[[#This Row],[Tech Start Date]]&lt;1/1/1990,"",IF(Main[[#This Row],[Class]]="C",WORKDAY(Main[[#This Row],[Tech Start Date]],28),IF(Main[[#This Row],[Class]]="B", WORKDAY(Main[[#This Row],[Tech Start Date]],19),IF(Main[[#This Row],[Class]]="A",WORKDAY(Main[[#This Row],[Tech Start Date]],9),""))))</f>
        <v/>
      </c>
      <c r="Q183" s="89">
        <v>40626</v>
      </c>
      <c r="R183" s="121"/>
      <c r="S183" s="99" t="s">
        <v>11</v>
      </c>
      <c r="T183" s="76" t="s">
        <v>4</v>
      </c>
      <c r="U183" s="99" t="s">
        <v>14</v>
      </c>
      <c r="V183" s="99" t="s">
        <v>1914</v>
      </c>
      <c r="W183" s="99" t="s">
        <v>1915</v>
      </c>
      <c r="X183" s="99" t="s">
        <v>2810</v>
      </c>
      <c r="Y183" s="73" t="s">
        <v>2922</v>
      </c>
      <c r="Z183" s="73" t="s">
        <v>108</v>
      </c>
      <c r="AA183" s="99" t="s">
        <v>2810</v>
      </c>
    </row>
    <row r="184" spans="1:27" ht="17.25" customHeight="1">
      <c r="A184" s="65" t="str">
        <f>IF(priority(Main[[#This Row],[Comments]])&lt;&gt;0, priority(Main[[#This Row],[Comments]]),"")</f>
        <v/>
      </c>
      <c r="B184" s="60" t="s">
        <v>1068</v>
      </c>
      <c r="C184" s="105" t="s">
        <v>31</v>
      </c>
      <c r="D184" s="74" t="s">
        <v>109</v>
      </c>
      <c r="E184" s="89"/>
      <c r="F184" s="89"/>
      <c r="G184" s="65" t="str">
        <f>IF(stdProdLT(Main[[#This Row],[Comments]])=0.1,"N/A",IF(stdProdLT(Main[[#This Row],[Comments]])=0,"",TRIM(stdProdLT(Main[[#This Row],[Comments]]))))</f>
        <v/>
      </c>
      <c r="H184" s="98" t="str">
        <f>IF(Main[[#This Row],[Std. Prod. Lead Time]]="N/A", "",IF(AND(Main[[#This Row],[In Stock Date]]&lt;&gt;"",Main[[#This Row],[Revised Due Date]]&lt;&gt;"",Main[[#This Row],[In Stock Date]]&lt;&gt;""),Main[[#This Row],[In Stock Date]]-Main[[#This Row],[Revised Due Date]],""))</f>
        <v/>
      </c>
      <c r="I184" s="110" t="s">
        <v>4</v>
      </c>
      <c r="J184" s="99" t="s">
        <v>4</v>
      </c>
      <c r="K184" s="99" t="s">
        <v>4</v>
      </c>
      <c r="L184" s="89"/>
      <c r="M184" s="75" t="str">
        <f>IF(Main[[#This Row],[Tech Start Date]]&lt;1/1/1990,"",IF(Main[[#This Row],[Class]]="C",WORKDAY(Main[[#This Row],[Tech Start Date]],9),IF(Main[[#This Row],[Class]]="B", WORKDAY(Main[[#This Row],[Tech Start Date]],6),IF(Main[[#This Row],[Class]]="A",WORKDAY(Main[[#This Row],[Tech Start Date]],2),""))))</f>
        <v/>
      </c>
      <c r="N184" s="75" t="str">
        <f>IF(Main[[#This Row],[Tech Start Date]]&lt;1/1/1990,"",IF(Main[[#This Row],[Class]]="C",WORKDAY(Main[[#This Row],[Tech Start Date]],19),IF(Main[[#This Row],[Class]]="B", WORKDAY(Main[[#This Row],[Tech Start Date]],12),IF(Main[[#This Row],[Class]]="A",WORKDAY(Main[[#This Row],[Tech Start Date]],4),""))))</f>
        <v/>
      </c>
      <c r="O184" s="75" t="str">
        <f>IF(Main[[#This Row],[Tech Start Date]]&lt;1/1/1990,"",IF(Main[[#This Row],[Class]]="C",WORKDAY(Main[[#This Row],[Tech Start Date]],23),IF(Main[[#This Row],[Class]]="B", WORKDAY(Main[[#This Row],[Tech Start Date]],15),IF(Main[[#This Row],[Class]]="A",WORKDAY(Main[[#This Row],[Tech Start Date]],5),""))))</f>
        <v/>
      </c>
      <c r="P184" s="75" t="str">
        <f>IF(Main[[#This Row],[Tech Start Date]]&lt;1/1/1990,"",IF(Main[[#This Row],[Class]]="C",WORKDAY(Main[[#This Row],[Tech Start Date]],28),IF(Main[[#This Row],[Class]]="B", WORKDAY(Main[[#This Row],[Tech Start Date]],19),IF(Main[[#This Row],[Class]]="A",WORKDAY(Main[[#This Row],[Tech Start Date]],9),""))))</f>
        <v/>
      </c>
      <c r="Q184" s="89">
        <v>40318</v>
      </c>
      <c r="R184" s="121"/>
      <c r="S184" s="99" t="s">
        <v>11</v>
      </c>
      <c r="T184" s="76" t="s">
        <v>4</v>
      </c>
      <c r="U184" s="99" t="s">
        <v>14</v>
      </c>
      <c r="V184" s="99" t="s">
        <v>1916</v>
      </c>
      <c r="W184" s="99" t="s">
        <v>1915</v>
      </c>
      <c r="X184" s="99" t="s">
        <v>2824</v>
      </c>
      <c r="Y184" s="73" t="s">
        <v>4</v>
      </c>
      <c r="Z184" s="73" t="s">
        <v>4</v>
      </c>
      <c r="AA184" s="99" t="s">
        <v>2824</v>
      </c>
    </row>
    <row r="185" spans="1:27" ht="17.25" customHeight="1">
      <c r="A185" s="65" t="str">
        <f>IF(priority(Main[[#This Row],[Comments]])&lt;&gt;0, priority(Main[[#This Row],[Comments]]),"")</f>
        <v/>
      </c>
      <c r="B185" s="60" t="s">
        <v>2038</v>
      </c>
      <c r="C185" s="105" t="s">
        <v>4</v>
      </c>
      <c r="D185" s="74" t="s">
        <v>2037</v>
      </c>
      <c r="E185" s="89"/>
      <c r="F185" s="89"/>
      <c r="G185" s="65" t="str">
        <f>IF(stdProdLT(Main[[#This Row],[Comments]])=0.1,"N/A",IF(stdProdLT(Main[[#This Row],[Comments]])=0,"",TRIM(stdProdLT(Main[[#This Row],[Comments]]))))</f>
        <v/>
      </c>
      <c r="H185" s="98" t="str">
        <f>IF(Main[[#This Row],[Std. Prod. Lead Time]]="N/A", "",IF(AND(Main[[#This Row],[In Stock Date]]&lt;&gt;"",Main[[#This Row],[Revised Due Date]]&lt;&gt;"",Main[[#This Row],[In Stock Date]]&lt;&gt;""),Main[[#This Row],[In Stock Date]]-Main[[#This Row],[Revised Due Date]],""))</f>
        <v/>
      </c>
      <c r="I185" s="110" t="s">
        <v>4</v>
      </c>
      <c r="J185" s="99" t="s">
        <v>4</v>
      </c>
      <c r="K185" s="99" t="s">
        <v>4</v>
      </c>
      <c r="L185" s="89"/>
      <c r="M185" s="75" t="str">
        <f>IF(Main[[#This Row],[Tech Start Date]]&lt;1/1/1990,"",IF(Main[[#This Row],[Class]]="C",WORKDAY(Main[[#This Row],[Tech Start Date]],9),IF(Main[[#This Row],[Class]]="B", WORKDAY(Main[[#This Row],[Tech Start Date]],6),IF(Main[[#This Row],[Class]]="A",WORKDAY(Main[[#This Row],[Tech Start Date]],2),""))))</f>
        <v/>
      </c>
      <c r="N185" s="75" t="str">
        <f>IF(Main[[#This Row],[Tech Start Date]]&lt;1/1/1990,"",IF(Main[[#This Row],[Class]]="C",WORKDAY(Main[[#This Row],[Tech Start Date]],19),IF(Main[[#This Row],[Class]]="B", WORKDAY(Main[[#This Row],[Tech Start Date]],12),IF(Main[[#This Row],[Class]]="A",WORKDAY(Main[[#This Row],[Tech Start Date]],4),""))))</f>
        <v/>
      </c>
      <c r="O185" s="75" t="str">
        <f>IF(Main[[#This Row],[Tech Start Date]]&lt;1/1/1990,"",IF(Main[[#This Row],[Class]]="C",WORKDAY(Main[[#This Row],[Tech Start Date]],23),IF(Main[[#This Row],[Class]]="B", WORKDAY(Main[[#This Row],[Tech Start Date]],15),IF(Main[[#This Row],[Class]]="A",WORKDAY(Main[[#This Row],[Tech Start Date]],5),""))))</f>
        <v/>
      </c>
      <c r="P185" s="75" t="str">
        <f>IF(Main[[#This Row],[Tech Start Date]]&lt;1/1/1990,"",IF(Main[[#This Row],[Class]]="C",WORKDAY(Main[[#This Row],[Tech Start Date]],28),IF(Main[[#This Row],[Class]]="B", WORKDAY(Main[[#This Row],[Tech Start Date]],19),IF(Main[[#This Row],[Class]]="A",WORKDAY(Main[[#This Row],[Tech Start Date]],9),""))))</f>
        <v/>
      </c>
      <c r="Q185" s="89"/>
      <c r="R185" s="121"/>
      <c r="S185" s="99" t="s">
        <v>6</v>
      </c>
      <c r="T185" s="76" t="s">
        <v>4</v>
      </c>
      <c r="U185" s="99" t="s">
        <v>14</v>
      </c>
      <c r="V185" s="99" t="s">
        <v>1914</v>
      </c>
      <c r="W185" s="99" t="s">
        <v>1917</v>
      </c>
      <c r="X185" s="99" t="s">
        <v>306</v>
      </c>
      <c r="Y185" s="73" t="s">
        <v>4</v>
      </c>
      <c r="Z185" s="73" t="s">
        <v>4</v>
      </c>
      <c r="AA185" s="99" t="s">
        <v>4</v>
      </c>
    </row>
    <row r="186" spans="1:27" ht="17.25" customHeight="1">
      <c r="A186" s="65" t="str">
        <f>IF(priority(Main[[#This Row],[Comments]])&lt;&gt;0, priority(Main[[#This Row],[Comments]]),"")</f>
        <v/>
      </c>
      <c r="B186" s="60" t="s">
        <v>1069</v>
      </c>
      <c r="C186" s="105" t="s">
        <v>19</v>
      </c>
      <c r="D186" s="74" t="s">
        <v>110</v>
      </c>
      <c r="E186" s="89"/>
      <c r="F186" s="89">
        <v>40548</v>
      </c>
      <c r="G186" s="65" t="str">
        <f>IF(stdProdLT(Main[[#This Row],[Comments]])=0.1,"N/A",IF(stdProdLT(Main[[#This Row],[Comments]])=0,"",TRIM(stdProdLT(Main[[#This Row],[Comments]]))))</f>
        <v/>
      </c>
      <c r="H186" s="98" t="str">
        <f>IF(Main[[#This Row],[Std. Prod. Lead Time]]="N/A", "",IF(AND(Main[[#This Row],[In Stock Date]]&lt;&gt;"",Main[[#This Row],[Revised Due Date]]&lt;&gt;"",Main[[#This Row],[In Stock Date]]&lt;&gt;""),Main[[#This Row],[In Stock Date]]-Main[[#This Row],[Revised Due Date]],""))</f>
        <v/>
      </c>
      <c r="I186" s="110" t="s">
        <v>4</v>
      </c>
      <c r="J186" s="99" t="s">
        <v>4</v>
      </c>
      <c r="K186" s="99" t="s">
        <v>4</v>
      </c>
      <c r="L186" s="89"/>
      <c r="M186" s="75" t="str">
        <f>IF(Main[[#This Row],[Tech Start Date]]&lt;1/1/1990,"",IF(Main[[#This Row],[Class]]="C",WORKDAY(Main[[#This Row],[Tech Start Date]],9),IF(Main[[#This Row],[Class]]="B", WORKDAY(Main[[#This Row],[Tech Start Date]],6),IF(Main[[#This Row],[Class]]="A",WORKDAY(Main[[#This Row],[Tech Start Date]],2),""))))</f>
        <v/>
      </c>
      <c r="N186" s="75" t="str">
        <f>IF(Main[[#This Row],[Tech Start Date]]&lt;1/1/1990,"",IF(Main[[#This Row],[Class]]="C",WORKDAY(Main[[#This Row],[Tech Start Date]],19),IF(Main[[#This Row],[Class]]="B", WORKDAY(Main[[#This Row],[Tech Start Date]],12),IF(Main[[#This Row],[Class]]="A",WORKDAY(Main[[#This Row],[Tech Start Date]],4),""))))</f>
        <v/>
      </c>
      <c r="O186" s="75" t="str">
        <f>IF(Main[[#This Row],[Tech Start Date]]&lt;1/1/1990,"",IF(Main[[#This Row],[Class]]="C",WORKDAY(Main[[#This Row],[Tech Start Date]],23),IF(Main[[#This Row],[Class]]="B", WORKDAY(Main[[#This Row],[Tech Start Date]],15),IF(Main[[#This Row],[Class]]="A",WORKDAY(Main[[#This Row],[Tech Start Date]],5),""))))</f>
        <v/>
      </c>
      <c r="P186" s="75" t="str">
        <f>IF(Main[[#This Row],[Tech Start Date]]&lt;1/1/1990,"",IF(Main[[#This Row],[Class]]="C",WORKDAY(Main[[#This Row],[Tech Start Date]],28),IF(Main[[#This Row],[Class]]="B", WORKDAY(Main[[#This Row],[Tech Start Date]],19),IF(Main[[#This Row],[Class]]="A",WORKDAY(Main[[#This Row],[Tech Start Date]],9),""))))</f>
        <v/>
      </c>
      <c r="Q186" s="89">
        <v>40415</v>
      </c>
      <c r="R186" s="121"/>
      <c r="S186" s="99" t="s">
        <v>17</v>
      </c>
      <c r="T186" s="76" t="s">
        <v>4</v>
      </c>
      <c r="U186" s="99" t="s">
        <v>12</v>
      </c>
      <c r="V186" s="99" t="s">
        <v>1916</v>
      </c>
      <c r="W186" s="99" t="s">
        <v>1921</v>
      </c>
      <c r="X186" s="99" t="s">
        <v>2827</v>
      </c>
      <c r="Y186" s="73" t="s">
        <v>2933</v>
      </c>
      <c r="Z186" s="73" t="s">
        <v>4</v>
      </c>
      <c r="AA186" s="99" t="s">
        <v>2827</v>
      </c>
    </row>
    <row r="187" spans="1:27" ht="17.25" customHeight="1">
      <c r="A187" s="65" t="str">
        <f>IF(priority(Main[[#This Row],[Comments]])&lt;&gt;0, priority(Main[[#This Row],[Comments]]),"")</f>
        <v/>
      </c>
      <c r="B187" s="60" t="s">
        <v>1062</v>
      </c>
      <c r="C187" s="105" t="s">
        <v>4</v>
      </c>
      <c r="D187" s="74" t="s">
        <v>97</v>
      </c>
      <c r="E187" s="89"/>
      <c r="F187" s="89"/>
      <c r="G187" s="65" t="str">
        <f>IF(stdProdLT(Main[[#This Row],[Comments]])=0.1,"N/A",IF(stdProdLT(Main[[#This Row],[Comments]])=0,"",TRIM(stdProdLT(Main[[#This Row],[Comments]]))))</f>
        <v/>
      </c>
      <c r="H187" s="98" t="str">
        <f>IF(Main[[#This Row],[Std. Prod. Lead Time]]="N/A", "",IF(AND(Main[[#This Row],[In Stock Date]]&lt;&gt;"",Main[[#This Row],[Revised Due Date]]&lt;&gt;"",Main[[#This Row],[In Stock Date]]&lt;&gt;""),Main[[#This Row],[In Stock Date]]-Main[[#This Row],[Revised Due Date]],""))</f>
        <v/>
      </c>
      <c r="I187" s="110" t="s">
        <v>4</v>
      </c>
      <c r="J187" s="99" t="s">
        <v>4</v>
      </c>
      <c r="K187" s="99" t="s">
        <v>4</v>
      </c>
      <c r="L187" s="89"/>
      <c r="M187" s="75" t="str">
        <f>IF(Main[[#This Row],[Tech Start Date]]&lt;1/1/1990,"",IF(Main[[#This Row],[Class]]="C",WORKDAY(Main[[#This Row],[Tech Start Date]],9),IF(Main[[#This Row],[Class]]="B", WORKDAY(Main[[#This Row],[Tech Start Date]],6),IF(Main[[#This Row],[Class]]="A",WORKDAY(Main[[#This Row],[Tech Start Date]],2),""))))</f>
        <v/>
      </c>
      <c r="N187" s="75" t="str">
        <f>IF(Main[[#This Row],[Tech Start Date]]&lt;1/1/1990,"",IF(Main[[#This Row],[Class]]="C",WORKDAY(Main[[#This Row],[Tech Start Date]],19),IF(Main[[#This Row],[Class]]="B", WORKDAY(Main[[#This Row],[Tech Start Date]],12),IF(Main[[#This Row],[Class]]="A",WORKDAY(Main[[#This Row],[Tech Start Date]],4),""))))</f>
        <v/>
      </c>
      <c r="O187" s="75" t="str">
        <f>IF(Main[[#This Row],[Tech Start Date]]&lt;1/1/1990,"",IF(Main[[#This Row],[Class]]="C",WORKDAY(Main[[#This Row],[Tech Start Date]],23),IF(Main[[#This Row],[Class]]="B", WORKDAY(Main[[#This Row],[Tech Start Date]],15),IF(Main[[#This Row],[Class]]="A",WORKDAY(Main[[#This Row],[Tech Start Date]],5),""))))</f>
        <v/>
      </c>
      <c r="P187" s="75" t="str">
        <f>IF(Main[[#This Row],[Tech Start Date]]&lt;1/1/1990,"",IF(Main[[#This Row],[Class]]="C",WORKDAY(Main[[#This Row],[Tech Start Date]],28),IF(Main[[#This Row],[Class]]="B", WORKDAY(Main[[#This Row],[Tech Start Date]],19),IF(Main[[#This Row],[Class]]="A",WORKDAY(Main[[#This Row],[Tech Start Date]],9),""))))</f>
        <v/>
      </c>
      <c r="Q187" s="89">
        <v>40858</v>
      </c>
      <c r="R187" s="121"/>
      <c r="S187" s="99" t="s">
        <v>17</v>
      </c>
      <c r="T187" s="76" t="s">
        <v>4</v>
      </c>
      <c r="U187" s="99" t="s">
        <v>14</v>
      </c>
      <c r="V187" s="99" t="s">
        <v>1913</v>
      </c>
      <c r="W187" s="99" t="s">
        <v>1918</v>
      </c>
      <c r="X187" s="99" t="s">
        <v>50</v>
      </c>
      <c r="Y187" s="73" t="s">
        <v>2953</v>
      </c>
      <c r="Z187" s="73" t="s">
        <v>4</v>
      </c>
      <c r="AA187" s="99" t="s">
        <v>2822</v>
      </c>
    </row>
    <row r="188" spans="1:27" ht="17.25" customHeight="1">
      <c r="A188" s="65" t="str">
        <f>IF(priority(Main[[#This Row],[Comments]])&lt;&gt;0, priority(Main[[#This Row],[Comments]]),"")</f>
        <v/>
      </c>
      <c r="B188" s="60" t="s">
        <v>1063</v>
      </c>
      <c r="C188" s="105" t="s">
        <v>4</v>
      </c>
      <c r="D188" s="74" t="s">
        <v>98</v>
      </c>
      <c r="E188" s="89">
        <v>40373.607708333337</v>
      </c>
      <c r="F188" s="89"/>
      <c r="G188" s="65" t="str">
        <f>IF(stdProdLT(Main[[#This Row],[Comments]])=0.1,"N/A",IF(stdProdLT(Main[[#This Row],[Comments]])=0,"",TRIM(stdProdLT(Main[[#This Row],[Comments]]))))</f>
        <v/>
      </c>
      <c r="H188" s="98" t="str">
        <f>IF(Main[[#This Row],[Std. Prod. Lead Time]]="N/A", "",IF(AND(Main[[#This Row],[In Stock Date]]&lt;&gt;"",Main[[#This Row],[Revised Due Date]]&lt;&gt;"",Main[[#This Row],[In Stock Date]]&lt;&gt;""),Main[[#This Row],[In Stock Date]]-Main[[#This Row],[Revised Due Date]],""))</f>
        <v/>
      </c>
      <c r="I188" s="110" t="s">
        <v>4</v>
      </c>
      <c r="J188" s="99" t="s">
        <v>4</v>
      </c>
      <c r="K188" s="99" t="s">
        <v>4</v>
      </c>
      <c r="L188" s="89"/>
      <c r="M188" s="75" t="str">
        <f>IF(Main[[#This Row],[Tech Start Date]]&lt;1/1/1990,"",IF(Main[[#This Row],[Class]]="C",WORKDAY(Main[[#This Row],[Tech Start Date]],9),IF(Main[[#This Row],[Class]]="B", WORKDAY(Main[[#This Row],[Tech Start Date]],6),IF(Main[[#This Row],[Class]]="A",WORKDAY(Main[[#This Row],[Tech Start Date]],2),""))))</f>
        <v/>
      </c>
      <c r="N188" s="75" t="str">
        <f>IF(Main[[#This Row],[Tech Start Date]]&lt;1/1/1990,"",IF(Main[[#This Row],[Class]]="C",WORKDAY(Main[[#This Row],[Tech Start Date]],19),IF(Main[[#This Row],[Class]]="B", WORKDAY(Main[[#This Row],[Tech Start Date]],12),IF(Main[[#This Row],[Class]]="A",WORKDAY(Main[[#This Row],[Tech Start Date]],4),""))))</f>
        <v/>
      </c>
      <c r="O188" s="75" t="str">
        <f>IF(Main[[#This Row],[Tech Start Date]]&lt;1/1/1990,"",IF(Main[[#This Row],[Class]]="C",WORKDAY(Main[[#This Row],[Tech Start Date]],23),IF(Main[[#This Row],[Class]]="B", WORKDAY(Main[[#This Row],[Tech Start Date]],15),IF(Main[[#This Row],[Class]]="A",WORKDAY(Main[[#This Row],[Tech Start Date]],5),""))))</f>
        <v/>
      </c>
      <c r="P188" s="75" t="str">
        <f>IF(Main[[#This Row],[Tech Start Date]]&lt;1/1/1990,"",IF(Main[[#This Row],[Class]]="C",WORKDAY(Main[[#This Row],[Tech Start Date]],28),IF(Main[[#This Row],[Class]]="B", WORKDAY(Main[[#This Row],[Tech Start Date]],19),IF(Main[[#This Row],[Class]]="A",WORKDAY(Main[[#This Row],[Tech Start Date]],9),""))))</f>
        <v/>
      </c>
      <c r="Q188" s="89">
        <v>40382</v>
      </c>
      <c r="R188" s="121"/>
      <c r="S188" s="99" t="s">
        <v>6</v>
      </c>
      <c r="T188" s="76" t="s">
        <v>4</v>
      </c>
      <c r="U188" s="99" t="s">
        <v>7</v>
      </c>
      <c r="V188" s="99" t="s">
        <v>1913</v>
      </c>
      <c r="W188" s="99" t="s">
        <v>1917</v>
      </c>
      <c r="X188" s="99" t="s">
        <v>399</v>
      </c>
      <c r="Y188" s="73" t="s">
        <v>4</v>
      </c>
      <c r="Z188" s="73" t="s">
        <v>4</v>
      </c>
      <c r="AA188" s="99" t="s">
        <v>3376</v>
      </c>
    </row>
    <row r="189" spans="1:27" ht="17.25" customHeight="1">
      <c r="A189" s="65" t="str">
        <f>IF(priority(Main[[#This Row],[Comments]])&lt;&gt;0, priority(Main[[#This Row],[Comments]]),"")</f>
        <v/>
      </c>
      <c r="B189" s="60" t="s">
        <v>1064</v>
      </c>
      <c r="C189" s="105" t="s">
        <v>99</v>
      </c>
      <c r="D189" s="74" t="s">
        <v>100</v>
      </c>
      <c r="E189" s="89"/>
      <c r="F189" s="89"/>
      <c r="G189" s="65" t="str">
        <f>IF(stdProdLT(Main[[#This Row],[Comments]])=0.1,"N/A",IF(stdProdLT(Main[[#This Row],[Comments]])=0,"",TRIM(stdProdLT(Main[[#This Row],[Comments]]))))</f>
        <v/>
      </c>
      <c r="H189" s="98" t="str">
        <f>IF(Main[[#This Row],[Std. Prod. Lead Time]]="N/A", "",IF(AND(Main[[#This Row],[In Stock Date]]&lt;&gt;"",Main[[#This Row],[Revised Due Date]]&lt;&gt;"",Main[[#This Row],[In Stock Date]]&lt;&gt;""),Main[[#This Row],[In Stock Date]]-Main[[#This Row],[Revised Due Date]],""))</f>
        <v/>
      </c>
      <c r="I189" s="110" t="s">
        <v>4</v>
      </c>
      <c r="J189" s="99" t="s">
        <v>4</v>
      </c>
      <c r="K189" s="99" t="s">
        <v>4</v>
      </c>
      <c r="L189" s="89"/>
      <c r="M189" s="75" t="str">
        <f>IF(Main[[#This Row],[Tech Start Date]]&lt;1/1/1990,"",IF(Main[[#This Row],[Class]]="C",WORKDAY(Main[[#This Row],[Tech Start Date]],9),IF(Main[[#This Row],[Class]]="B", WORKDAY(Main[[#This Row],[Tech Start Date]],6),IF(Main[[#This Row],[Class]]="A",WORKDAY(Main[[#This Row],[Tech Start Date]],2),""))))</f>
        <v/>
      </c>
      <c r="N189" s="75" t="str">
        <f>IF(Main[[#This Row],[Tech Start Date]]&lt;1/1/1990,"",IF(Main[[#This Row],[Class]]="C",WORKDAY(Main[[#This Row],[Tech Start Date]],19),IF(Main[[#This Row],[Class]]="B", WORKDAY(Main[[#This Row],[Tech Start Date]],12),IF(Main[[#This Row],[Class]]="A",WORKDAY(Main[[#This Row],[Tech Start Date]],4),""))))</f>
        <v/>
      </c>
      <c r="O189" s="75" t="str">
        <f>IF(Main[[#This Row],[Tech Start Date]]&lt;1/1/1990,"",IF(Main[[#This Row],[Class]]="C",WORKDAY(Main[[#This Row],[Tech Start Date]],23),IF(Main[[#This Row],[Class]]="B", WORKDAY(Main[[#This Row],[Tech Start Date]],15),IF(Main[[#This Row],[Class]]="A",WORKDAY(Main[[#This Row],[Tech Start Date]],5),""))))</f>
        <v/>
      </c>
      <c r="P189" s="75" t="str">
        <f>IF(Main[[#This Row],[Tech Start Date]]&lt;1/1/1990,"",IF(Main[[#This Row],[Class]]="C",WORKDAY(Main[[#This Row],[Tech Start Date]],28),IF(Main[[#This Row],[Class]]="B", WORKDAY(Main[[#This Row],[Tech Start Date]],19),IF(Main[[#This Row],[Class]]="A",WORKDAY(Main[[#This Row],[Tech Start Date]],9),""))))</f>
        <v/>
      </c>
      <c r="Q189" s="89"/>
      <c r="R189" s="121"/>
      <c r="S189" s="99" t="s">
        <v>49</v>
      </c>
      <c r="T189" s="76" t="s">
        <v>4</v>
      </c>
      <c r="U189" s="99" t="s">
        <v>12</v>
      </c>
      <c r="V189" s="99" t="s">
        <v>1914</v>
      </c>
      <c r="W189" s="99" t="s">
        <v>1915</v>
      </c>
      <c r="X189" s="99" t="s">
        <v>2828</v>
      </c>
      <c r="Y189" s="73" t="s">
        <v>2954</v>
      </c>
      <c r="Z189" s="73" t="s">
        <v>4</v>
      </c>
      <c r="AA189" s="99" t="s">
        <v>3377</v>
      </c>
    </row>
    <row r="190" spans="1:27" ht="17.25" customHeight="1">
      <c r="A190" s="65" t="str">
        <f>IF(priority(Main[[#This Row],[Comments]])&lt;&gt;0, priority(Main[[#This Row],[Comments]]),"")</f>
        <v/>
      </c>
      <c r="B190" s="60" t="s">
        <v>1065</v>
      </c>
      <c r="C190" s="105" t="s">
        <v>67</v>
      </c>
      <c r="D190" s="74" t="s">
        <v>101</v>
      </c>
      <c r="E190" s="89"/>
      <c r="F190" s="89">
        <v>40664</v>
      </c>
      <c r="G190" s="65" t="str">
        <f>IF(stdProdLT(Main[[#This Row],[Comments]])=0.1,"N/A",IF(stdProdLT(Main[[#This Row],[Comments]])=0,"",TRIM(stdProdLT(Main[[#This Row],[Comments]]))))</f>
        <v/>
      </c>
      <c r="H190" s="98" t="str">
        <f>IF(Main[[#This Row],[Std. Prod. Lead Time]]="N/A", "",IF(AND(Main[[#This Row],[In Stock Date]]&lt;&gt;"",Main[[#This Row],[Revised Due Date]]&lt;&gt;"",Main[[#This Row],[In Stock Date]]&lt;&gt;""),Main[[#This Row],[In Stock Date]]-Main[[#This Row],[Revised Due Date]],""))</f>
        <v/>
      </c>
      <c r="I190" s="110" t="s">
        <v>102</v>
      </c>
      <c r="J190" s="99" t="s">
        <v>51</v>
      </c>
      <c r="K190" s="99" t="s">
        <v>1922</v>
      </c>
      <c r="L190" s="89"/>
      <c r="M190" s="75" t="str">
        <f>IF(Main[[#This Row],[Tech Start Date]]&lt;1/1/1990,"",IF(Main[[#This Row],[Class]]="C",WORKDAY(Main[[#This Row],[Tech Start Date]],9),IF(Main[[#This Row],[Class]]="B", WORKDAY(Main[[#This Row],[Tech Start Date]],6),IF(Main[[#This Row],[Class]]="A",WORKDAY(Main[[#This Row],[Tech Start Date]],2),""))))</f>
        <v/>
      </c>
      <c r="N190" s="75" t="str">
        <f>IF(Main[[#This Row],[Tech Start Date]]&lt;1/1/1990,"",IF(Main[[#This Row],[Class]]="C",WORKDAY(Main[[#This Row],[Tech Start Date]],19),IF(Main[[#This Row],[Class]]="B", WORKDAY(Main[[#This Row],[Tech Start Date]],12),IF(Main[[#This Row],[Class]]="A",WORKDAY(Main[[#This Row],[Tech Start Date]],4),""))))</f>
        <v/>
      </c>
      <c r="O190" s="75" t="str">
        <f>IF(Main[[#This Row],[Tech Start Date]]&lt;1/1/1990,"",IF(Main[[#This Row],[Class]]="C",WORKDAY(Main[[#This Row],[Tech Start Date]],23),IF(Main[[#This Row],[Class]]="B", WORKDAY(Main[[#This Row],[Tech Start Date]],15),IF(Main[[#This Row],[Class]]="A",WORKDAY(Main[[#This Row],[Tech Start Date]],5),""))))</f>
        <v/>
      </c>
      <c r="P190" s="75" t="str">
        <f>IF(Main[[#This Row],[Tech Start Date]]&lt;1/1/1990,"",IF(Main[[#This Row],[Class]]="C",WORKDAY(Main[[#This Row],[Tech Start Date]],28),IF(Main[[#This Row],[Class]]="B", WORKDAY(Main[[#This Row],[Tech Start Date]],19),IF(Main[[#This Row],[Class]]="A",WORKDAY(Main[[#This Row],[Tech Start Date]],9),""))))</f>
        <v/>
      </c>
      <c r="Q190" s="89">
        <v>40585</v>
      </c>
      <c r="R190" s="121"/>
      <c r="S190" s="99" t="s">
        <v>11</v>
      </c>
      <c r="T190" s="76" t="s">
        <v>4</v>
      </c>
      <c r="U190" s="99" t="s">
        <v>14</v>
      </c>
      <c r="V190" s="99" t="s">
        <v>1913</v>
      </c>
      <c r="W190" s="99" t="s">
        <v>1919</v>
      </c>
      <c r="X190" s="99" t="s">
        <v>50</v>
      </c>
      <c r="Y190" s="73" t="s">
        <v>2955</v>
      </c>
      <c r="Z190" s="73" t="s">
        <v>129</v>
      </c>
      <c r="AA190" s="99" t="s">
        <v>50</v>
      </c>
    </row>
    <row r="191" spans="1:27" ht="17.25" customHeight="1">
      <c r="A191" s="65" t="str">
        <f>IF(priority(Main[[#This Row],[Comments]])&lt;&gt;0, priority(Main[[#This Row],[Comments]]),"")</f>
        <v/>
      </c>
      <c r="B191" s="60" t="s">
        <v>2441</v>
      </c>
      <c r="C191" s="105" t="s">
        <v>4</v>
      </c>
      <c r="D191" s="74" t="s">
        <v>2684</v>
      </c>
      <c r="E191" s="89">
        <v>40869.337650462963</v>
      </c>
      <c r="F191" s="89"/>
      <c r="G191" s="65" t="str">
        <f>IF(stdProdLT(Main[[#This Row],[Comments]])=0.1,"N/A",IF(stdProdLT(Main[[#This Row],[Comments]])=0,"",TRIM(stdProdLT(Main[[#This Row],[Comments]]))))</f>
        <v/>
      </c>
      <c r="H191" s="98" t="str">
        <f>IF(Main[[#This Row],[Std. Prod. Lead Time]]="N/A", "",IF(AND(Main[[#This Row],[In Stock Date]]&lt;&gt;"",Main[[#This Row],[Revised Due Date]]&lt;&gt;"",Main[[#This Row],[In Stock Date]]&lt;&gt;""),Main[[#This Row],[In Stock Date]]-Main[[#This Row],[Revised Due Date]],""))</f>
        <v/>
      </c>
      <c r="I191" s="110" t="s">
        <v>4</v>
      </c>
      <c r="J191" s="99" t="s">
        <v>4</v>
      </c>
      <c r="K191" s="100" t="s">
        <v>4</v>
      </c>
      <c r="L191" s="89"/>
      <c r="M191" s="75" t="str">
        <f>IF(Main[[#This Row],[Tech Start Date]]&lt;1/1/1990,"",IF(Main[[#This Row],[Class]]="C",WORKDAY(Main[[#This Row],[Tech Start Date]],9),IF(Main[[#This Row],[Class]]="B", WORKDAY(Main[[#This Row],[Tech Start Date]],6),IF(Main[[#This Row],[Class]]="A",WORKDAY(Main[[#This Row],[Tech Start Date]],2),""))))</f>
        <v/>
      </c>
      <c r="N191" s="75" t="str">
        <f>IF(Main[[#This Row],[Tech Start Date]]&lt;1/1/1990,"",IF(Main[[#This Row],[Class]]="C",WORKDAY(Main[[#This Row],[Tech Start Date]],19),IF(Main[[#This Row],[Class]]="B", WORKDAY(Main[[#This Row],[Tech Start Date]],12),IF(Main[[#This Row],[Class]]="A",WORKDAY(Main[[#This Row],[Tech Start Date]],4),""))))</f>
        <v/>
      </c>
      <c r="O191" s="75" t="str">
        <f>IF(Main[[#This Row],[Tech Start Date]]&lt;1/1/1990,"",IF(Main[[#This Row],[Class]]="C",WORKDAY(Main[[#This Row],[Tech Start Date]],23),IF(Main[[#This Row],[Class]]="B", WORKDAY(Main[[#This Row],[Tech Start Date]],15),IF(Main[[#This Row],[Class]]="A",WORKDAY(Main[[#This Row],[Tech Start Date]],5),""))))</f>
        <v/>
      </c>
      <c r="P191" s="75" t="str">
        <f>IF(Main[[#This Row],[Tech Start Date]]&lt;1/1/1990,"",IF(Main[[#This Row],[Class]]="C",WORKDAY(Main[[#This Row],[Tech Start Date]],28),IF(Main[[#This Row],[Class]]="B", WORKDAY(Main[[#This Row],[Tech Start Date]],19),IF(Main[[#This Row],[Class]]="A",WORKDAY(Main[[#This Row],[Tech Start Date]],9),""))))</f>
        <v/>
      </c>
      <c r="Q191" s="89"/>
      <c r="R191" s="121"/>
      <c r="S191" s="99" t="s">
        <v>6</v>
      </c>
      <c r="T191" s="76" t="s">
        <v>2685</v>
      </c>
      <c r="U191" s="99" t="s">
        <v>29</v>
      </c>
      <c r="V191" s="99" t="s">
        <v>1913</v>
      </c>
      <c r="W191" s="99" t="s">
        <v>1917</v>
      </c>
      <c r="X191" s="99" t="s">
        <v>102</v>
      </c>
      <c r="Y191" s="73" t="s">
        <v>2956</v>
      </c>
      <c r="Z191" s="73" t="s">
        <v>4</v>
      </c>
      <c r="AA191" s="99" t="s">
        <v>3378</v>
      </c>
    </row>
    <row r="192" spans="1:27" ht="17.25" customHeight="1">
      <c r="A192" s="65" t="str">
        <f>IF(priority(Main[[#This Row],[Comments]])&lt;&gt;0, priority(Main[[#This Row],[Comments]]),"")</f>
        <v/>
      </c>
      <c r="B192" s="60" t="s">
        <v>1067</v>
      </c>
      <c r="C192" s="105" t="s">
        <v>31</v>
      </c>
      <c r="D192" s="74" t="s">
        <v>104</v>
      </c>
      <c r="E192" s="89"/>
      <c r="F192" s="89"/>
      <c r="G192" s="65" t="str">
        <f>IF(stdProdLT(Main[[#This Row],[Comments]])=0.1,"N/A",IF(stdProdLT(Main[[#This Row],[Comments]])=0,"",TRIM(stdProdLT(Main[[#This Row],[Comments]]))))</f>
        <v/>
      </c>
      <c r="H192" s="98" t="str">
        <f>IF(Main[[#This Row],[Std. Prod. Lead Time]]="N/A", "",IF(AND(Main[[#This Row],[In Stock Date]]&lt;&gt;"",Main[[#This Row],[Revised Due Date]]&lt;&gt;"",Main[[#This Row],[In Stock Date]]&lt;&gt;""),Main[[#This Row],[In Stock Date]]-Main[[#This Row],[Revised Due Date]],""))</f>
        <v/>
      </c>
      <c r="I192" s="110" t="s">
        <v>4</v>
      </c>
      <c r="J192" s="99" t="s">
        <v>4</v>
      </c>
      <c r="K192" s="100" t="s">
        <v>4</v>
      </c>
      <c r="L192" s="89"/>
      <c r="M192" s="75" t="str">
        <f>IF(Main[[#This Row],[Tech Start Date]]&lt;1/1/1990,"",IF(Main[[#This Row],[Class]]="C",WORKDAY(Main[[#This Row],[Tech Start Date]],9),IF(Main[[#This Row],[Class]]="B", WORKDAY(Main[[#This Row],[Tech Start Date]],6),IF(Main[[#This Row],[Class]]="A",WORKDAY(Main[[#This Row],[Tech Start Date]],2),""))))</f>
        <v/>
      </c>
      <c r="N192" s="75" t="str">
        <f>IF(Main[[#This Row],[Tech Start Date]]&lt;1/1/1990,"",IF(Main[[#This Row],[Class]]="C",WORKDAY(Main[[#This Row],[Tech Start Date]],19),IF(Main[[#This Row],[Class]]="B", WORKDAY(Main[[#This Row],[Tech Start Date]],12),IF(Main[[#This Row],[Class]]="A",WORKDAY(Main[[#This Row],[Tech Start Date]],4),""))))</f>
        <v/>
      </c>
      <c r="O192" s="75" t="str">
        <f>IF(Main[[#This Row],[Tech Start Date]]&lt;1/1/1990,"",IF(Main[[#This Row],[Class]]="C",WORKDAY(Main[[#This Row],[Tech Start Date]],23),IF(Main[[#This Row],[Class]]="B", WORKDAY(Main[[#This Row],[Tech Start Date]],15),IF(Main[[#This Row],[Class]]="A",WORKDAY(Main[[#This Row],[Tech Start Date]],5),""))))</f>
        <v/>
      </c>
      <c r="P192" s="75" t="str">
        <f>IF(Main[[#This Row],[Tech Start Date]]&lt;1/1/1990,"",IF(Main[[#This Row],[Class]]="C",WORKDAY(Main[[#This Row],[Tech Start Date]],28),IF(Main[[#This Row],[Class]]="B", WORKDAY(Main[[#This Row],[Tech Start Date]],19),IF(Main[[#This Row],[Class]]="A",WORKDAY(Main[[#This Row],[Tech Start Date]],9),""))))</f>
        <v/>
      </c>
      <c r="Q192" s="89">
        <v>40318</v>
      </c>
      <c r="R192" s="121"/>
      <c r="S192" s="99" t="s">
        <v>11</v>
      </c>
      <c r="T192" s="76" t="s">
        <v>4</v>
      </c>
      <c r="U192" s="99" t="s">
        <v>14</v>
      </c>
      <c r="V192" s="99" t="s">
        <v>1923</v>
      </c>
      <c r="W192" s="99" t="s">
        <v>1915</v>
      </c>
      <c r="X192" s="99" t="s">
        <v>2824</v>
      </c>
      <c r="Y192" s="73" t="s">
        <v>4</v>
      </c>
      <c r="Z192" s="73" t="s">
        <v>4</v>
      </c>
      <c r="AA192" s="99" t="s">
        <v>2824</v>
      </c>
    </row>
    <row r="193" spans="1:27" ht="17.25" customHeight="1">
      <c r="A193" s="65" t="str">
        <f>IF(priority(Main[[#This Row],[Comments]])&lt;&gt;0, priority(Main[[#This Row],[Comments]]),"")</f>
        <v/>
      </c>
      <c r="B193" s="60" t="s">
        <v>2688</v>
      </c>
      <c r="C193" s="105" t="s">
        <v>2689</v>
      </c>
      <c r="D193" s="74" t="s">
        <v>2690</v>
      </c>
      <c r="E193" s="89"/>
      <c r="F193" s="89"/>
      <c r="G193" s="65" t="str">
        <f>IF(stdProdLT(Main[[#This Row],[Comments]])=0.1,"N/A",IF(stdProdLT(Main[[#This Row],[Comments]])=0,"",TRIM(stdProdLT(Main[[#This Row],[Comments]]))))</f>
        <v/>
      </c>
      <c r="H193" s="98" t="str">
        <f>IF(Main[[#This Row],[Std. Prod. Lead Time]]="N/A", "",IF(AND(Main[[#This Row],[In Stock Date]]&lt;&gt;"",Main[[#This Row],[Revised Due Date]]&lt;&gt;"",Main[[#This Row],[In Stock Date]]&lt;&gt;""),Main[[#This Row],[In Stock Date]]-Main[[#This Row],[Revised Due Date]],""))</f>
        <v/>
      </c>
      <c r="I193" s="110" t="s">
        <v>4</v>
      </c>
      <c r="J193" s="99" t="s">
        <v>4</v>
      </c>
      <c r="K193" s="99" t="s">
        <v>4</v>
      </c>
      <c r="L193" s="89"/>
      <c r="M193" s="75" t="str">
        <f>IF(Main[[#This Row],[Tech Start Date]]&lt;1/1/1990,"",IF(Main[[#This Row],[Class]]="C",WORKDAY(Main[[#This Row],[Tech Start Date]],9),IF(Main[[#This Row],[Class]]="B", WORKDAY(Main[[#This Row],[Tech Start Date]],6),IF(Main[[#This Row],[Class]]="A",WORKDAY(Main[[#This Row],[Tech Start Date]],2),""))))</f>
        <v/>
      </c>
      <c r="N193" s="75" t="str">
        <f>IF(Main[[#This Row],[Tech Start Date]]&lt;1/1/1990,"",IF(Main[[#This Row],[Class]]="C",WORKDAY(Main[[#This Row],[Tech Start Date]],19),IF(Main[[#This Row],[Class]]="B", WORKDAY(Main[[#This Row],[Tech Start Date]],12),IF(Main[[#This Row],[Class]]="A",WORKDAY(Main[[#This Row],[Tech Start Date]],4),""))))</f>
        <v/>
      </c>
      <c r="O193" s="75" t="str">
        <f>IF(Main[[#This Row],[Tech Start Date]]&lt;1/1/1990,"",IF(Main[[#This Row],[Class]]="C",WORKDAY(Main[[#This Row],[Tech Start Date]],23),IF(Main[[#This Row],[Class]]="B", WORKDAY(Main[[#This Row],[Tech Start Date]],15),IF(Main[[#This Row],[Class]]="A",WORKDAY(Main[[#This Row],[Tech Start Date]],5),""))))</f>
        <v/>
      </c>
      <c r="P193" s="75" t="str">
        <f>IF(Main[[#This Row],[Tech Start Date]]&lt;1/1/1990,"",IF(Main[[#This Row],[Class]]="C",WORKDAY(Main[[#This Row],[Tech Start Date]],28),IF(Main[[#This Row],[Class]]="B", WORKDAY(Main[[#This Row],[Tech Start Date]],19),IF(Main[[#This Row],[Class]]="A",WORKDAY(Main[[#This Row],[Tech Start Date]],9),""))))</f>
        <v/>
      </c>
      <c r="Q193" s="89">
        <v>40921</v>
      </c>
      <c r="R193" s="121"/>
      <c r="S193" s="99" t="s">
        <v>11</v>
      </c>
      <c r="T193" s="76" t="s">
        <v>4</v>
      </c>
      <c r="U193" s="99" t="s">
        <v>12</v>
      </c>
      <c r="V193" s="99" t="s">
        <v>1914</v>
      </c>
      <c r="W193" s="99" t="s">
        <v>1915</v>
      </c>
      <c r="X193" s="99" t="s">
        <v>2810</v>
      </c>
      <c r="Y193" s="73" t="s">
        <v>4</v>
      </c>
      <c r="Z193" s="73" t="s">
        <v>4</v>
      </c>
      <c r="AA193" s="99" t="s">
        <v>2810</v>
      </c>
    </row>
    <row r="194" spans="1:27" ht="17.25" customHeight="1">
      <c r="A194" s="65" t="str">
        <f>IF(priority(Main[[#This Row],[Comments]])&lt;&gt;0, priority(Main[[#This Row],[Comments]]),"")</f>
        <v/>
      </c>
      <c r="B194" s="60" t="s">
        <v>3571</v>
      </c>
      <c r="C194" s="105" t="s">
        <v>275</v>
      </c>
      <c r="D194" s="74" t="s">
        <v>3572</v>
      </c>
      <c r="E194" s="89">
        <v>40962.69332175926</v>
      </c>
      <c r="F194" s="89">
        <v>41091</v>
      </c>
      <c r="G194" s="65" t="str">
        <f>IF(stdProdLT(Main[[#This Row],[Comments]])=0.1,"N/A",IF(stdProdLT(Main[[#This Row],[Comments]])=0,"",TRIM(stdProdLT(Main[[#This Row],[Comments]]))))</f>
        <v>N/A</v>
      </c>
      <c r="H194" s="98" t="str">
        <f>IF(Main[[#This Row],[Std. Prod. Lead Time]]="N/A", "",IF(AND(Main[[#This Row],[In Stock Date]]&lt;&gt;"",Main[[#This Row],[Revised Due Date]]&lt;&gt;"",Main[[#This Row],[In Stock Date]]&lt;&gt;""),Main[[#This Row],[In Stock Date]]-Main[[#This Row],[Revised Due Date]],""))</f>
        <v/>
      </c>
      <c r="I194" s="110" t="s">
        <v>4</v>
      </c>
      <c r="J194" s="99" t="s">
        <v>4</v>
      </c>
      <c r="K194" s="99" t="s">
        <v>4</v>
      </c>
      <c r="L194" s="89"/>
      <c r="M194" s="75" t="str">
        <f>IF(Main[[#This Row],[Tech Start Date]]&lt;1/1/1990,"",IF(Main[[#This Row],[Class]]="C",WORKDAY(Main[[#This Row],[Tech Start Date]],9),IF(Main[[#This Row],[Class]]="B", WORKDAY(Main[[#This Row],[Tech Start Date]],6),IF(Main[[#This Row],[Class]]="A",WORKDAY(Main[[#This Row],[Tech Start Date]],2),""))))</f>
        <v/>
      </c>
      <c r="N194" s="75" t="str">
        <f>IF(Main[[#This Row],[Tech Start Date]]&lt;1/1/1990,"",IF(Main[[#This Row],[Class]]="C",WORKDAY(Main[[#This Row],[Tech Start Date]],19),IF(Main[[#This Row],[Class]]="B", WORKDAY(Main[[#This Row],[Tech Start Date]],12),IF(Main[[#This Row],[Class]]="A",WORKDAY(Main[[#This Row],[Tech Start Date]],4),""))))</f>
        <v/>
      </c>
      <c r="O194" s="75" t="str">
        <f>IF(Main[[#This Row],[Tech Start Date]]&lt;1/1/1990,"",IF(Main[[#This Row],[Class]]="C",WORKDAY(Main[[#This Row],[Tech Start Date]],23),IF(Main[[#This Row],[Class]]="B", WORKDAY(Main[[#This Row],[Tech Start Date]],15),IF(Main[[#This Row],[Class]]="A",WORKDAY(Main[[#This Row],[Tech Start Date]],5),""))))</f>
        <v/>
      </c>
      <c r="P194" s="75" t="str">
        <f>IF(Main[[#This Row],[Tech Start Date]]&lt;1/1/1990,"",IF(Main[[#This Row],[Class]]="C",WORKDAY(Main[[#This Row],[Tech Start Date]],28),IF(Main[[#This Row],[Class]]="B", WORKDAY(Main[[#This Row],[Tech Start Date]],19),IF(Main[[#This Row],[Class]]="A",WORKDAY(Main[[#This Row],[Tech Start Date]],9),""))))</f>
        <v/>
      </c>
      <c r="Q194" s="89"/>
      <c r="R194" s="121"/>
      <c r="S194" s="99" t="s">
        <v>17</v>
      </c>
      <c r="T194" s="76" t="s">
        <v>3573</v>
      </c>
      <c r="U194" s="99" t="s">
        <v>7</v>
      </c>
      <c r="V194" s="99" t="s">
        <v>1916</v>
      </c>
      <c r="W194" s="99" t="s">
        <v>1918</v>
      </c>
      <c r="X194" s="99" t="s">
        <v>50</v>
      </c>
      <c r="Y194" s="73" t="s">
        <v>3574</v>
      </c>
      <c r="Z194" s="73" t="s">
        <v>4</v>
      </c>
      <c r="AA194" s="99" t="s">
        <v>65</v>
      </c>
    </row>
    <row r="195" spans="1:27" ht="17.25" customHeight="1">
      <c r="A195" s="65" t="str">
        <f>IF(priority(Main[[#This Row],[Comments]])&lt;&gt;0, priority(Main[[#This Row],[Comments]]),"")</f>
        <v/>
      </c>
      <c r="B195" s="60" t="s">
        <v>2552</v>
      </c>
      <c r="C195" s="105" t="s">
        <v>4</v>
      </c>
      <c r="D195" s="74" t="s">
        <v>2553</v>
      </c>
      <c r="E195" s="89"/>
      <c r="F195" s="89"/>
      <c r="G195" s="65" t="str">
        <f>IF(stdProdLT(Main[[#This Row],[Comments]])=0.1,"N/A",IF(stdProdLT(Main[[#This Row],[Comments]])=0,"",TRIM(stdProdLT(Main[[#This Row],[Comments]]))))</f>
        <v/>
      </c>
      <c r="H195" s="98" t="str">
        <f>IF(Main[[#This Row],[Std. Prod. Lead Time]]="N/A", "",IF(AND(Main[[#This Row],[In Stock Date]]&lt;&gt;"",Main[[#This Row],[Revised Due Date]]&lt;&gt;"",Main[[#This Row],[In Stock Date]]&lt;&gt;""),Main[[#This Row],[In Stock Date]]-Main[[#This Row],[Revised Due Date]],""))</f>
        <v/>
      </c>
      <c r="I195" s="110" t="s">
        <v>30</v>
      </c>
      <c r="J195" s="99" t="s">
        <v>21</v>
      </c>
      <c r="K195" s="99" t="s">
        <v>4</v>
      </c>
      <c r="L195" s="89"/>
      <c r="M195" s="75" t="str">
        <f>IF(Main[[#This Row],[Tech Start Date]]&lt;1/1/1990,"",IF(Main[[#This Row],[Class]]="C",WORKDAY(Main[[#This Row],[Tech Start Date]],9),IF(Main[[#This Row],[Class]]="B", WORKDAY(Main[[#This Row],[Tech Start Date]],6),IF(Main[[#This Row],[Class]]="A",WORKDAY(Main[[#This Row],[Tech Start Date]],2),""))))</f>
        <v/>
      </c>
      <c r="N195" s="75" t="str">
        <f>IF(Main[[#This Row],[Tech Start Date]]&lt;1/1/1990,"",IF(Main[[#This Row],[Class]]="C",WORKDAY(Main[[#This Row],[Tech Start Date]],19),IF(Main[[#This Row],[Class]]="B", WORKDAY(Main[[#This Row],[Tech Start Date]],12),IF(Main[[#This Row],[Class]]="A",WORKDAY(Main[[#This Row],[Tech Start Date]],4),""))))</f>
        <v/>
      </c>
      <c r="O195" s="75" t="str">
        <f>IF(Main[[#This Row],[Tech Start Date]]&lt;1/1/1990,"",IF(Main[[#This Row],[Class]]="C",WORKDAY(Main[[#This Row],[Tech Start Date]],23),IF(Main[[#This Row],[Class]]="B", WORKDAY(Main[[#This Row],[Tech Start Date]],15),IF(Main[[#This Row],[Class]]="A",WORKDAY(Main[[#This Row],[Tech Start Date]],5),""))))</f>
        <v/>
      </c>
      <c r="P195" s="75" t="str">
        <f>IF(Main[[#This Row],[Tech Start Date]]&lt;1/1/1990,"",IF(Main[[#This Row],[Class]]="C",WORKDAY(Main[[#This Row],[Tech Start Date]],28),IF(Main[[#This Row],[Class]]="B", WORKDAY(Main[[#This Row],[Tech Start Date]],19),IF(Main[[#This Row],[Class]]="A",WORKDAY(Main[[#This Row],[Tech Start Date]],9),""))))</f>
        <v/>
      </c>
      <c r="Q195" s="89"/>
      <c r="R195" s="121"/>
      <c r="S195" s="99" t="s">
        <v>6</v>
      </c>
      <c r="T195" s="76" t="s">
        <v>4</v>
      </c>
      <c r="U195" s="99" t="s">
        <v>14</v>
      </c>
      <c r="V195" s="99" t="s">
        <v>1916</v>
      </c>
      <c r="W195" s="99" t="s">
        <v>1915</v>
      </c>
      <c r="X195" s="99" t="s">
        <v>306</v>
      </c>
      <c r="Y195" s="73" t="s">
        <v>4</v>
      </c>
      <c r="Z195" s="73" t="s">
        <v>30</v>
      </c>
      <c r="AA195" s="99" t="s">
        <v>3379</v>
      </c>
    </row>
    <row r="196" spans="1:27" ht="17.25" customHeight="1">
      <c r="A196" s="65" t="str">
        <f>IF(priority(Main[[#This Row],[Comments]])&lt;&gt;0, priority(Main[[#This Row],[Comments]]),"")</f>
        <v/>
      </c>
      <c r="B196" s="60" t="s">
        <v>1070</v>
      </c>
      <c r="C196" s="105" t="s">
        <v>4</v>
      </c>
      <c r="D196" s="74" t="s">
        <v>111</v>
      </c>
      <c r="E196" s="89"/>
      <c r="F196" s="89"/>
      <c r="G196" s="65" t="str">
        <f>IF(stdProdLT(Main[[#This Row],[Comments]])=0.1,"N/A",IF(stdProdLT(Main[[#This Row],[Comments]])=0,"",TRIM(stdProdLT(Main[[#This Row],[Comments]]))))</f>
        <v/>
      </c>
      <c r="H196" s="98" t="str">
        <f>IF(Main[[#This Row],[Std. Prod. Lead Time]]="N/A", "",IF(AND(Main[[#This Row],[In Stock Date]]&lt;&gt;"",Main[[#This Row],[Revised Due Date]]&lt;&gt;"",Main[[#This Row],[In Stock Date]]&lt;&gt;""),Main[[#This Row],[In Stock Date]]-Main[[#This Row],[Revised Due Date]],""))</f>
        <v/>
      </c>
      <c r="I196" s="110" t="s">
        <v>306</v>
      </c>
      <c r="J196" s="99" t="s">
        <v>75</v>
      </c>
      <c r="K196" s="99" t="s">
        <v>1922</v>
      </c>
      <c r="L196" s="89"/>
      <c r="M196" s="75" t="str">
        <f>IF(Main[[#This Row],[Tech Start Date]]&lt;1/1/1990,"",IF(Main[[#This Row],[Class]]="C",WORKDAY(Main[[#This Row],[Tech Start Date]],9),IF(Main[[#This Row],[Class]]="B", WORKDAY(Main[[#This Row],[Tech Start Date]],6),IF(Main[[#This Row],[Class]]="A",WORKDAY(Main[[#This Row],[Tech Start Date]],2),""))))</f>
        <v/>
      </c>
      <c r="N196" s="75" t="str">
        <f>IF(Main[[#This Row],[Tech Start Date]]&lt;1/1/1990,"",IF(Main[[#This Row],[Class]]="C",WORKDAY(Main[[#This Row],[Tech Start Date]],19),IF(Main[[#This Row],[Class]]="B", WORKDAY(Main[[#This Row],[Tech Start Date]],12),IF(Main[[#This Row],[Class]]="A",WORKDAY(Main[[#This Row],[Tech Start Date]],4),""))))</f>
        <v/>
      </c>
      <c r="O196" s="75" t="str">
        <f>IF(Main[[#This Row],[Tech Start Date]]&lt;1/1/1990,"",IF(Main[[#This Row],[Class]]="C",WORKDAY(Main[[#This Row],[Tech Start Date]],23),IF(Main[[#This Row],[Class]]="B", WORKDAY(Main[[#This Row],[Tech Start Date]],15),IF(Main[[#This Row],[Class]]="A",WORKDAY(Main[[#This Row],[Tech Start Date]],5),""))))</f>
        <v/>
      </c>
      <c r="P196" s="75" t="str">
        <f>IF(Main[[#This Row],[Tech Start Date]]&lt;1/1/1990,"",IF(Main[[#This Row],[Class]]="C",WORKDAY(Main[[#This Row],[Tech Start Date]],28),IF(Main[[#This Row],[Class]]="B", WORKDAY(Main[[#This Row],[Tech Start Date]],19),IF(Main[[#This Row],[Class]]="A",WORKDAY(Main[[#This Row],[Tech Start Date]],9),""))))</f>
        <v/>
      </c>
      <c r="Q196" s="89">
        <v>40336</v>
      </c>
      <c r="R196" s="121"/>
      <c r="S196" s="99" t="s">
        <v>6</v>
      </c>
      <c r="T196" s="76" t="s">
        <v>4</v>
      </c>
      <c r="U196" s="99" t="s">
        <v>14</v>
      </c>
      <c r="V196" s="99" t="s">
        <v>1916</v>
      </c>
      <c r="W196" s="99" t="s">
        <v>1915</v>
      </c>
      <c r="X196" s="99" t="s">
        <v>883</v>
      </c>
      <c r="Y196" s="73" t="s">
        <v>2957</v>
      </c>
      <c r="Z196" s="73" t="s">
        <v>30</v>
      </c>
      <c r="AA196" s="99" t="s">
        <v>883</v>
      </c>
    </row>
    <row r="197" spans="1:27" ht="17.25" customHeight="1">
      <c r="A197" s="65" t="str">
        <f>IF(priority(Main[[#This Row],[Comments]])&lt;&gt;0, priority(Main[[#This Row],[Comments]]),"")</f>
        <v/>
      </c>
      <c r="B197" s="60" t="s">
        <v>2152</v>
      </c>
      <c r="C197" s="105" t="s">
        <v>2153</v>
      </c>
      <c r="D197" s="74" t="s">
        <v>2154</v>
      </c>
      <c r="E197" s="89"/>
      <c r="F197" s="89">
        <v>40920</v>
      </c>
      <c r="G197" s="65" t="str">
        <f>IF(stdProdLT(Main[[#This Row],[Comments]])=0.1,"N/A",IF(stdProdLT(Main[[#This Row],[Comments]])=0,"",TRIM(stdProdLT(Main[[#This Row],[Comments]]))))</f>
        <v/>
      </c>
      <c r="H197" s="98" t="str">
        <f>IF(Main[[#This Row],[Std. Prod. Lead Time]]="N/A", "",IF(AND(Main[[#This Row],[In Stock Date]]&lt;&gt;"",Main[[#This Row],[Revised Due Date]]&lt;&gt;"",Main[[#This Row],[In Stock Date]]&lt;&gt;""),Main[[#This Row],[In Stock Date]]-Main[[#This Row],[Revised Due Date]],""))</f>
        <v/>
      </c>
      <c r="I197" s="110" t="s">
        <v>4</v>
      </c>
      <c r="J197" s="99" t="s">
        <v>28</v>
      </c>
      <c r="K197" s="99" t="s">
        <v>1922</v>
      </c>
      <c r="L197" s="89"/>
      <c r="M197" s="75" t="str">
        <f>IF(Main[[#This Row],[Tech Start Date]]&lt;1/1/1990,"",IF(Main[[#This Row],[Class]]="C",WORKDAY(Main[[#This Row],[Tech Start Date]],9),IF(Main[[#This Row],[Class]]="B", WORKDAY(Main[[#This Row],[Tech Start Date]],6),IF(Main[[#This Row],[Class]]="A",WORKDAY(Main[[#This Row],[Tech Start Date]],2),""))))</f>
        <v/>
      </c>
      <c r="N197" s="75" t="str">
        <f>IF(Main[[#This Row],[Tech Start Date]]&lt;1/1/1990,"",IF(Main[[#This Row],[Class]]="C",WORKDAY(Main[[#This Row],[Tech Start Date]],19),IF(Main[[#This Row],[Class]]="B", WORKDAY(Main[[#This Row],[Tech Start Date]],12),IF(Main[[#This Row],[Class]]="A",WORKDAY(Main[[#This Row],[Tech Start Date]],4),""))))</f>
        <v/>
      </c>
      <c r="O197" s="75" t="str">
        <f>IF(Main[[#This Row],[Tech Start Date]]&lt;1/1/1990,"",IF(Main[[#This Row],[Class]]="C",WORKDAY(Main[[#This Row],[Tech Start Date]],23),IF(Main[[#This Row],[Class]]="B", WORKDAY(Main[[#This Row],[Tech Start Date]],15),IF(Main[[#This Row],[Class]]="A",WORKDAY(Main[[#This Row],[Tech Start Date]],5),""))))</f>
        <v/>
      </c>
      <c r="P197" s="75" t="str">
        <f>IF(Main[[#This Row],[Tech Start Date]]&lt;1/1/1990,"",IF(Main[[#This Row],[Class]]="C",WORKDAY(Main[[#This Row],[Tech Start Date]],28),IF(Main[[#This Row],[Class]]="B", WORKDAY(Main[[#This Row],[Tech Start Date]],19),IF(Main[[#This Row],[Class]]="A",WORKDAY(Main[[#This Row],[Tech Start Date]],9),""))))</f>
        <v/>
      </c>
      <c r="Q197" s="89"/>
      <c r="R197" s="121"/>
      <c r="S197" s="99" t="s">
        <v>11</v>
      </c>
      <c r="T197" s="76" t="s">
        <v>4</v>
      </c>
      <c r="U197" s="99" t="s">
        <v>14</v>
      </c>
      <c r="V197" s="99" t="s">
        <v>1916</v>
      </c>
      <c r="W197" s="99" t="s">
        <v>1921</v>
      </c>
      <c r="X197" s="99" t="s">
        <v>50</v>
      </c>
      <c r="Y197" s="73" t="s">
        <v>2958</v>
      </c>
      <c r="Z197" s="73" t="s">
        <v>530</v>
      </c>
      <c r="AA197" s="99" t="s">
        <v>3380</v>
      </c>
    </row>
    <row r="198" spans="1:27" ht="17.25" customHeight="1">
      <c r="A198" s="65" t="str">
        <f>IF(priority(Main[[#This Row],[Comments]])&lt;&gt;0, priority(Main[[#This Row],[Comments]]),"")</f>
        <v/>
      </c>
      <c r="B198" s="60" t="s">
        <v>1846</v>
      </c>
      <c r="C198" s="105" t="s">
        <v>95</v>
      </c>
      <c r="D198" s="74" t="s">
        <v>903</v>
      </c>
      <c r="E198" s="89">
        <v>40428.41710648148</v>
      </c>
      <c r="F198" s="89"/>
      <c r="G198" s="65" t="str">
        <f>IF(stdProdLT(Main[[#This Row],[Comments]])=0.1,"N/A",IF(stdProdLT(Main[[#This Row],[Comments]])=0,"",TRIM(stdProdLT(Main[[#This Row],[Comments]]))))</f>
        <v/>
      </c>
      <c r="H198" s="98" t="str">
        <f>IF(Main[[#This Row],[Std. Prod. Lead Time]]="N/A", "",IF(AND(Main[[#This Row],[In Stock Date]]&lt;&gt;"",Main[[#This Row],[Revised Due Date]]&lt;&gt;"",Main[[#This Row],[In Stock Date]]&lt;&gt;""),Main[[#This Row],[In Stock Date]]-Main[[#This Row],[Revised Due Date]],""))</f>
        <v/>
      </c>
      <c r="I198" s="110" t="s">
        <v>415</v>
      </c>
      <c r="J198" s="99" t="s">
        <v>28</v>
      </c>
      <c r="K198" s="100" t="s">
        <v>1925</v>
      </c>
      <c r="L198" s="89"/>
      <c r="M198" s="75" t="str">
        <f>IF(Main[[#This Row],[Tech Start Date]]&lt;1/1/1990,"",IF(Main[[#This Row],[Class]]="C",WORKDAY(Main[[#This Row],[Tech Start Date]],9),IF(Main[[#This Row],[Class]]="B", WORKDAY(Main[[#This Row],[Tech Start Date]],6),IF(Main[[#This Row],[Class]]="A",WORKDAY(Main[[#This Row],[Tech Start Date]],2),""))))</f>
        <v/>
      </c>
      <c r="N198" s="75" t="str">
        <f>IF(Main[[#This Row],[Tech Start Date]]&lt;1/1/1990,"",IF(Main[[#This Row],[Class]]="C",WORKDAY(Main[[#This Row],[Tech Start Date]],19),IF(Main[[#This Row],[Class]]="B", WORKDAY(Main[[#This Row],[Tech Start Date]],12),IF(Main[[#This Row],[Class]]="A",WORKDAY(Main[[#This Row],[Tech Start Date]],4),""))))</f>
        <v/>
      </c>
      <c r="O198" s="75" t="str">
        <f>IF(Main[[#This Row],[Tech Start Date]]&lt;1/1/1990,"",IF(Main[[#This Row],[Class]]="C",WORKDAY(Main[[#This Row],[Tech Start Date]],23),IF(Main[[#This Row],[Class]]="B", WORKDAY(Main[[#This Row],[Tech Start Date]],15),IF(Main[[#This Row],[Class]]="A",WORKDAY(Main[[#This Row],[Tech Start Date]],5),""))))</f>
        <v/>
      </c>
      <c r="P198" s="75" t="str">
        <f>IF(Main[[#This Row],[Tech Start Date]]&lt;1/1/1990,"",IF(Main[[#This Row],[Class]]="C",WORKDAY(Main[[#This Row],[Tech Start Date]],28),IF(Main[[#This Row],[Class]]="B", WORKDAY(Main[[#This Row],[Tech Start Date]],19),IF(Main[[#This Row],[Class]]="A",WORKDAY(Main[[#This Row],[Tech Start Date]],9),""))))</f>
        <v/>
      </c>
      <c r="Q198" s="89">
        <v>40512</v>
      </c>
      <c r="R198" s="121">
        <v>40918</v>
      </c>
      <c r="S198" s="99" t="s">
        <v>17</v>
      </c>
      <c r="T198" s="76" t="s">
        <v>4</v>
      </c>
      <c r="U198" s="99" t="s">
        <v>29</v>
      </c>
      <c r="V198" s="99" t="s">
        <v>1916</v>
      </c>
      <c r="W198" s="99" t="s">
        <v>1919</v>
      </c>
      <c r="X198" s="99" t="s">
        <v>415</v>
      </c>
      <c r="Y198" s="73" t="s">
        <v>2969</v>
      </c>
      <c r="Z198" s="73" t="s">
        <v>968</v>
      </c>
      <c r="AA198" s="99" t="s">
        <v>415</v>
      </c>
    </row>
    <row r="199" spans="1:27" ht="17.25" customHeight="1">
      <c r="A199" s="65" t="str">
        <f>IF(priority(Main[[#This Row],[Comments]])&lt;&gt;0, priority(Main[[#This Row],[Comments]]),"")</f>
        <v/>
      </c>
      <c r="B199" s="60" t="s">
        <v>1071</v>
      </c>
      <c r="C199" s="105" t="s">
        <v>4</v>
      </c>
      <c r="D199" s="74" t="s">
        <v>112</v>
      </c>
      <c r="E199" s="89"/>
      <c r="F199" s="89"/>
      <c r="G199" s="65" t="str">
        <f>IF(stdProdLT(Main[[#This Row],[Comments]])=0.1,"N/A",IF(stdProdLT(Main[[#This Row],[Comments]])=0,"",TRIM(stdProdLT(Main[[#This Row],[Comments]]))))</f>
        <v/>
      </c>
      <c r="H199" s="98" t="str">
        <f>IF(Main[[#This Row],[Std. Prod. Lead Time]]="N/A", "",IF(AND(Main[[#This Row],[In Stock Date]]&lt;&gt;"",Main[[#This Row],[Revised Due Date]]&lt;&gt;"",Main[[#This Row],[In Stock Date]]&lt;&gt;""),Main[[#This Row],[In Stock Date]]-Main[[#This Row],[Revised Due Date]],""))</f>
        <v/>
      </c>
      <c r="I199" s="110" t="s">
        <v>4</v>
      </c>
      <c r="J199" s="99" t="s">
        <v>4</v>
      </c>
      <c r="K199" s="99" t="s">
        <v>4</v>
      </c>
      <c r="L199" s="89"/>
      <c r="M199" s="75" t="str">
        <f>IF(Main[[#This Row],[Tech Start Date]]&lt;1/1/1990,"",IF(Main[[#This Row],[Class]]="C",WORKDAY(Main[[#This Row],[Tech Start Date]],9),IF(Main[[#This Row],[Class]]="B", WORKDAY(Main[[#This Row],[Tech Start Date]],6),IF(Main[[#This Row],[Class]]="A",WORKDAY(Main[[#This Row],[Tech Start Date]],2),""))))</f>
        <v/>
      </c>
      <c r="N199" s="75" t="str">
        <f>IF(Main[[#This Row],[Tech Start Date]]&lt;1/1/1990,"",IF(Main[[#This Row],[Class]]="C",WORKDAY(Main[[#This Row],[Tech Start Date]],19),IF(Main[[#This Row],[Class]]="B", WORKDAY(Main[[#This Row],[Tech Start Date]],12),IF(Main[[#This Row],[Class]]="A",WORKDAY(Main[[#This Row],[Tech Start Date]],4),""))))</f>
        <v/>
      </c>
      <c r="O199" s="75" t="str">
        <f>IF(Main[[#This Row],[Tech Start Date]]&lt;1/1/1990,"",IF(Main[[#This Row],[Class]]="C",WORKDAY(Main[[#This Row],[Tech Start Date]],23),IF(Main[[#This Row],[Class]]="B", WORKDAY(Main[[#This Row],[Tech Start Date]],15),IF(Main[[#This Row],[Class]]="A",WORKDAY(Main[[#This Row],[Tech Start Date]],5),""))))</f>
        <v/>
      </c>
      <c r="P199" s="75" t="str">
        <f>IF(Main[[#This Row],[Tech Start Date]]&lt;1/1/1990,"",IF(Main[[#This Row],[Class]]="C",WORKDAY(Main[[#This Row],[Tech Start Date]],28),IF(Main[[#This Row],[Class]]="B", WORKDAY(Main[[#This Row],[Tech Start Date]],19),IF(Main[[#This Row],[Class]]="A",WORKDAY(Main[[#This Row],[Tech Start Date]],9),""))))</f>
        <v/>
      </c>
      <c r="Q199" s="89"/>
      <c r="R199" s="121"/>
      <c r="S199" s="99" t="s">
        <v>23</v>
      </c>
      <c r="T199" s="76" t="s">
        <v>4</v>
      </c>
      <c r="U199" s="99" t="s">
        <v>14</v>
      </c>
      <c r="V199" s="99" t="s">
        <v>1913</v>
      </c>
      <c r="W199" s="99" t="s">
        <v>1921</v>
      </c>
      <c r="X199" s="99" t="s">
        <v>306</v>
      </c>
      <c r="Y199" s="73" t="s">
        <v>4</v>
      </c>
      <c r="Z199" s="73" t="s">
        <v>4</v>
      </c>
      <c r="AA199" s="99" t="s">
        <v>3376</v>
      </c>
    </row>
    <row r="200" spans="1:27" ht="17.25" customHeight="1">
      <c r="A200" s="65" t="str">
        <f>IF(priority(Main[[#This Row],[Comments]])&lt;&gt;0, priority(Main[[#This Row],[Comments]]),"")</f>
        <v/>
      </c>
      <c r="B200" s="60" t="s">
        <v>1072</v>
      </c>
      <c r="C200" s="105" t="s">
        <v>113</v>
      </c>
      <c r="D200" s="74" t="s">
        <v>114</v>
      </c>
      <c r="E200" s="89"/>
      <c r="F200" s="89"/>
      <c r="G200" s="65" t="str">
        <f>IF(stdProdLT(Main[[#This Row],[Comments]])=0.1,"N/A",IF(stdProdLT(Main[[#This Row],[Comments]])=0,"",TRIM(stdProdLT(Main[[#This Row],[Comments]]))))</f>
        <v/>
      </c>
      <c r="H200" s="98" t="str">
        <f>IF(Main[[#This Row],[Std. Prod. Lead Time]]="N/A", "",IF(AND(Main[[#This Row],[In Stock Date]]&lt;&gt;"",Main[[#This Row],[Revised Due Date]]&lt;&gt;"",Main[[#This Row],[In Stock Date]]&lt;&gt;""),Main[[#This Row],[In Stock Date]]-Main[[#This Row],[Revised Due Date]],""))</f>
        <v/>
      </c>
      <c r="I200" s="110" t="s">
        <v>4</v>
      </c>
      <c r="J200" s="99" t="s">
        <v>28</v>
      </c>
      <c r="K200" s="99" t="s">
        <v>4</v>
      </c>
      <c r="L200" s="89"/>
      <c r="M200" s="75" t="str">
        <f>IF(Main[[#This Row],[Tech Start Date]]&lt;1/1/1990,"",IF(Main[[#This Row],[Class]]="C",WORKDAY(Main[[#This Row],[Tech Start Date]],9),IF(Main[[#This Row],[Class]]="B", WORKDAY(Main[[#This Row],[Tech Start Date]],6),IF(Main[[#This Row],[Class]]="A",WORKDAY(Main[[#This Row],[Tech Start Date]],2),""))))</f>
        <v/>
      </c>
      <c r="N200" s="75" t="str">
        <f>IF(Main[[#This Row],[Tech Start Date]]&lt;1/1/1990,"",IF(Main[[#This Row],[Class]]="C",WORKDAY(Main[[#This Row],[Tech Start Date]],19),IF(Main[[#This Row],[Class]]="B", WORKDAY(Main[[#This Row],[Tech Start Date]],12),IF(Main[[#This Row],[Class]]="A",WORKDAY(Main[[#This Row],[Tech Start Date]],4),""))))</f>
        <v/>
      </c>
      <c r="O200" s="75" t="str">
        <f>IF(Main[[#This Row],[Tech Start Date]]&lt;1/1/1990,"",IF(Main[[#This Row],[Class]]="C",WORKDAY(Main[[#This Row],[Tech Start Date]],23),IF(Main[[#This Row],[Class]]="B", WORKDAY(Main[[#This Row],[Tech Start Date]],15),IF(Main[[#This Row],[Class]]="A",WORKDAY(Main[[#This Row],[Tech Start Date]],5),""))))</f>
        <v/>
      </c>
      <c r="P200" s="75" t="str">
        <f>IF(Main[[#This Row],[Tech Start Date]]&lt;1/1/1990,"",IF(Main[[#This Row],[Class]]="C",WORKDAY(Main[[#This Row],[Tech Start Date]],28),IF(Main[[#This Row],[Class]]="B", WORKDAY(Main[[#This Row],[Tech Start Date]],19),IF(Main[[#This Row],[Class]]="A",WORKDAY(Main[[#This Row],[Tech Start Date]],9),""))))</f>
        <v/>
      </c>
      <c r="Q200" s="89">
        <v>40634</v>
      </c>
      <c r="R200" s="121"/>
      <c r="S200" s="99" t="s">
        <v>11</v>
      </c>
      <c r="T200" s="76" t="s">
        <v>4</v>
      </c>
      <c r="U200" s="99" t="s">
        <v>12</v>
      </c>
      <c r="V200" s="99" t="s">
        <v>1913</v>
      </c>
      <c r="W200" s="99" t="s">
        <v>1915</v>
      </c>
      <c r="X200" s="99" t="s">
        <v>2827</v>
      </c>
      <c r="Y200" s="73" t="s">
        <v>2933</v>
      </c>
      <c r="Z200" s="73" t="s">
        <v>129</v>
      </c>
      <c r="AA200" s="99" t="s">
        <v>2827</v>
      </c>
    </row>
    <row r="201" spans="1:27" ht="17.25" customHeight="1">
      <c r="A201" s="65" t="str">
        <f>IF(priority(Main[[#This Row],[Comments]])&lt;&gt;0, priority(Main[[#This Row],[Comments]]),"")</f>
        <v/>
      </c>
      <c r="B201" s="60" t="s">
        <v>1951</v>
      </c>
      <c r="C201" s="105" t="s">
        <v>4</v>
      </c>
      <c r="D201" s="74" t="s">
        <v>1973</v>
      </c>
      <c r="E201" s="89"/>
      <c r="F201" s="89"/>
      <c r="G201" s="65" t="str">
        <f>IF(stdProdLT(Main[[#This Row],[Comments]])=0.1,"N/A",IF(stdProdLT(Main[[#This Row],[Comments]])=0,"",TRIM(stdProdLT(Main[[#This Row],[Comments]]))))</f>
        <v/>
      </c>
      <c r="H201" s="98" t="str">
        <f>IF(Main[[#This Row],[Std. Prod. Lead Time]]="N/A", "",IF(AND(Main[[#This Row],[In Stock Date]]&lt;&gt;"",Main[[#This Row],[Revised Due Date]]&lt;&gt;"",Main[[#This Row],[In Stock Date]]&lt;&gt;""),Main[[#This Row],[In Stock Date]]-Main[[#This Row],[Revised Due Date]],""))</f>
        <v/>
      </c>
      <c r="I201" s="110" t="s">
        <v>4</v>
      </c>
      <c r="J201" s="99" t="s">
        <v>4</v>
      </c>
      <c r="K201" s="99" t="s">
        <v>4</v>
      </c>
      <c r="L201" s="89"/>
      <c r="M201" s="75" t="str">
        <f>IF(Main[[#This Row],[Tech Start Date]]&lt;1/1/1990,"",IF(Main[[#This Row],[Class]]="C",WORKDAY(Main[[#This Row],[Tech Start Date]],9),IF(Main[[#This Row],[Class]]="B", WORKDAY(Main[[#This Row],[Tech Start Date]],6),IF(Main[[#This Row],[Class]]="A",WORKDAY(Main[[#This Row],[Tech Start Date]],2),""))))</f>
        <v/>
      </c>
      <c r="N201" s="75" t="str">
        <f>IF(Main[[#This Row],[Tech Start Date]]&lt;1/1/1990,"",IF(Main[[#This Row],[Class]]="C",WORKDAY(Main[[#This Row],[Tech Start Date]],19),IF(Main[[#This Row],[Class]]="B", WORKDAY(Main[[#This Row],[Tech Start Date]],12),IF(Main[[#This Row],[Class]]="A",WORKDAY(Main[[#This Row],[Tech Start Date]],4),""))))</f>
        <v/>
      </c>
      <c r="O201" s="75" t="str">
        <f>IF(Main[[#This Row],[Tech Start Date]]&lt;1/1/1990,"",IF(Main[[#This Row],[Class]]="C",WORKDAY(Main[[#This Row],[Tech Start Date]],23),IF(Main[[#This Row],[Class]]="B", WORKDAY(Main[[#This Row],[Tech Start Date]],15),IF(Main[[#This Row],[Class]]="A",WORKDAY(Main[[#This Row],[Tech Start Date]],5),""))))</f>
        <v/>
      </c>
      <c r="P201" s="75" t="str">
        <f>IF(Main[[#This Row],[Tech Start Date]]&lt;1/1/1990,"",IF(Main[[#This Row],[Class]]="C",WORKDAY(Main[[#This Row],[Tech Start Date]],28),IF(Main[[#This Row],[Class]]="B", WORKDAY(Main[[#This Row],[Tech Start Date]],19),IF(Main[[#This Row],[Class]]="A",WORKDAY(Main[[#This Row],[Tech Start Date]],9),""))))</f>
        <v/>
      </c>
      <c r="Q201" s="89">
        <v>40737</v>
      </c>
      <c r="R201" s="121"/>
      <c r="S201" s="99" t="s">
        <v>6</v>
      </c>
      <c r="T201" s="76" t="s">
        <v>4</v>
      </c>
      <c r="U201" s="99" t="s">
        <v>14</v>
      </c>
      <c r="V201" s="99" t="s">
        <v>1916</v>
      </c>
      <c r="W201" s="99" t="s">
        <v>1917</v>
      </c>
      <c r="X201" s="99" t="s">
        <v>2830</v>
      </c>
      <c r="Y201" s="73" t="s">
        <v>2959</v>
      </c>
      <c r="Z201" s="73" t="s">
        <v>4</v>
      </c>
      <c r="AA201" s="99" t="s">
        <v>2830</v>
      </c>
    </row>
    <row r="202" spans="1:27" ht="17.25" customHeight="1">
      <c r="A202" s="65" t="str">
        <f>IF(priority(Main[[#This Row],[Comments]])&lt;&gt;0, priority(Main[[#This Row],[Comments]]),"")</f>
        <v/>
      </c>
      <c r="B202" s="60" t="s">
        <v>2756</v>
      </c>
      <c r="C202" s="105" t="s">
        <v>4</v>
      </c>
      <c r="D202" s="74" t="s">
        <v>2757</v>
      </c>
      <c r="E202" s="89">
        <v>40905.638495370367</v>
      </c>
      <c r="F202" s="89"/>
      <c r="G202" s="65" t="str">
        <f>IF(stdProdLT(Main[[#This Row],[Comments]])=0.1,"N/A",IF(stdProdLT(Main[[#This Row],[Comments]])=0,"",TRIM(stdProdLT(Main[[#This Row],[Comments]]))))</f>
        <v/>
      </c>
      <c r="H202" s="98" t="str">
        <f>IF(Main[[#This Row],[Std. Prod. Lead Time]]="N/A", "",IF(AND(Main[[#This Row],[In Stock Date]]&lt;&gt;"",Main[[#This Row],[Revised Due Date]]&lt;&gt;"",Main[[#This Row],[In Stock Date]]&lt;&gt;""),Main[[#This Row],[In Stock Date]]-Main[[#This Row],[Revised Due Date]],""))</f>
        <v/>
      </c>
      <c r="I202" s="110" t="s">
        <v>2040</v>
      </c>
      <c r="J202" s="99" t="s">
        <v>52</v>
      </c>
      <c r="K202" s="100" t="s">
        <v>1922</v>
      </c>
      <c r="L202" s="89"/>
      <c r="M202" s="75" t="str">
        <f>IF(Main[[#This Row],[Tech Start Date]]&lt;1/1/1990,"",IF(Main[[#This Row],[Class]]="C",WORKDAY(Main[[#This Row],[Tech Start Date]],9),IF(Main[[#This Row],[Class]]="B", WORKDAY(Main[[#This Row],[Tech Start Date]],6),IF(Main[[#This Row],[Class]]="A",WORKDAY(Main[[#This Row],[Tech Start Date]],2),""))))</f>
        <v/>
      </c>
      <c r="N202" s="75" t="str">
        <f>IF(Main[[#This Row],[Tech Start Date]]&lt;1/1/1990,"",IF(Main[[#This Row],[Class]]="C",WORKDAY(Main[[#This Row],[Tech Start Date]],19),IF(Main[[#This Row],[Class]]="B", WORKDAY(Main[[#This Row],[Tech Start Date]],12),IF(Main[[#This Row],[Class]]="A",WORKDAY(Main[[#This Row],[Tech Start Date]],4),""))))</f>
        <v/>
      </c>
      <c r="O202" s="75" t="str">
        <f>IF(Main[[#This Row],[Tech Start Date]]&lt;1/1/1990,"",IF(Main[[#This Row],[Class]]="C",WORKDAY(Main[[#This Row],[Tech Start Date]],23),IF(Main[[#This Row],[Class]]="B", WORKDAY(Main[[#This Row],[Tech Start Date]],15),IF(Main[[#This Row],[Class]]="A",WORKDAY(Main[[#This Row],[Tech Start Date]],5),""))))</f>
        <v/>
      </c>
      <c r="P202" s="75" t="str">
        <f>IF(Main[[#This Row],[Tech Start Date]]&lt;1/1/1990,"",IF(Main[[#This Row],[Class]]="C",WORKDAY(Main[[#This Row],[Tech Start Date]],28),IF(Main[[#This Row],[Class]]="B", WORKDAY(Main[[#This Row],[Tech Start Date]],19),IF(Main[[#This Row],[Class]]="A",WORKDAY(Main[[#This Row],[Tech Start Date]],9),""))))</f>
        <v/>
      </c>
      <c r="Q202" s="89">
        <v>41027</v>
      </c>
      <c r="R202" s="121"/>
      <c r="S202" s="99" t="s">
        <v>6</v>
      </c>
      <c r="T202" s="76" t="s">
        <v>4</v>
      </c>
      <c r="U202" s="99" t="s">
        <v>29</v>
      </c>
      <c r="V202" s="99" t="s">
        <v>1916</v>
      </c>
      <c r="W202" s="99" t="s">
        <v>1917</v>
      </c>
      <c r="X202" s="99" t="s">
        <v>30</v>
      </c>
      <c r="Y202" s="73" t="s">
        <v>2934</v>
      </c>
      <c r="Z202" s="73" t="s">
        <v>30</v>
      </c>
      <c r="AA202" s="99" t="s">
        <v>30</v>
      </c>
    </row>
    <row r="203" spans="1:27" ht="17.25" customHeight="1">
      <c r="A203" s="65" t="str">
        <f>IF(priority(Main[[#This Row],[Comments]])&lt;&gt;0, priority(Main[[#This Row],[Comments]]),"")</f>
        <v/>
      </c>
      <c r="B203" s="60" t="s">
        <v>1854</v>
      </c>
      <c r="C203" s="105" t="s">
        <v>99</v>
      </c>
      <c r="D203" s="74" t="s">
        <v>911</v>
      </c>
      <c r="E203" s="89"/>
      <c r="F203" s="89">
        <v>40525</v>
      </c>
      <c r="G203" s="65" t="str">
        <f>IF(stdProdLT(Main[[#This Row],[Comments]])=0.1,"N/A",IF(stdProdLT(Main[[#This Row],[Comments]])=0,"",TRIM(stdProdLT(Main[[#This Row],[Comments]]))))</f>
        <v/>
      </c>
      <c r="H203" s="98">
        <f>IF(Main[[#This Row],[Std. Prod. Lead Time]]="N/A", "",IF(AND(Main[[#This Row],[In Stock Date]]&lt;&gt;"",Main[[#This Row],[Revised Due Date]]&lt;&gt;"",Main[[#This Row],[In Stock Date]]&lt;&gt;""),Main[[#This Row],[In Stock Date]]-Main[[#This Row],[Revised Due Date]],""))</f>
        <v>-46</v>
      </c>
      <c r="I203" s="110" t="s">
        <v>912</v>
      </c>
      <c r="J203" s="99" t="s">
        <v>21</v>
      </c>
      <c r="K203" s="99" t="s">
        <v>1926</v>
      </c>
      <c r="L203" s="89"/>
      <c r="M203" s="75" t="str">
        <f>IF(Main[[#This Row],[Tech Start Date]]&lt;1/1/1990,"",IF(Main[[#This Row],[Class]]="C",WORKDAY(Main[[#This Row],[Tech Start Date]],9),IF(Main[[#This Row],[Class]]="B", WORKDAY(Main[[#This Row],[Tech Start Date]],6),IF(Main[[#This Row],[Class]]="A",WORKDAY(Main[[#This Row],[Tech Start Date]],2),""))))</f>
        <v/>
      </c>
      <c r="N203" s="75" t="str">
        <f>IF(Main[[#This Row],[Tech Start Date]]&lt;1/1/1990,"",IF(Main[[#This Row],[Class]]="C",WORKDAY(Main[[#This Row],[Tech Start Date]],19),IF(Main[[#This Row],[Class]]="B", WORKDAY(Main[[#This Row],[Tech Start Date]],12),IF(Main[[#This Row],[Class]]="A",WORKDAY(Main[[#This Row],[Tech Start Date]],4),""))))</f>
        <v/>
      </c>
      <c r="O203" s="75" t="str">
        <f>IF(Main[[#This Row],[Tech Start Date]]&lt;1/1/1990,"",IF(Main[[#This Row],[Class]]="C",WORKDAY(Main[[#This Row],[Tech Start Date]],23),IF(Main[[#This Row],[Class]]="B", WORKDAY(Main[[#This Row],[Tech Start Date]],15),IF(Main[[#This Row],[Class]]="A",WORKDAY(Main[[#This Row],[Tech Start Date]],5),""))))</f>
        <v/>
      </c>
      <c r="P203" s="75" t="str">
        <f>IF(Main[[#This Row],[Tech Start Date]]&lt;1/1/1990,"",IF(Main[[#This Row],[Class]]="C",WORKDAY(Main[[#This Row],[Tech Start Date]],28),IF(Main[[#This Row],[Class]]="B", WORKDAY(Main[[#This Row],[Tech Start Date]],19),IF(Main[[#This Row],[Class]]="A",WORKDAY(Main[[#This Row],[Tech Start Date]],9),""))))</f>
        <v/>
      </c>
      <c r="Q203" s="89">
        <v>40525</v>
      </c>
      <c r="R203" s="121">
        <v>40571</v>
      </c>
      <c r="S203" s="99" t="s">
        <v>11</v>
      </c>
      <c r="T203" s="76" t="s">
        <v>4</v>
      </c>
      <c r="U203" s="99" t="s">
        <v>14</v>
      </c>
      <c r="V203" s="99" t="s">
        <v>1913</v>
      </c>
      <c r="W203" s="99" t="s">
        <v>1918</v>
      </c>
      <c r="X203" s="99" t="s">
        <v>2831</v>
      </c>
      <c r="Y203" s="73" t="s">
        <v>2960</v>
      </c>
      <c r="Z203" s="73" t="s">
        <v>129</v>
      </c>
      <c r="AA203" s="99" t="s">
        <v>2828</v>
      </c>
    </row>
    <row r="204" spans="1:27" ht="17.25" customHeight="1">
      <c r="A204" s="65" t="str">
        <f>IF(priority(Main[[#This Row],[Comments]])&lt;&gt;0, priority(Main[[#This Row],[Comments]]),"")</f>
        <v/>
      </c>
      <c r="B204" s="60" t="s">
        <v>1857</v>
      </c>
      <c r="C204" s="105" t="s">
        <v>31</v>
      </c>
      <c r="D204" s="74" t="s">
        <v>915</v>
      </c>
      <c r="E204" s="89"/>
      <c r="F204" s="89">
        <v>40664</v>
      </c>
      <c r="G204" s="65" t="str">
        <f>IF(stdProdLT(Main[[#This Row],[Comments]])=0.1,"N/A",IF(stdProdLT(Main[[#This Row],[Comments]])=0,"",TRIM(stdProdLT(Main[[#This Row],[Comments]]))))</f>
        <v/>
      </c>
      <c r="H204" s="98">
        <f>IF(Main[[#This Row],[Std. Prod. Lead Time]]="N/A", "",IF(AND(Main[[#This Row],[In Stock Date]]&lt;&gt;"",Main[[#This Row],[Revised Due Date]]&lt;&gt;"",Main[[#This Row],[In Stock Date]]&lt;&gt;""),Main[[#This Row],[In Stock Date]]-Main[[#This Row],[Revised Due Date]],""))</f>
        <v>87</v>
      </c>
      <c r="I204" s="110" t="s">
        <v>399</v>
      </c>
      <c r="J204" s="99" t="s">
        <v>75</v>
      </c>
      <c r="K204" s="99" t="s">
        <v>1922</v>
      </c>
      <c r="L204" s="89"/>
      <c r="M204" s="75" t="str">
        <f>IF(Main[[#This Row],[Tech Start Date]]&lt;1/1/1990,"",IF(Main[[#This Row],[Class]]="C",WORKDAY(Main[[#This Row],[Tech Start Date]],9),IF(Main[[#This Row],[Class]]="B", WORKDAY(Main[[#This Row],[Tech Start Date]],6),IF(Main[[#This Row],[Class]]="A",WORKDAY(Main[[#This Row],[Tech Start Date]],2),""))))</f>
        <v/>
      </c>
      <c r="N204" s="75" t="str">
        <f>IF(Main[[#This Row],[Tech Start Date]]&lt;1/1/1990,"",IF(Main[[#This Row],[Class]]="C",WORKDAY(Main[[#This Row],[Tech Start Date]],19),IF(Main[[#This Row],[Class]]="B", WORKDAY(Main[[#This Row],[Tech Start Date]],12),IF(Main[[#This Row],[Class]]="A",WORKDAY(Main[[#This Row],[Tech Start Date]],4),""))))</f>
        <v/>
      </c>
      <c r="O204" s="75" t="str">
        <f>IF(Main[[#This Row],[Tech Start Date]]&lt;1/1/1990,"",IF(Main[[#This Row],[Class]]="C",WORKDAY(Main[[#This Row],[Tech Start Date]],23),IF(Main[[#This Row],[Class]]="B", WORKDAY(Main[[#This Row],[Tech Start Date]],15),IF(Main[[#This Row],[Class]]="A",WORKDAY(Main[[#This Row],[Tech Start Date]],5),""))))</f>
        <v/>
      </c>
      <c r="P204" s="75" t="str">
        <f>IF(Main[[#This Row],[Tech Start Date]]&lt;1/1/1990,"",IF(Main[[#This Row],[Class]]="C",WORKDAY(Main[[#This Row],[Tech Start Date]],28),IF(Main[[#This Row],[Class]]="B", WORKDAY(Main[[#This Row],[Tech Start Date]],19),IF(Main[[#This Row],[Class]]="A",WORKDAY(Main[[#This Row],[Tech Start Date]],9),""))))</f>
        <v/>
      </c>
      <c r="Q204" s="89"/>
      <c r="R204" s="121">
        <v>40577</v>
      </c>
      <c r="S204" s="99" t="s">
        <v>11</v>
      </c>
      <c r="T204" s="76" t="s">
        <v>4</v>
      </c>
      <c r="U204" s="99" t="s">
        <v>14</v>
      </c>
      <c r="V204" s="99" t="s">
        <v>1916</v>
      </c>
      <c r="W204" s="99" t="s">
        <v>1919</v>
      </c>
      <c r="X204" s="99" t="s">
        <v>2819</v>
      </c>
      <c r="Y204" s="73" t="s">
        <v>2961</v>
      </c>
      <c r="Z204" s="73" t="s">
        <v>530</v>
      </c>
      <c r="AA204" s="99" t="s">
        <v>2819</v>
      </c>
    </row>
    <row r="205" spans="1:27" ht="17.25" customHeight="1">
      <c r="A205" s="65" t="str">
        <f>IF(priority(Main[[#This Row],[Comments]])&lt;&gt;0, priority(Main[[#This Row],[Comments]]),"")</f>
        <v/>
      </c>
      <c r="B205" s="60" t="s">
        <v>1081</v>
      </c>
      <c r="C205" s="105" t="s">
        <v>4</v>
      </c>
      <c r="D205" s="74" t="s">
        <v>124</v>
      </c>
      <c r="E205" s="89"/>
      <c r="F205" s="89"/>
      <c r="G205" s="65" t="str">
        <f>IF(stdProdLT(Main[[#This Row],[Comments]])=0.1,"N/A",IF(stdProdLT(Main[[#This Row],[Comments]])=0,"",TRIM(stdProdLT(Main[[#This Row],[Comments]]))))</f>
        <v/>
      </c>
      <c r="H205" s="98" t="str">
        <f>IF(Main[[#This Row],[Std. Prod. Lead Time]]="N/A", "",IF(AND(Main[[#This Row],[In Stock Date]]&lt;&gt;"",Main[[#This Row],[Revised Due Date]]&lt;&gt;"",Main[[#This Row],[In Stock Date]]&lt;&gt;""),Main[[#This Row],[In Stock Date]]-Main[[#This Row],[Revised Due Date]],""))</f>
        <v/>
      </c>
      <c r="I205" s="110" t="s">
        <v>4</v>
      </c>
      <c r="J205" s="99" t="s">
        <v>4</v>
      </c>
      <c r="K205" s="99" t="s">
        <v>4</v>
      </c>
      <c r="L205" s="89"/>
      <c r="M205" s="75" t="str">
        <f>IF(Main[[#This Row],[Tech Start Date]]&lt;1/1/1990,"",IF(Main[[#This Row],[Class]]="C",WORKDAY(Main[[#This Row],[Tech Start Date]],9),IF(Main[[#This Row],[Class]]="B", WORKDAY(Main[[#This Row],[Tech Start Date]],6),IF(Main[[#This Row],[Class]]="A",WORKDAY(Main[[#This Row],[Tech Start Date]],2),""))))</f>
        <v/>
      </c>
      <c r="N205" s="75" t="str">
        <f>IF(Main[[#This Row],[Tech Start Date]]&lt;1/1/1990,"",IF(Main[[#This Row],[Class]]="C",WORKDAY(Main[[#This Row],[Tech Start Date]],19),IF(Main[[#This Row],[Class]]="B", WORKDAY(Main[[#This Row],[Tech Start Date]],12),IF(Main[[#This Row],[Class]]="A",WORKDAY(Main[[#This Row],[Tech Start Date]],4),""))))</f>
        <v/>
      </c>
      <c r="O205" s="75" t="str">
        <f>IF(Main[[#This Row],[Tech Start Date]]&lt;1/1/1990,"",IF(Main[[#This Row],[Class]]="C",WORKDAY(Main[[#This Row],[Tech Start Date]],23),IF(Main[[#This Row],[Class]]="B", WORKDAY(Main[[#This Row],[Tech Start Date]],15),IF(Main[[#This Row],[Class]]="A",WORKDAY(Main[[#This Row],[Tech Start Date]],5),""))))</f>
        <v/>
      </c>
      <c r="P205" s="75" t="str">
        <f>IF(Main[[#This Row],[Tech Start Date]]&lt;1/1/1990,"",IF(Main[[#This Row],[Class]]="C",WORKDAY(Main[[#This Row],[Tech Start Date]],28),IF(Main[[#This Row],[Class]]="B", WORKDAY(Main[[#This Row],[Tech Start Date]],19),IF(Main[[#This Row],[Class]]="A",WORKDAY(Main[[#This Row],[Tech Start Date]],9),""))))</f>
        <v/>
      </c>
      <c r="Q205" s="89">
        <v>40613</v>
      </c>
      <c r="R205" s="121"/>
      <c r="S205" s="99" t="s">
        <v>6</v>
      </c>
      <c r="T205" s="76" t="s">
        <v>4</v>
      </c>
      <c r="U205" s="99" t="s">
        <v>12</v>
      </c>
      <c r="V205" s="99" t="s">
        <v>1913</v>
      </c>
      <c r="W205" s="99" t="s">
        <v>1927</v>
      </c>
      <c r="X205" s="99" t="s">
        <v>126</v>
      </c>
      <c r="Y205" s="73" t="s">
        <v>4</v>
      </c>
      <c r="Z205" s="73" t="s">
        <v>4</v>
      </c>
      <c r="AA205" s="99" t="s">
        <v>3381</v>
      </c>
    </row>
    <row r="206" spans="1:27" ht="17.25" customHeight="1">
      <c r="A206" s="65" t="str">
        <f>IF(priority(Main[[#This Row],[Comments]])&lt;&gt;0, priority(Main[[#This Row],[Comments]]),"")</f>
        <v/>
      </c>
      <c r="B206" s="60" t="s">
        <v>2171</v>
      </c>
      <c r="C206" s="105" t="s">
        <v>2172</v>
      </c>
      <c r="D206" s="74" t="s">
        <v>2173</v>
      </c>
      <c r="E206" s="89"/>
      <c r="F206" s="89">
        <v>40829</v>
      </c>
      <c r="G206" s="65" t="str">
        <f>IF(stdProdLT(Main[[#This Row],[Comments]])=0.1,"N/A",IF(stdProdLT(Main[[#This Row],[Comments]])=0,"",TRIM(stdProdLT(Main[[#This Row],[Comments]]))))</f>
        <v/>
      </c>
      <c r="H206" s="98" t="str">
        <f>IF(Main[[#This Row],[Std. Prod. Lead Time]]="N/A", "",IF(AND(Main[[#This Row],[In Stock Date]]&lt;&gt;"",Main[[#This Row],[Revised Due Date]]&lt;&gt;"",Main[[#This Row],[In Stock Date]]&lt;&gt;""),Main[[#This Row],[In Stock Date]]-Main[[#This Row],[Revised Due Date]],""))</f>
        <v/>
      </c>
      <c r="I206" s="110" t="s">
        <v>4</v>
      </c>
      <c r="J206" s="99" t="s">
        <v>4</v>
      </c>
      <c r="K206" s="99" t="s">
        <v>4</v>
      </c>
      <c r="L206" s="89"/>
      <c r="M206" s="75" t="str">
        <f>IF(Main[[#This Row],[Tech Start Date]]&lt;1/1/1990,"",IF(Main[[#This Row],[Class]]="C",WORKDAY(Main[[#This Row],[Tech Start Date]],9),IF(Main[[#This Row],[Class]]="B", WORKDAY(Main[[#This Row],[Tech Start Date]],6),IF(Main[[#This Row],[Class]]="A",WORKDAY(Main[[#This Row],[Tech Start Date]],2),""))))</f>
        <v/>
      </c>
      <c r="N206" s="75" t="str">
        <f>IF(Main[[#This Row],[Tech Start Date]]&lt;1/1/1990,"",IF(Main[[#This Row],[Class]]="C",WORKDAY(Main[[#This Row],[Tech Start Date]],19),IF(Main[[#This Row],[Class]]="B", WORKDAY(Main[[#This Row],[Tech Start Date]],12),IF(Main[[#This Row],[Class]]="A",WORKDAY(Main[[#This Row],[Tech Start Date]],4),""))))</f>
        <v/>
      </c>
      <c r="O206" s="75" t="str">
        <f>IF(Main[[#This Row],[Tech Start Date]]&lt;1/1/1990,"",IF(Main[[#This Row],[Class]]="C",WORKDAY(Main[[#This Row],[Tech Start Date]],23),IF(Main[[#This Row],[Class]]="B", WORKDAY(Main[[#This Row],[Tech Start Date]],15),IF(Main[[#This Row],[Class]]="A",WORKDAY(Main[[#This Row],[Tech Start Date]],5),""))))</f>
        <v/>
      </c>
      <c r="P206" s="75" t="str">
        <f>IF(Main[[#This Row],[Tech Start Date]]&lt;1/1/1990,"",IF(Main[[#This Row],[Class]]="C",WORKDAY(Main[[#This Row],[Tech Start Date]],28),IF(Main[[#This Row],[Class]]="B", WORKDAY(Main[[#This Row],[Tech Start Date]],19),IF(Main[[#This Row],[Class]]="A",WORKDAY(Main[[#This Row],[Tech Start Date]],9),""))))</f>
        <v/>
      </c>
      <c r="Q206" s="89">
        <v>40801</v>
      </c>
      <c r="R206" s="121"/>
      <c r="S206" s="99" t="s">
        <v>11</v>
      </c>
      <c r="T206" s="76" t="s">
        <v>4</v>
      </c>
      <c r="U206" s="99" t="s">
        <v>14</v>
      </c>
      <c r="V206" s="99" t="s">
        <v>1914</v>
      </c>
      <c r="W206" s="99" t="s">
        <v>1921</v>
      </c>
      <c r="X206" s="99" t="s">
        <v>2832</v>
      </c>
      <c r="Y206" s="73" t="s">
        <v>2962</v>
      </c>
      <c r="Z206" s="73" t="s">
        <v>4</v>
      </c>
      <c r="AA206" s="99" t="s">
        <v>2832</v>
      </c>
    </row>
    <row r="207" spans="1:27" ht="17.25" customHeight="1">
      <c r="A207" s="65" t="str">
        <f>IF(priority(Main[[#This Row],[Comments]])&lt;&gt;0, priority(Main[[#This Row],[Comments]]),"")</f>
        <v/>
      </c>
      <c r="B207" s="60" t="s">
        <v>2528</v>
      </c>
      <c r="C207" s="105" t="s">
        <v>4</v>
      </c>
      <c r="D207" s="74" t="s">
        <v>2529</v>
      </c>
      <c r="E207" s="89">
        <v>40855.624421296299</v>
      </c>
      <c r="F207" s="89"/>
      <c r="G207" s="65" t="str">
        <f>IF(stdProdLT(Main[[#This Row],[Comments]])=0.1,"N/A",IF(stdProdLT(Main[[#This Row],[Comments]])=0,"",TRIM(stdProdLT(Main[[#This Row],[Comments]]))))</f>
        <v/>
      </c>
      <c r="H207" s="98" t="str">
        <f>IF(Main[[#This Row],[Std. Prod. Lead Time]]="N/A", "",IF(AND(Main[[#This Row],[In Stock Date]]&lt;&gt;"",Main[[#This Row],[Revised Due Date]]&lt;&gt;"",Main[[#This Row],[In Stock Date]]&lt;&gt;""),Main[[#This Row],[In Stock Date]]-Main[[#This Row],[Revised Due Date]],""))</f>
        <v/>
      </c>
      <c r="I207" s="110" t="s">
        <v>81</v>
      </c>
      <c r="J207" s="99" t="s">
        <v>21</v>
      </c>
      <c r="K207" s="99" t="s">
        <v>4</v>
      </c>
      <c r="L207" s="89"/>
      <c r="M207" s="75" t="str">
        <f>IF(Main[[#This Row],[Tech Start Date]]&lt;1/1/1990,"",IF(Main[[#This Row],[Class]]="C",WORKDAY(Main[[#This Row],[Tech Start Date]],9),IF(Main[[#This Row],[Class]]="B", WORKDAY(Main[[#This Row],[Tech Start Date]],6),IF(Main[[#This Row],[Class]]="A",WORKDAY(Main[[#This Row],[Tech Start Date]],2),""))))</f>
        <v/>
      </c>
      <c r="N207" s="75" t="str">
        <f>IF(Main[[#This Row],[Tech Start Date]]&lt;1/1/1990,"",IF(Main[[#This Row],[Class]]="C",WORKDAY(Main[[#This Row],[Tech Start Date]],19),IF(Main[[#This Row],[Class]]="B", WORKDAY(Main[[#This Row],[Tech Start Date]],12),IF(Main[[#This Row],[Class]]="A",WORKDAY(Main[[#This Row],[Tech Start Date]],4),""))))</f>
        <v/>
      </c>
      <c r="O207" s="75" t="str">
        <f>IF(Main[[#This Row],[Tech Start Date]]&lt;1/1/1990,"",IF(Main[[#This Row],[Class]]="C",WORKDAY(Main[[#This Row],[Tech Start Date]],23),IF(Main[[#This Row],[Class]]="B", WORKDAY(Main[[#This Row],[Tech Start Date]],15),IF(Main[[#This Row],[Class]]="A",WORKDAY(Main[[#This Row],[Tech Start Date]],5),""))))</f>
        <v/>
      </c>
      <c r="P207" s="75" t="str">
        <f>IF(Main[[#This Row],[Tech Start Date]]&lt;1/1/1990,"",IF(Main[[#This Row],[Class]]="C",WORKDAY(Main[[#This Row],[Tech Start Date]],28),IF(Main[[#This Row],[Class]]="B", WORKDAY(Main[[#This Row],[Tech Start Date]],19),IF(Main[[#This Row],[Class]]="A",WORKDAY(Main[[#This Row],[Tech Start Date]],9),""))))</f>
        <v/>
      </c>
      <c r="Q207" s="89">
        <v>40908</v>
      </c>
      <c r="R207" s="121"/>
      <c r="S207" s="99" t="s">
        <v>6</v>
      </c>
      <c r="T207" s="76" t="s">
        <v>4</v>
      </c>
      <c r="U207" s="99" t="s">
        <v>29</v>
      </c>
      <c r="V207" s="99" t="s">
        <v>1923</v>
      </c>
      <c r="W207" s="99" t="s">
        <v>1918</v>
      </c>
      <c r="X207" s="99" t="s">
        <v>81</v>
      </c>
      <c r="Y207" s="73" t="s">
        <v>2963</v>
      </c>
      <c r="Z207" s="73" t="s">
        <v>81</v>
      </c>
      <c r="AA207" s="99" t="s">
        <v>81</v>
      </c>
    </row>
    <row r="208" spans="1:27" ht="17.25" customHeight="1">
      <c r="A208" s="65" t="str">
        <f>IF(priority(Main[[#This Row],[Comments]])&lt;&gt;0, priority(Main[[#This Row],[Comments]]),"")</f>
        <v/>
      </c>
      <c r="B208" s="60" t="s">
        <v>1073</v>
      </c>
      <c r="C208" s="105" t="s">
        <v>31</v>
      </c>
      <c r="D208" s="59" t="s">
        <v>115</v>
      </c>
      <c r="E208" s="89"/>
      <c r="F208" s="89"/>
      <c r="G208" s="65" t="str">
        <f>IF(stdProdLT(Main[[#This Row],[Comments]])=0.1,"N/A",IF(stdProdLT(Main[[#This Row],[Comments]])=0,"",TRIM(stdProdLT(Main[[#This Row],[Comments]]))))</f>
        <v/>
      </c>
      <c r="H208" s="98" t="str">
        <f>IF(Main[[#This Row],[Std. Prod. Lead Time]]="N/A", "",IF(AND(Main[[#This Row],[In Stock Date]]&lt;&gt;"",Main[[#This Row],[Revised Due Date]]&lt;&gt;"",Main[[#This Row],[In Stock Date]]&lt;&gt;""),Main[[#This Row],[In Stock Date]]-Main[[#This Row],[Revised Due Date]],""))</f>
        <v/>
      </c>
      <c r="I208" s="110" t="s">
        <v>4</v>
      </c>
      <c r="J208" s="99" t="s">
        <v>4</v>
      </c>
      <c r="K208" s="99" t="s">
        <v>4</v>
      </c>
      <c r="L208" s="89"/>
      <c r="M208" s="75" t="str">
        <f>IF(Main[[#This Row],[Tech Start Date]]&lt;1/1/1990,"",IF(Main[[#This Row],[Class]]="C",WORKDAY(Main[[#This Row],[Tech Start Date]],9),IF(Main[[#This Row],[Class]]="B", WORKDAY(Main[[#This Row],[Tech Start Date]],6),IF(Main[[#This Row],[Class]]="A",WORKDAY(Main[[#This Row],[Tech Start Date]],2),""))))</f>
        <v/>
      </c>
      <c r="N208" s="75" t="str">
        <f>IF(Main[[#This Row],[Tech Start Date]]&lt;1/1/1990,"",IF(Main[[#This Row],[Class]]="C",WORKDAY(Main[[#This Row],[Tech Start Date]],19),IF(Main[[#This Row],[Class]]="B", WORKDAY(Main[[#This Row],[Tech Start Date]],12),IF(Main[[#This Row],[Class]]="A",WORKDAY(Main[[#This Row],[Tech Start Date]],4),""))))</f>
        <v/>
      </c>
      <c r="O208" s="75" t="str">
        <f>IF(Main[[#This Row],[Tech Start Date]]&lt;1/1/1990,"",IF(Main[[#This Row],[Class]]="C",WORKDAY(Main[[#This Row],[Tech Start Date]],23),IF(Main[[#This Row],[Class]]="B", WORKDAY(Main[[#This Row],[Tech Start Date]],15),IF(Main[[#This Row],[Class]]="A",WORKDAY(Main[[#This Row],[Tech Start Date]],5),""))))</f>
        <v/>
      </c>
      <c r="P208" s="75" t="str">
        <f>IF(Main[[#This Row],[Tech Start Date]]&lt;1/1/1990,"",IF(Main[[#This Row],[Class]]="C",WORKDAY(Main[[#This Row],[Tech Start Date]],28),IF(Main[[#This Row],[Class]]="B", WORKDAY(Main[[#This Row],[Tech Start Date]],19),IF(Main[[#This Row],[Class]]="A",WORKDAY(Main[[#This Row],[Tech Start Date]],9),""))))</f>
        <v/>
      </c>
      <c r="Q208" s="89">
        <v>40318</v>
      </c>
      <c r="R208" s="121"/>
      <c r="S208" s="99" t="s">
        <v>11</v>
      </c>
      <c r="T208" s="76" t="s">
        <v>4</v>
      </c>
      <c r="U208" s="99" t="s">
        <v>14</v>
      </c>
      <c r="V208" s="99" t="s">
        <v>1916</v>
      </c>
      <c r="W208" s="99" t="s">
        <v>1915</v>
      </c>
      <c r="X208" s="99" t="s">
        <v>2824</v>
      </c>
      <c r="Y208" s="73" t="s">
        <v>4</v>
      </c>
      <c r="Z208" s="73" t="s">
        <v>4</v>
      </c>
      <c r="AA208" s="99" t="s">
        <v>2824</v>
      </c>
    </row>
    <row r="209" spans="1:27" ht="17.25" customHeight="1">
      <c r="A209" s="65" t="str">
        <f>IF(priority(Main[[#This Row],[Comments]])&lt;&gt;0, priority(Main[[#This Row],[Comments]]),"")</f>
        <v/>
      </c>
      <c r="B209" s="60" t="s">
        <v>2324</v>
      </c>
      <c r="C209" s="105" t="s">
        <v>31</v>
      </c>
      <c r="D209" s="74" t="s">
        <v>2325</v>
      </c>
      <c r="E209" s="89"/>
      <c r="F209" s="89">
        <v>41000</v>
      </c>
      <c r="G209" s="65" t="str">
        <f>IF(stdProdLT(Main[[#This Row],[Comments]])=0.1,"N/A",IF(stdProdLT(Main[[#This Row],[Comments]])=0,"",TRIM(stdProdLT(Main[[#This Row],[Comments]]))))</f>
        <v>140</v>
      </c>
      <c r="H209" s="98" t="str">
        <f>IF(Main[[#This Row],[Std. Prod. Lead Time]]="N/A", "",IF(AND(Main[[#This Row],[In Stock Date]]&lt;&gt;"",Main[[#This Row],[Revised Due Date]]&lt;&gt;"",Main[[#This Row],[In Stock Date]]&lt;&gt;""),Main[[#This Row],[In Stock Date]]-Main[[#This Row],[Revised Due Date]],""))</f>
        <v/>
      </c>
      <c r="I209" s="110" t="s">
        <v>4</v>
      </c>
      <c r="J209" s="99" t="s">
        <v>4</v>
      </c>
      <c r="K209" s="99" t="s">
        <v>4</v>
      </c>
      <c r="L209" s="89"/>
      <c r="M209" s="75" t="str">
        <f>IF(Main[[#This Row],[Tech Start Date]]&lt;1/1/1990,"",IF(Main[[#This Row],[Class]]="C",WORKDAY(Main[[#This Row],[Tech Start Date]],9),IF(Main[[#This Row],[Class]]="B", WORKDAY(Main[[#This Row],[Tech Start Date]],6),IF(Main[[#This Row],[Class]]="A",WORKDAY(Main[[#This Row],[Tech Start Date]],2),""))))</f>
        <v/>
      </c>
      <c r="N209" s="75" t="str">
        <f>IF(Main[[#This Row],[Tech Start Date]]&lt;1/1/1990,"",IF(Main[[#This Row],[Class]]="C",WORKDAY(Main[[#This Row],[Tech Start Date]],19),IF(Main[[#This Row],[Class]]="B", WORKDAY(Main[[#This Row],[Tech Start Date]],12),IF(Main[[#This Row],[Class]]="A",WORKDAY(Main[[#This Row],[Tech Start Date]],4),""))))</f>
        <v/>
      </c>
      <c r="O209" s="75" t="str">
        <f>IF(Main[[#This Row],[Tech Start Date]]&lt;1/1/1990,"",IF(Main[[#This Row],[Class]]="C",WORKDAY(Main[[#This Row],[Tech Start Date]],23),IF(Main[[#This Row],[Class]]="B", WORKDAY(Main[[#This Row],[Tech Start Date]],15),IF(Main[[#This Row],[Class]]="A",WORKDAY(Main[[#This Row],[Tech Start Date]],5),""))))</f>
        <v/>
      </c>
      <c r="P209" s="75" t="str">
        <f>IF(Main[[#This Row],[Tech Start Date]]&lt;1/1/1990,"",IF(Main[[#This Row],[Class]]="C",WORKDAY(Main[[#This Row],[Tech Start Date]],28),IF(Main[[#This Row],[Class]]="B", WORKDAY(Main[[#This Row],[Tech Start Date]],19),IF(Main[[#This Row],[Class]]="A",WORKDAY(Main[[#This Row],[Tech Start Date]],9),""))))</f>
        <v/>
      </c>
      <c r="Q209" s="89">
        <v>40916</v>
      </c>
      <c r="R209" s="121"/>
      <c r="S209" s="99" t="s">
        <v>11</v>
      </c>
      <c r="T209" s="76" t="s">
        <v>2326</v>
      </c>
      <c r="U209" s="99" t="s">
        <v>14</v>
      </c>
      <c r="V209" s="99" t="s">
        <v>1923</v>
      </c>
      <c r="W209" s="99" t="s">
        <v>1919</v>
      </c>
      <c r="X209" s="99" t="s">
        <v>2834</v>
      </c>
      <c r="Y209" s="73" t="s">
        <v>4</v>
      </c>
      <c r="Z209" s="73" t="s">
        <v>4</v>
      </c>
      <c r="AA209" s="99" t="s">
        <v>2834</v>
      </c>
    </row>
    <row r="210" spans="1:27" ht="17.25" customHeight="1">
      <c r="A210" s="65" t="str">
        <f>IF(priority(Main[[#This Row],[Comments]])&lt;&gt;0, priority(Main[[#This Row],[Comments]]),"")</f>
        <v/>
      </c>
      <c r="B210" s="60" t="s">
        <v>2005</v>
      </c>
      <c r="C210" s="105" t="s">
        <v>4</v>
      </c>
      <c r="D210" s="74" t="s">
        <v>2006</v>
      </c>
      <c r="E210" s="89"/>
      <c r="F210" s="89"/>
      <c r="G210" s="65" t="str">
        <f>IF(stdProdLT(Main[[#This Row],[Comments]])=0.1,"N/A",IF(stdProdLT(Main[[#This Row],[Comments]])=0,"",TRIM(stdProdLT(Main[[#This Row],[Comments]]))))</f>
        <v/>
      </c>
      <c r="H210" s="98" t="str">
        <f>IF(Main[[#This Row],[Std. Prod. Lead Time]]="N/A", "",IF(AND(Main[[#This Row],[In Stock Date]]&lt;&gt;"",Main[[#This Row],[Revised Due Date]]&lt;&gt;"",Main[[#This Row],[In Stock Date]]&lt;&gt;""),Main[[#This Row],[In Stock Date]]-Main[[#This Row],[Revised Due Date]],""))</f>
        <v/>
      </c>
      <c r="I210" s="110" t="s">
        <v>4</v>
      </c>
      <c r="J210" s="99" t="s">
        <v>4</v>
      </c>
      <c r="K210" s="99" t="s">
        <v>4</v>
      </c>
      <c r="L210" s="89"/>
      <c r="M210" s="75" t="str">
        <f>IF(Main[[#This Row],[Tech Start Date]]&lt;1/1/1990,"",IF(Main[[#This Row],[Class]]="C",WORKDAY(Main[[#This Row],[Tech Start Date]],9),IF(Main[[#This Row],[Class]]="B", WORKDAY(Main[[#This Row],[Tech Start Date]],6),IF(Main[[#This Row],[Class]]="A",WORKDAY(Main[[#This Row],[Tech Start Date]],2),""))))</f>
        <v/>
      </c>
      <c r="N210" s="75" t="str">
        <f>IF(Main[[#This Row],[Tech Start Date]]&lt;1/1/1990,"",IF(Main[[#This Row],[Class]]="C",WORKDAY(Main[[#This Row],[Tech Start Date]],19),IF(Main[[#This Row],[Class]]="B", WORKDAY(Main[[#This Row],[Tech Start Date]],12),IF(Main[[#This Row],[Class]]="A",WORKDAY(Main[[#This Row],[Tech Start Date]],4),""))))</f>
        <v/>
      </c>
      <c r="O210" s="75" t="str">
        <f>IF(Main[[#This Row],[Tech Start Date]]&lt;1/1/1990,"",IF(Main[[#This Row],[Class]]="C",WORKDAY(Main[[#This Row],[Tech Start Date]],23),IF(Main[[#This Row],[Class]]="B", WORKDAY(Main[[#This Row],[Tech Start Date]],15),IF(Main[[#This Row],[Class]]="A",WORKDAY(Main[[#This Row],[Tech Start Date]],5),""))))</f>
        <v/>
      </c>
      <c r="P210" s="75" t="str">
        <f>IF(Main[[#This Row],[Tech Start Date]]&lt;1/1/1990,"",IF(Main[[#This Row],[Class]]="C",WORKDAY(Main[[#This Row],[Tech Start Date]],28),IF(Main[[#This Row],[Class]]="B", WORKDAY(Main[[#This Row],[Tech Start Date]],19),IF(Main[[#This Row],[Class]]="A",WORKDAY(Main[[#This Row],[Tech Start Date]],9),""))))</f>
        <v/>
      </c>
      <c r="Q210" s="89"/>
      <c r="R210" s="121"/>
      <c r="S210" s="99" t="s">
        <v>4</v>
      </c>
      <c r="T210" s="76" t="s">
        <v>4</v>
      </c>
      <c r="U210" s="99" t="s">
        <v>14</v>
      </c>
      <c r="V210" s="99" t="s">
        <v>1916</v>
      </c>
      <c r="W210" s="99" t="s">
        <v>1915</v>
      </c>
      <c r="X210" s="99" t="s">
        <v>2835</v>
      </c>
      <c r="Y210" s="73" t="s">
        <v>2965</v>
      </c>
      <c r="Z210" s="73" t="s">
        <v>4</v>
      </c>
      <c r="AA210" s="99" t="s">
        <v>2835</v>
      </c>
    </row>
    <row r="211" spans="1:27" ht="17.25" customHeight="1">
      <c r="A211" s="65" t="str">
        <f>IF(priority(Main[[#This Row],[Comments]])&lt;&gt;0, priority(Main[[#This Row],[Comments]]),"")</f>
        <v/>
      </c>
      <c r="B211" s="60" t="s">
        <v>1075</v>
      </c>
      <c r="C211" s="105" t="s">
        <v>42</v>
      </c>
      <c r="D211" s="74" t="s">
        <v>119</v>
      </c>
      <c r="E211" s="89"/>
      <c r="F211" s="89"/>
      <c r="G211" s="65" t="str">
        <f>IF(stdProdLT(Main[[#This Row],[Comments]])=0.1,"N/A",IF(stdProdLT(Main[[#This Row],[Comments]])=0,"",TRIM(stdProdLT(Main[[#This Row],[Comments]]))))</f>
        <v/>
      </c>
      <c r="H211" s="98" t="str">
        <f>IF(Main[[#This Row],[Std. Prod. Lead Time]]="N/A", "",IF(AND(Main[[#This Row],[In Stock Date]]&lt;&gt;"",Main[[#This Row],[Revised Due Date]]&lt;&gt;"",Main[[#This Row],[In Stock Date]]&lt;&gt;""),Main[[#This Row],[In Stock Date]]-Main[[#This Row],[Revised Due Date]],""))</f>
        <v/>
      </c>
      <c r="I211" s="110" t="s">
        <v>4</v>
      </c>
      <c r="J211" s="99" t="s">
        <v>4</v>
      </c>
      <c r="K211" s="99" t="s">
        <v>4</v>
      </c>
      <c r="L211" s="89"/>
      <c r="M211" s="75" t="str">
        <f>IF(Main[[#This Row],[Tech Start Date]]&lt;1/1/1990,"",IF(Main[[#This Row],[Class]]="C",WORKDAY(Main[[#This Row],[Tech Start Date]],9),IF(Main[[#This Row],[Class]]="B", WORKDAY(Main[[#This Row],[Tech Start Date]],6),IF(Main[[#This Row],[Class]]="A",WORKDAY(Main[[#This Row],[Tech Start Date]],2),""))))</f>
        <v/>
      </c>
      <c r="N211" s="75" t="str">
        <f>IF(Main[[#This Row],[Tech Start Date]]&lt;1/1/1990,"",IF(Main[[#This Row],[Class]]="C",WORKDAY(Main[[#This Row],[Tech Start Date]],19),IF(Main[[#This Row],[Class]]="B", WORKDAY(Main[[#This Row],[Tech Start Date]],12),IF(Main[[#This Row],[Class]]="A",WORKDAY(Main[[#This Row],[Tech Start Date]],4),""))))</f>
        <v/>
      </c>
      <c r="O211" s="75" t="str">
        <f>IF(Main[[#This Row],[Tech Start Date]]&lt;1/1/1990,"",IF(Main[[#This Row],[Class]]="C",WORKDAY(Main[[#This Row],[Tech Start Date]],23),IF(Main[[#This Row],[Class]]="B", WORKDAY(Main[[#This Row],[Tech Start Date]],15),IF(Main[[#This Row],[Class]]="A",WORKDAY(Main[[#This Row],[Tech Start Date]],5),""))))</f>
        <v/>
      </c>
      <c r="P211" s="75" t="str">
        <f>IF(Main[[#This Row],[Tech Start Date]]&lt;1/1/1990,"",IF(Main[[#This Row],[Class]]="C",WORKDAY(Main[[#This Row],[Tech Start Date]],28),IF(Main[[#This Row],[Class]]="B", WORKDAY(Main[[#This Row],[Tech Start Date]],19),IF(Main[[#This Row],[Class]]="A",WORKDAY(Main[[#This Row],[Tech Start Date]],9),""))))</f>
        <v/>
      </c>
      <c r="Q211" s="89"/>
      <c r="R211" s="121"/>
      <c r="S211" s="99" t="s">
        <v>11</v>
      </c>
      <c r="T211" s="76" t="s">
        <v>4</v>
      </c>
      <c r="U211" s="99" t="s">
        <v>14</v>
      </c>
      <c r="V211" s="99" t="s">
        <v>1914</v>
      </c>
      <c r="W211" s="99" t="s">
        <v>1921</v>
      </c>
      <c r="X211" s="99" t="s">
        <v>399</v>
      </c>
      <c r="Y211" s="73" t="s">
        <v>2942</v>
      </c>
      <c r="Z211" s="73" t="s">
        <v>4</v>
      </c>
      <c r="AA211" s="99" t="s">
        <v>399</v>
      </c>
    </row>
    <row r="212" spans="1:27" ht="17.25" customHeight="1">
      <c r="A212" s="65" t="str">
        <f>IF(priority(Main[[#This Row],[Comments]])&lt;&gt;0, priority(Main[[#This Row],[Comments]]),"")</f>
        <v/>
      </c>
      <c r="B212" s="60" t="s">
        <v>1487</v>
      </c>
      <c r="C212" s="105" t="s">
        <v>4</v>
      </c>
      <c r="D212" s="59" t="s">
        <v>571</v>
      </c>
      <c r="E212" s="89">
        <v>40422.460902777777</v>
      </c>
      <c r="F212" s="89"/>
      <c r="G212" s="65" t="str">
        <f>IF(stdProdLT(Main[[#This Row],[Comments]])=0.1,"N/A",IF(stdProdLT(Main[[#This Row],[Comments]])=0,"",TRIM(stdProdLT(Main[[#This Row],[Comments]]))))</f>
        <v/>
      </c>
      <c r="H212" s="98" t="str">
        <f>IF(Main[[#This Row],[Std. Prod. Lead Time]]="N/A", "",IF(AND(Main[[#This Row],[In Stock Date]]&lt;&gt;"",Main[[#This Row],[Revised Due Date]]&lt;&gt;"",Main[[#This Row],[In Stock Date]]&lt;&gt;""),Main[[#This Row],[In Stock Date]]-Main[[#This Row],[Revised Due Date]],""))</f>
        <v/>
      </c>
      <c r="I212" s="110" t="s">
        <v>4</v>
      </c>
      <c r="J212" s="99" t="s">
        <v>28</v>
      </c>
      <c r="K212" s="99" t="s">
        <v>4</v>
      </c>
      <c r="L212" s="89"/>
      <c r="M212" s="75" t="str">
        <f>IF(Main[[#This Row],[Tech Start Date]]&lt;1/1/1990,"",IF(Main[[#This Row],[Class]]="C",WORKDAY(Main[[#This Row],[Tech Start Date]],9),IF(Main[[#This Row],[Class]]="B", WORKDAY(Main[[#This Row],[Tech Start Date]],6),IF(Main[[#This Row],[Class]]="A",WORKDAY(Main[[#This Row],[Tech Start Date]],2),""))))</f>
        <v/>
      </c>
      <c r="N212" s="75" t="str">
        <f>IF(Main[[#This Row],[Tech Start Date]]&lt;1/1/1990,"",IF(Main[[#This Row],[Class]]="C",WORKDAY(Main[[#This Row],[Tech Start Date]],19),IF(Main[[#This Row],[Class]]="B", WORKDAY(Main[[#This Row],[Tech Start Date]],12),IF(Main[[#This Row],[Class]]="A",WORKDAY(Main[[#This Row],[Tech Start Date]],4),""))))</f>
        <v/>
      </c>
      <c r="O212" s="75" t="str">
        <f>IF(Main[[#This Row],[Tech Start Date]]&lt;1/1/1990,"",IF(Main[[#This Row],[Class]]="C",WORKDAY(Main[[#This Row],[Tech Start Date]],23),IF(Main[[#This Row],[Class]]="B", WORKDAY(Main[[#This Row],[Tech Start Date]],15),IF(Main[[#This Row],[Class]]="A",WORKDAY(Main[[#This Row],[Tech Start Date]],5),""))))</f>
        <v/>
      </c>
      <c r="P212" s="75" t="str">
        <f>IF(Main[[#This Row],[Tech Start Date]]&lt;1/1/1990,"",IF(Main[[#This Row],[Class]]="C",WORKDAY(Main[[#This Row],[Tech Start Date]],28),IF(Main[[#This Row],[Class]]="B", WORKDAY(Main[[#This Row],[Tech Start Date]],19),IF(Main[[#This Row],[Class]]="A",WORKDAY(Main[[#This Row],[Tech Start Date]],9),""))))</f>
        <v/>
      </c>
      <c r="Q212" s="89"/>
      <c r="R212" s="121"/>
      <c r="S212" s="99" t="s">
        <v>6</v>
      </c>
      <c r="T212" s="76" t="s">
        <v>4</v>
      </c>
      <c r="U212" s="99" t="s">
        <v>29</v>
      </c>
      <c r="V212" s="99" t="s">
        <v>1913</v>
      </c>
      <c r="W212" s="99" t="s">
        <v>1921</v>
      </c>
      <c r="X212" s="99" t="s">
        <v>2048</v>
      </c>
      <c r="Y212" s="73" t="s">
        <v>2966</v>
      </c>
      <c r="Z212" s="73" t="s">
        <v>129</v>
      </c>
      <c r="AA212" s="99" t="s">
        <v>2048</v>
      </c>
    </row>
    <row r="213" spans="1:27" ht="17.25" customHeight="1">
      <c r="A213" s="65" t="str">
        <f>IF(priority(Main[[#This Row],[Comments]])&lt;&gt;0, priority(Main[[#This Row],[Comments]]),"")</f>
        <v/>
      </c>
      <c r="B213" s="60" t="s">
        <v>2053</v>
      </c>
      <c r="C213" s="105" t="s">
        <v>4</v>
      </c>
      <c r="D213" s="74" t="s">
        <v>2054</v>
      </c>
      <c r="E213" s="89"/>
      <c r="F213" s="89"/>
      <c r="G213" s="65" t="str">
        <f>IF(stdProdLT(Main[[#This Row],[Comments]])=0.1,"N/A",IF(stdProdLT(Main[[#This Row],[Comments]])=0,"",TRIM(stdProdLT(Main[[#This Row],[Comments]]))))</f>
        <v/>
      </c>
      <c r="H213" s="98" t="str">
        <f>IF(Main[[#This Row],[Std. Prod. Lead Time]]="N/A", "",IF(AND(Main[[#This Row],[In Stock Date]]&lt;&gt;"",Main[[#This Row],[Revised Due Date]]&lt;&gt;"",Main[[#This Row],[In Stock Date]]&lt;&gt;""),Main[[#This Row],[In Stock Date]]-Main[[#This Row],[Revised Due Date]],""))</f>
        <v/>
      </c>
      <c r="I213" s="110" t="s">
        <v>429</v>
      </c>
      <c r="J213" s="99" t="s">
        <v>70</v>
      </c>
      <c r="K213" s="99" t="s">
        <v>1922</v>
      </c>
      <c r="L213" s="89"/>
      <c r="M213" s="75" t="str">
        <f>IF(Main[[#This Row],[Tech Start Date]]&lt;1/1/1990,"",IF(Main[[#This Row],[Class]]="C",WORKDAY(Main[[#This Row],[Tech Start Date]],9),IF(Main[[#This Row],[Class]]="B", WORKDAY(Main[[#This Row],[Tech Start Date]],6),IF(Main[[#This Row],[Class]]="A",WORKDAY(Main[[#This Row],[Tech Start Date]],2),""))))</f>
        <v/>
      </c>
      <c r="N213" s="75" t="str">
        <f>IF(Main[[#This Row],[Tech Start Date]]&lt;1/1/1990,"",IF(Main[[#This Row],[Class]]="C",WORKDAY(Main[[#This Row],[Tech Start Date]],19),IF(Main[[#This Row],[Class]]="B", WORKDAY(Main[[#This Row],[Tech Start Date]],12),IF(Main[[#This Row],[Class]]="A",WORKDAY(Main[[#This Row],[Tech Start Date]],4),""))))</f>
        <v/>
      </c>
      <c r="O213" s="75" t="str">
        <f>IF(Main[[#This Row],[Tech Start Date]]&lt;1/1/1990,"",IF(Main[[#This Row],[Class]]="C",WORKDAY(Main[[#This Row],[Tech Start Date]],23),IF(Main[[#This Row],[Class]]="B", WORKDAY(Main[[#This Row],[Tech Start Date]],15),IF(Main[[#This Row],[Class]]="A",WORKDAY(Main[[#This Row],[Tech Start Date]],5),""))))</f>
        <v/>
      </c>
      <c r="P213" s="75" t="str">
        <f>IF(Main[[#This Row],[Tech Start Date]]&lt;1/1/1990,"",IF(Main[[#This Row],[Class]]="C",WORKDAY(Main[[#This Row],[Tech Start Date]],28),IF(Main[[#This Row],[Class]]="B", WORKDAY(Main[[#This Row],[Tech Start Date]],19),IF(Main[[#This Row],[Class]]="A",WORKDAY(Main[[#This Row],[Tech Start Date]],9),""))))</f>
        <v/>
      </c>
      <c r="Q213" s="89">
        <v>40786</v>
      </c>
      <c r="R213" s="121"/>
      <c r="S213" s="99" t="s">
        <v>6</v>
      </c>
      <c r="T213" s="76" t="s">
        <v>4</v>
      </c>
      <c r="U213" s="99" t="s">
        <v>14</v>
      </c>
      <c r="V213" s="99" t="s">
        <v>1916</v>
      </c>
      <c r="W213" s="99" t="s">
        <v>1917</v>
      </c>
      <c r="X213" s="99" t="s">
        <v>30</v>
      </c>
      <c r="Y213" s="73" t="s">
        <v>2967</v>
      </c>
      <c r="Z213" s="73" t="s">
        <v>44</v>
      </c>
      <c r="AA213" s="99" t="s">
        <v>3382</v>
      </c>
    </row>
    <row r="214" spans="1:27" ht="17.25" customHeight="1">
      <c r="A214" s="65" t="str">
        <f>IF(priority(Main[[#This Row],[Comments]])&lt;&gt;0, priority(Main[[#This Row],[Comments]]),"")</f>
        <v/>
      </c>
      <c r="B214" s="60" t="s">
        <v>1446</v>
      </c>
      <c r="C214" s="105" t="s">
        <v>4</v>
      </c>
      <c r="D214" s="74" t="s">
        <v>2294</v>
      </c>
      <c r="E214" s="89"/>
      <c r="F214" s="89"/>
      <c r="G214" s="65" t="str">
        <f>IF(stdProdLT(Main[[#This Row],[Comments]])=0.1,"N/A",IF(stdProdLT(Main[[#This Row],[Comments]])=0,"",TRIM(stdProdLT(Main[[#This Row],[Comments]]))))</f>
        <v/>
      </c>
      <c r="H214" s="98" t="str">
        <f>IF(Main[[#This Row],[Std. Prod. Lead Time]]="N/A", "",IF(AND(Main[[#This Row],[In Stock Date]]&lt;&gt;"",Main[[#This Row],[Revised Due Date]]&lt;&gt;"",Main[[#This Row],[In Stock Date]]&lt;&gt;""),Main[[#This Row],[In Stock Date]]-Main[[#This Row],[Revised Due Date]],""))</f>
        <v/>
      </c>
      <c r="I214" s="110" t="s">
        <v>30</v>
      </c>
      <c r="J214" s="99" t="s">
        <v>28</v>
      </c>
      <c r="K214" s="99" t="s">
        <v>1922</v>
      </c>
      <c r="L214" s="89"/>
      <c r="M214" s="75" t="str">
        <f>IF(Main[[#This Row],[Tech Start Date]]&lt;1/1/1990,"",IF(Main[[#This Row],[Class]]="C",WORKDAY(Main[[#This Row],[Tech Start Date]],9),IF(Main[[#This Row],[Class]]="B", WORKDAY(Main[[#This Row],[Tech Start Date]],6),IF(Main[[#This Row],[Class]]="A",WORKDAY(Main[[#This Row],[Tech Start Date]],2),""))))</f>
        <v/>
      </c>
      <c r="N214" s="75" t="str">
        <f>IF(Main[[#This Row],[Tech Start Date]]&lt;1/1/1990,"",IF(Main[[#This Row],[Class]]="C",WORKDAY(Main[[#This Row],[Tech Start Date]],19),IF(Main[[#This Row],[Class]]="B", WORKDAY(Main[[#This Row],[Tech Start Date]],12),IF(Main[[#This Row],[Class]]="A",WORKDAY(Main[[#This Row],[Tech Start Date]],4),""))))</f>
        <v/>
      </c>
      <c r="O214" s="75" t="str">
        <f>IF(Main[[#This Row],[Tech Start Date]]&lt;1/1/1990,"",IF(Main[[#This Row],[Class]]="C",WORKDAY(Main[[#This Row],[Tech Start Date]],23),IF(Main[[#This Row],[Class]]="B", WORKDAY(Main[[#This Row],[Tech Start Date]],15),IF(Main[[#This Row],[Class]]="A",WORKDAY(Main[[#This Row],[Tech Start Date]],5),""))))</f>
        <v/>
      </c>
      <c r="P214" s="75" t="str">
        <f>IF(Main[[#This Row],[Tech Start Date]]&lt;1/1/1990,"",IF(Main[[#This Row],[Class]]="C",WORKDAY(Main[[#This Row],[Tech Start Date]],28),IF(Main[[#This Row],[Class]]="B", WORKDAY(Main[[#This Row],[Tech Start Date]],19),IF(Main[[#This Row],[Class]]="A",WORKDAY(Main[[#This Row],[Tech Start Date]],9),""))))</f>
        <v/>
      </c>
      <c r="Q214" s="89">
        <v>40606</v>
      </c>
      <c r="R214" s="121"/>
      <c r="S214" s="99" t="s">
        <v>6</v>
      </c>
      <c r="T214" s="76" t="s">
        <v>4</v>
      </c>
      <c r="U214" s="99" t="s">
        <v>14</v>
      </c>
      <c r="V214" s="99" t="s">
        <v>1916</v>
      </c>
      <c r="W214" s="99" t="s">
        <v>1917</v>
      </c>
      <c r="X214" s="99" t="s">
        <v>2830</v>
      </c>
      <c r="Y214" s="73" t="s">
        <v>2959</v>
      </c>
      <c r="Z214" s="73" t="s">
        <v>30</v>
      </c>
      <c r="AA214" s="99" t="s">
        <v>2830</v>
      </c>
    </row>
    <row r="215" spans="1:27" ht="17.25" customHeight="1">
      <c r="A215" s="65" t="str">
        <f>IF(priority(Main[[#This Row],[Comments]])&lt;&gt;0, priority(Main[[#This Row],[Comments]]),"")</f>
        <v/>
      </c>
      <c r="B215" s="60" t="s">
        <v>1079</v>
      </c>
      <c r="C215" s="105" t="s">
        <v>67</v>
      </c>
      <c r="D215" s="74" t="s">
        <v>121</v>
      </c>
      <c r="E215" s="89">
        <v>40707.647118055553</v>
      </c>
      <c r="F215" s="89"/>
      <c r="G215" s="65" t="str">
        <f>IF(stdProdLT(Main[[#This Row],[Comments]])=0.1,"N/A",IF(stdProdLT(Main[[#This Row],[Comments]])=0,"",TRIM(stdProdLT(Main[[#This Row],[Comments]]))))</f>
        <v/>
      </c>
      <c r="H215" s="98" t="str">
        <f>IF(Main[[#This Row],[Std. Prod. Lead Time]]="N/A", "",IF(AND(Main[[#This Row],[In Stock Date]]&lt;&gt;"",Main[[#This Row],[Revised Due Date]]&lt;&gt;"",Main[[#This Row],[In Stock Date]]&lt;&gt;""),Main[[#This Row],[In Stock Date]]-Main[[#This Row],[Revised Due Date]],""))</f>
        <v/>
      </c>
      <c r="I215" s="110" t="s">
        <v>4</v>
      </c>
      <c r="J215" s="99" t="s">
        <v>4</v>
      </c>
      <c r="K215" s="99" t="s">
        <v>4</v>
      </c>
      <c r="L215" s="89"/>
      <c r="M215" s="75" t="str">
        <f>IF(Main[[#This Row],[Tech Start Date]]&lt;1/1/1990,"",IF(Main[[#This Row],[Class]]="C",WORKDAY(Main[[#This Row],[Tech Start Date]],9),IF(Main[[#This Row],[Class]]="B", WORKDAY(Main[[#This Row],[Tech Start Date]],6),IF(Main[[#This Row],[Class]]="A",WORKDAY(Main[[#This Row],[Tech Start Date]],2),""))))</f>
        <v/>
      </c>
      <c r="N215" s="75" t="str">
        <f>IF(Main[[#This Row],[Tech Start Date]]&lt;1/1/1990,"",IF(Main[[#This Row],[Class]]="C",WORKDAY(Main[[#This Row],[Tech Start Date]],19),IF(Main[[#This Row],[Class]]="B", WORKDAY(Main[[#This Row],[Tech Start Date]],12),IF(Main[[#This Row],[Class]]="A",WORKDAY(Main[[#This Row],[Tech Start Date]],4),""))))</f>
        <v/>
      </c>
      <c r="O215" s="75" t="str">
        <f>IF(Main[[#This Row],[Tech Start Date]]&lt;1/1/1990,"",IF(Main[[#This Row],[Class]]="C",WORKDAY(Main[[#This Row],[Tech Start Date]],23),IF(Main[[#This Row],[Class]]="B", WORKDAY(Main[[#This Row],[Tech Start Date]],15),IF(Main[[#This Row],[Class]]="A",WORKDAY(Main[[#This Row],[Tech Start Date]],5),""))))</f>
        <v/>
      </c>
      <c r="P215" s="75" t="str">
        <f>IF(Main[[#This Row],[Tech Start Date]]&lt;1/1/1990,"",IF(Main[[#This Row],[Class]]="C",WORKDAY(Main[[#This Row],[Tech Start Date]],28),IF(Main[[#This Row],[Class]]="B", WORKDAY(Main[[#This Row],[Tech Start Date]],19),IF(Main[[#This Row],[Class]]="A",WORKDAY(Main[[#This Row],[Tech Start Date]],9),""))))</f>
        <v/>
      </c>
      <c r="Q215" s="89">
        <v>40755</v>
      </c>
      <c r="R215" s="121"/>
      <c r="S215" s="99" t="s">
        <v>17</v>
      </c>
      <c r="T215" s="76" t="s">
        <v>4</v>
      </c>
      <c r="U215" s="99" t="s">
        <v>7</v>
      </c>
      <c r="V215" s="99" t="s">
        <v>1916</v>
      </c>
      <c r="W215" s="99" t="s">
        <v>1918</v>
      </c>
      <c r="X215" s="99" t="s">
        <v>553</v>
      </c>
      <c r="Y215" s="73" t="s">
        <v>2946</v>
      </c>
      <c r="Z215" s="73" t="s">
        <v>4</v>
      </c>
      <c r="AA215" s="99" t="s">
        <v>553</v>
      </c>
    </row>
    <row r="216" spans="1:27" ht="17.25" customHeight="1">
      <c r="A216" s="65" t="str">
        <f>IF(priority(Main[[#This Row],[Comments]])&lt;&gt;0, priority(Main[[#This Row],[Comments]]),"")</f>
        <v/>
      </c>
      <c r="B216" s="60" t="s">
        <v>1077</v>
      </c>
      <c r="C216" s="105" t="s">
        <v>4</v>
      </c>
      <c r="D216" s="74" t="s">
        <v>120</v>
      </c>
      <c r="E216" s="89"/>
      <c r="F216" s="89"/>
      <c r="G216" s="65" t="str">
        <f>IF(stdProdLT(Main[[#This Row],[Comments]])=0.1,"N/A",IF(stdProdLT(Main[[#This Row],[Comments]])=0,"",TRIM(stdProdLT(Main[[#This Row],[Comments]]))))</f>
        <v/>
      </c>
      <c r="H216" s="98" t="str">
        <f>IF(Main[[#This Row],[Std. Prod. Lead Time]]="N/A", "",IF(AND(Main[[#This Row],[In Stock Date]]&lt;&gt;"",Main[[#This Row],[Revised Due Date]]&lt;&gt;"",Main[[#This Row],[In Stock Date]]&lt;&gt;""),Main[[#This Row],[In Stock Date]]-Main[[#This Row],[Revised Due Date]],""))</f>
        <v/>
      </c>
      <c r="I216" s="110" t="s">
        <v>4</v>
      </c>
      <c r="J216" s="99" t="s">
        <v>4</v>
      </c>
      <c r="K216" s="99" t="s">
        <v>4</v>
      </c>
      <c r="L216" s="89"/>
      <c r="M216" s="75" t="str">
        <f>IF(Main[[#This Row],[Tech Start Date]]&lt;1/1/1990,"",IF(Main[[#This Row],[Class]]="C",WORKDAY(Main[[#This Row],[Tech Start Date]],9),IF(Main[[#This Row],[Class]]="B", WORKDAY(Main[[#This Row],[Tech Start Date]],6),IF(Main[[#This Row],[Class]]="A",WORKDAY(Main[[#This Row],[Tech Start Date]],2),""))))</f>
        <v/>
      </c>
      <c r="N216" s="75" t="str">
        <f>IF(Main[[#This Row],[Tech Start Date]]&lt;1/1/1990,"",IF(Main[[#This Row],[Class]]="C",WORKDAY(Main[[#This Row],[Tech Start Date]],19),IF(Main[[#This Row],[Class]]="B", WORKDAY(Main[[#This Row],[Tech Start Date]],12),IF(Main[[#This Row],[Class]]="A",WORKDAY(Main[[#This Row],[Tech Start Date]],4),""))))</f>
        <v/>
      </c>
      <c r="O216" s="75" t="str">
        <f>IF(Main[[#This Row],[Tech Start Date]]&lt;1/1/1990,"",IF(Main[[#This Row],[Class]]="C",WORKDAY(Main[[#This Row],[Tech Start Date]],23),IF(Main[[#This Row],[Class]]="B", WORKDAY(Main[[#This Row],[Tech Start Date]],15),IF(Main[[#This Row],[Class]]="A",WORKDAY(Main[[#This Row],[Tech Start Date]],5),""))))</f>
        <v/>
      </c>
      <c r="P216" s="75" t="str">
        <f>IF(Main[[#This Row],[Tech Start Date]]&lt;1/1/1990,"",IF(Main[[#This Row],[Class]]="C",WORKDAY(Main[[#This Row],[Tech Start Date]],28),IF(Main[[#This Row],[Class]]="B", WORKDAY(Main[[#This Row],[Tech Start Date]],19),IF(Main[[#This Row],[Class]]="A",WORKDAY(Main[[#This Row],[Tech Start Date]],9),""))))</f>
        <v/>
      </c>
      <c r="Q216" s="89"/>
      <c r="R216" s="121"/>
      <c r="S216" s="99" t="s">
        <v>11</v>
      </c>
      <c r="T216" s="76" t="s">
        <v>4</v>
      </c>
      <c r="U216" s="99" t="s">
        <v>14</v>
      </c>
      <c r="V216" s="99" t="s">
        <v>1916</v>
      </c>
      <c r="W216" s="99" t="s">
        <v>1927</v>
      </c>
      <c r="X216" s="99" t="s">
        <v>2836</v>
      </c>
      <c r="Y216" s="73" t="s">
        <v>2968</v>
      </c>
      <c r="Z216" s="73" t="s">
        <v>4</v>
      </c>
      <c r="AA216" s="99" t="s">
        <v>2836</v>
      </c>
    </row>
    <row r="217" spans="1:27" ht="17.25" customHeight="1">
      <c r="A217" s="65" t="str">
        <f>IF(priority(Main[[#This Row],[Comments]])&lt;&gt;0, priority(Main[[#This Row],[Comments]]),"")</f>
        <v/>
      </c>
      <c r="B217" s="60" t="s">
        <v>1930</v>
      </c>
      <c r="C217" s="105" t="s">
        <v>4</v>
      </c>
      <c r="D217" s="74" t="s">
        <v>5</v>
      </c>
      <c r="E217" s="89">
        <v>40485.386250000003</v>
      </c>
      <c r="F217" s="89"/>
      <c r="G217" s="65" t="str">
        <f>IF(stdProdLT(Main[[#This Row],[Comments]])=0.1,"N/A",IF(stdProdLT(Main[[#This Row],[Comments]])=0,"",TRIM(stdProdLT(Main[[#This Row],[Comments]]))))</f>
        <v/>
      </c>
      <c r="H217" s="98" t="str">
        <f>IF(Main[[#This Row],[Std. Prod. Lead Time]]="N/A", "",IF(AND(Main[[#This Row],[In Stock Date]]&lt;&gt;"",Main[[#This Row],[Revised Due Date]]&lt;&gt;"",Main[[#This Row],[In Stock Date]]&lt;&gt;""),Main[[#This Row],[In Stock Date]]-Main[[#This Row],[Revised Due Date]],""))</f>
        <v/>
      </c>
      <c r="I217" s="110" t="s">
        <v>4</v>
      </c>
      <c r="J217" s="99" t="s">
        <v>4</v>
      </c>
      <c r="K217" s="99" t="s">
        <v>4</v>
      </c>
      <c r="L217" s="89"/>
      <c r="M217" s="75" t="str">
        <f>IF(Main[[#This Row],[Tech Start Date]]&lt;1/1/1990,"",IF(Main[[#This Row],[Class]]="C",WORKDAY(Main[[#This Row],[Tech Start Date]],9),IF(Main[[#This Row],[Class]]="B", WORKDAY(Main[[#This Row],[Tech Start Date]],6),IF(Main[[#This Row],[Class]]="A",WORKDAY(Main[[#This Row],[Tech Start Date]],2),""))))</f>
        <v/>
      </c>
      <c r="N217" s="75" t="str">
        <f>IF(Main[[#This Row],[Tech Start Date]]&lt;1/1/1990,"",IF(Main[[#This Row],[Class]]="C",WORKDAY(Main[[#This Row],[Tech Start Date]],19),IF(Main[[#This Row],[Class]]="B", WORKDAY(Main[[#This Row],[Tech Start Date]],12),IF(Main[[#This Row],[Class]]="A",WORKDAY(Main[[#This Row],[Tech Start Date]],4),""))))</f>
        <v/>
      </c>
      <c r="O217" s="75" t="str">
        <f>IF(Main[[#This Row],[Tech Start Date]]&lt;1/1/1990,"",IF(Main[[#This Row],[Class]]="C",WORKDAY(Main[[#This Row],[Tech Start Date]],23),IF(Main[[#This Row],[Class]]="B", WORKDAY(Main[[#This Row],[Tech Start Date]],15),IF(Main[[#This Row],[Class]]="A",WORKDAY(Main[[#This Row],[Tech Start Date]],5),""))))</f>
        <v/>
      </c>
      <c r="P217" s="75" t="str">
        <f>IF(Main[[#This Row],[Tech Start Date]]&lt;1/1/1990,"",IF(Main[[#This Row],[Class]]="C",WORKDAY(Main[[#This Row],[Tech Start Date]],28),IF(Main[[#This Row],[Class]]="B", WORKDAY(Main[[#This Row],[Tech Start Date]],19),IF(Main[[#This Row],[Class]]="A",WORKDAY(Main[[#This Row],[Tech Start Date]],9),""))))</f>
        <v/>
      </c>
      <c r="Q217" s="89">
        <v>40508</v>
      </c>
      <c r="R217" s="121"/>
      <c r="S217" s="99" t="s">
        <v>6</v>
      </c>
      <c r="T217" s="76" t="s">
        <v>4</v>
      </c>
      <c r="U217" s="99" t="s">
        <v>7</v>
      </c>
      <c r="V217" s="99" t="s">
        <v>1913</v>
      </c>
      <c r="W217" s="99" t="s">
        <v>4</v>
      </c>
      <c r="X217" s="99" t="s">
        <v>2813</v>
      </c>
      <c r="Y217" s="73" t="s">
        <v>2926</v>
      </c>
      <c r="Z217" s="73" t="s">
        <v>4</v>
      </c>
      <c r="AA217" s="99" t="s">
        <v>2813</v>
      </c>
    </row>
    <row r="218" spans="1:27" ht="17.25" customHeight="1">
      <c r="A218" s="65" t="str">
        <f>IF(priority(Main[[#This Row],[Comments]])&lt;&gt;0, priority(Main[[#This Row],[Comments]]),"")</f>
        <v/>
      </c>
      <c r="B218" s="60" t="s">
        <v>1008</v>
      </c>
      <c r="C218" s="105" t="s">
        <v>4</v>
      </c>
      <c r="D218" s="74" t="s">
        <v>8</v>
      </c>
      <c r="E218" s="89">
        <v>40679.251782407409</v>
      </c>
      <c r="F218" s="89"/>
      <c r="G218" s="65" t="str">
        <f>IF(stdProdLT(Main[[#This Row],[Comments]])=0.1,"N/A",IF(stdProdLT(Main[[#This Row],[Comments]])=0,"",TRIM(stdProdLT(Main[[#This Row],[Comments]]))))</f>
        <v/>
      </c>
      <c r="H218" s="98" t="str">
        <f>IF(Main[[#This Row],[Std. Prod. Lead Time]]="N/A", "",IF(AND(Main[[#This Row],[In Stock Date]]&lt;&gt;"",Main[[#This Row],[Revised Due Date]]&lt;&gt;"",Main[[#This Row],[In Stock Date]]&lt;&gt;""),Main[[#This Row],[In Stock Date]]-Main[[#This Row],[Revised Due Date]],""))</f>
        <v/>
      </c>
      <c r="I218" s="110" t="s">
        <v>4</v>
      </c>
      <c r="J218" s="99" t="s">
        <v>4</v>
      </c>
      <c r="K218" s="99" t="s">
        <v>4</v>
      </c>
      <c r="L218" s="89"/>
      <c r="M218" s="75" t="str">
        <f>IF(Main[[#This Row],[Tech Start Date]]&lt;1/1/1990,"",IF(Main[[#This Row],[Class]]="C",WORKDAY(Main[[#This Row],[Tech Start Date]],9),IF(Main[[#This Row],[Class]]="B", WORKDAY(Main[[#This Row],[Tech Start Date]],6),IF(Main[[#This Row],[Class]]="A",WORKDAY(Main[[#This Row],[Tech Start Date]],2),""))))</f>
        <v/>
      </c>
      <c r="N218" s="75" t="str">
        <f>IF(Main[[#This Row],[Tech Start Date]]&lt;1/1/1990,"",IF(Main[[#This Row],[Class]]="C",WORKDAY(Main[[#This Row],[Tech Start Date]],19),IF(Main[[#This Row],[Class]]="B", WORKDAY(Main[[#This Row],[Tech Start Date]],12),IF(Main[[#This Row],[Class]]="A",WORKDAY(Main[[#This Row],[Tech Start Date]],4),""))))</f>
        <v/>
      </c>
      <c r="O218" s="75" t="str">
        <f>IF(Main[[#This Row],[Tech Start Date]]&lt;1/1/1990,"",IF(Main[[#This Row],[Class]]="C",WORKDAY(Main[[#This Row],[Tech Start Date]],23),IF(Main[[#This Row],[Class]]="B", WORKDAY(Main[[#This Row],[Tech Start Date]],15),IF(Main[[#This Row],[Class]]="A",WORKDAY(Main[[#This Row],[Tech Start Date]],5),""))))</f>
        <v/>
      </c>
      <c r="P218" s="75" t="str">
        <f>IF(Main[[#This Row],[Tech Start Date]]&lt;1/1/1990,"",IF(Main[[#This Row],[Class]]="C",WORKDAY(Main[[#This Row],[Tech Start Date]],28),IF(Main[[#This Row],[Class]]="B", WORKDAY(Main[[#This Row],[Tech Start Date]],19),IF(Main[[#This Row],[Class]]="A",WORKDAY(Main[[#This Row],[Tech Start Date]],9),""))))</f>
        <v/>
      </c>
      <c r="Q218" s="89"/>
      <c r="R218" s="121"/>
      <c r="S218" s="99" t="s">
        <v>6</v>
      </c>
      <c r="T218" s="76" t="s">
        <v>4</v>
      </c>
      <c r="U218" s="99" t="s">
        <v>7</v>
      </c>
      <c r="V218" s="99" t="s">
        <v>1913</v>
      </c>
      <c r="W218" s="99" t="s">
        <v>4</v>
      </c>
      <c r="X218" s="99" t="s">
        <v>2816</v>
      </c>
      <c r="Y218" s="73" t="s">
        <v>2932</v>
      </c>
      <c r="Z218" s="73" t="s">
        <v>4</v>
      </c>
      <c r="AA218" s="99" t="s">
        <v>2816</v>
      </c>
    </row>
    <row r="219" spans="1:27" ht="17.25" customHeight="1">
      <c r="A219" s="65" t="str">
        <f>IF(priority(Main[[#This Row],[Comments]])&lt;&gt;0, priority(Main[[#This Row],[Comments]]),"")</f>
        <v/>
      </c>
      <c r="B219" s="60" t="s">
        <v>1009</v>
      </c>
      <c r="C219" s="105" t="s">
        <v>9</v>
      </c>
      <c r="D219" s="74" t="s">
        <v>10</v>
      </c>
      <c r="E219" s="89"/>
      <c r="F219" s="89"/>
      <c r="G219" s="65" t="str">
        <f>IF(stdProdLT(Main[[#This Row],[Comments]])=0.1,"N/A",IF(stdProdLT(Main[[#This Row],[Comments]])=0,"",TRIM(stdProdLT(Main[[#This Row],[Comments]]))))</f>
        <v/>
      </c>
      <c r="H219" s="98" t="str">
        <f>IF(Main[[#This Row],[Std. Prod. Lead Time]]="N/A", "",IF(AND(Main[[#This Row],[In Stock Date]]&lt;&gt;"",Main[[#This Row],[Revised Due Date]]&lt;&gt;"",Main[[#This Row],[In Stock Date]]&lt;&gt;""),Main[[#This Row],[In Stock Date]]-Main[[#This Row],[Revised Due Date]],""))</f>
        <v/>
      </c>
      <c r="I219" s="110" t="s">
        <v>4</v>
      </c>
      <c r="J219" s="99" t="s">
        <v>4</v>
      </c>
      <c r="K219" s="99" t="s">
        <v>4</v>
      </c>
      <c r="L219" s="89"/>
      <c r="M219" s="75" t="str">
        <f>IF(Main[[#This Row],[Tech Start Date]]&lt;1/1/1990,"",IF(Main[[#This Row],[Class]]="C",WORKDAY(Main[[#This Row],[Tech Start Date]],9),IF(Main[[#This Row],[Class]]="B", WORKDAY(Main[[#This Row],[Tech Start Date]],6),IF(Main[[#This Row],[Class]]="A",WORKDAY(Main[[#This Row],[Tech Start Date]],2),""))))</f>
        <v/>
      </c>
      <c r="N219" s="75" t="str">
        <f>IF(Main[[#This Row],[Tech Start Date]]&lt;1/1/1990,"",IF(Main[[#This Row],[Class]]="C",WORKDAY(Main[[#This Row],[Tech Start Date]],19),IF(Main[[#This Row],[Class]]="B", WORKDAY(Main[[#This Row],[Tech Start Date]],12),IF(Main[[#This Row],[Class]]="A",WORKDAY(Main[[#This Row],[Tech Start Date]],4),""))))</f>
        <v/>
      </c>
      <c r="O219" s="75" t="str">
        <f>IF(Main[[#This Row],[Tech Start Date]]&lt;1/1/1990,"",IF(Main[[#This Row],[Class]]="C",WORKDAY(Main[[#This Row],[Tech Start Date]],23),IF(Main[[#This Row],[Class]]="B", WORKDAY(Main[[#This Row],[Tech Start Date]],15),IF(Main[[#This Row],[Class]]="A",WORKDAY(Main[[#This Row],[Tech Start Date]],5),""))))</f>
        <v/>
      </c>
      <c r="P219" s="75" t="str">
        <f>IF(Main[[#This Row],[Tech Start Date]]&lt;1/1/1990,"",IF(Main[[#This Row],[Class]]="C",WORKDAY(Main[[#This Row],[Tech Start Date]],28),IF(Main[[#This Row],[Class]]="B", WORKDAY(Main[[#This Row],[Tech Start Date]],19),IF(Main[[#This Row],[Class]]="A",WORKDAY(Main[[#This Row],[Tech Start Date]],9),""))))</f>
        <v/>
      </c>
      <c r="Q219" s="89">
        <v>40504</v>
      </c>
      <c r="R219" s="121"/>
      <c r="S219" s="99" t="s">
        <v>11</v>
      </c>
      <c r="T219" s="76" t="s">
        <v>4</v>
      </c>
      <c r="U219" s="99" t="s">
        <v>12</v>
      </c>
      <c r="V219" s="99" t="s">
        <v>1914</v>
      </c>
      <c r="W219" s="99" t="s">
        <v>1915</v>
      </c>
      <c r="X219" s="99" t="s">
        <v>2817</v>
      </c>
      <c r="Y219" s="73" t="s">
        <v>4</v>
      </c>
      <c r="Z219" s="73" t="s">
        <v>4</v>
      </c>
      <c r="AA219" s="99" t="s">
        <v>2817</v>
      </c>
    </row>
    <row r="220" spans="1:27" ht="17.25" customHeight="1">
      <c r="A220" s="65" t="str">
        <f>IF(priority(Main[[#This Row],[Comments]])&lt;&gt;0, priority(Main[[#This Row],[Comments]]),"")</f>
        <v/>
      </c>
      <c r="B220" s="60" t="s">
        <v>1010</v>
      </c>
      <c r="C220" s="105" t="s">
        <v>4</v>
      </c>
      <c r="D220" s="74" t="s">
        <v>13</v>
      </c>
      <c r="E220" s="89"/>
      <c r="F220" s="89"/>
      <c r="G220" s="65" t="str">
        <f>IF(stdProdLT(Main[[#This Row],[Comments]])=0.1,"N/A",IF(stdProdLT(Main[[#This Row],[Comments]])=0,"",TRIM(stdProdLT(Main[[#This Row],[Comments]]))))</f>
        <v/>
      </c>
      <c r="H220" s="98" t="str">
        <f>IF(Main[[#This Row],[Std. Prod. Lead Time]]="N/A", "",IF(AND(Main[[#This Row],[In Stock Date]]&lt;&gt;"",Main[[#This Row],[Revised Due Date]]&lt;&gt;"",Main[[#This Row],[In Stock Date]]&lt;&gt;""),Main[[#This Row],[In Stock Date]]-Main[[#This Row],[Revised Due Date]],""))</f>
        <v/>
      </c>
      <c r="I220" s="110" t="s">
        <v>4</v>
      </c>
      <c r="J220" s="99" t="s">
        <v>4</v>
      </c>
      <c r="K220" s="100" t="s">
        <v>4</v>
      </c>
      <c r="L220" s="89"/>
      <c r="M220" s="75" t="str">
        <f>IF(Main[[#This Row],[Tech Start Date]]&lt;1/1/1990,"",IF(Main[[#This Row],[Class]]="C",WORKDAY(Main[[#This Row],[Tech Start Date]],9),IF(Main[[#This Row],[Class]]="B", WORKDAY(Main[[#This Row],[Tech Start Date]],6),IF(Main[[#This Row],[Class]]="A",WORKDAY(Main[[#This Row],[Tech Start Date]],2),""))))</f>
        <v/>
      </c>
      <c r="N220" s="75" t="str">
        <f>IF(Main[[#This Row],[Tech Start Date]]&lt;1/1/1990,"",IF(Main[[#This Row],[Class]]="C",WORKDAY(Main[[#This Row],[Tech Start Date]],19),IF(Main[[#This Row],[Class]]="B", WORKDAY(Main[[#This Row],[Tech Start Date]],12),IF(Main[[#This Row],[Class]]="A",WORKDAY(Main[[#This Row],[Tech Start Date]],4),""))))</f>
        <v/>
      </c>
      <c r="O220" s="75" t="str">
        <f>IF(Main[[#This Row],[Tech Start Date]]&lt;1/1/1990,"",IF(Main[[#This Row],[Class]]="C",WORKDAY(Main[[#This Row],[Tech Start Date]],23),IF(Main[[#This Row],[Class]]="B", WORKDAY(Main[[#This Row],[Tech Start Date]],15),IF(Main[[#This Row],[Class]]="A",WORKDAY(Main[[#This Row],[Tech Start Date]],5),""))))</f>
        <v/>
      </c>
      <c r="P220" s="75" t="str">
        <f>IF(Main[[#This Row],[Tech Start Date]]&lt;1/1/1990,"",IF(Main[[#This Row],[Class]]="C",WORKDAY(Main[[#This Row],[Tech Start Date]],28),IF(Main[[#This Row],[Class]]="B", WORKDAY(Main[[#This Row],[Tech Start Date]],19),IF(Main[[#This Row],[Class]]="A",WORKDAY(Main[[#This Row],[Tech Start Date]],9),""))))</f>
        <v/>
      </c>
      <c r="Q220" s="89"/>
      <c r="R220" s="121"/>
      <c r="S220" s="99" t="s">
        <v>6</v>
      </c>
      <c r="T220" s="76" t="s">
        <v>4</v>
      </c>
      <c r="U220" s="99" t="s">
        <v>14</v>
      </c>
      <c r="V220" s="99" t="s">
        <v>1916</v>
      </c>
      <c r="W220" s="99" t="s">
        <v>1917</v>
      </c>
      <c r="X220" s="99" t="s">
        <v>306</v>
      </c>
      <c r="Y220" s="73" t="s">
        <v>4</v>
      </c>
      <c r="Z220" s="73" t="s">
        <v>4</v>
      </c>
      <c r="AA220" s="99" t="s">
        <v>652</v>
      </c>
    </row>
    <row r="221" spans="1:27" ht="17.25" customHeight="1">
      <c r="A221" s="65" t="str">
        <f>IF(priority(Main[[#This Row],[Comments]])&lt;&gt;0, priority(Main[[#This Row],[Comments]]),"")</f>
        <v/>
      </c>
      <c r="B221" s="60" t="s">
        <v>1012</v>
      </c>
      <c r="C221" s="105" t="s">
        <v>4</v>
      </c>
      <c r="D221" s="74" t="s">
        <v>18</v>
      </c>
      <c r="E221" s="89"/>
      <c r="F221" s="89"/>
      <c r="G221" s="65" t="str">
        <f>IF(stdProdLT(Main[[#This Row],[Comments]])=0.1,"N/A",IF(stdProdLT(Main[[#This Row],[Comments]])=0,"",TRIM(stdProdLT(Main[[#This Row],[Comments]]))))</f>
        <v/>
      </c>
      <c r="H221" s="98" t="str">
        <f>IF(Main[[#This Row],[Std. Prod. Lead Time]]="N/A", "",IF(AND(Main[[#This Row],[In Stock Date]]&lt;&gt;"",Main[[#This Row],[Revised Due Date]]&lt;&gt;"",Main[[#This Row],[In Stock Date]]&lt;&gt;""),Main[[#This Row],[In Stock Date]]-Main[[#This Row],[Revised Due Date]],""))</f>
        <v/>
      </c>
      <c r="I221" s="110" t="s">
        <v>4</v>
      </c>
      <c r="J221" s="99" t="s">
        <v>4</v>
      </c>
      <c r="K221" s="99" t="s">
        <v>4</v>
      </c>
      <c r="L221" s="89"/>
      <c r="M221" s="75" t="str">
        <f>IF(Main[[#This Row],[Tech Start Date]]&lt;1/1/1990,"",IF(Main[[#This Row],[Class]]="C",WORKDAY(Main[[#This Row],[Tech Start Date]],9),IF(Main[[#This Row],[Class]]="B", WORKDAY(Main[[#This Row],[Tech Start Date]],6),IF(Main[[#This Row],[Class]]="A",WORKDAY(Main[[#This Row],[Tech Start Date]],2),""))))</f>
        <v/>
      </c>
      <c r="N221" s="75" t="str">
        <f>IF(Main[[#This Row],[Tech Start Date]]&lt;1/1/1990,"",IF(Main[[#This Row],[Class]]="C",WORKDAY(Main[[#This Row],[Tech Start Date]],19),IF(Main[[#This Row],[Class]]="B", WORKDAY(Main[[#This Row],[Tech Start Date]],12),IF(Main[[#This Row],[Class]]="A",WORKDAY(Main[[#This Row],[Tech Start Date]],4),""))))</f>
        <v/>
      </c>
      <c r="O221" s="75" t="str">
        <f>IF(Main[[#This Row],[Tech Start Date]]&lt;1/1/1990,"",IF(Main[[#This Row],[Class]]="C",WORKDAY(Main[[#This Row],[Tech Start Date]],23),IF(Main[[#This Row],[Class]]="B", WORKDAY(Main[[#This Row],[Tech Start Date]],15),IF(Main[[#This Row],[Class]]="A",WORKDAY(Main[[#This Row],[Tech Start Date]],5),""))))</f>
        <v/>
      </c>
      <c r="P221" s="75" t="str">
        <f>IF(Main[[#This Row],[Tech Start Date]]&lt;1/1/1990,"",IF(Main[[#This Row],[Class]]="C",WORKDAY(Main[[#This Row],[Tech Start Date]],28),IF(Main[[#This Row],[Class]]="B", WORKDAY(Main[[#This Row],[Tech Start Date]],19),IF(Main[[#This Row],[Class]]="A",WORKDAY(Main[[#This Row],[Tech Start Date]],9),""))))</f>
        <v/>
      </c>
      <c r="Q221" s="89">
        <v>40585</v>
      </c>
      <c r="R221" s="121"/>
      <c r="S221" s="99" t="s">
        <v>11</v>
      </c>
      <c r="T221" s="76" t="s">
        <v>4</v>
      </c>
      <c r="U221" s="99" t="s">
        <v>14</v>
      </c>
      <c r="V221" s="99" t="s">
        <v>1913</v>
      </c>
      <c r="W221" s="99" t="s">
        <v>1918</v>
      </c>
      <c r="X221" s="99" t="s">
        <v>2815</v>
      </c>
      <c r="Y221" s="73" t="s">
        <v>2930</v>
      </c>
      <c r="Z221" s="73" t="s">
        <v>4</v>
      </c>
      <c r="AA221" s="99" t="s">
        <v>2815</v>
      </c>
    </row>
    <row r="222" spans="1:27" ht="17.25" customHeight="1">
      <c r="A222" s="65" t="str">
        <f>IF(priority(Main[[#This Row],[Comments]])&lt;&gt;0, priority(Main[[#This Row],[Comments]]),"")</f>
        <v/>
      </c>
      <c r="B222" s="60" t="s">
        <v>1931</v>
      </c>
      <c r="C222" s="105" t="s">
        <v>19</v>
      </c>
      <c r="D222" s="74" t="s">
        <v>20</v>
      </c>
      <c r="E222" s="89"/>
      <c r="F222" s="89">
        <v>40548</v>
      </c>
      <c r="G222" s="65" t="str">
        <f>IF(stdProdLT(Main[[#This Row],[Comments]])=0.1,"N/A",IF(stdProdLT(Main[[#This Row],[Comments]])=0,"",TRIM(stdProdLT(Main[[#This Row],[Comments]]))))</f>
        <v/>
      </c>
      <c r="H222" s="98" t="str">
        <f>IF(Main[[#This Row],[Std. Prod. Lead Time]]="N/A", "",IF(AND(Main[[#This Row],[In Stock Date]]&lt;&gt;"",Main[[#This Row],[Revised Due Date]]&lt;&gt;"",Main[[#This Row],[In Stock Date]]&lt;&gt;""),Main[[#This Row],[In Stock Date]]-Main[[#This Row],[Revised Due Date]],""))</f>
        <v/>
      </c>
      <c r="I222" s="110" t="s">
        <v>4</v>
      </c>
      <c r="J222" s="99" t="s">
        <v>21</v>
      </c>
      <c r="K222" s="99" t="s">
        <v>4</v>
      </c>
      <c r="L222" s="89"/>
      <c r="M222" s="75" t="str">
        <f>IF(Main[[#This Row],[Tech Start Date]]&lt;1/1/1990,"",IF(Main[[#This Row],[Class]]="C",WORKDAY(Main[[#This Row],[Tech Start Date]],9),IF(Main[[#This Row],[Class]]="B", WORKDAY(Main[[#This Row],[Tech Start Date]],6),IF(Main[[#This Row],[Class]]="A",WORKDAY(Main[[#This Row],[Tech Start Date]],2),""))))</f>
        <v/>
      </c>
      <c r="N222" s="75" t="str">
        <f>IF(Main[[#This Row],[Tech Start Date]]&lt;1/1/1990,"",IF(Main[[#This Row],[Class]]="C",WORKDAY(Main[[#This Row],[Tech Start Date]],19),IF(Main[[#This Row],[Class]]="B", WORKDAY(Main[[#This Row],[Tech Start Date]],12),IF(Main[[#This Row],[Class]]="A",WORKDAY(Main[[#This Row],[Tech Start Date]],4),""))))</f>
        <v/>
      </c>
      <c r="O222" s="75" t="str">
        <f>IF(Main[[#This Row],[Tech Start Date]]&lt;1/1/1990,"",IF(Main[[#This Row],[Class]]="C",WORKDAY(Main[[#This Row],[Tech Start Date]],23),IF(Main[[#This Row],[Class]]="B", WORKDAY(Main[[#This Row],[Tech Start Date]],15),IF(Main[[#This Row],[Class]]="A",WORKDAY(Main[[#This Row],[Tech Start Date]],5),""))))</f>
        <v/>
      </c>
      <c r="P222" s="75" t="str">
        <f>IF(Main[[#This Row],[Tech Start Date]]&lt;1/1/1990,"",IF(Main[[#This Row],[Class]]="C",WORKDAY(Main[[#This Row],[Tech Start Date]],28),IF(Main[[#This Row],[Class]]="B", WORKDAY(Main[[#This Row],[Tech Start Date]],19),IF(Main[[#This Row],[Class]]="A",WORKDAY(Main[[#This Row],[Tech Start Date]],9),""))))</f>
        <v/>
      </c>
      <c r="Q222" s="89">
        <v>40441</v>
      </c>
      <c r="R222" s="121"/>
      <c r="S222" s="99" t="s">
        <v>11</v>
      </c>
      <c r="T222" s="76" t="s">
        <v>4</v>
      </c>
      <c r="U222" s="99" t="s">
        <v>12</v>
      </c>
      <c r="V222" s="99" t="s">
        <v>1916</v>
      </c>
      <c r="W222" s="99" t="s">
        <v>1919</v>
      </c>
      <c r="X222" s="99" t="s">
        <v>81</v>
      </c>
      <c r="Y222" s="73" t="s">
        <v>2933</v>
      </c>
      <c r="Z222" s="73" t="s">
        <v>431</v>
      </c>
      <c r="AA222" s="99" t="s">
        <v>2827</v>
      </c>
    </row>
    <row r="223" spans="1:27" ht="17.25" customHeight="1">
      <c r="A223" s="65" t="str">
        <f>IF(priority(Main[[#This Row],[Comments]])&lt;&gt;0, priority(Main[[#This Row],[Comments]]),"")</f>
        <v/>
      </c>
      <c r="B223" s="60" t="s">
        <v>1013</v>
      </c>
      <c r="C223" s="105" t="s">
        <v>4</v>
      </c>
      <c r="D223" s="59" t="s">
        <v>22</v>
      </c>
      <c r="E223" s="89"/>
      <c r="F223" s="89"/>
      <c r="G223" s="65" t="str">
        <f>IF(stdProdLT(Main[[#This Row],[Comments]])=0.1,"N/A",IF(stdProdLT(Main[[#This Row],[Comments]])=0,"",TRIM(stdProdLT(Main[[#This Row],[Comments]]))))</f>
        <v/>
      </c>
      <c r="H223" s="98" t="str">
        <f>IF(Main[[#This Row],[Std. Prod. Lead Time]]="N/A", "",IF(AND(Main[[#This Row],[In Stock Date]]&lt;&gt;"",Main[[#This Row],[Revised Due Date]]&lt;&gt;"",Main[[#This Row],[In Stock Date]]&lt;&gt;""),Main[[#This Row],[In Stock Date]]-Main[[#This Row],[Revised Due Date]],""))</f>
        <v/>
      </c>
      <c r="I223" s="110" t="s">
        <v>4</v>
      </c>
      <c r="J223" s="99" t="s">
        <v>4</v>
      </c>
      <c r="K223" s="100" t="s">
        <v>4</v>
      </c>
      <c r="L223" s="89"/>
      <c r="M223" s="75" t="str">
        <f>IF(Main[[#This Row],[Tech Start Date]]&lt;1/1/1990,"",IF(Main[[#This Row],[Class]]="C",WORKDAY(Main[[#This Row],[Tech Start Date]],9),IF(Main[[#This Row],[Class]]="B", WORKDAY(Main[[#This Row],[Tech Start Date]],6),IF(Main[[#This Row],[Class]]="A",WORKDAY(Main[[#This Row],[Tech Start Date]],2),""))))</f>
        <v/>
      </c>
      <c r="N223" s="75" t="str">
        <f>IF(Main[[#This Row],[Tech Start Date]]&lt;1/1/1990,"",IF(Main[[#This Row],[Class]]="C",WORKDAY(Main[[#This Row],[Tech Start Date]],19),IF(Main[[#This Row],[Class]]="B", WORKDAY(Main[[#This Row],[Tech Start Date]],12),IF(Main[[#This Row],[Class]]="A",WORKDAY(Main[[#This Row],[Tech Start Date]],4),""))))</f>
        <v/>
      </c>
      <c r="O223" s="75" t="str">
        <f>IF(Main[[#This Row],[Tech Start Date]]&lt;1/1/1990,"",IF(Main[[#This Row],[Class]]="C",WORKDAY(Main[[#This Row],[Tech Start Date]],23),IF(Main[[#This Row],[Class]]="B", WORKDAY(Main[[#This Row],[Tech Start Date]],15),IF(Main[[#This Row],[Class]]="A",WORKDAY(Main[[#This Row],[Tech Start Date]],5),""))))</f>
        <v/>
      </c>
      <c r="P223" s="75" t="str">
        <f>IF(Main[[#This Row],[Tech Start Date]]&lt;1/1/1990,"",IF(Main[[#This Row],[Class]]="C",WORKDAY(Main[[#This Row],[Tech Start Date]],28),IF(Main[[#This Row],[Class]]="B", WORKDAY(Main[[#This Row],[Tech Start Date]],19),IF(Main[[#This Row],[Class]]="A",WORKDAY(Main[[#This Row],[Tech Start Date]],9),""))))</f>
        <v/>
      </c>
      <c r="Q223" s="89"/>
      <c r="R223" s="121"/>
      <c r="S223" s="99" t="s">
        <v>23</v>
      </c>
      <c r="T223" s="76" t="s">
        <v>4</v>
      </c>
      <c r="U223" s="99" t="s">
        <v>14</v>
      </c>
      <c r="V223" s="99" t="s">
        <v>1913</v>
      </c>
      <c r="W223" s="99" t="s">
        <v>1915</v>
      </c>
      <c r="X223" s="99" t="s">
        <v>306</v>
      </c>
      <c r="Y223" s="73" t="s">
        <v>4</v>
      </c>
      <c r="Z223" s="73" t="s">
        <v>4</v>
      </c>
      <c r="AA223" s="99" t="s">
        <v>3365</v>
      </c>
    </row>
    <row r="224" spans="1:27" ht="17.25" customHeight="1">
      <c r="A224" s="65" t="str">
        <f>IF(priority(Main[[#This Row],[Comments]])&lt;&gt;0, priority(Main[[#This Row],[Comments]]),"")</f>
        <v/>
      </c>
      <c r="B224" s="60" t="s">
        <v>1050</v>
      </c>
      <c r="C224" s="105" t="s">
        <v>86</v>
      </c>
      <c r="D224" s="74" t="s">
        <v>87</v>
      </c>
      <c r="E224" s="89"/>
      <c r="F224" s="89">
        <v>40555</v>
      </c>
      <c r="G224" s="65" t="str">
        <f>IF(stdProdLT(Main[[#This Row],[Comments]])=0.1,"N/A",IF(stdProdLT(Main[[#This Row],[Comments]])=0,"",TRIM(stdProdLT(Main[[#This Row],[Comments]]))))</f>
        <v/>
      </c>
      <c r="H224" s="98" t="str">
        <f>IF(Main[[#This Row],[Std. Prod. Lead Time]]="N/A", "",IF(AND(Main[[#This Row],[In Stock Date]]&lt;&gt;"",Main[[#This Row],[Revised Due Date]]&lt;&gt;"",Main[[#This Row],[In Stock Date]]&lt;&gt;""),Main[[#This Row],[In Stock Date]]-Main[[#This Row],[Revised Due Date]],""))</f>
        <v/>
      </c>
      <c r="I224" s="110" t="s">
        <v>4</v>
      </c>
      <c r="J224" s="99" t="s">
        <v>75</v>
      </c>
      <c r="K224" s="99" t="s">
        <v>4</v>
      </c>
      <c r="L224" s="89"/>
      <c r="M224" s="75" t="str">
        <f>IF(Main[[#This Row],[Tech Start Date]]&lt;1/1/1990,"",IF(Main[[#This Row],[Class]]="C",WORKDAY(Main[[#This Row],[Tech Start Date]],9),IF(Main[[#This Row],[Class]]="B", WORKDAY(Main[[#This Row],[Tech Start Date]],6),IF(Main[[#This Row],[Class]]="A",WORKDAY(Main[[#This Row],[Tech Start Date]],2),""))))</f>
        <v/>
      </c>
      <c r="N224" s="75" t="str">
        <f>IF(Main[[#This Row],[Tech Start Date]]&lt;1/1/1990,"",IF(Main[[#This Row],[Class]]="C",WORKDAY(Main[[#This Row],[Tech Start Date]],19),IF(Main[[#This Row],[Class]]="B", WORKDAY(Main[[#This Row],[Tech Start Date]],12),IF(Main[[#This Row],[Class]]="A",WORKDAY(Main[[#This Row],[Tech Start Date]],4),""))))</f>
        <v/>
      </c>
      <c r="O224" s="75" t="str">
        <f>IF(Main[[#This Row],[Tech Start Date]]&lt;1/1/1990,"",IF(Main[[#This Row],[Class]]="C",WORKDAY(Main[[#This Row],[Tech Start Date]],23),IF(Main[[#This Row],[Class]]="B", WORKDAY(Main[[#This Row],[Tech Start Date]],15),IF(Main[[#This Row],[Class]]="A",WORKDAY(Main[[#This Row],[Tech Start Date]],5),""))))</f>
        <v/>
      </c>
      <c r="P224" s="75" t="str">
        <f>IF(Main[[#This Row],[Tech Start Date]]&lt;1/1/1990,"",IF(Main[[#This Row],[Class]]="C",WORKDAY(Main[[#This Row],[Tech Start Date]],28),IF(Main[[#This Row],[Class]]="B", WORKDAY(Main[[#This Row],[Tech Start Date]],19),IF(Main[[#This Row],[Class]]="A",WORKDAY(Main[[#This Row],[Tech Start Date]],9),""))))</f>
        <v/>
      </c>
      <c r="Q224" s="89">
        <v>40446</v>
      </c>
      <c r="R224" s="121"/>
      <c r="S224" s="99" t="s">
        <v>49</v>
      </c>
      <c r="T224" s="76" t="s">
        <v>4</v>
      </c>
      <c r="U224" s="99" t="s">
        <v>14</v>
      </c>
      <c r="V224" s="99" t="s">
        <v>1916</v>
      </c>
      <c r="W224" s="99" t="s">
        <v>1915</v>
      </c>
      <c r="X224" s="99" t="s">
        <v>306</v>
      </c>
      <c r="Y224" s="73" t="s">
        <v>2970</v>
      </c>
      <c r="Z224" s="73" t="s">
        <v>306</v>
      </c>
      <c r="AA224" s="99" t="s">
        <v>306</v>
      </c>
    </row>
    <row r="225" spans="1:27" ht="17.25" customHeight="1">
      <c r="A225" s="65" t="str">
        <f>IF(priority(Main[[#This Row],[Comments]])&lt;&gt;0, priority(Main[[#This Row],[Comments]]),"")</f>
        <v/>
      </c>
      <c r="B225" s="60" t="s">
        <v>2537</v>
      </c>
      <c r="C225" s="105" t="s">
        <v>2350</v>
      </c>
      <c r="D225" s="59" t="s">
        <v>2538</v>
      </c>
      <c r="E225" s="89"/>
      <c r="F225" s="89">
        <v>41008</v>
      </c>
      <c r="G225" s="65" t="str">
        <f>IF(stdProdLT(Main[[#This Row],[Comments]])=0.1,"N/A",IF(stdProdLT(Main[[#This Row],[Comments]])=0,"",TRIM(stdProdLT(Main[[#This Row],[Comments]]))))</f>
        <v/>
      </c>
      <c r="H225" s="98" t="str">
        <f>IF(Main[[#This Row],[Std. Prod. Lead Time]]="N/A", "",IF(AND(Main[[#This Row],[In Stock Date]]&lt;&gt;"",Main[[#This Row],[Revised Due Date]]&lt;&gt;"",Main[[#This Row],[In Stock Date]]&lt;&gt;""),Main[[#This Row],[In Stock Date]]-Main[[#This Row],[Revised Due Date]],""))</f>
        <v/>
      </c>
      <c r="I225" s="110" t="s">
        <v>4</v>
      </c>
      <c r="J225" s="99" t="s">
        <v>4</v>
      </c>
      <c r="K225" s="99" t="s">
        <v>4</v>
      </c>
      <c r="L225" s="89"/>
      <c r="M225" s="75" t="str">
        <f>IF(Main[[#This Row],[Tech Start Date]]&lt;1/1/1990,"",IF(Main[[#This Row],[Class]]="C",WORKDAY(Main[[#This Row],[Tech Start Date]],9),IF(Main[[#This Row],[Class]]="B", WORKDAY(Main[[#This Row],[Tech Start Date]],6),IF(Main[[#This Row],[Class]]="A",WORKDAY(Main[[#This Row],[Tech Start Date]],2),""))))</f>
        <v/>
      </c>
      <c r="N225" s="75" t="str">
        <f>IF(Main[[#This Row],[Tech Start Date]]&lt;1/1/1990,"",IF(Main[[#This Row],[Class]]="C",WORKDAY(Main[[#This Row],[Tech Start Date]],19),IF(Main[[#This Row],[Class]]="B", WORKDAY(Main[[#This Row],[Tech Start Date]],12),IF(Main[[#This Row],[Class]]="A",WORKDAY(Main[[#This Row],[Tech Start Date]],4),""))))</f>
        <v/>
      </c>
      <c r="O225" s="75" t="str">
        <f>IF(Main[[#This Row],[Tech Start Date]]&lt;1/1/1990,"",IF(Main[[#This Row],[Class]]="C",WORKDAY(Main[[#This Row],[Tech Start Date]],23),IF(Main[[#This Row],[Class]]="B", WORKDAY(Main[[#This Row],[Tech Start Date]],15),IF(Main[[#This Row],[Class]]="A",WORKDAY(Main[[#This Row],[Tech Start Date]],5),""))))</f>
        <v/>
      </c>
      <c r="P225" s="75" t="str">
        <f>IF(Main[[#This Row],[Tech Start Date]]&lt;1/1/1990,"",IF(Main[[#This Row],[Class]]="C",WORKDAY(Main[[#This Row],[Tech Start Date]],28),IF(Main[[#This Row],[Class]]="B", WORKDAY(Main[[#This Row],[Tech Start Date]],19),IF(Main[[#This Row],[Class]]="A",WORKDAY(Main[[#This Row],[Tech Start Date]],9),""))))</f>
        <v/>
      </c>
      <c r="Q225" s="89">
        <v>40826</v>
      </c>
      <c r="R225" s="121"/>
      <c r="S225" s="99" t="s">
        <v>11</v>
      </c>
      <c r="T225" s="76" t="s">
        <v>4</v>
      </c>
      <c r="U225" s="99" t="s">
        <v>12</v>
      </c>
      <c r="V225" s="99" t="s">
        <v>1916</v>
      </c>
      <c r="W225" s="99" t="s">
        <v>1919</v>
      </c>
      <c r="X225" s="99" t="s">
        <v>2837</v>
      </c>
      <c r="Y225" s="73" t="s">
        <v>4</v>
      </c>
      <c r="Z225" s="73" t="s">
        <v>4</v>
      </c>
      <c r="AA225" s="99" t="s">
        <v>2837</v>
      </c>
    </row>
    <row r="226" spans="1:27" ht="17.25" customHeight="1">
      <c r="A226" s="65" t="str">
        <f>IF(priority(Main[[#This Row],[Comments]])&lt;&gt;0, priority(Main[[#This Row],[Comments]]),"")</f>
        <v/>
      </c>
      <c r="B226" s="60" t="s">
        <v>1051</v>
      </c>
      <c r="C226" s="105" t="s">
        <v>88</v>
      </c>
      <c r="D226" s="74" t="s">
        <v>89</v>
      </c>
      <c r="E226" s="89"/>
      <c r="F226" s="89">
        <v>40709</v>
      </c>
      <c r="G226" s="65" t="str">
        <f>IF(stdProdLT(Main[[#This Row],[Comments]])=0.1,"N/A",IF(stdProdLT(Main[[#This Row],[Comments]])=0,"",TRIM(stdProdLT(Main[[#This Row],[Comments]]))))</f>
        <v/>
      </c>
      <c r="H226" s="98" t="str">
        <f>IF(Main[[#This Row],[Std. Prod. Lead Time]]="N/A", "",IF(AND(Main[[#This Row],[In Stock Date]]&lt;&gt;"",Main[[#This Row],[Revised Due Date]]&lt;&gt;"",Main[[#This Row],[In Stock Date]]&lt;&gt;""),Main[[#This Row],[In Stock Date]]-Main[[#This Row],[Revised Due Date]],""))</f>
        <v/>
      </c>
      <c r="I226" s="110" t="s">
        <v>4</v>
      </c>
      <c r="J226" s="99" t="s">
        <v>28</v>
      </c>
      <c r="K226" s="100" t="s">
        <v>1926</v>
      </c>
      <c r="L226" s="89"/>
      <c r="M226" s="75" t="str">
        <f>IF(Main[[#This Row],[Tech Start Date]]&lt;1/1/1990,"",IF(Main[[#This Row],[Class]]="C",WORKDAY(Main[[#This Row],[Tech Start Date]],9),IF(Main[[#This Row],[Class]]="B", WORKDAY(Main[[#This Row],[Tech Start Date]],6),IF(Main[[#This Row],[Class]]="A",WORKDAY(Main[[#This Row],[Tech Start Date]],2),""))))</f>
        <v/>
      </c>
      <c r="N226" s="75" t="str">
        <f>IF(Main[[#This Row],[Tech Start Date]]&lt;1/1/1990,"",IF(Main[[#This Row],[Class]]="C",WORKDAY(Main[[#This Row],[Tech Start Date]],19),IF(Main[[#This Row],[Class]]="B", WORKDAY(Main[[#This Row],[Tech Start Date]],12),IF(Main[[#This Row],[Class]]="A",WORKDAY(Main[[#This Row],[Tech Start Date]],4),""))))</f>
        <v/>
      </c>
      <c r="O226" s="75" t="str">
        <f>IF(Main[[#This Row],[Tech Start Date]]&lt;1/1/1990,"",IF(Main[[#This Row],[Class]]="C",WORKDAY(Main[[#This Row],[Tech Start Date]],23),IF(Main[[#This Row],[Class]]="B", WORKDAY(Main[[#This Row],[Tech Start Date]],15),IF(Main[[#This Row],[Class]]="A",WORKDAY(Main[[#This Row],[Tech Start Date]],5),""))))</f>
        <v/>
      </c>
      <c r="P226" s="75" t="str">
        <f>IF(Main[[#This Row],[Tech Start Date]]&lt;1/1/1990,"",IF(Main[[#This Row],[Class]]="C",WORKDAY(Main[[#This Row],[Tech Start Date]],28),IF(Main[[#This Row],[Class]]="B", WORKDAY(Main[[#This Row],[Tech Start Date]],19),IF(Main[[#This Row],[Class]]="A",WORKDAY(Main[[#This Row],[Tech Start Date]],9),""))))</f>
        <v/>
      </c>
      <c r="Q226" s="89">
        <v>40612</v>
      </c>
      <c r="R226" s="121"/>
      <c r="S226" s="99" t="s">
        <v>11</v>
      </c>
      <c r="T226" s="76" t="s">
        <v>4</v>
      </c>
      <c r="U226" s="99" t="s">
        <v>14</v>
      </c>
      <c r="V226" s="99" t="s">
        <v>1913</v>
      </c>
      <c r="W226" s="99" t="s">
        <v>1918</v>
      </c>
      <c r="X226" s="99" t="s">
        <v>2838</v>
      </c>
      <c r="Y226" s="73" t="s">
        <v>2971</v>
      </c>
      <c r="Z226" s="73" t="s">
        <v>129</v>
      </c>
      <c r="AA226" s="99" t="s">
        <v>2838</v>
      </c>
    </row>
    <row r="227" spans="1:27" ht="17.25" customHeight="1">
      <c r="A227" s="65" t="str">
        <f>IF(priority(Main[[#This Row],[Comments]])&lt;&gt;0, priority(Main[[#This Row],[Comments]]),"")</f>
        <v/>
      </c>
      <c r="B227" s="60" t="s">
        <v>1052</v>
      </c>
      <c r="C227" s="105" t="s">
        <v>4</v>
      </c>
      <c r="D227" s="74" t="s">
        <v>90</v>
      </c>
      <c r="E227" s="89"/>
      <c r="F227" s="89"/>
      <c r="G227" s="65" t="str">
        <f>IF(stdProdLT(Main[[#This Row],[Comments]])=0.1,"N/A",IF(stdProdLT(Main[[#This Row],[Comments]])=0,"",TRIM(stdProdLT(Main[[#This Row],[Comments]]))))</f>
        <v/>
      </c>
      <c r="H227" s="98" t="str">
        <f>IF(Main[[#This Row],[Std. Prod. Lead Time]]="N/A", "",IF(AND(Main[[#This Row],[In Stock Date]]&lt;&gt;"",Main[[#This Row],[Revised Due Date]]&lt;&gt;"",Main[[#This Row],[In Stock Date]]&lt;&gt;""),Main[[#This Row],[In Stock Date]]-Main[[#This Row],[Revised Due Date]],""))</f>
        <v/>
      </c>
      <c r="I227" s="110" t="s">
        <v>4</v>
      </c>
      <c r="J227" s="99" t="s">
        <v>4</v>
      </c>
      <c r="K227" s="99" t="s">
        <v>4</v>
      </c>
      <c r="L227" s="89"/>
      <c r="M227" s="75" t="str">
        <f>IF(Main[[#This Row],[Tech Start Date]]&lt;1/1/1990,"",IF(Main[[#This Row],[Class]]="C",WORKDAY(Main[[#This Row],[Tech Start Date]],9),IF(Main[[#This Row],[Class]]="B", WORKDAY(Main[[#This Row],[Tech Start Date]],6),IF(Main[[#This Row],[Class]]="A",WORKDAY(Main[[#This Row],[Tech Start Date]],2),""))))</f>
        <v/>
      </c>
      <c r="N227" s="75" t="str">
        <f>IF(Main[[#This Row],[Tech Start Date]]&lt;1/1/1990,"",IF(Main[[#This Row],[Class]]="C",WORKDAY(Main[[#This Row],[Tech Start Date]],19),IF(Main[[#This Row],[Class]]="B", WORKDAY(Main[[#This Row],[Tech Start Date]],12),IF(Main[[#This Row],[Class]]="A",WORKDAY(Main[[#This Row],[Tech Start Date]],4),""))))</f>
        <v/>
      </c>
      <c r="O227" s="75" t="str">
        <f>IF(Main[[#This Row],[Tech Start Date]]&lt;1/1/1990,"",IF(Main[[#This Row],[Class]]="C",WORKDAY(Main[[#This Row],[Tech Start Date]],23),IF(Main[[#This Row],[Class]]="B", WORKDAY(Main[[#This Row],[Tech Start Date]],15),IF(Main[[#This Row],[Class]]="A",WORKDAY(Main[[#This Row],[Tech Start Date]],5),""))))</f>
        <v/>
      </c>
      <c r="P227" s="75" t="str">
        <f>IF(Main[[#This Row],[Tech Start Date]]&lt;1/1/1990,"",IF(Main[[#This Row],[Class]]="C",WORKDAY(Main[[#This Row],[Tech Start Date]],28),IF(Main[[#This Row],[Class]]="B", WORKDAY(Main[[#This Row],[Tech Start Date]],19),IF(Main[[#This Row],[Class]]="A",WORKDAY(Main[[#This Row],[Tech Start Date]],9),""))))</f>
        <v/>
      </c>
      <c r="Q227" s="89"/>
      <c r="R227" s="121"/>
      <c r="S227" s="99" t="s">
        <v>23</v>
      </c>
      <c r="T227" s="76" t="s">
        <v>4</v>
      </c>
      <c r="U227" s="99" t="s">
        <v>14</v>
      </c>
      <c r="V227" s="99" t="s">
        <v>1913</v>
      </c>
      <c r="W227" s="99" t="s">
        <v>1917</v>
      </c>
      <c r="X227" s="99" t="s">
        <v>399</v>
      </c>
      <c r="Y227" s="73" t="s">
        <v>2952</v>
      </c>
      <c r="Z227" s="73" t="s">
        <v>4</v>
      </c>
      <c r="AA227" s="99" t="s">
        <v>3370</v>
      </c>
    </row>
    <row r="228" spans="1:27" ht="17.25" customHeight="1">
      <c r="A228" s="65" t="str">
        <f>IF(priority(Main[[#This Row],[Comments]])&lt;&gt;0, priority(Main[[#This Row],[Comments]]),"")</f>
        <v/>
      </c>
      <c r="B228" s="60" t="s">
        <v>1054</v>
      </c>
      <c r="C228" s="105" t="s">
        <v>93</v>
      </c>
      <c r="D228" s="74" t="s">
        <v>94</v>
      </c>
      <c r="E228" s="89"/>
      <c r="F228" s="89">
        <v>40299</v>
      </c>
      <c r="G228" s="65" t="str">
        <f>IF(stdProdLT(Main[[#This Row],[Comments]])=0.1,"N/A",IF(stdProdLT(Main[[#This Row],[Comments]])=0,"",TRIM(stdProdLT(Main[[#This Row],[Comments]]))))</f>
        <v/>
      </c>
      <c r="H228" s="98" t="str">
        <f>IF(Main[[#This Row],[Std. Prod. Lead Time]]="N/A", "",IF(AND(Main[[#This Row],[In Stock Date]]&lt;&gt;"",Main[[#This Row],[Revised Due Date]]&lt;&gt;"",Main[[#This Row],[In Stock Date]]&lt;&gt;""),Main[[#This Row],[In Stock Date]]-Main[[#This Row],[Revised Due Date]],""))</f>
        <v/>
      </c>
      <c r="I228" s="110" t="s">
        <v>4</v>
      </c>
      <c r="J228" s="99" t="s">
        <v>4</v>
      </c>
      <c r="K228" s="99" t="s">
        <v>4</v>
      </c>
      <c r="L228" s="89"/>
      <c r="M228" s="75" t="str">
        <f>IF(Main[[#This Row],[Tech Start Date]]&lt;1/1/1990,"",IF(Main[[#This Row],[Class]]="C",WORKDAY(Main[[#This Row],[Tech Start Date]],9),IF(Main[[#This Row],[Class]]="B", WORKDAY(Main[[#This Row],[Tech Start Date]],6),IF(Main[[#This Row],[Class]]="A",WORKDAY(Main[[#This Row],[Tech Start Date]],2),""))))</f>
        <v/>
      </c>
      <c r="N228" s="75" t="str">
        <f>IF(Main[[#This Row],[Tech Start Date]]&lt;1/1/1990,"",IF(Main[[#This Row],[Class]]="C",WORKDAY(Main[[#This Row],[Tech Start Date]],19),IF(Main[[#This Row],[Class]]="B", WORKDAY(Main[[#This Row],[Tech Start Date]],12),IF(Main[[#This Row],[Class]]="A",WORKDAY(Main[[#This Row],[Tech Start Date]],4),""))))</f>
        <v/>
      </c>
      <c r="O228" s="75" t="str">
        <f>IF(Main[[#This Row],[Tech Start Date]]&lt;1/1/1990,"",IF(Main[[#This Row],[Class]]="C",WORKDAY(Main[[#This Row],[Tech Start Date]],23),IF(Main[[#This Row],[Class]]="B", WORKDAY(Main[[#This Row],[Tech Start Date]],15),IF(Main[[#This Row],[Class]]="A",WORKDAY(Main[[#This Row],[Tech Start Date]],5),""))))</f>
        <v/>
      </c>
      <c r="P228" s="75" t="str">
        <f>IF(Main[[#This Row],[Tech Start Date]]&lt;1/1/1990,"",IF(Main[[#This Row],[Class]]="C",WORKDAY(Main[[#This Row],[Tech Start Date]],28),IF(Main[[#This Row],[Class]]="B", WORKDAY(Main[[#This Row],[Tech Start Date]],19),IF(Main[[#This Row],[Class]]="A",WORKDAY(Main[[#This Row],[Tech Start Date]],9),""))))</f>
        <v/>
      </c>
      <c r="Q228" s="89">
        <v>40209</v>
      </c>
      <c r="R228" s="121"/>
      <c r="S228" s="99" t="s">
        <v>11</v>
      </c>
      <c r="T228" s="76" t="s">
        <v>4</v>
      </c>
      <c r="U228" s="99" t="s">
        <v>14</v>
      </c>
      <c r="V228" s="99" t="s">
        <v>1913</v>
      </c>
      <c r="W228" s="99" t="s">
        <v>1924</v>
      </c>
      <c r="X228" s="99" t="s">
        <v>2839</v>
      </c>
      <c r="Y228" s="73" t="s">
        <v>4</v>
      </c>
      <c r="Z228" s="73" t="s">
        <v>4</v>
      </c>
      <c r="AA228" s="99" t="s">
        <v>2839</v>
      </c>
    </row>
    <row r="229" spans="1:27" ht="17.25" customHeight="1">
      <c r="A229" s="65" t="str">
        <f>IF(priority(Main[[#This Row],[Comments]])&lt;&gt;0, priority(Main[[#This Row],[Comments]]),"")</f>
        <v/>
      </c>
      <c r="B229" s="60" t="s">
        <v>1548</v>
      </c>
      <c r="C229" s="105" t="s">
        <v>4</v>
      </c>
      <c r="D229" s="74" t="s">
        <v>2683</v>
      </c>
      <c r="E229" s="89">
        <v>40718.447500000002</v>
      </c>
      <c r="F229" s="89"/>
      <c r="G229" s="65" t="str">
        <f>IF(stdProdLT(Main[[#This Row],[Comments]])=0.1,"N/A",IF(stdProdLT(Main[[#This Row],[Comments]])=0,"",TRIM(stdProdLT(Main[[#This Row],[Comments]]))))</f>
        <v/>
      </c>
      <c r="H229" s="98" t="str">
        <f>IF(Main[[#This Row],[Std. Prod. Lead Time]]="N/A", "",IF(AND(Main[[#This Row],[In Stock Date]]&lt;&gt;"",Main[[#This Row],[Revised Due Date]]&lt;&gt;"",Main[[#This Row],[In Stock Date]]&lt;&gt;""),Main[[#This Row],[In Stock Date]]-Main[[#This Row],[Revised Due Date]],""))</f>
        <v/>
      </c>
      <c r="I229" s="110" t="s">
        <v>530</v>
      </c>
      <c r="J229" s="99" t="s">
        <v>52</v>
      </c>
      <c r="K229" s="99" t="s">
        <v>1922</v>
      </c>
      <c r="L229" s="89"/>
      <c r="M229" s="75" t="str">
        <f>IF(Main[[#This Row],[Tech Start Date]]&lt;1/1/1990,"",IF(Main[[#This Row],[Class]]="C",WORKDAY(Main[[#This Row],[Tech Start Date]],9),IF(Main[[#This Row],[Class]]="B", WORKDAY(Main[[#This Row],[Tech Start Date]],6),IF(Main[[#This Row],[Class]]="A",WORKDAY(Main[[#This Row],[Tech Start Date]],2),""))))</f>
        <v/>
      </c>
      <c r="N229" s="75" t="str">
        <f>IF(Main[[#This Row],[Tech Start Date]]&lt;1/1/1990,"",IF(Main[[#This Row],[Class]]="C",WORKDAY(Main[[#This Row],[Tech Start Date]],19),IF(Main[[#This Row],[Class]]="B", WORKDAY(Main[[#This Row],[Tech Start Date]],12),IF(Main[[#This Row],[Class]]="A",WORKDAY(Main[[#This Row],[Tech Start Date]],4),""))))</f>
        <v/>
      </c>
      <c r="O229" s="75" t="str">
        <f>IF(Main[[#This Row],[Tech Start Date]]&lt;1/1/1990,"",IF(Main[[#This Row],[Class]]="C",WORKDAY(Main[[#This Row],[Tech Start Date]],23),IF(Main[[#This Row],[Class]]="B", WORKDAY(Main[[#This Row],[Tech Start Date]],15),IF(Main[[#This Row],[Class]]="A",WORKDAY(Main[[#This Row],[Tech Start Date]],5),""))))</f>
        <v/>
      </c>
      <c r="P229" s="75" t="str">
        <f>IF(Main[[#This Row],[Tech Start Date]]&lt;1/1/1990,"",IF(Main[[#This Row],[Class]]="C",WORKDAY(Main[[#This Row],[Tech Start Date]],28),IF(Main[[#This Row],[Class]]="B", WORKDAY(Main[[#This Row],[Tech Start Date]],19),IF(Main[[#This Row],[Class]]="A",WORKDAY(Main[[#This Row],[Tech Start Date]],9),""))))</f>
        <v/>
      </c>
      <c r="Q229" s="89">
        <v>40786</v>
      </c>
      <c r="R229" s="121"/>
      <c r="S229" s="99" t="s">
        <v>6</v>
      </c>
      <c r="T229" s="76" t="s">
        <v>4</v>
      </c>
      <c r="U229" s="99" t="s">
        <v>29</v>
      </c>
      <c r="V229" s="99" t="s">
        <v>1916</v>
      </c>
      <c r="W229" s="99" t="s">
        <v>1917</v>
      </c>
      <c r="X229" s="99" t="s">
        <v>306</v>
      </c>
      <c r="Y229" s="73" t="s">
        <v>2935</v>
      </c>
      <c r="Z229" s="73" t="s">
        <v>30</v>
      </c>
      <c r="AA229" s="99" t="s">
        <v>306</v>
      </c>
    </row>
    <row r="230" spans="1:27" ht="17.25" customHeight="1">
      <c r="A230" s="65" t="str">
        <f>IF(priority(Main[[#This Row],[Comments]])&lt;&gt;0, priority(Main[[#This Row],[Comments]]),"")</f>
        <v/>
      </c>
      <c r="B230" s="60" t="s">
        <v>1056</v>
      </c>
      <c r="C230" s="105" t="s">
        <v>4</v>
      </c>
      <c r="D230" s="74" t="s">
        <v>39</v>
      </c>
      <c r="E230" s="89"/>
      <c r="F230" s="89"/>
      <c r="G230" s="65" t="str">
        <f>IF(stdProdLT(Main[[#This Row],[Comments]])=0.1,"N/A",IF(stdProdLT(Main[[#This Row],[Comments]])=0,"",TRIM(stdProdLT(Main[[#This Row],[Comments]]))))</f>
        <v/>
      </c>
      <c r="H230" s="98" t="str">
        <f>IF(Main[[#This Row],[Std. Prod. Lead Time]]="N/A", "",IF(AND(Main[[#This Row],[In Stock Date]]&lt;&gt;"",Main[[#This Row],[Revised Due Date]]&lt;&gt;"",Main[[#This Row],[In Stock Date]]&lt;&gt;""),Main[[#This Row],[In Stock Date]]-Main[[#This Row],[Revised Due Date]],""))</f>
        <v/>
      </c>
      <c r="I230" s="110" t="s">
        <v>4</v>
      </c>
      <c r="J230" s="99" t="s">
        <v>4</v>
      </c>
      <c r="K230" s="99" t="s">
        <v>4</v>
      </c>
      <c r="L230" s="89"/>
      <c r="M230" s="75" t="str">
        <f>IF(Main[[#This Row],[Tech Start Date]]&lt;1/1/1990,"",IF(Main[[#This Row],[Class]]="C",WORKDAY(Main[[#This Row],[Tech Start Date]],9),IF(Main[[#This Row],[Class]]="B", WORKDAY(Main[[#This Row],[Tech Start Date]],6),IF(Main[[#This Row],[Class]]="A",WORKDAY(Main[[#This Row],[Tech Start Date]],2),""))))</f>
        <v/>
      </c>
      <c r="N230" s="75" t="str">
        <f>IF(Main[[#This Row],[Tech Start Date]]&lt;1/1/1990,"",IF(Main[[#This Row],[Class]]="C",WORKDAY(Main[[#This Row],[Tech Start Date]],19),IF(Main[[#This Row],[Class]]="B", WORKDAY(Main[[#This Row],[Tech Start Date]],12),IF(Main[[#This Row],[Class]]="A",WORKDAY(Main[[#This Row],[Tech Start Date]],4),""))))</f>
        <v/>
      </c>
      <c r="O230" s="75" t="str">
        <f>IF(Main[[#This Row],[Tech Start Date]]&lt;1/1/1990,"",IF(Main[[#This Row],[Class]]="C",WORKDAY(Main[[#This Row],[Tech Start Date]],23),IF(Main[[#This Row],[Class]]="B", WORKDAY(Main[[#This Row],[Tech Start Date]],15),IF(Main[[#This Row],[Class]]="A",WORKDAY(Main[[#This Row],[Tech Start Date]],5),""))))</f>
        <v/>
      </c>
      <c r="P230" s="75" t="str">
        <f>IF(Main[[#This Row],[Tech Start Date]]&lt;1/1/1990,"",IF(Main[[#This Row],[Class]]="C",WORKDAY(Main[[#This Row],[Tech Start Date]],28),IF(Main[[#This Row],[Class]]="B", WORKDAY(Main[[#This Row],[Tech Start Date]],19),IF(Main[[#This Row],[Class]]="A",WORKDAY(Main[[#This Row],[Tech Start Date]],9),""))))</f>
        <v/>
      </c>
      <c r="Q230" s="89">
        <v>40669</v>
      </c>
      <c r="R230" s="121"/>
      <c r="S230" s="99" t="s">
        <v>6</v>
      </c>
      <c r="T230" s="76" t="s">
        <v>4</v>
      </c>
      <c r="U230" s="99" t="s">
        <v>14</v>
      </c>
      <c r="V230" s="99" t="s">
        <v>1916</v>
      </c>
      <c r="W230" s="99" t="s">
        <v>4</v>
      </c>
      <c r="X230" s="99" t="s">
        <v>2812</v>
      </c>
      <c r="Y230" s="73" t="s">
        <v>2923</v>
      </c>
      <c r="Z230" s="73" t="s">
        <v>4</v>
      </c>
      <c r="AA230" s="99" t="s">
        <v>2812</v>
      </c>
    </row>
    <row r="231" spans="1:27" ht="17.25" customHeight="1">
      <c r="A231" s="65" t="str">
        <f>IF(priority(Main[[#This Row],[Comments]])&lt;&gt;0, priority(Main[[#This Row],[Comments]]),"")</f>
        <v/>
      </c>
      <c r="B231" s="60" t="s">
        <v>1057</v>
      </c>
      <c r="C231" s="105" t="s">
        <v>47</v>
      </c>
      <c r="D231" s="74" t="s">
        <v>91</v>
      </c>
      <c r="E231" s="89"/>
      <c r="F231" s="89"/>
      <c r="G231" s="65" t="str">
        <f>IF(stdProdLT(Main[[#This Row],[Comments]])=0.1,"N/A",IF(stdProdLT(Main[[#This Row],[Comments]])=0,"",TRIM(stdProdLT(Main[[#This Row],[Comments]]))))</f>
        <v/>
      </c>
      <c r="H231" s="98" t="str">
        <f>IF(Main[[#This Row],[Std. Prod. Lead Time]]="N/A", "",IF(AND(Main[[#This Row],[In Stock Date]]&lt;&gt;"",Main[[#This Row],[Revised Due Date]]&lt;&gt;"",Main[[#This Row],[In Stock Date]]&lt;&gt;""),Main[[#This Row],[In Stock Date]]-Main[[#This Row],[Revised Due Date]],""))</f>
        <v/>
      </c>
      <c r="I231" s="110" t="s">
        <v>4</v>
      </c>
      <c r="J231" s="99" t="s">
        <v>4</v>
      </c>
      <c r="K231" s="100" t="s">
        <v>4</v>
      </c>
      <c r="L231" s="89"/>
      <c r="M231" s="75" t="str">
        <f>IF(Main[[#This Row],[Tech Start Date]]&lt;1/1/1990,"",IF(Main[[#This Row],[Class]]="C",WORKDAY(Main[[#This Row],[Tech Start Date]],9),IF(Main[[#This Row],[Class]]="B", WORKDAY(Main[[#This Row],[Tech Start Date]],6),IF(Main[[#This Row],[Class]]="A",WORKDAY(Main[[#This Row],[Tech Start Date]],2),""))))</f>
        <v/>
      </c>
      <c r="N231" s="75" t="str">
        <f>IF(Main[[#This Row],[Tech Start Date]]&lt;1/1/1990,"",IF(Main[[#This Row],[Class]]="C",WORKDAY(Main[[#This Row],[Tech Start Date]],19),IF(Main[[#This Row],[Class]]="B", WORKDAY(Main[[#This Row],[Tech Start Date]],12),IF(Main[[#This Row],[Class]]="A",WORKDAY(Main[[#This Row],[Tech Start Date]],4),""))))</f>
        <v/>
      </c>
      <c r="O231" s="75" t="str">
        <f>IF(Main[[#This Row],[Tech Start Date]]&lt;1/1/1990,"",IF(Main[[#This Row],[Class]]="C",WORKDAY(Main[[#This Row],[Tech Start Date]],23),IF(Main[[#This Row],[Class]]="B", WORKDAY(Main[[#This Row],[Tech Start Date]],15),IF(Main[[#This Row],[Class]]="A",WORKDAY(Main[[#This Row],[Tech Start Date]],5),""))))</f>
        <v/>
      </c>
      <c r="P231" s="75" t="str">
        <f>IF(Main[[#This Row],[Tech Start Date]]&lt;1/1/1990,"",IF(Main[[#This Row],[Class]]="C",WORKDAY(Main[[#This Row],[Tech Start Date]],28),IF(Main[[#This Row],[Class]]="B", WORKDAY(Main[[#This Row],[Tech Start Date]],19),IF(Main[[#This Row],[Class]]="A",WORKDAY(Main[[#This Row],[Tech Start Date]],9),""))))</f>
        <v/>
      </c>
      <c r="Q231" s="89"/>
      <c r="R231" s="121"/>
      <c r="S231" s="99" t="s">
        <v>49</v>
      </c>
      <c r="T231" s="76" t="s">
        <v>4</v>
      </c>
      <c r="U231" s="99" t="s">
        <v>14</v>
      </c>
      <c r="V231" s="99" t="s">
        <v>1916</v>
      </c>
      <c r="W231" s="99" t="s">
        <v>1917</v>
      </c>
      <c r="X231" s="99" t="s">
        <v>306</v>
      </c>
      <c r="Y231" s="73" t="s">
        <v>2935</v>
      </c>
      <c r="Z231" s="73" t="s">
        <v>4</v>
      </c>
      <c r="AA231" s="99" t="s">
        <v>3369</v>
      </c>
    </row>
    <row r="232" spans="1:27" ht="17.25" customHeight="1">
      <c r="A232" s="65" t="str">
        <f>IF(priority(Main[[#This Row],[Comments]])&lt;&gt;0, priority(Main[[#This Row],[Comments]]),"")</f>
        <v/>
      </c>
      <c r="B232" s="60" t="s">
        <v>1058</v>
      </c>
      <c r="C232" s="105" t="s">
        <v>4</v>
      </c>
      <c r="D232" s="74" t="s">
        <v>92</v>
      </c>
      <c r="E232" s="89"/>
      <c r="F232" s="89"/>
      <c r="G232" s="65" t="str">
        <f>IF(stdProdLT(Main[[#This Row],[Comments]])=0.1,"N/A",IF(stdProdLT(Main[[#This Row],[Comments]])=0,"",TRIM(stdProdLT(Main[[#This Row],[Comments]]))))</f>
        <v/>
      </c>
      <c r="H232" s="98" t="str">
        <f>IF(Main[[#This Row],[Std. Prod. Lead Time]]="N/A", "",IF(AND(Main[[#This Row],[In Stock Date]]&lt;&gt;"",Main[[#This Row],[Revised Due Date]]&lt;&gt;"",Main[[#This Row],[In Stock Date]]&lt;&gt;""),Main[[#This Row],[In Stock Date]]-Main[[#This Row],[Revised Due Date]],""))</f>
        <v/>
      </c>
      <c r="I232" s="110" t="s">
        <v>4</v>
      </c>
      <c r="J232" s="99" t="s">
        <v>4</v>
      </c>
      <c r="K232" s="100" t="s">
        <v>4</v>
      </c>
      <c r="L232" s="89"/>
      <c r="M232" s="75" t="str">
        <f>IF(Main[[#This Row],[Tech Start Date]]&lt;1/1/1990,"",IF(Main[[#This Row],[Class]]="C",WORKDAY(Main[[#This Row],[Tech Start Date]],9),IF(Main[[#This Row],[Class]]="B", WORKDAY(Main[[#This Row],[Tech Start Date]],6),IF(Main[[#This Row],[Class]]="A",WORKDAY(Main[[#This Row],[Tech Start Date]],2),""))))</f>
        <v/>
      </c>
      <c r="N232" s="75" t="str">
        <f>IF(Main[[#This Row],[Tech Start Date]]&lt;1/1/1990,"",IF(Main[[#This Row],[Class]]="C",WORKDAY(Main[[#This Row],[Tech Start Date]],19),IF(Main[[#This Row],[Class]]="B", WORKDAY(Main[[#This Row],[Tech Start Date]],12),IF(Main[[#This Row],[Class]]="A",WORKDAY(Main[[#This Row],[Tech Start Date]],4),""))))</f>
        <v/>
      </c>
      <c r="O232" s="75" t="str">
        <f>IF(Main[[#This Row],[Tech Start Date]]&lt;1/1/1990,"",IF(Main[[#This Row],[Class]]="C",WORKDAY(Main[[#This Row],[Tech Start Date]],23),IF(Main[[#This Row],[Class]]="B", WORKDAY(Main[[#This Row],[Tech Start Date]],15),IF(Main[[#This Row],[Class]]="A",WORKDAY(Main[[#This Row],[Tech Start Date]],5),""))))</f>
        <v/>
      </c>
      <c r="P232" s="75" t="str">
        <f>IF(Main[[#This Row],[Tech Start Date]]&lt;1/1/1990,"",IF(Main[[#This Row],[Class]]="C",WORKDAY(Main[[#This Row],[Tech Start Date]],28),IF(Main[[#This Row],[Class]]="B", WORKDAY(Main[[#This Row],[Tech Start Date]],19),IF(Main[[#This Row],[Class]]="A",WORKDAY(Main[[#This Row],[Tech Start Date]],9),""))))</f>
        <v/>
      </c>
      <c r="Q232" s="89">
        <v>40289</v>
      </c>
      <c r="R232" s="121"/>
      <c r="S232" s="99" t="s">
        <v>11</v>
      </c>
      <c r="T232" s="76" t="s">
        <v>4</v>
      </c>
      <c r="U232" s="99" t="s">
        <v>14</v>
      </c>
      <c r="V232" s="99" t="s">
        <v>1913</v>
      </c>
      <c r="W232" s="99" t="s">
        <v>1915</v>
      </c>
      <c r="X232" s="99" t="s">
        <v>2815</v>
      </c>
      <c r="Y232" s="73" t="s">
        <v>2930</v>
      </c>
      <c r="Z232" s="73" t="s">
        <v>4</v>
      </c>
      <c r="AA232" s="99" t="s">
        <v>2815</v>
      </c>
    </row>
    <row r="233" spans="1:27" ht="17.25" customHeight="1">
      <c r="A233" s="65" t="str">
        <f>IF(priority(Main[[#This Row],[Comments]])&lt;&gt;0, priority(Main[[#This Row],[Comments]]),"")</f>
        <v/>
      </c>
      <c r="B233" s="60" t="s">
        <v>1059</v>
      </c>
      <c r="C233" s="105" t="s">
        <v>95</v>
      </c>
      <c r="D233" s="74" t="s">
        <v>96</v>
      </c>
      <c r="E233" s="89"/>
      <c r="F233" s="89"/>
      <c r="G233" s="65" t="str">
        <f>IF(stdProdLT(Main[[#This Row],[Comments]])=0.1,"N/A",IF(stdProdLT(Main[[#This Row],[Comments]])=0,"",TRIM(stdProdLT(Main[[#This Row],[Comments]]))))</f>
        <v/>
      </c>
      <c r="H233" s="98" t="str">
        <f>IF(Main[[#This Row],[Std. Prod. Lead Time]]="N/A", "",IF(AND(Main[[#This Row],[In Stock Date]]&lt;&gt;"",Main[[#This Row],[Revised Due Date]]&lt;&gt;"",Main[[#This Row],[In Stock Date]]&lt;&gt;""),Main[[#This Row],[In Stock Date]]-Main[[#This Row],[Revised Due Date]],""))</f>
        <v/>
      </c>
      <c r="I233" s="110" t="s">
        <v>4</v>
      </c>
      <c r="J233" s="99" t="s">
        <v>4</v>
      </c>
      <c r="K233" s="99" t="s">
        <v>4</v>
      </c>
      <c r="L233" s="89"/>
      <c r="M233" s="75" t="str">
        <f>IF(Main[[#This Row],[Tech Start Date]]&lt;1/1/1990,"",IF(Main[[#This Row],[Class]]="C",WORKDAY(Main[[#This Row],[Tech Start Date]],9),IF(Main[[#This Row],[Class]]="B", WORKDAY(Main[[#This Row],[Tech Start Date]],6),IF(Main[[#This Row],[Class]]="A",WORKDAY(Main[[#This Row],[Tech Start Date]],2),""))))</f>
        <v/>
      </c>
      <c r="N233" s="75" t="str">
        <f>IF(Main[[#This Row],[Tech Start Date]]&lt;1/1/1990,"",IF(Main[[#This Row],[Class]]="C",WORKDAY(Main[[#This Row],[Tech Start Date]],19),IF(Main[[#This Row],[Class]]="B", WORKDAY(Main[[#This Row],[Tech Start Date]],12),IF(Main[[#This Row],[Class]]="A",WORKDAY(Main[[#This Row],[Tech Start Date]],4),""))))</f>
        <v/>
      </c>
      <c r="O233" s="75" t="str">
        <f>IF(Main[[#This Row],[Tech Start Date]]&lt;1/1/1990,"",IF(Main[[#This Row],[Class]]="C",WORKDAY(Main[[#This Row],[Tech Start Date]],23),IF(Main[[#This Row],[Class]]="B", WORKDAY(Main[[#This Row],[Tech Start Date]],15),IF(Main[[#This Row],[Class]]="A",WORKDAY(Main[[#This Row],[Tech Start Date]],5),""))))</f>
        <v/>
      </c>
      <c r="P233" s="75" t="str">
        <f>IF(Main[[#This Row],[Tech Start Date]]&lt;1/1/1990,"",IF(Main[[#This Row],[Class]]="C",WORKDAY(Main[[#This Row],[Tech Start Date]],28),IF(Main[[#This Row],[Class]]="B", WORKDAY(Main[[#This Row],[Tech Start Date]],19),IF(Main[[#This Row],[Class]]="A",WORKDAY(Main[[#This Row],[Tech Start Date]],9),""))))</f>
        <v/>
      </c>
      <c r="Q233" s="89">
        <v>40302</v>
      </c>
      <c r="R233" s="121"/>
      <c r="S233" s="99" t="s">
        <v>6</v>
      </c>
      <c r="T233" s="76" t="s">
        <v>4</v>
      </c>
      <c r="U233" s="99" t="s">
        <v>14</v>
      </c>
      <c r="V233" s="99" t="s">
        <v>1913</v>
      </c>
      <c r="W233" s="99" t="s">
        <v>1919</v>
      </c>
      <c r="X233" s="99" t="s">
        <v>129</v>
      </c>
      <c r="Y233" s="73" t="s">
        <v>4</v>
      </c>
      <c r="Z233" s="73" t="s">
        <v>4</v>
      </c>
      <c r="AA233" s="99" t="s">
        <v>883</v>
      </c>
    </row>
    <row r="234" spans="1:27" ht="17.25" customHeight="1">
      <c r="A234" s="65" t="str">
        <f>IF(priority(Main[[#This Row],[Comments]])&lt;&gt;0, priority(Main[[#This Row],[Comments]]),"")</f>
        <v/>
      </c>
      <c r="B234" s="60" t="s">
        <v>1093</v>
      </c>
      <c r="C234" s="105" t="s">
        <v>31</v>
      </c>
      <c r="D234" s="74" t="s">
        <v>142</v>
      </c>
      <c r="E234" s="89"/>
      <c r="F234" s="89"/>
      <c r="G234" s="65" t="str">
        <f>IF(stdProdLT(Main[[#This Row],[Comments]])=0.1,"N/A",IF(stdProdLT(Main[[#This Row],[Comments]])=0,"",TRIM(stdProdLT(Main[[#This Row],[Comments]]))))</f>
        <v/>
      </c>
      <c r="H234" s="98" t="str">
        <f>IF(Main[[#This Row],[Std. Prod. Lead Time]]="N/A", "",IF(AND(Main[[#This Row],[In Stock Date]]&lt;&gt;"",Main[[#This Row],[Revised Due Date]]&lt;&gt;"",Main[[#This Row],[In Stock Date]]&lt;&gt;""),Main[[#This Row],[In Stock Date]]-Main[[#This Row],[Revised Due Date]],""))</f>
        <v/>
      </c>
      <c r="I234" s="110" t="s">
        <v>4</v>
      </c>
      <c r="J234" s="99" t="s">
        <v>4</v>
      </c>
      <c r="K234" s="99" t="s">
        <v>4</v>
      </c>
      <c r="L234" s="89"/>
      <c r="M234" s="75" t="str">
        <f>IF(Main[[#This Row],[Tech Start Date]]&lt;1/1/1990,"",IF(Main[[#This Row],[Class]]="C",WORKDAY(Main[[#This Row],[Tech Start Date]],9),IF(Main[[#This Row],[Class]]="B", WORKDAY(Main[[#This Row],[Tech Start Date]],6),IF(Main[[#This Row],[Class]]="A",WORKDAY(Main[[#This Row],[Tech Start Date]],2),""))))</f>
        <v/>
      </c>
      <c r="N234" s="75" t="str">
        <f>IF(Main[[#This Row],[Tech Start Date]]&lt;1/1/1990,"",IF(Main[[#This Row],[Class]]="C",WORKDAY(Main[[#This Row],[Tech Start Date]],19),IF(Main[[#This Row],[Class]]="B", WORKDAY(Main[[#This Row],[Tech Start Date]],12),IF(Main[[#This Row],[Class]]="A",WORKDAY(Main[[#This Row],[Tech Start Date]],4),""))))</f>
        <v/>
      </c>
      <c r="O234" s="75" t="str">
        <f>IF(Main[[#This Row],[Tech Start Date]]&lt;1/1/1990,"",IF(Main[[#This Row],[Class]]="C",WORKDAY(Main[[#This Row],[Tech Start Date]],23),IF(Main[[#This Row],[Class]]="B", WORKDAY(Main[[#This Row],[Tech Start Date]],15),IF(Main[[#This Row],[Class]]="A",WORKDAY(Main[[#This Row],[Tech Start Date]],5),""))))</f>
        <v/>
      </c>
      <c r="P234" s="75" t="str">
        <f>IF(Main[[#This Row],[Tech Start Date]]&lt;1/1/1990,"",IF(Main[[#This Row],[Class]]="C",WORKDAY(Main[[#This Row],[Tech Start Date]],28),IF(Main[[#This Row],[Class]]="B", WORKDAY(Main[[#This Row],[Tech Start Date]],19),IF(Main[[#This Row],[Class]]="A",WORKDAY(Main[[#This Row],[Tech Start Date]],9),""))))</f>
        <v/>
      </c>
      <c r="Q234" s="89">
        <v>40318</v>
      </c>
      <c r="R234" s="121"/>
      <c r="S234" s="99" t="s">
        <v>11</v>
      </c>
      <c r="T234" s="76" t="s">
        <v>4</v>
      </c>
      <c r="U234" s="99" t="s">
        <v>14</v>
      </c>
      <c r="V234" s="99" t="s">
        <v>1916</v>
      </c>
      <c r="W234" s="99" t="s">
        <v>1915</v>
      </c>
      <c r="X234" s="99" t="s">
        <v>2824</v>
      </c>
      <c r="Y234" s="73" t="s">
        <v>4</v>
      </c>
      <c r="Z234" s="73" t="s">
        <v>4</v>
      </c>
      <c r="AA234" s="99" t="s">
        <v>2824</v>
      </c>
    </row>
    <row r="235" spans="1:27" ht="17.25" customHeight="1">
      <c r="A235" s="65" t="str">
        <f>IF(priority(Main[[#This Row],[Comments]])&lt;&gt;0, priority(Main[[#This Row],[Comments]]),"")</f>
        <v/>
      </c>
      <c r="B235" s="60" t="s">
        <v>2331</v>
      </c>
      <c r="C235" s="105" t="s">
        <v>347</v>
      </c>
      <c r="D235" s="74" t="s">
        <v>2332</v>
      </c>
      <c r="E235" s="89"/>
      <c r="F235" s="89"/>
      <c r="G235" s="65" t="str">
        <f>IF(stdProdLT(Main[[#This Row],[Comments]])=0.1,"N/A",IF(stdProdLT(Main[[#This Row],[Comments]])=0,"",TRIM(stdProdLT(Main[[#This Row],[Comments]]))))</f>
        <v/>
      </c>
      <c r="H235" s="98" t="str">
        <f>IF(Main[[#This Row],[Std. Prod. Lead Time]]="N/A", "",IF(AND(Main[[#This Row],[In Stock Date]]&lt;&gt;"",Main[[#This Row],[Revised Due Date]]&lt;&gt;"",Main[[#This Row],[In Stock Date]]&lt;&gt;""),Main[[#This Row],[In Stock Date]]-Main[[#This Row],[Revised Due Date]],""))</f>
        <v/>
      </c>
      <c r="I235" s="110" t="s">
        <v>4</v>
      </c>
      <c r="J235" s="99" t="s">
        <v>4</v>
      </c>
      <c r="K235" s="99" t="s">
        <v>4</v>
      </c>
      <c r="L235" s="89"/>
      <c r="M235" s="75" t="str">
        <f>IF(Main[[#This Row],[Tech Start Date]]&lt;1/1/1990,"",IF(Main[[#This Row],[Class]]="C",WORKDAY(Main[[#This Row],[Tech Start Date]],9),IF(Main[[#This Row],[Class]]="B", WORKDAY(Main[[#This Row],[Tech Start Date]],6),IF(Main[[#This Row],[Class]]="A",WORKDAY(Main[[#This Row],[Tech Start Date]],2),""))))</f>
        <v/>
      </c>
      <c r="N235" s="75" t="str">
        <f>IF(Main[[#This Row],[Tech Start Date]]&lt;1/1/1990,"",IF(Main[[#This Row],[Class]]="C",WORKDAY(Main[[#This Row],[Tech Start Date]],19),IF(Main[[#This Row],[Class]]="B", WORKDAY(Main[[#This Row],[Tech Start Date]],12),IF(Main[[#This Row],[Class]]="A",WORKDAY(Main[[#This Row],[Tech Start Date]],4),""))))</f>
        <v/>
      </c>
      <c r="O235" s="75" t="str">
        <f>IF(Main[[#This Row],[Tech Start Date]]&lt;1/1/1990,"",IF(Main[[#This Row],[Class]]="C",WORKDAY(Main[[#This Row],[Tech Start Date]],23),IF(Main[[#This Row],[Class]]="B", WORKDAY(Main[[#This Row],[Tech Start Date]],15),IF(Main[[#This Row],[Class]]="A",WORKDAY(Main[[#This Row],[Tech Start Date]],5),""))))</f>
        <v/>
      </c>
      <c r="P235" s="75" t="str">
        <f>IF(Main[[#This Row],[Tech Start Date]]&lt;1/1/1990,"",IF(Main[[#This Row],[Class]]="C",WORKDAY(Main[[#This Row],[Tech Start Date]],28),IF(Main[[#This Row],[Class]]="B", WORKDAY(Main[[#This Row],[Tech Start Date]],19),IF(Main[[#This Row],[Class]]="A",WORKDAY(Main[[#This Row],[Tech Start Date]],9),""))))</f>
        <v/>
      </c>
      <c r="Q235" s="89">
        <v>40847</v>
      </c>
      <c r="R235" s="121"/>
      <c r="S235" s="99" t="s">
        <v>4</v>
      </c>
      <c r="T235" s="76" t="s">
        <v>4</v>
      </c>
      <c r="U235" s="99" t="s">
        <v>12</v>
      </c>
      <c r="V235" s="99" t="s">
        <v>1913</v>
      </c>
      <c r="W235" s="99" t="s">
        <v>4</v>
      </c>
      <c r="X235" s="99" t="s">
        <v>2843</v>
      </c>
      <c r="Y235" s="73" t="s">
        <v>2977</v>
      </c>
      <c r="Z235" s="73" t="s">
        <v>4</v>
      </c>
      <c r="AA235" s="99" t="s">
        <v>2843</v>
      </c>
    </row>
    <row r="236" spans="1:27" ht="17.25" customHeight="1">
      <c r="A236" s="65" t="str">
        <f>IF(priority(Main[[#This Row],[Comments]])&lt;&gt;0, priority(Main[[#This Row],[Comments]]),"")</f>
        <v/>
      </c>
      <c r="B236" s="60" t="s">
        <v>2063</v>
      </c>
      <c r="C236" s="105" t="s">
        <v>4</v>
      </c>
      <c r="D236" s="74" t="s">
        <v>2064</v>
      </c>
      <c r="E236" s="89"/>
      <c r="F236" s="89"/>
      <c r="G236" s="65" t="str">
        <f>IF(stdProdLT(Main[[#This Row],[Comments]])=0.1,"N/A",IF(stdProdLT(Main[[#This Row],[Comments]])=0,"",TRIM(stdProdLT(Main[[#This Row],[Comments]]))))</f>
        <v/>
      </c>
      <c r="H236" s="98" t="str">
        <f>IF(Main[[#This Row],[Std. Prod. Lead Time]]="N/A", "",IF(AND(Main[[#This Row],[In Stock Date]]&lt;&gt;"",Main[[#This Row],[Revised Due Date]]&lt;&gt;"",Main[[#This Row],[In Stock Date]]&lt;&gt;""),Main[[#This Row],[In Stock Date]]-Main[[#This Row],[Revised Due Date]],""))</f>
        <v/>
      </c>
      <c r="I236" s="110" t="s">
        <v>4</v>
      </c>
      <c r="J236" s="99" t="s">
        <v>4</v>
      </c>
      <c r="K236" s="99" t="s">
        <v>4</v>
      </c>
      <c r="L236" s="89"/>
      <c r="M236" s="75" t="str">
        <f>IF(Main[[#This Row],[Tech Start Date]]&lt;1/1/1990,"",IF(Main[[#This Row],[Class]]="C",WORKDAY(Main[[#This Row],[Tech Start Date]],9),IF(Main[[#This Row],[Class]]="B", WORKDAY(Main[[#This Row],[Tech Start Date]],6),IF(Main[[#This Row],[Class]]="A",WORKDAY(Main[[#This Row],[Tech Start Date]],2),""))))</f>
        <v/>
      </c>
      <c r="N236" s="75" t="str">
        <f>IF(Main[[#This Row],[Tech Start Date]]&lt;1/1/1990,"",IF(Main[[#This Row],[Class]]="C",WORKDAY(Main[[#This Row],[Tech Start Date]],19),IF(Main[[#This Row],[Class]]="B", WORKDAY(Main[[#This Row],[Tech Start Date]],12),IF(Main[[#This Row],[Class]]="A",WORKDAY(Main[[#This Row],[Tech Start Date]],4),""))))</f>
        <v/>
      </c>
      <c r="O236" s="75" t="str">
        <f>IF(Main[[#This Row],[Tech Start Date]]&lt;1/1/1990,"",IF(Main[[#This Row],[Class]]="C",WORKDAY(Main[[#This Row],[Tech Start Date]],23),IF(Main[[#This Row],[Class]]="B", WORKDAY(Main[[#This Row],[Tech Start Date]],15),IF(Main[[#This Row],[Class]]="A",WORKDAY(Main[[#This Row],[Tech Start Date]],5),""))))</f>
        <v/>
      </c>
      <c r="P236" s="75" t="str">
        <f>IF(Main[[#This Row],[Tech Start Date]]&lt;1/1/1990,"",IF(Main[[#This Row],[Class]]="C",WORKDAY(Main[[#This Row],[Tech Start Date]],28),IF(Main[[#This Row],[Class]]="B", WORKDAY(Main[[#This Row],[Tech Start Date]],19),IF(Main[[#This Row],[Class]]="A",WORKDAY(Main[[#This Row],[Tech Start Date]],9),""))))</f>
        <v/>
      </c>
      <c r="Q236" s="89"/>
      <c r="R236" s="121"/>
      <c r="S236" s="99" t="s">
        <v>6</v>
      </c>
      <c r="T236" s="76" t="s">
        <v>4</v>
      </c>
      <c r="U236" s="99" t="s">
        <v>14</v>
      </c>
      <c r="V236" s="99" t="s">
        <v>1923</v>
      </c>
      <c r="W236" s="99" t="s">
        <v>1917</v>
      </c>
      <c r="X236" s="99" t="s">
        <v>306</v>
      </c>
      <c r="Y236" s="73" t="s">
        <v>4</v>
      </c>
      <c r="Z236" s="73" t="s">
        <v>4</v>
      </c>
      <c r="AA236" s="99" t="s">
        <v>4</v>
      </c>
    </row>
    <row r="237" spans="1:27" ht="17.25" customHeight="1">
      <c r="A237" s="65" t="str">
        <f>IF(priority(Main[[#This Row],[Comments]])&lt;&gt;0, priority(Main[[#This Row],[Comments]]),"")</f>
        <v/>
      </c>
      <c r="B237" s="60" t="s">
        <v>2333</v>
      </c>
      <c r="C237" s="105" t="s">
        <v>4</v>
      </c>
      <c r="D237" s="74" t="s">
        <v>2334</v>
      </c>
      <c r="E237" s="89">
        <v>40841.293483796297</v>
      </c>
      <c r="F237" s="89"/>
      <c r="G237" s="65" t="str">
        <f>IF(stdProdLT(Main[[#This Row],[Comments]])=0.1,"N/A",IF(stdProdLT(Main[[#This Row],[Comments]])=0,"",TRIM(stdProdLT(Main[[#This Row],[Comments]]))))</f>
        <v/>
      </c>
      <c r="H237" s="98" t="str">
        <f>IF(Main[[#This Row],[Std. Prod. Lead Time]]="N/A", "",IF(AND(Main[[#This Row],[In Stock Date]]&lt;&gt;"",Main[[#This Row],[Revised Due Date]]&lt;&gt;"",Main[[#This Row],[In Stock Date]]&lt;&gt;""),Main[[#This Row],[In Stock Date]]-Main[[#This Row],[Revised Due Date]],""))</f>
        <v/>
      </c>
      <c r="I237" s="110" t="s">
        <v>912</v>
      </c>
      <c r="J237" s="99" t="s">
        <v>52</v>
      </c>
      <c r="K237" s="99" t="s">
        <v>4</v>
      </c>
      <c r="L237" s="89"/>
      <c r="M237" s="75" t="str">
        <f>IF(Main[[#This Row],[Tech Start Date]]&lt;1/1/1990,"",IF(Main[[#This Row],[Class]]="C",WORKDAY(Main[[#This Row],[Tech Start Date]],9),IF(Main[[#This Row],[Class]]="B", WORKDAY(Main[[#This Row],[Tech Start Date]],6),IF(Main[[#This Row],[Class]]="A",WORKDAY(Main[[#This Row],[Tech Start Date]],2),""))))</f>
        <v/>
      </c>
      <c r="N237" s="75" t="str">
        <f>IF(Main[[#This Row],[Tech Start Date]]&lt;1/1/1990,"",IF(Main[[#This Row],[Class]]="C",WORKDAY(Main[[#This Row],[Tech Start Date]],19),IF(Main[[#This Row],[Class]]="B", WORKDAY(Main[[#This Row],[Tech Start Date]],12),IF(Main[[#This Row],[Class]]="A",WORKDAY(Main[[#This Row],[Tech Start Date]],4),""))))</f>
        <v/>
      </c>
      <c r="O237" s="75" t="str">
        <f>IF(Main[[#This Row],[Tech Start Date]]&lt;1/1/1990,"",IF(Main[[#This Row],[Class]]="C",WORKDAY(Main[[#This Row],[Tech Start Date]],23),IF(Main[[#This Row],[Class]]="B", WORKDAY(Main[[#This Row],[Tech Start Date]],15),IF(Main[[#This Row],[Class]]="A",WORKDAY(Main[[#This Row],[Tech Start Date]],5),""))))</f>
        <v/>
      </c>
      <c r="P237" s="75" t="str">
        <f>IF(Main[[#This Row],[Tech Start Date]]&lt;1/1/1990,"",IF(Main[[#This Row],[Class]]="C",WORKDAY(Main[[#This Row],[Tech Start Date]],28),IF(Main[[#This Row],[Class]]="B", WORKDAY(Main[[#This Row],[Tech Start Date]],19),IF(Main[[#This Row],[Class]]="A",WORKDAY(Main[[#This Row],[Tech Start Date]],9),""))))</f>
        <v/>
      </c>
      <c r="Q237" s="89"/>
      <c r="R237" s="121"/>
      <c r="S237" s="99" t="s">
        <v>6</v>
      </c>
      <c r="T237" s="76" t="s">
        <v>4</v>
      </c>
      <c r="U237" s="99" t="s">
        <v>29</v>
      </c>
      <c r="V237" s="99" t="s">
        <v>1913</v>
      </c>
      <c r="W237" s="99" t="s">
        <v>1917</v>
      </c>
      <c r="X237" s="99" t="s">
        <v>937</v>
      </c>
      <c r="Y237" s="73" t="s">
        <v>2978</v>
      </c>
      <c r="Z237" s="73" t="s">
        <v>4</v>
      </c>
      <c r="AA237" s="99" t="s">
        <v>937</v>
      </c>
    </row>
    <row r="238" spans="1:27" ht="17.25" customHeight="1">
      <c r="A238" s="65" t="str">
        <f>IF(priority(Main[[#This Row],[Comments]])&lt;&gt;0, priority(Main[[#This Row],[Comments]]),"")</f>
        <v/>
      </c>
      <c r="B238" s="60" t="s">
        <v>1094</v>
      </c>
      <c r="C238" s="105" t="s">
        <v>33</v>
      </c>
      <c r="D238" s="74" t="s">
        <v>143</v>
      </c>
      <c r="E238" s="89"/>
      <c r="F238" s="89">
        <v>40422</v>
      </c>
      <c r="G238" s="65" t="str">
        <f>IF(stdProdLT(Main[[#This Row],[Comments]])=0.1,"N/A",IF(stdProdLT(Main[[#This Row],[Comments]])=0,"",TRIM(stdProdLT(Main[[#This Row],[Comments]]))))</f>
        <v/>
      </c>
      <c r="H238" s="98" t="str">
        <f>IF(Main[[#This Row],[Std. Prod. Lead Time]]="N/A", "",IF(AND(Main[[#This Row],[In Stock Date]]&lt;&gt;"",Main[[#This Row],[Revised Due Date]]&lt;&gt;"",Main[[#This Row],[In Stock Date]]&lt;&gt;""),Main[[#This Row],[In Stock Date]]-Main[[#This Row],[Revised Due Date]],""))</f>
        <v/>
      </c>
      <c r="I238" s="110" t="s">
        <v>4</v>
      </c>
      <c r="J238" s="99" t="s">
        <v>4</v>
      </c>
      <c r="K238" s="99" t="s">
        <v>4</v>
      </c>
      <c r="L238" s="89"/>
      <c r="M238" s="75" t="str">
        <f>IF(Main[[#This Row],[Tech Start Date]]&lt;1/1/1990,"",IF(Main[[#This Row],[Class]]="C",WORKDAY(Main[[#This Row],[Tech Start Date]],9),IF(Main[[#This Row],[Class]]="B", WORKDAY(Main[[#This Row],[Tech Start Date]],6),IF(Main[[#This Row],[Class]]="A",WORKDAY(Main[[#This Row],[Tech Start Date]],2),""))))</f>
        <v/>
      </c>
      <c r="N238" s="75" t="str">
        <f>IF(Main[[#This Row],[Tech Start Date]]&lt;1/1/1990,"",IF(Main[[#This Row],[Class]]="C",WORKDAY(Main[[#This Row],[Tech Start Date]],19),IF(Main[[#This Row],[Class]]="B", WORKDAY(Main[[#This Row],[Tech Start Date]],12),IF(Main[[#This Row],[Class]]="A",WORKDAY(Main[[#This Row],[Tech Start Date]],4),""))))</f>
        <v/>
      </c>
      <c r="O238" s="75" t="str">
        <f>IF(Main[[#This Row],[Tech Start Date]]&lt;1/1/1990,"",IF(Main[[#This Row],[Class]]="C",WORKDAY(Main[[#This Row],[Tech Start Date]],23),IF(Main[[#This Row],[Class]]="B", WORKDAY(Main[[#This Row],[Tech Start Date]],15),IF(Main[[#This Row],[Class]]="A",WORKDAY(Main[[#This Row],[Tech Start Date]],5),""))))</f>
        <v/>
      </c>
      <c r="P238" s="75" t="str">
        <f>IF(Main[[#This Row],[Tech Start Date]]&lt;1/1/1990,"",IF(Main[[#This Row],[Class]]="C",WORKDAY(Main[[#This Row],[Tech Start Date]],28),IF(Main[[#This Row],[Class]]="B", WORKDAY(Main[[#This Row],[Tech Start Date]],19),IF(Main[[#This Row],[Class]]="A",WORKDAY(Main[[#This Row],[Tech Start Date]],9),""))))</f>
        <v/>
      </c>
      <c r="Q238" s="89">
        <v>40282</v>
      </c>
      <c r="R238" s="121"/>
      <c r="S238" s="99" t="s">
        <v>11</v>
      </c>
      <c r="T238" s="76" t="s">
        <v>4</v>
      </c>
      <c r="U238" s="99" t="s">
        <v>14</v>
      </c>
      <c r="V238" s="99" t="s">
        <v>1916</v>
      </c>
      <c r="W238" s="99" t="s">
        <v>1918</v>
      </c>
      <c r="X238" s="99" t="s">
        <v>2844</v>
      </c>
      <c r="Y238" s="73" t="s">
        <v>4</v>
      </c>
      <c r="Z238" s="73" t="s">
        <v>4</v>
      </c>
      <c r="AA238" s="99" t="s">
        <v>2844</v>
      </c>
    </row>
    <row r="239" spans="1:27" ht="17.25" customHeight="1">
      <c r="A239" s="65" t="str">
        <f>IF(priority(Main[[#This Row],[Comments]])&lt;&gt;0, priority(Main[[#This Row],[Comments]]),"")</f>
        <v/>
      </c>
      <c r="B239" s="60" t="s">
        <v>1095</v>
      </c>
      <c r="C239" s="105" t="s">
        <v>4</v>
      </c>
      <c r="D239" s="74" t="s">
        <v>144</v>
      </c>
      <c r="E239" s="89">
        <v>40395.405358796299</v>
      </c>
      <c r="F239" s="89">
        <v>40574</v>
      </c>
      <c r="G239" s="65" t="str">
        <f>IF(stdProdLT(Main[[#This Row],[Comments]])=0.1,"N/A",IF(stdProdLT(Main[[#This Row],[Comments]])=0,"",TRIM(stdProdLT(Main[[#This Row],[Comments]]))))</f>
        <v/>
      </c>
      <c r="H239" s="98" t="str">
        <f>IF(Main[[#This Row],[Std. Prod. Lead Time]]="N/A", "",IF(AND(Main[[#This Row],[In Stock Date]]&lt;&gt;"",Main[[#This Row],[Revised Due Date]]&lt;&gt;"",Main[[#This Row],[In Stock Date]]&lt;&gt;""),Main[[#This Row],[In Stock Date]]-Main[[#This Row],[Revised Due Date]],""))</f>
        <v/>
      </c>
      <c r="I239" s="110" t="s">
        <v>4</v>
      </c>
      <c r="J239" s="99" t="s">
        <v>28</v>
      </c>
      <c r="K239" s="100" t="s">
        <v>4</v>
      </c>
      <c r="L239" s="89"/>
      <c r="M239" s="75" t="str">
        <f>IF(Main[[#This Row],[Tech Start Date]]&lt;1/1/1990,"",IF(Main[[#This Row],[Class]]="C",WORKDAY(Main[[#This Row],[Tech Start Date]],9),IF(Main[[#This Row],[Class]]="B", WORKDAY(Main[[#This Row],[Tech Start Date]],6),IF(Main[[#This Row],[Class]]="A",WORKDAY(Main[[#This Row],[Tech Start Date]],2),""))))</f>
        <v/>
      </c>
      <c r="N239" s="75" t="str">
        <f>IF(Main[[#This Row],[Tech Start Date]]&lt;1/1/1990,"",IF(Main[[#This Row],[Class]]="C",WORKDAY(Main[[#This Row],[Tech Start Date]],19),IF(Main[[#This Row],[Class]]="B", WORKDAY(Main[[#This Row],[Tech Start Date]],12),IF(Main[[#This Row],[Class]]="A",WORKDAY(Main[[#This Row],[Tech Start Date]],4),""))))</f>
        <v/>
      </c>
      <c r="O239" s="75" t="str">
        <f>IF(Main[[#This Row],[Tech Start Date]]&lt;1/1/1990,"",IF(Main[[#This Row],[Class]]="C",WORKDAY(Main[[#This Row],[Tech Start Date]],23),IF(Main[[#This Row],[Class]]="B", WORKDAY(Main[[#This Row],[Tech Start Date]],15),IF(Main[[#This Row],[Class]]="A",WORKDAY(Main[[#This Row],[Tech Start Date]],5),""))))</f>
        <v/>
      </c>
      <c r="P239" s="75" t="str">
        <f>IF(Main[[#This Row],[Tech Start Date]]&lt;1/1/1990,"",IF(Main[[#This Row],[Class]]="C",WORKDAY(Main[[#This Row],[Tech Start Date]],28),IF(Main[[#This Row],[Class]]="B", WORKDAY(Main[[#This Row],[Tech Start Date]],19),IF(Main[[#This Row],[Class]]="A",WORKDAY(Main[[#This Row],[Tech Start Date]],9),""))))</f>
        <v/>
      </c>
      <c r="Q239" s="89"/>
      <c r="R239" s="121"/>
      <c r="S239" s="99" t="s">
        <v>17</v>
      </c>
      <c r="T239" s="76" t="s">
        <v>4</v>
      </c>
      <c r="U239" s="99" t="s">
        <v>7</v>
      </c>
      <c r="V239" s="99" t="s">
        <v>1914</v>
      </c>
      <c r="W239" s="99" t="s">
        <v>1918</v>
      </c>
      <c r="X239" s="99" t="s">
        <v>50</v>
      </c>
      <c r="Y239" s="73" t="s">
        <v>2979</v>
      </c>
      <c r="Z239" s="73" t="s">
        <v>2856</v>
      </c>
      <c r="AA239" s="99" t="s">
        <v>65</v>
      </c>
    </row>
    <row r="240" spans="1:27" ht="17.25" customHeight="1">
      <c r="A240" s="65" t="str">
        <f>IF(priority(Main[[#This Row],[Comments]])&lt;&gt;0, priority(Main[[#This Row],[Comments]]),"")</f>
        <v/>
      </c>
      <c r="B240" s="60" t="s">
        <v>1083</v>
      </c>
      <c r="C240" s="105" t="s">
        <v>4</v>
      </c>
      <c r="D240" s="74" t="s">
        <v>133</v>
      </c>
      <c r="E240" s="89"/>
      <c r="F240" s="89"/>
      <c r="G240" s="65" t="str">
        <f>IF(stdProdLT(Main[[#This Row],[Comments]])=0.1,"N/A",IF(stdProdLT(Main[[#This Row],[Comments]])=0,"",TRIM(stdProdLT(Main[[#This Row],[Comments]]))))</f>
        <v/>
      </c>
      <c r="H240" s="98" t="str">
        <f>IF(Main[[#This Row],[Std. Prod. Lead Time]]="N/A", "",IF(AND(Main[[#This Row],[In Stock Date]]&lt;&gt;"",Main[[#This Row],[Revised Due Date]]&lt;&gt;"",Main[[#This Row],[In Stock Date]]&lt;&gt;""),Main[[#This Row],[In Stock Date]]-Main[[#This Row],[Revised Due Date]],""))</f>
        <v/>
      </c>
      <c r="I240" s="110" t="s">
        <v>69</v>
      </c>
      <c r="J240" s="99" t="s">
        <v>70</v>
      </c>
      <c r="K240" s="99" t="s">
        <v>1922</v>
      </c>
      <c r="L240" s="89"/>
      <c r="M240" s="75" t="str">
        <f>IF(Main[[#This Row],[Tech Start Date]]&lt;1/1/1990,"",IF(Main[[#This Row],[Class]]="C",WORKDAY(Main[[#This Row],[Tech Start Date]],9),IF(Main[[#This Row],[Class]]="B", WORKDAY(Main[[#This Row],[Tech Start Date]],6),IF(Main[[#This Row],[Class]]="A",WORKDAY(Main[[#This Row],[Tech Start Date]],2),""))))</f>
        <v/>
      </c>
      <c r="N240" s="75" t="str">
        <f>IF(Main[[#This Row],[Tech Start Date]]&lt;1/1/1990,"",IF(Main[[#This Row],[Class]]="C",WORKDAY(Main[[#This Row],[Tech Start Date]],19),IF(Main[[#This Row],[Class]]="B", WORKDAY(Main[[#This Row],[Tech Start Date]],12),IF(Main[[#This Row],[Class]]="A",WORKDAY(Main[[#This Row],[Tech Start Date]],4),""))))</f>
        <v/>
      </c>
      <c r="O240" s="75" t="str">
        <f>IF(Main[[#This Row],[Tech Start Date]]&lt;1/1/1990,"",IF(Main[[#This Row],[Class]]="C",WORKDAY(Main[[#This Row],[Tech Start Date]],23),IF(Main[[#This Row],[Class]]="B", WORKDAY(Main[[#This Row],[Tech Start Date]],15),IF(Main[[#This Row],[Class]]="A",WORKDAY(Main[[#This Row],[Tech Start Date]],5),""))))</f>
        <v/>
      </c>
      <c r="P240" s="75" t="str">
        <f>IF(Main[[#This Row],[Tech Start Date]]&lt;1/1/1990,"",IF(Main[[#This Row],[Class]]="C",WORKDAY(Main[[#This Row],[Tech Start Date]],28),IF(Main[[#This Row],[Class]]="B", WORKDAY(Main[[#This Row],[Tech Start Date]],19),IF(Main[[#This Row],[Class]]="A",WORKDAY(Main[[#This Row],[Tech Start Date]],9),""))))</f>
        <v/>
      </c>
      <c r="Q240" s="89">
        <v>40633</v>
      </c>
      <c r="R240" s="121"/>
      <c r="S240" s="99" t="s">
        <v>6</v>
      </c>
      <c r="T240" s="76" t="s">
        <v>4</v>
      </c>
      <c r="U240" s="99" t="s">
        <v>14</v>
      </c>
      <c r="V240" s="99" t="s">
        <v>1916</v>
      </c>
      <c r="W240" s="99" t="s">
        <v>1917</v>
      </c>
      <c r="X240" s="99" t="s">
        <v>2813</v>
      </c>
      <c r="Y240" s="73" t="s">
        <v>2926</v>
      </c>
      <c r="Z240" s="73" t="s">
        <v>44</v>
      </c>
      <c r="AA240" s="99" t="s">
        <v>2813</v>
      </c>
    </row>
    <row r="241" spans="1:27" ht="17.25" customHeight="1">
      <c r="A241" s="65" t="str">
        <f>IF(priority(Main[[#This Row],[Comments]])&lt;&gt;0, priority(Main[[#This Row],[Comments]]),"")</f>
        <v/>
      </c>
      <c r="B241" s="60" t="s">
        <v>1097</v>
      </c>
      <c r="C241" s="105" t="s">
        <v>47</v>
      </c>
      <c r="D241" s="74" t="s">
        <v>146</v>
      </c>
      <c r="E241" s="89"/>
      <c r="F241" s="89"/>
      <c r="G241" s="65" t="str">
        <f>IF(stdProdLT(Main[[#This Row],[Comments]])=0.1,"N/A",IF(stdProdLT(Main[[#This Row],[Comments]])=0,"",TRIM(stdProdLT(Main[[#This Row],[Comments]]))))</f>
        <v/>
      </c>
      <c r="H241" s="98" t="str">
        <f>IF(Main[[#This Row],[Std. Prod. Lead Time]]="N/A", "",IF(AND(Main[[#This Row],[In Stock Date]]&lt;&gt;"",Main[[#This Row],[Revised Due Date]]&lt;&gt;"",Main[[#This Row],[In Stock Date]]&lt;&gt;""),Main[[#This Row],[In Stock Date]]-Main[[#This Row],[Revised Due Date]],""))</f>
        <v/>
      </c>
      <c r="I241" s="110" t="s">
        <v>4</v>
      </c>
      <c r="J241" s="99" t="s">
        <v>4</v>
      </c>
      <c r="K241" s="100" t="s">
        <v>4</v>
      </c>
      <c r="L241" s="89"/>
      <c r="M241" s="75" t="str">
        <f>IF(Main[[#This Row],[Tech Start Date]]&lt;1/1/1990,"",IF(Main[[#This Row],[Class]]="C",WORKDAY(Main[[#This Row],[Tech Start Date]],9),IF(Main[[#This Row],[Class]]="B", WORKDAY(Main[[#This Row],[Tech Start Date]],6),IF(Main[[#This Row],[Class]]="A",WORKDAY(Main[[#This Row],[Tech Start Date]],2),""))))</f>
        <v/>
      </c>
      <c r="N241" s="75" t="str">
        <f>IF(Main[[#This Row],[Tech Start Date]]&lt;1/1/1990,"",IF(Main[[#This Row],[Class]]="C",WORKDAY(Main[[#This Row],[Tech Start Date]],19),IF(Main[[#This Row],[Class]]="B", WORKDAY(Main[[#This Row],[Tech Start Date]],12),IF(Main[[#This Row],[Class]]="A",WORKDAY(Main[[#This Row],[Tech Start Date]],4),""))))</f>
        <v/>
      </c>
      <c r="O241" s="75" t="str">
        <f>IF(Main[[#This Row],[Tech Start Date]]&lt;1/1/1990,"",IF(Main[[#This Row],[Class]]="C",WORKDAY(Main[[#This Row],[Tech Start Date]],23),IF(Main[[#This Row],[Class]]="B", WORKDAY(Main[[#This Row],[Tech Start Date]],15),IF(Main[[#This Row],[Class]]="A",WORKDAY(Main[[#This Row],[Tech Start Date]],5),""))))</f>
        <v/>
      </c>
      <c r="P241" s="75" t="str">
        <f>IF(Main[[#This Row],[Tech Start Date]]&lt;1/1/1990,"",IF(Main[[#This Row],[Class]]="C",WORKDAY(Main[[#This Row],[Tech Start Date]],28),IF(Main[[#This Row],[Class]]="B", WORKDAY(Main[[#This Row],[Tech Start Date]],19),IF(Main[[#This Row],[Class]]="A",WORKDAY(Main[[#This Row],[Tech Start Date]],9),""))))</f>
        <v/>
      </c>
      <c r="Q241" s="89"/>
      <c r="R241" s="121"/>
      <c r="S241" s="99" t="s">
        <v>11</v>
      </c>
      <c r="T241" s="76" t="s">
        <v>4</v>
      </c>
      <c r="U241" s="99" t="s">
        <v>14</v>
      </c>
      <c r="V241" s="99" t="s">
        <v>1914</v>
      </c>
      <c r="W241" s="99" t="s">
        <v>1917</v>
      </c>
      <c r="X241" s="99" t="s">
        <v>399</v>
      </c>
      <c r="Y241" s="73" t="s">
        <v>4</v>
      </c>
      <c r="Z241" s="73" t="s">
        <v>4</v>
      </c>
      <c r="AA241" s="99" t="s">
        <v>399</v>
      </c>
    </row>
    <row r="242" spans="1:27" ht="17.25" customHeight="1">
      <c r="A242" s="65" t="str">
        <f>IF(priority(Main[[#This Row],[Comments]])&lt;&gt;0, priority(Main[[#This Row],[Comments]]),"")</f>
        <v/>
      </c>
      <c r="B242" s="60" t="s">
        <v>3240</v>
      </c>
      <c r="C242" s="105" t="s">
        <v>4</v>
      </c>
      <c r="D242" s="74" t="s">
        <v>3241</v>
      </c>
      <c r="E242" s="89">
        <v>40928.503738425927</v>
      </c>
      <c r="F242" s="89"/>
      <c r="G242" s="65" t="str">
        <f>IF(stdProdLT(Main[[#This Row],[Comments]])=0.1,"N/A",IF(stdProdLT(Main[[#This Row],[Comments]])=0,"",TRIM(stdProdLT(Main[[#This Row],[Comments]]))))</f>
        <v/>
      </c>
      <c r="H242" s="98" t="str">
        <f>IF(Main[[#This Row],[Std. Prod. Lead Time]]="N/A", "",IF(AND(Main[[#This Row],[In Stock Date]]&lt;&gt;"",Main[[#This Row],[Revised Due Date]]&lt;&gt;"",Main[[#This Row],[In Stock Date]]&lt;&gt;""),Main[[#This Row],[In Stock Date]]-Main[[#This Row],[Revised Due Date]],""))</f>
        <v/>
      </c>
      <c r="I242" s="110" t="s">
        <v>4</v>
      </c>
      <c r="J242" s="99" t="s">
        <v>4</v>
      </c>
      <c r="K242" s="99" t="s">
        <v>4</v>
      </c>
      <c r="L242" s="89"/>
      <c r="M242" s="75" t="str">
        <f>IF(Main[[#This Row],[Tech Start Date]]&lt;1/1/1990,"",IF(Main[[#This Row],[Class]]="C",WORKDAY(Main[[#This Row],[Tech Start Date]],9),IF(Main[[#This Row],[Class]]="B", WORKDAY(Main[[#This Row],[Tech Start Date]],6),IF(Main[[#This Row],[Class]]="A",WORKDAY(Main[[#This Row],[Tech Start Date]],2),""))))</f>
        <v/>
      </c>
      <c r="N242" s="75" t="str">
        <f>IF(Main[[#This Row],[Tech Start Date]]&lt;1/1/1990,"",IF(Main[[#This Row],[Class]]="C",WORKDAY(Main[[#This Row],[Tech Start Date]],19),IF(Main[[#This Row],[Class]]="B", WORKDAY(Main[[#This Row],[Tech Start Date]],12),IF(Main[[#This Row],[Class]]="A",WORKDAY(Main[[#This Row],[Tech Start Date]],4),""))))</f>
        <v/>
      </c>
      <c r="O242" s="75" t="str">
        <f>IF(Main[[#This Row],[Tech Start Date]]&lt;1/1/1990,"",IF(Main[[#This Row],[Class]]="C",WORKDAY(Main[[#This Row],[Tech Start Date]],23),IF(Main[[#This Row],[Class]]="B", WORKDAY(Main[[#This Row],[Tech Start Date]],15),IF(Main[[#This Row],[Class]]="A",WORKDAY(Main[[#This Row],[Tech Start Date]],5),""))))</f>
        <v/>
      </c>
      <c r="P242" s="75" t="str">
        <f>IF(Main[[#This Row],[Tech Start Date]]&lt;1/1/1990,"",IF(Main[[#This Row],[Class]]="C",WORKDAY(Main[[#This Row],[Tech Start Date]],28),IF(Main[[#This Row],[Class]]="B", WORKDAY(Main[[#This Row],[Tech Start Date]],19),IF(Main[[#This Row],[Class]]="A",WORKDAY(Main[[#This Row],[Tech Start Date]],9),""))))</f>
        <v/>
      </c>
      <c r="Q242" s="89"/>
      <c r="R242" s="121"/>
      <c r="S242" s="99" t="s">
        <v>6</v>
      </c>
      <c r="T242" s="76" t="s">
        <v>4</v>
      </c>
      <c r="U242" s="99" t="s">
        <v>29</v>
      </c>
      <c r="V242" s="99" t="s">
        <v>1914</v>
      </c>
      <c r="W242" s="99" t="s">
        <v>1917</v>
      </c>
      <c r="X242" s="99" t="s">
        <v>2245</v>
      </c>
      <c r="Y242" s="73" t="s">
        <v>4</v>
      </c>
      <c r="Z242" s="73" t="s">
        <v>4</v>
      </c>
      <c r="AA242" s="99" t="s">
        <v>4</v>
      </c>
    </row>
    <row r="243" spans="1:27" ht="17.25" customHeight="1">
      <c r="A243" s="65" t="str">
        <f>IF(priority(Main[[#This Row],[Comments]])&lt;&gt;0, priority(Main[[#This Row],[Comments]]),"")</f>
        <v/>
      </c>
      <c r="B243" s="60" t="s">
        <v>1098</v>
      </c>
      <c r="C243" s="105" t="s">
        <v>4</v>
      </c>
      <c r="D243" s="74" t="s">
        <v>147</v>
      </c>
      <c r="E243" s="89">
        <v>40666.180879629632</v>
      </c>
      <c r="F243" s="89"/>
      <c r="G243" s="65" t="str">
        <f>IF(stdProdLT(Main[[#This Row],[Comments]])=0.1,"N/A",IF(stdProdLT(Main[[#This Row],[Comments]])=0,"",TRIM(stdProdLT(Main[[#This Row],[Comments]]))))</f>
        <v/>
      </c>
      <c r="H243" s="98" t="str">
        <f>IF(Main[[#This Row],[Std. Prod. Lead Time]]="N/A", "",IF(AND(Main[[#This Row],[In Stock Date]]&lt;&gt;"",Main[[#This Row],[Revised Due Date]]&lt;&gt;"",Main[[#This Row],[In Stock Date]]&lt;&gt;""),Main[[#This Row],[In Stock Date]]-Main[[#This Row],[Revised Due Date]],""))</f>
        <v/>
      </c>
      <c r="I243" s="110" t="s">
        <v>4</v>
      </c>
      <c r="J243" s="99" t="s">
        <v>4</v>
      </c>
      <c r="K243" s="100" t="s">
        <v>4</v>
      </c>
      <c r="L243" s="89"/>
      <c r="M243" s="75" t="str">
        <f>IF(Main[[#This Row],[Tech Start Date]]&lt;1/1/1990,"",IF(Main[[#This Row],[Class]]="C",WORKDAY(Main[[#This Row],[Tech Start Date]],9),IF(Main[[#This Row],[Class]]="B", WORKDAY(Main[[#This Row],[Tech Start Date]],6),IF(Main[[#This Row],[Class]]="A",WORKDAY(Main[[#This Row],[Tech Start Date]],2),""))))</f>
        <v/>
      </c>
      <c r="N243" s="75" t="str">
        <f>IF(Main[[#This Row],[Tech Start Date]]&lt;1/1/1990,"",IF(Main[[#This Row],[Class]]="C",WORKDAY(Main[[#This Row],[Tech Start Date]],19),IF(Main[[#This Row],[Class]]="B", WORKDAY(Main[[#This Row],[Tech Start Date]],12),IF(Main[[#This Row],[Class]]="A",WORKDAY(Main[[#This Row],[Tech Start Date]],4),""))))</f>
        <v/>
      </c>
      <c r="O243" s="75" t="str">
        <f>IF(Main[[#This Row],[Tech Start Date]]&lt;1/1/1990,"",IF(Main[[#This Row],[Class]]="C",WORKDAY(Main[[#This Row],[Tech Start Date]],23),IF(Main[[#This Row],[Class]]="B", WORKDAY(Main[[#This Row],[Tech Start Date]],15),IF(Main[[#This Row],[Class]]="A",WORKDAY(Main[[#This Row],[Tech Start Date]],5),""))))</f>
        <v/>
      </c>
      <c r="P243" s="75" t="str">
        <f>IF(Main[[#This Row],[Tech Start Date]]&lt;1/1/1990,"",IF(Main[[#This Row],[Class]]="C",WORKDAY(Main[[#This Row],[Tech Start Date]],28),IF(Main[[#This Row],[Class]]="B", WORKDAY(Main[[#This Row],[Tech Start Date]],19),IF(Main[[#This Row],[Class]]="A",WORKDAY(Main[[#This Row],[Tech Start Date]],9),""))))</f>
        <v/>
      </c>
      <c r="Q243" s="89">
        <v>40687</v>
      </c>
      <c r="R243" s="121"/>
      <c r="S243" s="99" t="s">
        <v>6</v>
      </c>
      <c r="T243" s="76" t="s">
        <v>4</v>
      </c>
      <c r="U243" s="99" t="s">
        <v>7</v>
      </c>
      <c r="V243" s="99" t="s">
        <v>1913</v>
      </c>
      <c r="W243" s="99" t="s">
        <v>4</v>
      </c>
      <c r="X243" s="99" t="s">
        <v>2845</v>
      </c>
      <c r="Y243" s="73" t="s">
        <v>2980</v>
      </c>
      <c r="Z243" s="73" t="s">
        <v>4</v>
      </c>
      <c r="AA243" s="99" t="s">
        <v>2845</v>
      </c>
    </row>
    <row r="244" spans="1:27" ht="17.25" customHeight="1">
      <c r="A244" s="65" t="str">
        <f>IF(priority(Main[[#This Row],[Comments]])&lt;&gt;0, priority(Main[[#This Row],[Comments]]),"")</f>
        <v/>
      </c>
      <c r="B244" s="60" t="s">
        <v>1099</v>
      </c>
      <c r="C244" s="105" t="s">
        <v>148</v>
      </c>
      <c r="D244" s="74" t="s">
        <v>149</v>
      </c>
      <c r="E244" s="89"/>
      <c r="F244" s="89"/>
      <c r="G244" s="65" t="str">
        <f>IF(stdProdLT(Main[[#This Row],[Comments]])=0.1,"N/A",IF(stdProdLT(Main[[#This Row],[Comments]])=0,"",TRIM(stdProdLT(Main[[#This Row],[Comments]]))))</f>
        <v/>
      </c>
      <c r="H244" s="98" t="str">
        <f>IF(Main[[#This Row],[Std. Prod. Lead Time]]="N/A", "",IF(AND(Main[[#This Row],[In Stock Date]]&lt;&gt;"",Main[[#This Row],[Revised Due Date]]&lt;&gt;"",Main[[#This Row],[In Stock Date]]&lt;&gt;""),Main[[#This Row],[In Stock Date]]-Main[[#This Row],[Revised Due Date]],""))</f>
        <v/>
      </c>
      <c r="I244" s="110" t="s">
        <v>4</v>
      </c>
      <c r="J244" s="99" t="s">
        <v>28</v>
      </c>
      <c r="K244" s="99" t="s">
        <v>4</v>
      </c>
      <c r="L244" s="89"/>
      <c r="M244" s="75" t="str">
        <f>IF(Main[[#This Row],[Tech Start Date]]&lt;1/1/1990,"",IF(Main[[#This Row],[Class]]="C",WORKDAY(Main[[#This Row],[Tech Start Date]],9),IF(Main[[#This Row],[Class]]="B", WORKDAY(Main[[#This Row],[Tech Start Date]],6),IF(Main[[#This Row],[Class]]="A",WORKDAY(Main[[#This Row],[Tech Start Date]],2),""))))</f>
        <v/>
      </c>
      <c r="N244" s="75" t="str">
        <f>IF(Main[[#This Row],[Tech Start Date]]&lt;1/1/1990,"",IF(Main[[#This Row],[Class]]="C",WORKDAY(Main[[#This Row],[Tech Start Date]],19),IF(Main[[#This Row],[Class]]="B", WORKDAY(Main[[#This Row],[Tech Start Date]],12),IF(Main[[#This Row],[Class]]="A",WORKDAY(Main[[#This Row],[Tech Start Date]],4),""))))</f>
        <v/>
      </c>
      <c r="O244" s="75" t="str">
        <f>IF(Main[[#This Row],[Tech Start Date]]&lt;1/1/1990,"",IF(Main[[#This Row],[Class]]="C",WORKDAY(Main[[#This Row],[Tech Start Date]],23),IF(Main[[#This Row],[Class]]="B", WORKDAY(Main[[#This Row],[Tech Start Date]],15),IF(Main[[#This Row],[Class]]="A",WORKDAY(Main[[#This Row],[Tech Start Date]],5),""))))</f>
        <v/>
      </c>
      <c r="P244" s="75" t="str">
        <f>IF(Main[[#This Row],[Tech Start Date]]&lt;1/1/1990,"",IF(Main[[#This Row],[Class]]="C",WORKDAY(Main[[#This Row],[Tech Start Date]],28),IF(Main[[#This Row],[Class]]="B", WORKDAY(Main[[#This Row],[Tech Start Date]],19),IF(Main[[#This Row],[Class]]="A",WORKDAY(Main[[#This Row],[Tech Start Date]],9),""))))</f>
        <v/>
      </c>
      <c r="Q244" s="89">
        <v>40511</v>
      </c>
      <c r="R244" s="121"/>
      <c r="S244" s="99" t="s">
        <v>11</v>
      </c>
      <c r="T244" s="76" t="s">
        <v>4</v>
      </c>
      <c r="U244" s="99" t="s">
        <v>14</v>
      </c>
      <c r="V244" s="99" t="s">
        <v>1916</v>
      </c>
      <c r="W244" s="99" t="s">
        <v>1915</v>
      </c>
      <c r="X244" s="99" t="s">
        <v>2837</v>
      </c>
      <c r="Y244" s="73" t="s">
        <v>2981</v>
      </c>
      <c r="Z244" s="73" t="s">
        <v>530</v>
      </c>
      <c r="AA244" s="99" t="s">
        <v>2837</v>
      </c>
    </row>
    <row r="245" spans="1:27" ht="17.25" customHeight="1">
      <c r="A245" s="65" t="str">
        <f>IF(priority(Main[[#This Row],[Comments]])&lt;&gt;0, priority(Main[[#This Row],[Comments]]),"")</f>
        <v/>
      </c>
      <c r="B245" s="60" t="s">
        <v>2693</v>
      </c>
      <c r="C245" s="105" t="s">
        <v>4</v>
      </c>
      <c r="D245" s="74" t="s">
        <v>2694</v>
      </c>
      <c r="E245" s="89">
        <v>40905.438483796293</v>
      </c>
      <c r="F245" s="89"/>
      <c r="G245" s="65" t="str">
        <f>IF(stdProdLT(Main[[#This Row],[Comments]])=0.1,"N/A",IF(stdProdLT(Main[[#This Row],[Comments]])=0,"",TRIM(stdProdLT(Main[[#This Row],[Comments]]))))</f>
        <v/>
      </c>
      <c r="H245" s="98" t="str">
        <f>IF(Main[[#This Row],[Std. Prod. Lead Time]]="N/A", "",IF(AND(Main[[#This Row],[In Stock Date]]&lt;&gt;"",Main[[#This Row],[Revised Due Date]]&lt;&gt;"",Main[[#This Row],[In Stock Date]]&lt;&gt;""),Main[[#This Row],[In Stock Date]]-Main[[#This Row],[Revised Due Date]],""))</f>
        <v/>
      </c>
      <c r="I245" s="110" t="s">
        <v>4</v>
      </c>
      <c r="J245" s="99" t="s">
        <v>4</v>
      </c>
      <c r="K245" s="99" t="s">
        <v>4</v>
      </c>
      <c r="L245" s="89"/>
      <c r="M245" s="75" t="str">
        <f>IF(Main[[#This Row],[Tech Start Date]]&lt;1/1/1990,"",IF(Main[[#This Row],[Class]]="C",WORKDAY(Main[[#This Row],[Tech Start Date]],9),IF(Main[[#This Row],[Class]]="B", WORKDAY(Main[[#This Row],[Tech Start Date]],6),IF(Main[[#This Row],[Class]]="A",WORKDAY(Main[[#This Row],[Tech Start Date]],2),""))))</f>
        <v/>
      </c>
      <c r="N245" s="75" t="str">
        <f>IF(Main[[#This Row],[Tech Start Date]]&lt;1/1/1990,"",IF(Main[[#This Row],[Class]]="C",WORKDAY(Main[[#This Row],[Tech Start Date]],19),IF(Main[[#This Row],[Class]]="B", WORKDAY(Main[[#This Row],[Tech Start Date]],12),IF(Main[[#This Row],[Class]]="A",WORKDAY(Main[[#This Row],[Tech Start Date]],4),""))))</f>
        <v/>
      </c>
      <c r="O245" s="75" t="str">
        <f>IF(Main[[#This Row],[Tech Start Date]]&lt;1/1/1990,"",IF(Main[[#This Row],[Class]]="C",WORKDAY(Main[[#This Row],[Tech Start Date]],23),IF(Main[[#This Row],[Class]]="B", WORKDAY(Main[[#This Row],[Tech Start Date]],15),IF(Main[[#This Row],[Class]]="A",WORKDAY(Main[[#This Row],[Tech Start Date]],5),""))))</f>
        <v/>
      </c>
      <c r="P245" s="75" t="str">
        <f>IF(Main[[#This Row],[Tech Start Date]]&lt;1/1/1990,"",IF(Main[[#This Row],[Class]]="C",WORKDAY(Main[[#This Row],[Tech Start Date]],28),IF(Main[[#This Row],[Class]]="B", WORKDAY(Main[[#This Row],[Tech Start Date]],19),IF(Main[[#This Row],[Class]]="A",WORKDAY(Main[[#This Row],[Tech Start Date]],9),""))))</f>
        <v/>
      </c>
      <c r="Q245" s="89"/>
      <c r="R245" s="121"/>
      <c r="S245" s="99" t="s">
        <v>6</v>
      </c>
      <c r="T245" s="76" t="s">
        <v>4</v>
      </c>
      <c r="U245" s="99" t="s">
        <v>29</v>
      </c>
      <c r="V245" s="99" t="s">
        <v>1913</v>
      </c>
      <c r="W245" s="99" t="s">
        <v>1917</v>
      </c>
      <c r="X245" s="99" t="s">
        <v>937</v>
      </c>
      <c r="Y245" s="73" t="s">
        <v>2978</v>
      </c>
      <c r="Z245" s="73" t="s">
        <v>4</v>
      </c>
      <c r="AA245" s="99" t="s">
        <v>937</v>
      </c>
    </row>
    <row r="246" spans="1:27" ht="17.25" customHeight="1">
      <c r="A246" s="65" t="str">
        <f>IF(priority(Main[[#This Row],[Comments]])&lt;&gt;0, priority(Main[[#This Row],[Comments]]),"")</f>
        <v/>
      </c>
      <c r="B246" s="60" t="s">
        <v>1100</v>
      </c>
      <c r="C246" s="105" t="s">
        <v>93</v>
      </c>
      <c r="D246" s="59" t="s">
        <v>150</v>
      </c>
      <c r="E246" s="89"/>
      <c r="F246" s="89"/>
      <c r="G246" s="65" t="str">
        <f>IF(stdProdLT(Main[[#This Row],[Comments]])=0.1,"N/A",IF(stdProdLT(Main[[#This Row],[Comments]])=0,"",TRIM(stdProdLT(Main[[#This Row],[Comments]]))))</f>
        <v/>
      </c>
      <c r="H246" s="98" t="str">
        <f>IF(Main[[#This Row],[Std. Prod. Lead Time]]="N/A", "",IF(AND(Main[[#This Row],[In Stock Date]]&lt;&gt;"",Main[[#This Row],[Revised Due Date]]&lt;&gt;"",Main[[#This Row],[In Stock Date]]&lt;&gt;""),Main[[#This Row],[In Stock Date]]-Main[[#This Row],[Revised Due Date]],""))</f>
        <v/>
      </c>
      <c r="I246" s="110" t="s">
        <v>4</v>
      </c>
      <c r="J246" s="99" t="s">
        <v>4</v>
      </c>
      <c r="K246" s="99" t="s">
        <v>4</v>
      </c>
      <c r="L246" s="89"/>
      <c r="M246" s="75" t="str">
        <f>IF(Main[[#This Row],[Tech Start Date]]&lt;1/1/1990,"",IF(Main[[#This Row],[Class]]="C",WORKDAY(Main[[#This Row],[Tech Start Date]],9),IF(Main[[#This Row],[Class]]="B", WORKDAY(Main[[#This Row],[Tech Start Date]],6),IF(Main[[#This Row],[Class]]="A",WORKDAY(Main[[#This Row],[Tech Start Date]],2),""))))</f>
        <v/>
      </c>
      <c r="N246" s="75" t="str">
        <f>IF(Main[[#This Row],[Tech Start Date]]&lt;1/1/1990,"",IF(Main[[#This Row],[Class]]="C",WORKDAY(Main[[#This Row],[Tech Start Date]],19),IF(Main[[#This Row],[Class]]="B", WORKDAY(Main[[#This Row],[Tech Start Date]],12),IF(Main[[#This Row],[Class]]="A",WORKDAY(Main[[#This Row],[Tech Start Date]],4),""))))</f>
        <v/>
      </c>
      <c r="O246" s="75" t="str">
        <f>IF(Main[[#This Row],[Tech Start Date]]&lt;1/1/1990,"",IF(Main[[#This Row],[Class]]="C",WORKDAY(Main[[#This Row],[Tech Start Date]],23),IF(Main[[#This Row],[Class]]="B", WORKDAY(Main[[#This Row],[Tech Start Date]],15),IF(Main[[#This Row],[Class]]="A",WORKDAY(Main[[#This Row],[Tech Start Date]],5),""))))</f>
        <v/>
      </c>
      <c r="P246" s="75" t="str">
        <f>IF(Main[[#This Row],[Tech Start Date]]&lt;1/1/1990,"",IF(Main[[#This Row],[Class]]="C",WORKDAY(Main[[#This Row],[Tech Start Date]],28),IF(Main[[#This Row],[Class]]="B", WORKDAY(Main[[#This Row],[Tech Start Date]],19),IF(Main[[#This Row],[Class]]="A",WORKDAY(Main[[#This Row],[Tech Start Date]],9),""))))</f>
        <v/>
      </c>
      <c r="Q246" s="89"/>
      <c r="R246" s="121"/>
      <c r="S246" s="99" t="s">
        <v>11</v>
      </c>
      <c r="T246" s="76" t="s">
        <v>4</v>
      </c>
      <c r="U246" s="99" t="s">
        <v>14</v>
      </c>
      <c r="V246" s="99" t="s">
        <v>1916</v>
      </c>
      <c r="W246" s="99" t="s">
        <v>1919</v>
      </c>
      <c r="X246" s="99" t="s">
        <v>553</v>
      </c>
      <c r="Y246" s="73" t="s">
        <v>2982</v>
      </c>
      <c r="Z246" s="73" t="s">
        <v>4</v>
      </c>
      <c r="AA246" s="99" t="s">
        <v>3384</v>
      </c>
    </row>
    <row r="247" spans="1:27" ht="17.25" customHeight="1">
      <c r="A247" s="65" t="str">
        <f>IF(priority(Main[[#This Row],[Comments]])&lt;&gt;0, priority(Main[[#This Row],[Comments]]),"")</f>
        <v/>
      </c>
      <c r="B247" s="60" t="s">
        <v>1101</v>
      </c>
      <c r="C247" s="105" t="s">
        <v>26</v>
      </c>
      <c r="D247" s="74" t="s">
        <v>151</v>
      </c>
      <c r="E247" s="89"/>
      <c r="F247" s="89">
        <v>40613</v>
      </c>
      <c r="G247" s="65" t="str">
        <f>IF(stdProdLT(Main[[#This Row],[Comments]])=0.1,"N/A",IF(stdProdLT(Main[[#This Row],[Comments]])=0,"",TRIM(stdProdLT(Main[[#This Row],[Comments]]))))</f>
        <v/>
      </c>
      <c r="H247" s="98" t="str">
        <f>IF(Main[[#This Row],[Std. Prod. Lead Time]]="N/A", "",IF(AND(Main[[#This Row],[In Stock Date]]&lt;&gt;"",Main[[#This Row],[Revised Due Date]]&lt;&gt;"",Main[[#This Row],[In Stock Date]]&lt;&gt;""),Main[[#This Row],[In Stock Date]]-Main[[#This Row],[Revised Due Date]],""))</f>
        <v/>
      </c>
      <c r="I247" s="110" t="s">
        <v>4</v>
      </c>
      <c r="J247" s="99" t="s">
        <v>28</v>
      </c>
      <c r="K247" s="99" t="s">
        <v>4</v>
      </c>
      <c r="L247" s="89"/>
      <c r="M247" s="75" t="str">
        <f>IF(Main[[#This Row],[Tech Start Date]]&lt;1/1/1990,"",IF(Main[[#This Row],[Class]]="C",WORKDAY(Main[[#This Row],[Tech Start Date]],9),IF(Main[[#This Row],[Class]]="B", WORKDAY(Main[[#This Row],[Tech Start Date]],6),IF(Main[[#This Row],[Class]]="A",WORKDAY(Main[[#This Row],[Tech Start Date]],2),""))))</f>
        <v/>
      </c>
      <c r="N247" s="75" t="str">
        <f>IF(Main[[#This Row],[Tech Start Date]]&lt;1/1/1990,"",IF(Main[[#This Row],[Class]]="C",WORKDAY(Main[[#This Row],[Tech Start Date]],19),IF(Main[[#This Row],[Class]]="B", WORKDAY(Main[[#This Row],[Tech Start Date]],12),IF(Main[[#This Row],[Class]]="A",WORKDAY(Main[[#This Row],[Tech Start Date]],4),""))))</f>
        <v/>
      </c>
      <c r="O247" s="75" t="str">
        <f>IF(Main[[#This Row],[Tech Start Date]]&lt;1/1/1990,"",IF(Main[[#This Row],[Class]]="C",WORKDAY(Main[[#This Row],[Tech Start Date]],23),IF(Main[[#This Row],[Class]]="B", WORKDAY(Main[[#This Row],[Tech Start Date]],15),IF(Main[[#This Row],[Class]]="A",WORKDAY(Main[[#This Row],[Tech Start Date]],5),""))))</f>
        <v/>
      </c>
      <c r="P247" s="75" t="str">
        <f>IF(Main[[#This Row],[Tech Start Date]]&lt;1/1/1990,"",IF(Main[[#This Row],[Class]]="C",WORKDAY(Main[[#This Row],[Tech Start Date]],28),IF(Main[[#This Row],[Class]]="B", WORKDAY(Main[[#This Row],[Tech Start Date]],19),IF(Main[[#This Row],[Class]]="A",WORKDAY(Main[[#This Row],[Tech Start Date]],9),""))))</f>
        <v/>
      </c>
      <c r="Q247" s="89"/>
      <c r="R247" s="121"/>
      <c r="S247" s="99" t="s">
        <v>11</v>
      </c>
      <c r="T247" s="76" t="s">
        <v>4</v>
      </c>
      <c r="U247" s="99" t="s">
        <v>14</v>
      </c>
      <c r="V247" s="99" t="s">
        <v>1913</v>
      </c>
      <c r="W247" s="99" t="s">
        <v>1921</v>
      </c>
      <c r="X247" s="99" t="s">
        <v>2836</v>
      </c>
      <c r="Y247" s="73" t="s">
        <v>2968</v>
      </c>
      <c r="Z247" s="73" t="s">
        <v>129</v>
      </c>
      <c r="AA247" s="99" t="s">
        <v>2836</v>
      </c>
    </row>
    <row r="248" spans="1:27" ht="17.25" customHeight="1">
      <c r="A248" s="65" t="str">
        <f>IF(priority(Main[[#This Row],[Comments]])&lt;&gt;0, priority(Main[[#This Row],[Comments]]),"")</f>
        <v/>
      </c>
      <c r="B248" s="60" t="s">
        <v>1106</v>
      </c>
      <c r="C248" s="105" t="s">
        <v>4</v>
      </c>
      <c r="D248" s="74" t="s">
        <v>152</v>
      </c>
      <c r="E248" s="89">
        <v>40584.587800925925</v>
      </c>
      <c r="F248" s="89"/>
      <c r="G248" s="65" t="str">
        <f>IF(stdProdLT(Main[[#This Row],[Comments]])=0.1,"N/A",IF(stdProdLT(Main[[#This Row],[Comments]])=0,"",TRIM(stdProdLT(Main[[#This Row],[Comments]]))))</f>
        <v/>
      </c>
      <c r="H248" s="98" t="str">
        <f>IF(Main[[#This Row],[Std. Prod. Lead Time]]="N/A", "",IF(AND(Main[[#This Row],[In Stock Date]]&lt;&gt;"",Main[[#This Row],[Revised Due Date]]&lt;&gt;"",Main[[#This Row],[In Stock Date]]&lt;&gt;""),Main[[#This Row],[In Stock Date]]-Main[[#This Row],[Revised Due Date]],""))</f>
        <v/>
      </c>
      <c r="I248" s="110" t="s">
        <v>4</v>
      </c>
      <c r="J248" s="99" t="s">
        <v>4</v>
      </c>
      <c r="K248" s="99" t="s">
        <v>4</v>
      </c>
      <c r="L248" s="89"/>
      <c r="M248" s="75" t="str">
        <f>IF(Main[[#This Row],[Tech Start Date]]&lt;1/1/1990,"",IF(Main[[#This Row],[Class]]="C",WORKDAY(Main[[#This Row],[Tech Start Date]],9),IF(Main[[#This Row],[Class]]="B", WORKDAY(Main[[#This Row],[Tech Start Date]],6),IF(Main[[#This Row],[Class]]="A",WORKDAY(Main[[#This Row],[Tech Start Date]],2),""))))</f>
        <v/>
      </c>
      <c r="N248" s="75" t="str">
        <f>IF(Main[[#This Row],[Tech Start Date]]&lt;1/1/1990,"",IF(Main[[#This Row],[Class]]="C",WORKDAY(Main[[#This Row],[Tech Start Date]],19),IF(Main[[#This Row],[Class]]="B", WORKDAY(Main[[#This Row],[Tech Start Date]],12),IF(Main[[#This Row],[Class]]="A",WORKDAY(Main[[#This Row],[Tech Start Date]],4),""))))</f>
        <v/>
      </c>
      <c r="O248" s="75" t="str">
        <f>IF(Main[[#This Row],[Tech Start Date]]&lt;1/1/1990,"",IF(Main[[#This Row],[Class]]="C",WORKDAY(Main[[#This Row],[Tech Start Date]],23),IF(Main[[#This Row],[Class]]="B", WORKDAY(Main[[#This Row],[Tech Start Date]],15),IF(Main[[#This Row],[Class]]="A",WORKDAY(Main[[#This Row],[Tech Start Date]],5),""))))</f>
        <v/>
      </c>
      <c r="P248" s="75" t="str">
        <f>IF(Main[[#This Row],[Tech Start Date]]&lt;1/1/1990,"",IF(Main[[#This Row],[Class]]="C",WORKDAY(Main[[#This Row],[Tech Start Date]],28),IF(Main[[#This Row],[Class]]="B", WORKDAY(Main[[#This Row],[Tech Start Date]],19),IF(Main[[#This Row],[Class]]="A",WORKDAY(Main[[#This Row],[Tech Start Date]],9),""))))</f>
        <v/>
      </c>
      <c r="Q248" s="89"/>
      <c r="R248" s="121"/>
      <c r="S248" s="99" t="s">
        <v>4</v>
      </c>
      <c r="T248" s="76" t="s">
        <v>4</v>
      </c>
      <c r="U248" s="99" t="s">
        <v>29</v>
      </c>
      <c r="V248" s="99" t="s">
        <v>1914</v>
      </c>
      <c r="W248" s="99" t="s">
        <v>4</v>
      </c>
      <c r="X248" s="99" t="s">
        <v>942</v>
      </c>
      <c r="Y248" s="73" t="s">
        <v>2983</v>
      </c>
      <c r="Z248" s="73" t="s">
        <v>4</v>
      </c>
      <c r="AA248" s="99" t="s">
        <v>942</v>
      </c>
    </row>
    <row r="249" spans="1:27" ht="17.25" customHeight="1">
      <c r="A249" s="65" t="str">
        <f>IF(priority(Main[[#This Row],[Comments]])&lt;&gt;0, priority(Main[[#This Row],[Comments]]),"")</f>
        <v/>
      </c>
      <c r="B249" s="60" t="s">
        <v>1107</v>
      </c>
      <c r="C249" s="105" t="s">
        <v>4</v>
      </c>
      <c r="D249" s="74" t="s">
        <v>153</v>
      </c>
      <c r="E249" s="89"/>
      <c r="F249" s="89"/>
      <c r="G249" s="65" t="str">
        <f>IF(stdProdLT(Main[[#This Row],[Comments]])=0.1,"N/A",IF(stdProdLT(Main[[#This Row],[Comments]])=0,"",TRIM(stdProdLT(Main[[#This Row],[Comments]]))))</f>
        <v/>
      </c>
      <c r="H249" s="98" t="str">
        <f>IF(Main[[#This Row],[Std. Prod. Lead Time]]="N/A", "",IF(AND(Main[[#This Row],[In Stock Date]]&lt;&gt;"",Main[[#This Row],[Revised Due Date]]&lt;&gt;"",Main[[#This Row],[In Stock Date]]&lt;&gt;""),Main[[#This Row],[In Stock Date]]-Main[[#This Row],[Revised Due Date]],""))</f>
        <v/>
      </c>
      <c r="I249" s="110" t="s">
        <v>30</v>
      </c>
      <c r="J249" s="99" t="s">
        <v>52</v>
      </c>
      <c r="K249" s="99" t="s">
        <v>4</v>
      </c>
      <c r="L249" s="89"/>
      <c r="M249" s="75" t="str">
        <f>IF(Main[[#This Row],[Tech Start Date]]&lt;1/1/1990,"",IF(Main[[#This Row],[Class]]="C",WORKDAY(Main[[#This Row],[Tech Start Date]],9),IF(Main[[#This Row],[Class]]="B", WORKDAY(Main[[#This Row],[Tech Start Date]],6),IF(Main[[#This Row],[Class]]="A",WORKDAY(Main[[#This Row],[Tech Start Date]],2),""))))</f>
        <v/>
      </c>
      <c r="N249" s="75" t="str">
        <f>IF(Main[[#This Row],[Tech Start Date]]&lt;1/1/1990,"",IF(Main[[#This Row],[Class]]="C",WORKDAY(Main[[#This Row],[Tech Start Date]],19),IF(Main[[#This Row],[Class]]="B", WORKDAY(Main[[#This Row],[Tech Start Date]],12),IF(Main[[#This Row],[Class]]="A",WORKDAY(Main[[#This Row],[Tech Start Date]],4),""))))</f>
        <v/>
      </c>
      <c r="O249" s="75" t="str">
        <f>IF(Main[[#This Row],[Tech Start Date]]&lt;1/1/1990,"",IF(Main[[#This Row],[Class]]="C",WORKDAY(Main[[#This Row],[Tech Start Date]],23),IF(Main[[#This Row],[Class]]="B", WORKDAY(Main[[#This Row],[Tech Start Date]],15),IF(Main[[#This Row],[Class]]="A",WORKDAY(Main[[#This Row],[Tech Start Date]],5),""))))</f>
        <v/>
      </c>
      <c r="P249" s="75" t="str">
        <f>IF(Main[[#This Row],[Tech Start Date]]&lt;1/1/1990,"",IF(Main[[#This Row],[Class]]="C",WORKDAY(Main[[#This Row],[Tech Start Date]],28),IF(Main[[#This Row],[Class]]="B", WORKDAY(Main[[#This Row],[Tech Start Date]],19),IF(Main[[#This Row],[Class]]="A",WORKDAY(Main[[#This Row],[Tech Start Date]],9),""))))</f>
        <v/>
      </c>
      <c r="Q249" s="89">
        <v>40448</v>
      </c>
      <c r="R249" s="121"/>
      <c r="S249" s="99" t="s">
        <v>6</v>
      </c>
      <c r="T249" s="76" t="s">
        <v>4</v>
      </c>
      <c r="U249" s="99" t="s">
        <v>14</v>
      </c>
      <c r="V249" s="99" t="s">
        <v>1916</v>
      </c>
      <c r="W249" s="99" t="s">
        <v>4</v>
      </c>
      <c r="X249" s="99" t="s">
        <v>2812</v>
      </c>
      <c r="Y249" s="73" t="s">
        <v>2923</v>
      </c>
      <c r="Z249" s="73" t="s">
        <v>530</v>
      </c>
      <c r="AA249" s="99" t="s">
        <v>2812</v>
      </c>
    </row>
    <row r="250" spans="1:27" ht="17.25" customHeight="1">
      <c r="A250" s="65" t="str">
        <f>IF(priority(Main[[#This Row],[Comments]])&lt;&gt;0, priority(Main[[#This Row],[Comments]]),"")</f>
        <v/>
      </c>
      <c r="B250" s="60" t="s">
        <v>2675</v>
      </c>
      <c r="C250" s="105" t="s">
        <v>42</v>
      </c>
      <c r="D250" s="74" t="s">
        <v>2676</v>
      </c>
      <c r="E250" s="89">
        <v>40897.730937499997</v>
      </c>
      <c r="F250" s="89"/>
      <c r="G250" s="65" t="str">
        <f>IF(stdProdLT(Main[[#This Row],[Comments]])=0.1,"N/A",IF(stdProdLT(Main[[#This Row],[Comments]])=0,"",TRIM(stdProdLT(Main[[#This Row],[Comments]]))))</f>
        <v/>
      </c>
      <c r="H250" s="98" t="str">
        <f>IF(Main[[#This Row],[Std. Prod. Lead Time]]="N/A", "",IF(AND(Main[[#This Row],[In Stock Date]]&lt;&gt;"",Main[[#This Row],[Revised Due Date]]&lt;&gt;"",Main[[#This Row],[In Stock Date]]&lt;&gt;""),Main[[#This Row],[In Stock Date]]-Main[[#This Row],[Revised Due Date]],""))</f>
        <v/>
      </c>
      <c r="I250" s="110" t="s">
        <v>239</v>
      </c>
      <c r="J250" s="99" t="s">
        <v>21</v>
      </c>
      <c r="K250" s="99" t="s">
        <v>1922</v>
      </c>
      <c r="L250" s="89"/>
      <c r="M250" s="75" t="str">
        <f>IF(Main[[#This Row],[Tech Start Date]]&lt;1/1/1990,"",IF(Main[[#This Row],[Class]]="C",WORKDAY(Main[[#This Row],[Tech Start Date]],9),IF(Main[[#This Row],[Class]]="B", WORKDAY(Main[[#This Row],[Tech Start Date]],6),IF(Main[[#This Row],[Class]]="A",WORKDAY(Main[[#This Row],[Tech Start Date]],2),""))))</f>
        <v/>
      </c>
      <c r="N250" s="75" t="str">
        <f>IF(Main[[#This Row],[Tech Start Date]]&lt;1/1/1990,"",IF(Main[[#This Row],[Class]]="C",WORKDAY(Main[[#This Row],[Tech Start Date]],19),IF(Main[[#This Row],[Class]]="B", WORKDAY(Main[[#This Row],[Tech Start Date]],12),IF(Main[[#This Row],[Class]]="A",WORKDAY(Main[[#This Row],[Tech Start Date]],4),""))))</f>
        <v/>
      </c>
      <c r="O250" s="75" t="str">
        <f>IF(Main[[#This Row],[Tech Start Date]]&lt;1/1/1990,"",IF(Main[[#This Row],[Class]]="C",WORKDAY(Main[[#This Row],[Tech Start Date]],23),IF(Main[[#This Row],[Class]]="B", WORKDAY(Main[[#This Row],[Tech Start Date]],15),IF(Main[[#This Row],[Class]]="A",WORKDAY(Main[[#This Row],[Tech Start Date]],5),""))))</f>
        <v/>
      </c>
      <c r="P250" s="75" t="str">
        <f>IF(Main[[#This Row],[Tech Start Date]]&lt;1/1/1990,"",IF(Main[[#This Row],[Class]]="C",WORKDAY(Main[[#This Row],[Tech Start Date]],28),IF(Main[[#This Row],[Class]]="B", WORKDAY(Main[[#This Row],[Tech Start Date]],19),IF(Main[[#This Row],[Class]]="A",WORKDAY(Main[[#This Row],[Tech Start Date]],9),""))))</f>
        <v/>
      </c>
      <c r="Q250" s="89">
        <v>41244</v>
      </c>
      <c r="R250" s="121"/>
      <c r="S250" s="99" t="s">
        <v>6</v>
      </c>
      <c r="T250" s="76" t="s">
        <v>4</v>
      </c>
      <c r="U250" s="99" t="s">
        <v>29</v>
      </c>
      <c r="V250" s="99" t="s">
        <v>1923</v>
      </c>
      <c r="W250" s="99" t="s">
        <v>1915</v>
      </c>
      <c r="X250" s="99" t="s">
        <v>30</v>
      </c>
      <c r="Y250" s="73" t="s">
        <v>2934</v>
      </c>
      <c r="Z250" s="73" t="s">
        <v>530</v>
      </c>
      <c r="AA250" s="99" t="s">
        <v>30</v>
      </c>
    </row>
    <row r="251" spans="1:27" ht="17.25" customHeight="1">
      <c r="A251" s="65" t="str">
        <f>IF(priority(Main[[#This Row],[Comments]])&lt;&gt;0, priority(Main[[#This Row],[Comments]]),"")</f>
        <v/>
      </c>
      <c r="B251" s="60" t="s">
        <v>1082</v>
      </c>
      <c r="C251" s="105" t="s">
        <v>4</v>
      </c>
      <c r="D251" s="74" t="s">
        <v>132</v>
      </c>
      <c r="E251" s="89"/>
      <c r="F251" s="89">
        <v>40598</v>
      </c>
      <c r="G251" s="65" t="str">
        <f>IF(stdProdLT(Main[[#This Row],[Comments]])=0.1,"N/A",IF(stdProdLT(Main[[#This Row],[Comments]])=0,"",TRIM(stdProdLT(Main[[#This Row],[Comments]]))))</f>
        <v/>
      </c>
      <c r="H251" s="98" t="str">
        <f>IF(Main[[#This Row],[Std. Prod. Lead Time]]="N/A", "",IF(AND(Main[[#This Row],[In Stock Date]]&lt;&gt;"",Main[[#This Row],[Revised Due Date]]&lt;&gt;"",Main[[#This Row],[In Stock Date]]&lt;&gt;""),Main[[#This Row],[In Stock Date]]-Main[[#This Row],[Revised Due Date]],""))</f>
        <v/>
      </c>
      <c r="I251" s="110" t="s">
        <v>4</v>
      </c>
      <c r="J251" s="99" t="s">
        <v>4</v>
      </c>
      <c r="K251" s="100" t="s">
        <v>4</v>
      </c>
      <c r="L251" s="89"/>
      <c r="M251" s="75" t="str">
        <f>IF(Main[[#This Row],[Tech Start Date]]&lt;1/1/1990,"",IF(Main[[#This Row],[Class]]="C",WORKDAY(Main[[#This Row],[Tech Start Date]],9),IF(Main[[#This Row],[Class]]="B", WORKDAY(Main[[#This Row],[Tech Start Date]],6),IF(Main[[#This Row],[Class]]="A",WORKDAY(Main[[#This Row],[Tech Start Date]],2),""))))</f>
        <v/>
      </c>
      <c r="N251" s="75" t="str">
        <f>IF(Main[[#This Row],[Tech Start Date]]&lt;1/1/1990,"",IF(Main[[#This Row],[Class]]="C",WORKDAY(Main[[#This Row],[Tech Start Date]],19),IF(Main[[#This Row],[Class]]="B", WORKDAY(Main[[#This Row],[Tech Start Date]],12),IF(Main[[#This Row],[Class]]="A",WORKDAY(Main[[#This Row],[Tech Start Date]],4),""))))</f>
        <v/>
      </c>
      <c r="O251" s="75" t="str">
        <f>IF(Main[[#This Row],[Tech Start Date]]&lt;1/1/1990,"",IF(Main[[#This Row],[Class]]="C",WORKDAY(Main[[#This Row],[Tech Start Date]],23),IF(Main[[#This Row],[Class]]="B", WORKDAY(Main[[#This Row],[Tech Start Date]],15),IF(Main[[#This Row],[Class]]="A",WORKDAY(Main[[#This Row],[Tech Start Date]],5),""))))</f>
        <v/>
      </c>
      <c r="P251" s="75" t="str">
        <f>IF(Main[[#This Row],[Tech Start Date]]&lt;1/1/1990,"",IF(Main[[#This Row],[Class]]="C",WORKDAY(Main[[#This Row],[Tech Start Date]],28),IF(Main[[#This Row],[Class]]="B", WORKDAY(Main[[#This Row],[Tech Start Date]],19),IF(Main[[#This Row],[Class]]="A",WORKDAY(Main[[#This Row],[Tech Start Date]],9),""))))</f>
        <v/>
      </c>
      <c r="Q251" s="89">
        <v>40598</v>
      </c>
      <c r="R251" s="121"/>
      <c r="S251" s="99" t="s">
        <v>11</v>
      </c>
      <c r="T251" s="76" t="s">
        <v>4</v>
      </c>
      <c r="U251" s="99" t="s">
        <v>14</v>
      </c>
      <c r="V251" s="99" t="s">
        <v>1923</v>
      </c>
      <c r="W251" s="99" t="s">
        <v>1919</v>
      </c>
      <c r="X251" s="99" t="s">
        <v>2842</v>
      </c>
      <c r="Y251" s="73" t="s">
        <v>2973</v>
      </c>
      <c r="Z251" s="73" t="s">
        <v>4</v>
      </c>
      <c r="AA251" s="99" t="s">
        <v>2842</v>
      </c>
    </row>
    <row r="252" spans="1:27" ht="17.25" customHeight="1">
      <c r="A252" s="65" t="str">
        <f>IF(priority(Main[[#This Row],[Comments]])&lt;&gt;0, priority(Main[[#This Row],[Comments]]),"")</f>
        <v/>
      </c>
      <c r="B252" s="60" t="s">
        <v>1084</v>
      </c>
      <c r="C252" s="105" t="s">
        <v>4</v>
      </c>
      <c r="D252" s="74" t="s">
        <v>134</v>
      </c>
      <c r="E252" s="89">
        <v>40683.594340277778</v>
      </c>
      <c r="F252" s="89"/>
      <c r="G252" s="65" t="str">
        <f>IF(stdProdLT(Main[[#This Row],[Comments]])=0.1,"N/A",IF(stdProdLT(Main[[#This Row],[Comments]])=0,"",TRIM(stdProdLT(Main[[#This Row],[Comments]]))))</f>
        <v/>
      </c>
      <c r="H252" s="98" t="str">
        <f>IF(Main[[#This Row],[Std. Prod. Lead Time]]="N/A", "",IF(AND(Main[[#This Row],[In Stock Date]]&lt;&gt;"",Main[[#This Row],[Revised Due Date]]&lt;&gt;"",Main[[#This Row],[In Stock Date]]&lt;&gt;""),Main[[#This Row],[In Stock Date]]-Main[[#This Row],[Revised Due Date]],""))</f>
        <v/>
      </c>
      <c r="I252" s="110" t="s">
        <v>4</v>
      </c>
      <c r="J252" s="99" t="s">
        <v>4</v>
      </c>
      <c r="K252" s="99" t="s">
        <v>4</v>
      </c>
      <c r="L252" s="89"/>
      <c r="M252" s="75" t="str">
        <f>IF(Main[[#This Row],[Tech Start Date]]&lt;1/1/1990,"",IF(Main[[#This Row],[Class]]="C",WORKDAY(Main[[#This Row],[Tech Start Date]],9),IF(Main[[#This Row],[Class]]="B", WORKDAY(Main[[#This Row],[Tech Start Date]],6),IF(Main[[#This Row],[Class]]="A",WORKDAY(Main[[#This Row],[Tech Start Date]],2),""))))</f>
        <v/>
      </c>
      <c r="N252" s="75" t="str">
        <f>IF(Main[[#This Row],[Tech Start Date]]&lt;1/1/1990,"",IF(Main[[#This Row],[Class]]="C",WORKDAY(Main[[#This Row],[Tech Start Date]],19),IF(Main[[#This Row],[Class]]="B", WORKDAY(Main[[#This Row],[Tech Start Date]],12),IF(Main[[#This Row],[Class]]="A",WORKDAY(Main[[#This Row],[Tech Start Date]],4),""))))</f>
        <v/>
      </c>
      <c r="O252" s="75" t="str">
        <f>IF(Main[[#This Row],[Tech Start Date]]&lt;1/1/1990,"",IF(Main[[#This Row],[Class]]="C",WORKDAY(Main[[#This Row],[Tech Start Date]],23),IF(Main[[#This Row],[Class]]="B", WORKDAY(Main[[#This Row],[Tech Start Date]],15),IF(Main[[#This Row],[Class]]="A",WORKDAY(Main[[#This Row],[Tech Start Date]],5),""))))</f>
        <v/>
      </c>
      <c r="P252" s="75" t="str">
        <f>IF(Main[[#This Row],[Tech Start Date]]&lt;1/1/1990,"",IF(Main[[#This Row],[Class]]="C",WORKDAY(Main[[#This Row],[Tech Start Date]],28),IF(Main[[#This Row],[Class]]="B", WORKDAY(Main[[#This Row],[Tech Start Date]],19),IF(Main[[#This Row],[Class]]="A",WORKDAY(Main[[#This Row],[Tech Start Date]],9),""))))</f>
        <v/>
      </c>
      <c r="Q252" s="89">
        <v>40718</v>
      </c>
      <c r="R252" s="121"/>
      <c r="S252" s="99" t="s">
        <v>6</v>
      </c>
      <c r="T252" s="76" t="s">
        <v>4</v>
      </c>
      <c r="U252" s="99" t="s">
        <v>7</v>
      </c>
      <c r="V252" s="99" t="s">
        <v>1913</v>
      </c>
      <c r="W252" s="99" t="s">
        <v>1921</v>
      </c>
      <c r="X252" s="99" t="s">
        <v>2815</v>
      </c>
      <c r="Y252" s="73" t="s">
        <v>2930</v>
      </c>
      <c r="Z252" s="73" t="s">
        <v>4</v>
      </c>
      <c r="AA252" s="99" t="s">
        <v>2815</v>
      </c>
    </row>
    <row r="253" spans="1:27" ht="17.25" customHeight="1">
      <c r="A253" s="65" t="str">
        <f>IF(priority(Main[[#This Row],[Comments]])&lt;&gt;0, priority(Main[[#This Row],[Comments]]),"")</f>
        <v/>
      </c>
      <c r="B253" s="60" t="s">
        <v>1085</v>
      </c>
      <c r="C253" s="105" t="s">
        <v>4</v>
      </c>
      <c r="D253" s="74" t="s">
        <v>135</v>
      </c>
      <c r="E253" s="89">
        <v>40312.634143518517</v>
      </c>
      <c r="F253" s="89"/>
      <c r="G253" s="65" t="str">
        <f>IF(stdProdLT(Main[[#This Row],[Comments]])=0.1,"N/A",IF(stdProdLT(Main[[#This Row],[Comments]])=0,"",TRIM(stdProdLT(Main[[#This Row],[Comments]]))))</f>
        <v/>
      </c>
      <c r="H253" s="98" t="str">
        <f>IF(Main[[#This Row],[Std. Prod. Lead Time]]="N/A", "",IF(AND(Main[[#This Row],[In Stock Date]]&lt;&gt;"",Main[[#This Row],[Revised Due Date]]&lt;&gt;"",Main[[#This Row],[In Stock Date]]&lt;&gt;""),Main[[#This Row],[In Stock Date]]-Main[[#This Row],[Revised Due Date]],""))</f>
        <v/>
      </c>
      <c r="I253" s="110" t="s">
        <v>129</v>
      </c>
      <c r="J253" s="99" t="s">
        <v>4</v>
      </c>
      <c r="K253" s="99" t="s">
        <v>4</v>
      </c>
      <c r="L253" s="89"/>
      <c r="M253" s="75" t="str">
        <f>IF(Main[[#This Row],[Tech Start Date]]&lt;1/1/1990,"",IF(Main[[#This Row],[Class]]="C",WORKDAY(Main[[#This Row],[Tech Start Date]],9),IF(Main[[#This Row],[Class]]="B", WORKDAY(Main[[#This Row],[Tech Start Date]],6),IF(Main[[#This Row],[Class]]="A",WORKDAY(Main[[#This Row],[Tech Start Date]],2),""))))</f>
        <v/>
      </c>
      <c r="N253" s="75" t="str">
        <f>IF(Main[[#This Row],[Tech Start Date]]&lt;1/1/1990,"",IF(Main[[#This Row],[Class]]="C",WORKDAY(Main[[#This Row],[Tech Start Date]],19),IF(Main[[#This Row],[Class]]="B", WORKDAY(Main[[#This Row],[Tech Start Date]],12),IF(Main[[#This Row],[Class]]="A",WORKDAY(Main[[#This Row],[Tech Start Date]],4),""))))</f>
        <v/>
      </c>
      <c r="O253" s="75" t="str">
        <f>IF(Main[[#This Row],[Tech Start Date]]&lt;1/1/1990,"",IF(Main[[#This Row],[Class]]="C",WORKDAY(Main[[#This Row],[Tech Start Date]],23),IF(Main[[#This Row],[Class]]="B", WORKDAY(Main[[#This Row],[Tech Start Date]],15),IF(Main[[#This Row],[Class]]="A",WORKDAY(Main[[#This Row],[Tech Start Date]],5),""))))</f>
        <v/>
      </c>
      <c r="P253" s="75" t="str">
        <f>IF(Main[[#This Row],[Tech Start Date]]&lt;1/1/1990,"",IF(Main[[#This Row],[Class]]="C",WORKDAY(Main[[#This Row],[Tech Start Date]],28),IF(Main[[#This Row],[Class]]="B", WORKDAY(Main[[#This Row],[Tech Start Date]],19),IF(Main[[#This Row],[Class]]="A",WORKDAY(Main[[#This Row],[Tech Start Date]],9),""))))</f>
        <v/>
      </c>
      <c r="Q253" s="89">
        <v>40329</v>
      </c>
      <c r="R253" s="121"/>
      <c r="S253" s="99" t="s">
        <v>6</v>
      </c>
      <c r="T253" s="76" t="s">
        <v>4</v>
      </c>
      <c r="U253" s="99" t="s">
        <v>7</v>
      </c>
      <c r="V253" s="99" t="s">
        <v>1913</v>
      </c>
      <c r="W253" s="99" t="s">
        <v>1915</v>
      </c>
      <c r="X253" s="99" t="s">
        <v>417</v>
      </c>
      <c r="Y253" s="73" t="s">
        <v>2974</v>
      </c>
      <c r="Z253" s="73" t="s">
        <v>4</v>
      </c>
      <c r="AA253" s="99" t="s">
        <v>3371</v>
      </c>
    </row>
    <row r="254" spans="1:27" ht="17.25" customHeight="1">
      <c r="A254" s="65" t="str">
        <f>IF(priority(Main[[#This Row],[Comments]])&lt;&gt;0, priority(Main[[#This Row],[Comments]]),"")</f>
        <v/>
      </c>
      <c r="B254" s="60" t="s">
        <v>1086</v>
      </c>
      <c r="C254" s="105" t="s">
        <v>4</v>
      </c>
      <c r="D254" s="74" t="s">
        <v>97</v>
      </c>
      <c r="E254" s="89"/>
      <c r="F254" s="89"/>
      <c r="G254" s="65" t="str">
        <f>IF(stdProdLT(Main[[#This Row],[Comments]])=0.1,"N/A",IF(stdProdLT(Main[[#This Row],[Comments]])=0,"",TRIM(stdProdLT(Main[[#This Row],[Comments]]))))</f>
        <v/>
      </c>
      <c r="H254" s="98" t="str">
        <f>IF(Main[[#This Row],[Std. Prod. Lead Time]]="N/A", "",IF(AND(Main[[#This Row],[In Stock Date]]&lt;&gt;"",Main[[#This Row],[Revised Due Date]]&lt;&gt;"",Main[[#This Row],[In Stock Date]]&lt;&gt;""),Main[[#This Row],[In Stock Date]]-Main[[#This Row],[Revised Due Date]],""))</f>
        <v/>
      </c>
      <c r="I254" s="110" t="s">
        <v>4</v>
      </c>
      <c r="J254" s="99" t="s">
        <v>4</v>
      </c>
      <c r="K254" s="99" t="s">
        <v>4</v>
      </c>
      <c r="L254" s="89"/>
      <c r="M254" s="75" t="str">
        <f>IF(Main[[#This Row],[Tech Start Date]]&lt;1/1/1990,"",IF(Main[[#This Row],[Class]]="C",WORKDAY(Main[[#This Row],[Tech Start Date]],9),IF(Main[[#This Row],[Class]]="B", WORKDAY(Main[[#This Row],[Tech Start Date]],6),IF(Main[[#This Row],[Class]]="A",WORKDAY(Main[[#This Row],[Tech Start Date]],2),""))))</f>
        <v/>
      </c>
      <c r="N254" s="75" t="str">
        <f>IF(Main[[#This Row],[Tech Start Date]]&lt;1/1/1990,"",IF(Main[[#This Row],[Class]]="C",WORKDAY(Main[[#This Row],[Tech Start Date]],19),IF(Main[[#This Row],[Class]]="B", WORKDAY(Main[[#This Row],[Tech Start Date]],12),IF(Main[[#This Row],[Class]]="A",WORKDAY(Main[[#This Row],[Tech Start Date]],4),""))))</f>
        <v/>
      </c>
      <c r="O254" s="75" t="str">
        <f>IF(Main[[#This Row],[Tech Start Date]]&lt;1/1/1990,"",IF(Main[[#This Row],[Class]]="C",WORKDAY(Main[[#This Row],[Tech Start Date]],23),IF(Main[[#This Row],[Class]]="B", WORKDAY(Main[[#This Row],[Tech Start Date]],15),IF(Main[[#This Row],[Class]]="A",WORKDAY(Main[[#This Row],[Tech Start Date]],5),""))))</f>
        <v/>
      </c>
      <c r="P254" s="75" t="str">
        <f>IF(Main[[#This Row],[Tech Start Date]]&lt;1/1/1990,"",IF(Main[[#This Row],[Class]]="C",WORKDAY(Main[[#This Row],[Tech Start Date]],28),IF(Main[[#This Row],[Class]]="B", WORKDAY(Main[[#This Row],[Tech Start Date]],19),IF(Main[[#This Row],[Class]]="A",WORKDAY(Main[[#This Row],[Tech Start Date]],9),""))))</f>
        <v/>
      </c>
      <c r="Q254" s="89">
        <v>40858</v>
      </c>
      <c r="R254" s="121"/>
      <c r="S254" s="99" t="s">
        <v>17</v>
      </c>
      <c r="T254" s="76" t="s">
        <v>4</v>
      </c>
      <c r="U254" s="99" t="s">
        <v>14</v>
      </c>
      <c r="V254" s="99" t="s">
        <v>1913</v>
      </c>
      <c r="W254" s="99" t="s">
        <v>1918</v>
      </c>
      <c r="X254" s="99" t="s">
        <v>50</v>
      </c>
      <c r="Y254" s="73" t="s">
        <v>2953</v>
      </c>
      <c r="Z254" s="73" t="s">
        <v>4</v>
      </c>
      <c r="AA254" s="99" t="s">
        <v>2822</v>
      </c>
    </row>
    <row r="255" spans="1:27" ht="17.25" customHeight="1">
      <c r="A255" s="65" t="str">
        <f>IF(priority(Main[[#This Row],[Comments]])&lt;&gt;0, priority(Main[[#This Row],[Comments]]),"")</f>
        <v/>
      </c>
      <c r="B255" s="60" t="s">
        <v>1669</v>
      </c>
      <c r="C255" s="105" t="s">
        <v>4</v>
      </c>
      <c r="D255" s="74" t="s">
        <v>730</v>
      </c>
      <c r="E255" s="89"/>
      <c r="F255" s="89"/>
      <c r="G255" s="65" t="str">
        <f>IF(stdProdLT(Main[[#This Row],[Comments]])=0.1,"N/A",IF(stdProdLT(Main[[#This Row],[Comments]])=0,"",TRIM(stdProdLT(Main[[#This Row],[Comments]]))))</f>
        <v/>
      </c>
      <c r="H255" s="98" t="str">
        <f>IF(Main[[#This Row],[Std. Prod. Lead Time]]="N/A", "",IF(AND(Main[[#This Row],[In Stock Date]]&lt;&gt;"",Main[[#This Row],[Revised Due Date]]&lt;&gt;"",Main[[#This Row],[In Stock Date]]&lt;&gt;""),Main[[#This Row],[In Stock Date]]-Main[[#This Row],[Revised Due Date]],""))</f>
        <v/>
      </c>
      <c r="I255" s="110" t="s">
        <v>4</v>
      </c>
      <c r="J255" s="99" t="s">
        <v>4</v>
      </c>
      <c r="K255" s="99" t="s">
        <v>4</v>
      </c>
      <c r="L255" s="89"/>
      <c r="M255" s="75" t="str">
        <f>IF(Main[[#This Row],[Tech Start Date]]&lt;1/1/1990,"",IF(Main[[#This Row],[Class]]="C",WORKDAY(Main[[#This Row],[Tech Start Date]],9),IF(Main[[#This Row],[Class]]="B", WORKDAY(Main[[#This Row],[Tech Start Date]],6),IF(Main[[#This Row],[Class]]="A",WORKDAY(Main[[#This Row],[Tech Start Date]],2),""))))</f>
        <v/>
      </c>
      <c r="N255" s="75" t="str">
        <f>IF(Main[[#This Row],[Tech Start Date]]&lt;1/1/1990,"",IF(Main[[#This Row],[Class]]="C",WORKDAY(Main[[#This Row],[Tech Start Date]],19),IF(Main[[#This Row],[Class]]="B", WORKDAY(Main[[#This Row],[Tech Start Date]],12),IF(Main[[#This Row],[Class]]="A",WORKDAY(Main[[#This Row],[Tech Start Date]],4),""))))</f>
        <v/>
      </c>
      <c r="O255" s="75" t="str">
        <f>IF(Main[[#This Row],[Tech Start Date]]&lt;1/1/1990,"",IF(Main[[#This Row],[Class]]="C",WORKDAY(Main[[#This Row],[Tech Start Date]],23),IF(Main[[#This Row],[Class]]="B", WORKDAY(Main[[#This Row],[Tech Start Date]],15),IF(Main[[#This Row],[Class]]="A",WORKDAY(Main[[#This Row],[Tech Start Date]],5),""))))</f>
        <v/>
      </c>
      <c r="P255" s="75" t="str">
        <f>IF(Main[[#This Row],[Tech Start Date]]&lt;1/1/1990,"",IF(Main[[#This Row],[Class]]="C",WORKDAY(Main[[#This Row],[Tech Start Date]],28),IF(Main[[#This Row],[Class]]="B", WORKDAY(Main[[#This Row],[Tech Start Date]],19),IF(Main[[#This Row],[Class]]="A",WORKDAY(Main[[#This Row],[Tech Start Date]],9),""))))</f>
        <v/>
      </c>
      <c r="Q255" s="89"/>
      <c r="R255" s="121"/>
      <c r="S255" s="99" t="s">
        <v>23</v>
      </c>
      <c r="T255" s="76" t="s">
        <v>4</v>
      </c>
      <c r="U255" s="99" t="s">
        <v>14</v>
      </c>
      <c r="V255" s="99" t="s">
        <v>1913</v>
      </c>
      <c r="W255" s="99" t="s">
        <v>1917</v>
      </c>
      <c r="X255" s="99" t="s">
        <v>399</v>
      </c>
      <c r="Y255" s="73" t="s">
        <v>4</v>
      </c>
      <c r="Z255" s="73" t="s">
        <v>4</v>
      </c>
      <c r="AA255" s="99" t="s">
        <v>3383</v>
      </c>
    </row>
    <row r="256" spans="1:27" ht="17.25" customHeight="1">
      <c r="A256" s="65" t="str">
        <f>IF(priority(Main[[#This Row],[Comments]])&lt;&gt;0, priority(Main[[#This Row],[Comments]]),"")</f>
        <v/>
      </c>
      <c r="B256" s="60" t="s">
        <v>1087</v>
      </c>
      <c r="C256" s="105" t="s">
        <v>113</v>
      </c>
      <c r="D256" s="74" t="s">
        <v>136</v>
      </c>
      <c r="E256" s="89"/>
      <c r="F256" s="89"/>
      <c r="G256" s="65" t="str">
        <f>IF(stdProdLT(Main[[#This Row],[Comments]])=0.1,"N/A",IF(stdProdLT(Main[[#This Row],[Comments]])=0,"",TRIM(stdProdLT(Main[[#This Row],[Comments]]))))</f>
        <v/>
      </c>
      <c r="H256" s="98" t="str">
        <f>IF(Main[[#This Row],[Std. Prod. Lead Time]]="N/A", "",IF(AND(Main[[#This Row],[In Stock Date]]&lt;&gt;"",Main[[#This Row],[Revised Due Date]]&lt;&gt;"",Main[[#This Row],[In Stock Date]]&lt;&gt;""),Main[[#This Row],[In Stock Date]]-Main[[#This Row],[Revised Due Date]],""))</f>
        <v/>
      </c>
      <c r="I256" s="110" t="s">
        <v>4</v>
      </c>
      <c r="J256" s="99" t="s">
        <v>4</v>
      </c>
      <c r="K256" s="99" t="s">
        <v>4</v>
      </c>
      <c r="L256" s="89"/>
      <c r="M256" s="75" t="str">
        <f>IF(Main[[#This Row],[Tech Start Date]]&lt;1/1/1990,"",IF(Main[[#This Row],[Class]]="C",WORKDAY(Main[[#This Row],[Tech Start Date]],9),IF(Main[[#This Row],[Class]]="B", WORKDAY(Main[[#This Row],[Tech Start Date]],6),IF(Main[[#This Row],[Class]]="A",WORKDAY(Main[[#This Row],[Tech Start Date]],2),""))))</f>
        <v/>
      </c>
      <c r="N256" s="75" t="str">
        <f>IF(Main[[#This Row],[Tech Start Date]]&lt;1/1/1990,"",IF(Main[[#This Row],[Class]]="C",WORKDAY(Main[[#This Row],[Tech Start Date]],19),IF(Main[[#This Row],[Class]]="B", WORKDAY(Main[[#This Row],[Tech Start Date]],12),IF(Main[[#This Row],[Class]]="A",WORKDAY(Main[[#This Row],[Tech Start Date]],4),""))))</f>
        <v/>
      </c>
      <c r="O256" s="75" t="str">
        <f>IF(Main[[#This Row],[Tech Start Date]]&lt;1/1/1990,"",IF(Main[[#This Row],[Class]]="C",WORKDAY(Main[[#This Row],[Tech Start Date]],23),IF(Main[[#This Row],[Class]]="B", WORKDAY(Main[[#This Row],[Tech Start Date]],15),IF(Main[[#This Row],[Class]]="A",WORKDAY(Main[[#This Row],[Tech Start Date]],5),""))))</f>
        <v/>
      </c>
      <c r="P256" s="75" t="str">
        <f>IF(Main[[#This Row],[Tech Start Date]]&lt;1/1/1990,"",IF(Main[[#This Row],[Class]]="C",WORKDAY(Main[[#This Row],[Tech Start Date]],28),IF(Main[[#This Row],[Class]]="B", WORKDAY(Main[[#This Row],[Tech Start Date]],19),IF(Main[[#This Row],[Class]]="A",WORKDAY(Main[[#This Row],[Tech Start Date]],9),""))))</f>
        <v/>
      </c>
      <c r="Q256" s="89">
        <v>40641</v>
      </c>
      <c r="R256" s="121"/>
      <c r="S256" s="99" t="s">
        <v>11</v>
      </c>
      <c r="T256" s="76" t="s">
        <v>4</v>
      </c>
      <c r="U256" s="99" t="s">
        <v>14</v>
      </c>
      <c r="V256" s="99" t="s">
        <v>1913</v>
      </c>
      <c r="W256" s="99" t="s">
        <v>1921</v>
      </c>
      <c r="X256" s="99" t="s">
        <v>2833</v>
      </c>
      <c r="Y256" s="73" t="s">
        <v>2975</v>
      </c>
      <c r="Z256" s="73" t="s">
        <v>4</v>
      </c>
      <c r="AA256" s="99" t="s">
        <v>2833</v>
      </c>
    </row>
    <row r="257" spans="1:27" ht="17.25" customHeight="1">
      <c r="A257" s="65" t="str">
        <f>IF(priority(Main[[#This Row],[Comments]])&lt;&gt;0, priority(Main[[#This Row],[Comments]]),"")</f>
        <v/>
      </c>
      <c r="B257" s="60" t="s">
        <v>1088</v>
      </c>
      <c r="C257" s="105" t="s">
        <v>137</v>
      </c>
      <c r="D257" s="74" t="s">
        <v>138</v>
      </c>
      <c r="E257" s="89"/>
      <c r="F257" s="89"/>
      <c r="G257" s="65" t="str">
        <f>IF(stdProdLT(Main[[#This Row],[Comments]])=0.1,"N/A",IF(stdProdLT(Main[[#This Row],[Comments]])=0,"",TRIM(stdProdLT(Main[[#This Row],[Comments]]))))</f>
        <v/>
      </c>
      <c r="H257" s="98" t="str">
        <f>IF(Main[[#This Row],[Std. Prod. Lead Time]]="N/A", "",IF(AND(Main[[#This Row],[In Stock Date]]&lt;&gt;"",Main[[#This Row],[Revised Due Date]]&lt;&gt;"",Main[[#This Row],[In Stock Date]]&lt;&gt;""),Main[[#This Row],[In Stock Date]]-Main[[#This Row],[Revised Due Date]],""))</f>
        <v/>
      </c>
      <c r="I257" s="110" t="s">
        <v>4</v>
      </c>
      <c r="J257" s="99" t="s">
        <v>4</v>
      </c>
      <c r="K257" s="99" t="s">
        <v>4</v>
      </c>
      <c r="L257" s="89"/>
      <c r="M257" s="75" t="str">
        <f>IF(Main[[#This Row],[Tech Start Date]]&lt;1/1/1990,"",IF(Main[[#This Row],[Class]]="C",WORKDAY(Main[[#This Row],[Tech Start Date]],9),IF(Main[[#This Row],[Class]]="B", WORKDAY(Main[[#This Row],[Tech Start Date]],6),IF(Main[[#This Row],[Class]]="A",WORKDAY(Main[[#This Row],[Tech Start Date]],2),""))))</f>
        <v/>
      </c>
      <c r="N257" s="75" t="str">
        <f>IF(Main[[#This Row],[Tech Start Date]]&lt;1/1/1990,"",IF(Main[[#This Row],[Class]]="C",WORKDAY(Main[[#This Row],[Tech Start Date]],19),IF(Main[[#This Row],[Class]]="B", WORKDAY(Main[[#This Row],[Tech Start Date]],12),IF(Main[[#This Row],[Class]]="A",WORKDAY(Main[[#This Row],[Tech Start Date]],4),""))))</f>
        <v/>
      </c>
      <c r="O257" s="75" t="str">
        <f>IF(Main[[#This Row],[Tech Start Date]]&lt;1/1/1990,"",IF(Main[[#This Row],[Class]]="C",WORKDAY(Main[[#This Row],[Tech Start Date]],23),IF(Main[[#This Row],[Class]]="B", WORKDAY(Main[[#This Row],[Tech Start Date]],15),IF(Main[[#This Row],[Class]]="A",WORKDAY(Main[[#This Row],[Tech Start Date]],5),""))))</f>
        <v/>
      </c>
      <c r="P257" s="75" t="str">
        <f>IF(Main[[#This Row],[Tech Start Date]]&lt;1/1/1990,"",IF(Main[[#This Row],[Class]]="C",WORKDAY(Main[[#This Row],[Tech Start Date]],28),IF(Main[[#This Row],[Class]]="B", WORKDAY(Main[[#This Row],[Tech Start Date]],19),IF(Main[[#This Row],[Class]]="A",WORKDAY(Main[[#This Row],[Tech Start Date]],9),""))))</f>
        <v/>
      </c>
      <c r="Q257" s="89">
        <v>40641</v>
      </c>
      <c r="R257" s="121"/>
      <c r="S257" s="99" t="s">
        <v>11</v>
      </c>
      <c r="T257" s="76" t="s">
        <v>4</v>
      </c>
      <c r="U257" s="99" t="s">
        <v>14</v>
      </c>
      <c r="V257" s="99" t="s">
        <v>1913</v>
      </c>
      <c r="W257" s="99" t="s">
        <v>1921</v>
      </c>
      <c r="X257" s="99" t="s">
        <v>2833</v>
      </c>
      <c r="Y257" s="73" t="s">
        <v>2964</v>
      </c>
      <c r="Z257" s="73" t="s">
        <v>4</v>
      </c>
      <c r="AA257" s="99" t="s">
        <v>2833</v>
      </c>
    </row>
    <row r="258" spans="1:27" ht="17.25" customHeight="1">
      <c r="A258" s="65" t="str">
        <f>IF(priority(Main[[#This Row],[Comments]])&lt;&gt;0, priority(Main[[#This Row],[Comments]]),"")</f>
        <v/>
      </c>
      <c r="B258" s="60" t="s">
        <v>1090</v>
      </c>
      <c r="C258" s="105" t="s">
        <v>33</v>
      </c>
      <c r="D258" s="74" t="s">
        <v>139</v>
      </c>
      <c r="E258" s="89"/>
      <c r="F258" s="89"/>
      <c r="G258" s="65" t="str">
        <f>IF(stdProdLT(Main[[#This Row],[Comments]])=0.1,"N/A",IF(stdProdLT(Main[[#This Row],[Comments]])=0,"",TRIM(stdProdLT(Main[[#This Row],[Comments]]))))</f>
        <v/>
      </c>
      <c r="H258" s="98" t="str">
        <f>IF(Main[[#This Row],[Std. Prod. Lead Time]]="N/A", "",IF(AND(Main[[#This Row],[In Stock Date]]&lt;&gt;"",Main[[#This Row],[Revised Due Date]]&lt;&gt;"",Main[[#This Row],[In Stock Date]]&lt;&gt;""),Main[[#This Row],[In Stock Date]]-Main[[#This Row],[Revised Due Date]],""))</f>
        <v/>
      </c>
      <c r="I258" s="110" t="s">
        <v>4</v>
      </c>
      <c r="J258" s="99" t="s">
        <v>4</v>
      </c>
      <c r="K258" s="100" t="s">
        <v>4</v>
      </c>
      <c r="L258" s="89"/>
      <c r="M258" s="75" t="str">
        <f>IF(Main[[#This Row],[Tech Start Date]]&lt;1/1/1990,"",IF(Main[[#This Row],[Class]]="C",WORKDAY(Main[[#This Row],[Tech Start Date]],9),IF(Main[[#This Row],[Class]]="B", WORKDAY(Main[[#This Row],[Tech Start Date]],6),IF(Main[[#This Row],[Class]]="A",WORKDAY(Main[[#This Row],[Tech Start Date]],2),""))))</f>
        <v/>
      </c>
      <c r="N258" s="75" t="str">
        <f>IF(Main[[#This Row],[Tech Start Date]]&lt;1/1/1990,"",IF(Main[[#This Row],[Class]]="C",WORKDAY(Main[[#This Row],[Tech Start Date]],19),IF(Main[[#This Row],[Class]]="B", WORKDAY(Main[[#This Row],[Tech Start Date]],12),IF(Main[[#This Row],[Class]]="A",WORKDAY(Main[[#This Row],[Tech Start Date]],4),""))))</f>
        <v/>
      </c>
      <c r="O258" s="75" t="str">
        <f>IF(Main[[#This Row],[Tech Start Date]]&lt;1/1/1990,"",IF(Main[[#This Row],[Class]]="C",WORKDAY(Main[[#This Row],[Tech Start Date]],23),IF(Main[[#This Row],[Class]]="B", WORKDAY(Main[[#This Row],[Tech Start Date]],15),IF(Main[[#This Row],[Class]]="A",WORKDAY(Main[[#This Row],[Tech Start Date]],5),""))))</f>
        <v/>
      </c>
      <c r="P258" s="75" t="str">
        <f>IF(Main[[#This Row],[Tech Start Date]]&lt;1/1/1990,"",IF(Main[[#This Row],[Class]]="C",WORKDAY(Main[[#This Row],[Tech Start Date]],28),IF(Main[[#This Row],[Class]]="B", WORKDAY(Main[[#This Row],[Tech Start Date]],19),IF(Main[[#This Row],[Class]]="A",WORKDAY(Main[[#This Row],[Tech Start Date]],9),""))))</f>
        <v/>
      </c>
      <c r="Q258" s="89"/>
      <c r="R258" s="121"/>
      <c r="S258" s="99" t="s">
        <v>11</v>
      </c>
      <c r="T258" s="76" t="s">
        <v>4</v>
      </c>
      <c r="U258" s="99" t="s">
        <v>14</v>
      </c>
      <c r="V258" s="99" t="s">
        <v>1914</v>
      </c>
      <c r="W258" s="99" t="s">
        <v>1921</v>
      </c>
      <c r="X258" s="99" t="s">
        <v>2821</v>
      </c>
      <c r="Y258" s="73" t="s">
        <v>2942</v>
      </c>
      <c r="Z258" s="73" t="s">
        <v>4</v>
      </c>
      <c r="AA258" s="99" t="s">
        <v>2821</v>
      </c>
    </row>
    <row r="259" spans="1:27" ht="17.25" customHeight="1">
      <c r="A259" s="65" t="str">
        <f>IF(priority(Main[[#This Row],[Comments]])&lt;&gt;0, priority(Main[[#This Row],[Comments]]),"")</f>
        <v/>
      </c>
      <c r="B259" s="60" t="s">
        <v>1091</v>
      </c>
      <c r="C259" s="105" t="s">
        <v>4</v>
      </c>
      <c r="D259" s="74" t="s">
        <v>140</v>
      </c>
      <c r="E259" s="89">
        <v>40436.663981481484</v>
      </c>
      <c r="F259" s="89"/>
      <c r="G259" s="65" t="str">
        <f>IF(stdProdLT(Main[[#This Row],[Comments]])=0.1,"N/A",IF(stdProdLT(Main[[#This Row],[Comments]])=0,"",TRIM(stdProdLT(Main[[#This Row],[Comments]]))))</f>
        <v/>
      </c>
      <c r="H259" s="98" t="str">
        <f>IF(Main[[#This Row],[Std. Prod. Lead Time]]="N/A", "",IF(AND(Main[[#This Row],[In Stock Date]]&lt;&gt;"",Main[[#This Row],[Revised Due Date]]&lt;&gt;"",Main[[#This Row],[In Stock Date]]&lt;&gt;""),Main[[#This Row],[In Stock Date]]-Main[[#This Row],[Revised Due Date]],""))</f>
        <v/>
      </c>
      <c r="I259" s="110" t="s">
        <v>4</v>
      </c>
      <c r="J259" s="99" t="s">
        <v>4</v>
      </c>
      <c r="K259" s="99" t="s">
        <v>4</v>
      </c>
      <c r="L259" s="89"/>
      <c r="M259" s="75" t="str">
        <f>IF(Main[[#This Row],[Tech Start Date]]&lt;1/1/1990,"",IF(Main[[#This Row],[Class]]="C",WORKDAY(Main[[#This Row],[Tech Start Date]],9),IF(Main[[#This Row],[Class]]="B", WORKDAY(Main[[#This Row],[Tech Start Date]],6),IF(Main[[#This Row],[Class]]="A",WORKDAY(Main[[#This Row],[Tech Start Date]],2),""))))</f>
        <v/>
      </c>
      <c r="N259" s="75" t="str">
        <f>IF(Main[[#This Row],[Tech Start Date]]&lt;1/1/1990,"",IF(Main[[#This Row],[Class]]="C",WORKDAY(Main[[#This Row],[Tech Start Date]],19),IF(Main[[#This Row],[Class]]="B", WORKDAY(Main[[#This Row],[Tech Start Date]],12),IF(Main[[#This Row],[Class]]="A",WORKDAY(Main[[#This Row],[Tech Start Date]],4),""))))</f>
        <v/>
      </c>
      <c r="O259" s="75" t="str">
        <f>IF(Main[[#This Row],[Tech Start Date]]&lt;1/1/1990,"",IF(Main[[#This Row],[Class]]="C",WORKDAY(Main[[#This Row],[Tech Start Date]],23),IF(Main[[#This Row],[Class]]="B", WORKDAY(Main[[#This Row],[Tech Start Date]],15),IF(Main[[#This Row],[Class]]="A",WORKDAY(Main[[#This Row],[Tech Start Date]],5),""))))</f>
        <v/>
      </c>
      <c r="P259" s="75" t="str">
        <f>IF(Main[[#This Row],[Tech Start Date]]&lt;1/1/1990,"",IF(Main[[#This Row],[Class]]="C",WORKDAY(Main[[#This Row],[Tech Start Date]],28),IF(Main[[#This Row],[Class]]="B", WORKDAY(Main[[#This Row],[Tech Start Date]],19),IF(Main[[#This Row],[Class]]="A",WORKDAY(Main[[#This Row],[Tech Start Date]],9),""))))</f>
        <v/>
      </c>
      <c r="Q259" s="89"/>
      <c r="R259" s="121"/>
      <c r="S259" s="99" t="s">
        <v>17</v>
      </c>
      <c r="T259" s="76" t="s">
        <v>141</v>
      </c>
      <c r="U259" s="99" t="s">
        <v>7</v>
      </c>
      <c r="V259" s="99" t="s">
        <v>1914</v>
      </c>
      <c r="W259" s="99" t="s">
        <v>1921</v>
      </c>
      <c r="X259" s="99" t="s">
        <v>922</v>
      </c>
      <c r="Y259" s="73" t="s">
        <v>2976</v>
      </c>
      <c r="Z259" s="73" t="s">
        <v>4</v>
      </c>
      <c r="AA259" s="99" t="s">
        <v>922</v>
      </c>
    </row>
    <row r="260" spans="1:27" ht="17.25" customHeight="1">
      <c r="A260" s="65" t="str">
        <f>IF(priority(Main[[#This Row],[Comments]])&lt;&gt;0, priority(Main[[#This Row],[Comments]]),"")</f>
        <v/>
      </c>
      <c r="B260" s="60" t="s">
        <v>1103</v>
      </c>
      <c r="C260" s="105" t="s">
        <v>4</v>
      </c>
      <c r="D260" s="74" t="s">
        <v>125</v>
      </c>
      <c r="E260" s="89"/>
      <c r="F260" s="89"/>
      <c r="G260" s="65" t="str">
        <f>IF(stdProdLT(Main[[#This Row],[Comments]])=0.1,"N/A",IF(stdProdLT(Main[[#This Row],[Comments]])=0,"",TRIM(stdProdLT(Main[[#This Row],[Comments]]))))</f>
        <v/>
      </c>
      <c r="H260" s="98" t="str">
        <f>IF(Main[[#This Row],[Std. Prod. Lead Time]]="N/A", "",IF(AND(Main[[#This Row],[In Stock Date]]&lt;&gt;"",Main[[#This Row],[Revised Due Date]]&lt;&gt;"",Main[[#This Row],[In Stock Date]]&lt;&gt;""),Main[[#This Row],[In Stock Date]]-Main[[#This Row],[Revised Due Date]],""))</f>
        <v/>
      </c>
      <c r="I260" s="110" t="s">
        <v>126</v>
      </c>
      <c r="J260" s="99" t="s">
        <v>4</v>
      </c>
      <c r="K260" s="99" t="s">
        <v>4</v>
      </c>
      <c r="L260" s="89"/>
      <c r="M260" s="75" t="str">
        <f>IF(Main[[#This Row],[Tech Start Date]]&lt;1/1/1990,"",IF(Main[[#This Row],[Class]]="C",WORKDAY(Main[[#This Row],[Tech Start Date]],9),IF(Main[[#This Row],[Class]]="B", WORKDAY(Main[[#This Row],[Tech Start Date]],6),IF(Main[[#This Row],[Class]]="A",WORKDAY(Main[[#This Row],[Tech Start Date]],2),""))))</f>
        <v/>
      </c>
      <c r="N260" s="75" t="str">
        <f>IF(Main[[#This Row],[Tech Start Date]]&lt;1/1/1990,"",IF(Main[[#This Row],[Class]]="C",WORKDAY(Main[[#This Row],[Tech Start Date]],19),IF(Main[[#This Row],[Class]]="B", WORKDAY(Main[[#This Row],[Tech Start Date]],12),IF(Main[[#This Row],[Class]]="A",WORKDAY(Main[[#This Row],[Tech Start Date]],4),""))))</f>
        <v/>
      </c>
      <c r="O260" s="75" t="str">
        <f>IF(Main[[#This Row],[Tech Start Date]]&lt;1/1/1990,"",IF(Main[[#This Row],[Class]]="C",WORKDAY(Main[[#This Row],[Tech Start Date]],23),IF(Main[[#This Row],[Class]]="B", WORKDAY(Main[[#This Row],[Tech Start Date]],15),IF(Main[[#This Row],[Class]]="A",WORKDAY(Main[[#This Row],[Tech Start Date]],5),""))))</f>
        <v/>
      </c>
      <c r="P260" s="75" t="str">
        <f>IF(Main[[#This Row],[Tech Start Date]]&lt;1/1/1990,"",IF(Main[[#This Row],[Class]]="C",WORKDAY(Main[[#This Row],[Tech Start Date]],28),IF(Main[[#This Row],[Class]]="B", WORKDAY(Main[[#This Row],[Tech Start Date]],19),IF(Main[[#This Row],[Class]]="A",WORKDAY(Main[[#This Row],[Tech Start Date]],9),""))))</f>
        <v/>
      </c>
      <c r="Q260" s="89">
        <v>40025</v>
      </c>
      <c r="R260" s="121"/>
      <c r="S260" s="99" t="s">
        <v>11</v>
      </c>
      <c r="T260" s="76" t="s">
        <v>4</v>
      </c>
      <c r="U260" s="99" t="s">
        <v>14</v>
      </c>
      <c r="V260" s="99" t="s">
        <v>1913</v>
      </c>
      <c r="W260" s="99" t="s">
        <v>1921</v>
      </c>
      <c r="X260" s="99" t="s">
        <v>2847</v>
      </c>
      <c r="Y260" s="73" t="s">
        <v>2985</v>
      </c>
      <c r="Z260" s="73" t="s">
        <v>81</v>
      </c>
      <c r="AA260" s="99" t="s">
        <v>2847</v>
      </c>
    </row>
    <row r="261" spans="1:27" ht="17.25" customHeight="1">
      <c r="A261" s="65" t="str">
        <f>IF(priority(Main[[#This Row],[Comments]])&lt;&gt;0, priority(Main[[#This Row],[Comments]]),"")</f>
        <v/>
      </c>
      <c r="B261" s="60" t="s">
        <v>1104</v>
      </c>
      <c r="C261" s="105" t="s">
        <v>4</v>
      </c>
      <c r="D261" s="74" t="s">
        <v>127</v>
      </c>
      <c r="E261" s="89"/>
      <c r="F261" s="89"/>
      <c r="G261" s="65" t="str">
        <f>IF(stdProdLT(Main[[#This Row],[Comments]])=0.1,"N/A",IF(stdProdLT(Main[[#This Row],[Comments]])=0,"",TRIM(stdProdLT(Main[[#This Row],[Comments]]))))</f>
        <v/>
      </c>
      <c r="H261" s="98" t="str">
        <f>IF(Main[[#This Row],[Std. Prod. Lead Time]]="N/A", "",IF(AND(Main[[#This Row],[In Stock Date]]&lt;&gt;"",Main[[#This Row],[Revised Due Date]]&lt;&gt;"",Main[[#This Row],[In Stock Date]]&lt;&gt;""),Main[[#This Row],[In Stock Date]]-Main[[#This Row],[Revised Due Date]],""))</f>
        <v/>
      </c>
      <c r="I261" s="110" t="s">
        <v>30</v>
      </c>
      <c r="J261" s="99" t="s">
        <v>21</v>
      </c>
      <c r="K261" s="99" t="s">
        <v>4</v>
      </c>
      <c r="L261" s="89"/>
      <c r="M261" s="75" t="str">
        <f>IF(Main[[#This Row],[Tech Start Date]]&lt;1/1/1990,"",IF(Main[[#This Row],[Class]]="C",WORKDAY(Main[[#This Row],[Tech Start Date]],9),IF(Main[[#This Row],[Class]]="B", WORKDAY(Main[[#This Row],[Tech Start Date]],6),IF(Main[[#This Row],[Class]]="A",WORKDAY(Main[[#This Row],[Tech Start Date]],2),""))))</f>
        <v/>
      </c>
      <c r="N261" s="75" t="str">
        <f>IF(Main[[#This Row],[Tech Start Date]]&lt;1/1/1990,"",IF(Main[[#This Row],[Class]]="C",WORKDAY(Main[[#This Row],[Tech Start Date]],19),IF(Main[[#This Row],[Class]]="B", WORKDAY(Main[[#This Row],[Tech Start Date]],12),IF(Main[[#This Row],[Class]]="A",WORKDAY(Main[[#This Row],[Tech Start Date]],4),""))))</f>
        <v/>
      </c>
      <c r="O261" s="75" t="str">
        <f>IF(Main[[#This Row],[Tech Start Date]]&lt;1/1/1990,"",IF(Main[[#This Row],[Class]]="C",WORKDAY(Main[[#This Row],[Tech Start Date]],23),IF(Main[[#This Row],[Class]]="B", WORKDAY(Main[[#This Row],[Tech Start Date]],15),IF(Main[[#This Row],[Class]]="A",WORKDAY(Main[[#This Row],[Tech Start Date]],5),""))))</f>
        <v/>
      </c>
      <c r="P261" s="75" t="str">
        <f>IF(Main[[#This Row],[Tech Start Date]]&lt;1/1/1990,"",IF(Main[[#This Row],[Class]]="C",WORKDAY(Main[[#This Row],[Tech Start Date]],28),IF(Main[[#This Row],[Class]]="B", WORKDAY(Main[[#This Row],[Tech Start Date]],19),IF(Main[[#This Row],[Class]]="A",WORKDAY(Main[[#This Row],[Tech Start Date]],9),""))))</f>
        <v/>
      </c>
      <c r="Q261" s="89">
        <v>40508</v>
      </c>
      <c r="R261" s="121"/>
      <c r="S261" s="99" t="s">
        <v>6</v>
      </c>
      <c r="T261" s="76" t="s">
        <v>4</v>
      </c>
      <c r="U261" s="99" t="s">
        <v>14</v>
      </c>
      <c r="V261" s="99" t="s">
        <v>1916</v>
      </c>
      <c r="W261" s="99" t="s">
        <v>1915</v>
      </c>
      <c r="X261" s="99" t="s">
        <v>2812</v>
      </c>
      <c r="Y261" s="73" t="s">
        <v>2923</v>
      </c>
      <c r="Z261" s="73" t="s">
        <v>530</v>
      </c>
      <c r="AA261" s="99" t="s">
        <v>2812</v>
      </c>
    </row>
    <row r="262" spans="1:27" ht="17.25" customHeight="1">
      <c r="A262" s="65" t="str">
        <f>IF(priority(Main[[#This Row],[Comments]])&lt;&gt;0, priority(Main[[#This Row],[Comments]]),"")</f>
        <v/>
      </c>
      <c r="B262" s="60" t="s">
        <v>3238</v>
      </c>
      <c r="C262" s="105" t="s">
        <v>72</v>
      </c>
      <c r="D262" s="74" t="s">
        <v>3239</v>
      </c>
      <c r="E262" s="89"/>
      <c r="F262" s="89"/>
      <c r="G262" s="65" t="str">
        <f>IF(stdProdLT(Main[[#This Row],[Comments]])=0.1,"N/A",IF(stdProdLT(Main[[#This Row],[Comments]])=0,"",TRIM(stdProdLT(Main[[#This Row],[Comments]]))))</f>
        <v/>
      </c>
      <c r="H262" s="98" t="str">
        <f>IF(Main[[#This Row],[Std. Prod. Lead Time]]="N/A", "",IF(AND(Main[[#This Row],[In Stock Date]]&lt;&gt;"",Main[[#This Row],[Revised Due Date]]&lt;&gt;"",Main[[#This Row],[In Stock Date]]&lt;&gt;""),Main[[#This Row],[In Stock Date]]-Main[[#This Row],[Revised Due Date]],""))</f>
        <v/>
      </c>
      <c r="I262" s="110" t="s">
        <v>4</v>
      </c>
      <c r="J262" s="99" t="s">
        <v>4</v>
      </c>
      <c r="K262" s="99" t="s">
        <v>4</v>
      </c>
      <c r="L262" s="89"/>
      <c r="M262" s="75" t="str">
        <f>IF(Main[[#This Row],[Tech Start Date]]&lt;1/1/1990,"",IF(Main[[#This Row],[Class]]="C",WORKDAY(Main[[#This Row],[Tech Start Date]],9),IF(Main[[#This Row],[Class]]="B", WORKDAY(Main[[#This Row],[Tech Start Date]],6),IF(Main[[#This Row],[Class]]="A",WORKDAY(Main[[#This Row],[Tech Start Date]],2),""))))</f>
        <v/>
      </c>
      <c r="N262" s="75" t="str">
        <f>IF(Main[[#This Row],[Tech Start Date]]&lt;1/1/1990,"",IF(Main[[#This Row],[Class]]="C",WORKDAY(Main[[#This Row],[Tech Start Date]],19),IF(Main[[#This Row],[Class]]="B", WORKDAY(Main[[#This Row],[Tech Start Date]],12),IF(Main[[#This Row],[Class]]="A",WORKDAY(Main[[#This Row],[Tech Start Date]],4),""))))</f>
        <v/>
      </c>
      <c r="O262" s="75" t="str">
        <f>IF(Main[[#This Row],[Tech Start Date]]&lt;1/1/1990,"",IF(Main[[#This Row],[Class]]="C",WORKDAY(Main[[#This Row],[Tech Start Date]],23),IF(Main[[#This Row],[Class]]="B", WORKDAY(Main[[#This Row],[Tech Start Date]],15),IF(Main[[#This Row],[Class]]="A",WORKDAY(Main[[#This Row],[Tech Start Date]],5),""))))</f>
        <v/>
      </c>
      <c r="P262" s="75" t="str">
        <f>IF(Main[[#This Row],[Tech Start Date]]&lt;1/1/1990,"",IF(Main[[#This Row],[Class]]="C",WORKDAY(Main[[#This Row],[Tech Start Date]],28),IF(Main[[#This Row],[Class]]="B", WORKDAY(Main[[#This Row],[Tech Start Date]],19),IF(Main[[#This Row],[Class]]="A",WORKDAY(Main[[#This Row],[Tech Start Date]],9),""))))</f>
        <v/>
      </c>
      <c r="Q262" s="89"/>
      <c r="R262" s="121"/>
      <c r="S262" s="99" t="s">
        <v>11</v>
      </c>
      <c r="T262" s="76" t="s">
        <v>4</v>
      </c>
      <c r="U262" s="99" t="s">
        <v>14</v>
      </c>
      <c r="V262" s="99" t="s">
        <v>1914</v>
      </c>
      <c r="W262" s="99" t="s">
        <v>1921</v>
      </c>
      <c r="X262" s="99" t="s">
        <v>2841</v>
      </c>
      <c r="Y262" s="73" t="s">
        <v>2972</v>
      </c>
      <c r="Z262" s="73" t="s">
        <v>4</v>
      </c>
      <c r="AA262" s="99" t="s">
        <v>2841</v>
      </c>
    </row>
    <row r="263" spans="1:27" ht="17.25" customHeight="1">
      <c r="A263" s="65" t="str">
        <f>IF(priority(Main[[#This Row],[Comments]])&lt;&gt;0, priority(Main[[#This Row],[Comments]]),"")</f>
        <v/>
      </c>
      <c r="B263" s="60" t="s">
        <v>1105</v>
      </c>
      <c r="C263" s="105" t="s">
        <v>4</v>
      </c>
      <c r="D263" s="74" t="s">
        <v>128</v>
      </c>
      <c r="E263" s="89"/>
      <c r="F263" s="89"/>
      <c r="G263" s="65" t="str">
        <f>IF(stdProdLT(Main[[#This Row],[Comments]])=0.1,"N/A",IF(stdProdLT(Main[[#This Row],[Comments]])=0,"",TRIM(stdProdLT(Main[[#This Row],[Comments]]))))</f>
        <v/>
      </c>
      <c r="H263" s="98" t="str">
        <f>IF(Main[[#This Row],[Std. Prod. Lead Time]]="N/A", "",IF(AND(Main[[#This Row],[In Stock Date]]&lt;&gt;"",Main[[#This Row],[Revised Due Date]]&lt;&gt;"",Main[[#This Row],[In Stock Date]]&lt;&gt;""),Main[[#This Row],[In Stock Date]]-Main[[#This Row],[Revised Due Date]],""))</f>
        <v/>
      </c>
      <c r="I263" s="110" t="s">
        <v>129</v>
      </c>
      <c r="J263" s="99" t="s">
        <v>4</v>
      </c>
      <c r="K263" s="99" t="s">
        <v>4</v>
      </c>
      <c r="L263" s="89"/>
      <c r="M263" s="75" t="str">
        <f>IF(Main[[#This Row],[Tech Start Date]]&lt;1/1/1990,"",IF(Main[[#This Row],[Class]]="C",WORKDAY(Main[[#This Row],[Tech Start Date]],9),IF(Main[[#This Row],[Class]]="B", WORKDAY(Main[[#This Row],[Tech Start Date]],6),IF(Main[[#This Row],[Class]]="A",WORKDAY(Main[[#This Row],[Tech Start Date]],2),""))))</f>
        <v/>
      </c>
      <c r="N263" s="75" t="str">
        <f>IF(Main[[#This Row],[Tech Start Date]]&lt;1/1/1990,"",IF(Main[[#This Row],[Class]]="C",WORKDAY(Main[[#This Row],[Tech Start Date]],19),IF(Main[[#This Row],[Class]]="B", WORKDAY(Main[[#This Row],[Tech Start Date]],12),IF(Main[[#This Row],[Class]]="A",WORKDAY(Main[[#This Row],[Tech Start Date]],4),""))))</f>
        <v/>
      </c>
      <c r="O263" s="75" t="str">
        <f>IF(Main[[#This Row],[Tech Start Date]]&lt;1/1/1990,"",IF(Main[[#This Row],[Class]]="C",WORKDAY(Main[[#This Row],[Tech Start Date]],23),IF(Main[[#This Row],[Class]]="B", WORKDAY(Main[[#This Row],[Tech Start Date]],15),IF(Main[[#This Row],[Class]]="A",WORKDAY(Main[[#This Row],[Tech Start Date]],5),""))))</f>
        <v/>
      </c>
      <c r="P263" s="75" t="str">
        <f>IF(Main[[#This Row],[Tech Start Date]]&lt;1/1/1990,"",IF(Main[[#This Row],[Class]]="C",WORKDAY(Main[[#This Row],[Tech Start Date]],28),IF(Main[[#This Row],[Class]]="B", WORKDAY(Main[[#This Row],[Tech Start Date]],19),IF(Main[[#This Row],[Class]]="A",WORKDAY(Main[[#This Row],[Tech Start Date]],9),""))))</f>
        <v/>
      </c>
      <c r="Q263" s="89"/>
      <c r="R263" s="121"/>
      <c r="S263" s="99" t="s">
        <v>17</v>
      </c>
      <c r="T263" s="76" t="s">
        <v>4</v>
      </c>
      <c r="U263" s="99" t="s">
        <v>14</v>
      </c>
      <c r="V263" s="99" t="s">
        <v>1913</v>
      </c>
      <c r="W263" s="99" t="s">
        <v>1917</v>
      </c>
      <c r="X263" s="99" t="s">
        <v>922</v>
      </c>
      <c r="Y263" s="73" t="s">
        <v>2986</v>
      </c>
      <c r="Z263" s="73" t="s">
        <v>4</v>
      </c>
      <c r="AA263" s="99" t="s">
        <v>129</v>
      </c>
    </row>
    <row r="264" spans="1:27" ht="17.25" customHeight="1">
      <c r="A264" s="65" t="str">
        <f>IF(priority(Main[[#This Row],[Comments]])&lt;&gt;0, priority(Main[[#This Row],[Comments]]),"")</f>
        <v/>
      </c>
      <c r="B264" s="60" t="s">
        <v>1496</v>
      </c>
      <c r="C264" s="105" t="s">
        <v>93</v>
      </c>
      <c r="D264" s="74" t="s">
        <v>599</v>
      </c>
      <c r="E264" s="89">
        <v>40016.655266203707</v>
      </c>
      <c r="F264" s="89"/>
      <c r="G264" s="65" t="str">
        <f>IF(stdProdLT(Main[[#This Row],[Comments]])=0.1,"N/A",IF(stdProdLT(Main[[#This Row],[Comments]])=0,"",TRIM(stdProdLT(Main[[#This Row],[Comments]]))))</f>
        <v/>
      </c>
      <c r="H264" s="98" t="str">
        <f>IF(Main[[#This Row],[Std. Prod. Lead Time]]="N/A", "",IF(AND(Main[[#This Row],[In Stock Date]]&lt;&gt;"",Main[[#This Row],[Revised Due Date]]&lt;&gt;"",Main[[#This Row],[In Stock Date]]&lt;&gt;""),Main[[#This Row],[In Stock Date]]-Main[[#This Row],[Revised Due Date]],""))</f>
        <v/>
      </c>
      <c r="I264" s="110" t="s">
        <v>4</v>
      </c>
      <c r="J264" s="99" t="s">
        <v>4</v>
      </c>
      <c r="K264" s="99" t="s">
        <v>4</v>
      </c>
      <c r="L264" s="89"/>
      <c r="M264" s="75" t="str">
        <f>IF(Main[[#This Row],[Tech Start Date]]&lt;1/1/1990,"",IF(Main[[#This Row],[Class]]="C",WORKDAY(Main[[#This Row],[Tech Start Date]],9),IF(Main[[#This Row],[Class]]="B", WORKDAY(Main[[#This Row],[Tech Start Date]],6),IF(Main[[#This Row],[Class]]="A",WORKDAY(Main[[#This Row],[Tech Start Date]],2),""))))</f>
        <v/>
      </c>
      <c r="N264" s="75" t="str">
        <f>IF(Main[[#This Row],[Tech Start Date]]&lt;1/1/1990,"",IF(Main[[#This Row],[Class]]="C",WORKDAY(Main[[#This Row],[Tech Start Date]],19),IF(Main[[#This Row],[Class]]="B", WORKDAY(Main[[#This Row],[Tech Start Date]],12),IF(Main[[#This Row],[Class]]="A",WORKDAY(Main[[#This Row],[Tech Start Date]],4),""))))</f>
        <v/>
      </c>
      <c r="O264" s="75" t="str">
        <f>IF(Main[[#This Row],[Tech Start Date]]&lt;1/1/1990,"",IF(Main[[#This Row],[Class]]="C",WORKDAY(Main[[#This Row],[Tech Start Date]],23),IF(Main[[#This Row],[Class]]="B", WORKDAY(Main[[#This Row],[Tech Start Date]],15),IF(Main[[#This Row],[Class]]="A",WORKDAY(Main[[#This Row],[Tech Start Date]],5),""))))</f>
        <v/>
      </c>
      <c r="P264" s="75" t="str">
        <f>IF(Main[[#This Row],[Tech Start Date]]&lt;1/1/1990,"",IF(Main[[#This Row],[Class]]="C",WORKDAY(Main[[#This Row],[Tech Start Date]],28),IF(Main[[#This Row],[Class]]="B", WORKDAY(Main[[#This Row],[Tech Start Date]],19),IF(Main[[#This Row],[Class]]="A",WORKDAY(Main[[#This Row],[Tech Start Date]],9),""))))</f>
        <v/>
      </c>
      <c r="Q264" s="89"/>
      <c r="R264" s="121"/>
      <c r="S264" s="99" t="s">
        <v>17</v>
      </c>
      <c r="T264" s="76" t="s">
        <v>4</v>
      </c>
      <c r="U264" s="99" t="s">
        <v>29</v>
      </c>
      <c r="V264" s="99" t="s">
        <v>1916</v>
      </c>
      <c r="W264" s="99" t="s">
        <v>1919</v>
      </c>
      <c r="X264" s="99" t="s">
        <v>2847</v>
      </c>
      <c r="Y264" s="73" t="s">
        <v>2985</v>
      </c>
      <c r="Z264" s="73" t="s">
        <v>4</v>
      </c>
      <c r="AA264" s="99" t="s">
        <v>2847</v>
      </c>
    </row>
    <row r="265" spans="1:27" ht="17.25" customHeight="1">
      <c r="A265" s="65" t="str">
        <f>IF(priority(Main[[#This Row],[Comments]])&lt;&gt;0, priority(Main[[#This Row],[Comments]]),"")</f>
        <v/>
      </c>
      <c r="B265" s="60" t="s">
        <v>1675</v>
      </c>
      <c r="C265" s="105" t="s">
        <v>4</v>
      </c>
      <c r="D265" s="74" t="s">
        <v>734</v>
      </c>
      <c r="E265" s="89">
        <v>40618.366238425922</v>
      </c>
      <c r="F265" s="89"/>
      <c r="G265" s="65" t="str">
        <f>IF(stdProdLT(Main[[#This Row],[Comments]])=0.1,"N/A",IF(stdProdLT(Main[[#This Row],[Comments]])=0,"",TRIM(stdProdLT(Main[[#This Row],[Comments]]))))</f>
        <v/>
      </c>
      <c r="H265" s="98" t="str">
        <f>IF(Main[[#This Row],[Std. Prod. Lead Time]]="N/A", "",IF(AND(Main[[#This Row],[In Stock Date]]&lt;&gt;"",Main[[#This Row],[Revised Due Date]]&lt;&gt;"",Main[[#This Row],[In Stock Date]]&lt;&gt;""),Main[[#This Row],[In Stock Date]]-Main[[#This Row],[Revised Due Date]],""))</f>
        <v/>
      </c>
      <c r="I265" s="110" t="s">
        <v>30</v>
      </c>
      <c r="J265" s="99" t="s">
        <v>28</v>
      </c>
      <c r="K265" s="100" t="s">
        <v>1922</v>
      </c>
      <c r="L265" s="89"/>
      <c r="M265" s="75" t="str">
        <f>IF(Main[[#This Row],[Tech Start Date]]&lt;1/1/1990,"",IF(Main[[#This Row],[Class]]="C",WORKDAY(Main[[#This Row],[Tech Start Date]],9),IF(Main[[#This Row],[Class]]="B", WORKDAY(Main[[#This Row],[Tech Start Date]],6),IF(Main[[#This Row],[Class]]="A",WORKDAY(Main[[#This Row],[Tech Start Date]],2),""))))</f>
        <v/>
      </c>
      <c r="N265" s="75" t="str">
        <f>IF(Main[[#This Row],[Tech Start Date]]&lt;1/1/1990,"",IF(Main[[#This Row],[Class]]="C",WORKDAY(Main[[#This Row],[Tech Start Date]],19),IF(Main[[#This Row],[Class]]="B", WORKDAY(Main[[#This Row],[Tech Start Date]],12),IF(Main[[#This Row],[Class]]="A",WORKDAY(Main[[#This Row],[Tech Start Date]],4),""))))</f>
        <v/>
      </c>
      <c r="O265" s="75" t="str">
        <f>IF(Main[[#This Row],[Tech Start Date]]&lt;1/1/1990,"",IF(Main[[#This Row],[Class]]="C",WORKDAY(Main[[#This Row],[Tech Start Date]],23),IF(Main[[#This Row],[Class]]="B", WORKDAY(Main[[#This Row],[Tech Start Date]],15),IF(Main[[#This Row],[Class]]="A",WORKDAY(Main[[#This Row],[Tech Start Date]],5),""))))</f>
        <v/>
      </c>
      <c r="P265" s="75" t="str">
        <f>IF(Main[[#This Row],[Tech Start Date]]&lt;1/1/1990,"",IF(Main[[#This Row],[Class]]="C",WORKDAY(Main[[#This Row],[Tech Start Date]],28),IF(Main[[#This Row],[Class]]="B", WORKDAY(Main[[#This Row],[Tech Start Date]],19),IF(Main[[#This Row],[Class]]="A",WORKDAY(Main[[#This Row],[Tech Start Date]],9),""))))</f>
        <v/>
      </c>
      <c r="Q265" s="89"/>
      <c r="R265" s="121"/>
      <c r="S265" s="99" t="s">
        <v>6</v>
      </c>
      <c r="T265" s="76" t="s">
        <v>4</v>
      </c>
      <c r="U265" s="99" t="s">
        <v>29</v>
      </c>
      <c r="V265" s="99" t="s">
        <v>1916</v>
      </c>
      <c r="W265" s="99" t="s">
        <v>1915</v>
      </c>
      <c r="X265" s="99" t="s">
        <v>415</v>
      </c>
      <c r="Y265" s="73" t="s">
        <v>2969</v>
      </c>
      <c r="Z265" s="73" t="s">
        <v>30</v>
      </c>
      <c r="AA265" s="99" t="s">
        <v>415</v>
      </c>
    </row>
    <row r="266" spans="1:27" ht="17.25" customHeight="1">
      <c r="A266" s="65" t="str">
        <f>IF(priority(Main[[#This Row],[Comments]])&lt;&gt;0, priority(Main[[#This Row],[Comments]]),"")</f>
        <v/>
      </c>
      <c r="B266" s="60" t="s">
        <v>2065</v>
      </c>
      <c r="C266" s="105" t="s">
        <v>4</v>
      </c>
      <c r="D266" s="74" t="s">
        <v>2066</v>
      </c>
      <c r="E266" s="89"/>
      <c r="F266" s="89"/>
      <c r="G266" s="65" t="str">
        <f>IF(stdProdLT(Main[[#This Row],[Comments]])=0.1,"N/A",IF(stdProdLT(Main[[#This Row],[Comments]])=0,"",TRIM(stdProdLT(Main[[#This Row],[Comments]]))))</f>
        <v/>
      </c>
      <c r="H266" s="98" t="str">
        <f>IF(Main[[#This Row],[Std. Prod. Lead Time]]="N/A", "",IF(AND(Main[[#This Row],[In Stock Date]]&lt;&gt;"",Main[[#This Row],[Revised Due Date]]&lt;&gt;"",Main[[#This Row],[In Stock Date]]&lt;&gt;""),Main[[#This Row],[In Stock Date]]-Main[[#This Row],[Revised Due Date]],""))</f>
        <v/>
      </c>
      <c r="I266" s="110" t="s">
        <v>4</v>
      </c>
      <c r="J266" s="99" t="s">
        <v>4</v>
      </c>
      <c r="K266" s="100" t="s">
        <v>4</v>
      </c>
      <c r="L266" s="89"/>
      <c r="M266" s="75" t="str">
        <f>IF(Main[[#This Row],[Tech Start Date]]&lt;1/1/1990,"",IF(Main[[#This Row],[Class]]="C",WORKDAY(Main[[#This Row],[Tech Start Date]],9),IF(Main[[#This Row],[Class]]="B", WORKDAY(Main[[#This Row],[Tech Start Date]],6),IF(Main[[#This Row],[Class]]="A",WORKDAY(Main[[#This Row],[Tech Start Date]],2),""))))</f>
        <v/>
      </c>
      <c r="N266" s="75" t="str">
        <f>IF(Main[[#This Row],[Tech Start Date]]&lt;1/1/1990,"",IF(Main[[#This Row],[Class]]="C",WORKDAY(Main[[#This Row],[Tech Start Date]],19),IF(Main[[#This Row],[Class]]="B", WORKDAY(Main[[#This Row],[Tech Start Date]],12),IF(Main[[#This Row],[Class]]="A",WORKDAY(Main[[#This Row],[Tech Start Date]],4),""))))</f>
        <v/>
      </c>
      <c r="O266" s="75" t="str">
        <f>IF(Main[[#This Row],[Tech Start Date]]&lt;1/1/1990,"",IF(Main[[#This Row],[Class]]="C",WORKDAY(Main[[#This Row],[Tech Start Date]],23),IF(Main[[#This Row],[Class]]="B", WORKDAY(Main[[#This Row],[Tech Start Date]],15),IF(Main[[#This Row],[Class]]="A",WORKDAY(Main[[#This Row],[Tech Start Date]],5),""))))</f>
        <v/>
      </c>
      <c r="P266" s="75" t="str">
        <f>IF(Main[[#This Row],[Tech Start Date]]&lt;1/1/1990,"",IF(Main[[#This Row],[Class]]="C",WORKDAY(Main[[#This Row],[Tech Start Date]],28),IF(Main[[#This Row],[Class]]="B", WORKDAY(Main[[#This Row],[Tech Start Date]],19),IF(Main[[#This Row],[Class]]="A",WORKDAY(Main[[#This Row],[Tech Start Date]],9),""))))</f>
        <v/>
      </c>
      <c r="Q266" s="89"/>
      <c r="R266" s="121"/>
      <c r="S266" s="99" t="s">
        <v>6</v>
      </c>
      <c r="T266" s="76" t="s">
        <v>4</v>
      </c>
      <c r="U266" s="99" t="s">
        <v>14</v>
      </c>
      <c r="V266" s="99" t="s">
        <v>1913</v>
      </c>
      <c r="W266" s="99" t="s">
        <v>1917</v>
      </c>
      <c r="X266" s="99" t="s">
        <v>306</v>
      </c>
      <c r="Y266" s="73" t="s">
        <v>4</v>
      </c>
      <c r="Z266" s="73" t="s">
        <v>4</v>
      </c>
      <c r="AA266" s="99" t="s">
        <v>3379</v>
      </c>
    </row>
    <row r="267" spans="1:27" ht="17.25" customHeight="1">
      <c r="A267" s="65" t="str">
        <f>IF(priority(Main[[#This Row],[Comments]])&lt;&gt;0, priority(Main[[#This Row],[Comments]]),"")</f>
        <v/>
      </c>
      <c r="B267" s="60" t="s">
        <v>3311</v>
      </c>
      <c r="C267" s="105" t="s">
        <v>4</v>
      </c>
      <c r="D267" s="74" t="s">
        <v>3312</v>
      </c>
      <c r="E267" s="89">
        <v>40939.457824074074</v>
      </c>
      <c r="F267" s="89"/>
      <c r="G267" s="65" t="str">
        <f>IF(stdProdLT(Main[[#This Row],[Comments]])=0.1,"N/A",IF(stdProdLT(Main[[#This Row],[Comments]])=0,"",TRIM(stdProdLT(Main[[#This Row],[Comments]]))))</f>
        <v/>
      </c>
      <c r="H267" s="98" t="str">
        <f>IF(Main[[#This Row],[Std. Prod. Lead Time]]="N/A", "",IF(AND(Main[[#This Row],[In Stock Date]]&lt;&gt;"",Main[[#This Row],[Revised Due Date]]&lt;&gt;"",Main[[#This Row],[In Stock Date]]&lt;&gt;""),Main[[#This Row],[In Stock Date]]-Main[[#This Row],[Revised Due Date]],""))</f>
        <v/>
      </c>
      <c r="I267" s="110" t="s">
        <v>4</v>
      </c>
      <c r="J267" s="99" t="s">
        <v>4</v>
      </c>
      <c r="K267" s="100" t="s">
        <v>4</v>
      </c>
      <c r="L267" s="89"/>
      <c r="M267" s="75" t="str">
        <f>IF(Main[[#This Row],[Tech Start Date]]&lt;1/1/1990,"",IF(Main[[#This Row],[Class]]="C",WORKDAY(Main[[#This Row],[Tech Start Date]],9),IF(Main[[#This Row],[Class]]="B", WORKDAY(Main[[#This Row],[Tech Start Date]],6),IF(Main[[#This Row],[Class]]="A",WORKDAY(Main[[#This Row],[Tech Start Date]],2),""))))</f>
        <v/>
      </c>
      <c r="N267" s="75" t="str">
        <f>IF(Main[[#This Row],[Tech Start Date]]&lt;1/1/1990,"",IF(Main[[#This Row],[Class]]="C",WORKDAY(Main[[#This Row],[Tech Start Date]],19),IF(Main[[#This Row],[Class]]="B", WORKDAY(Main[[#This Row],[Tech Start Date]],12),IF(Main[[#This Row],[Class]]="A",WORKDAY(Main[[#This Row],[Tech Start Date]],4),""))))</f>
        <v/>
      </c>
      <c r="O267" s="75" t="str">
        <f>IF(Main[[#This Row],[Tech Start Date]]&lt;1/1/1990,"",IF(Main[[#This Row],[Class]]="C",WORKDAY(Main[[#This Row],[Tech Start Date]],23),IF(Main[[#This Row],[Class]]="B", WORKDAY(Main[[#This Row],[Tech Start Date]],15),IF(Main[[#This Row],[Class]]="A",WORKDAY(Main[[#This Row],[Tech Start Date]],5),""))))</f>
        <v/>
      </c>
      <c r="P267" s="75" t="str">
        <f>IF(Main[[#This Row],[Tech Start Date]]&lt;1/1/1990,"",IF(Main[[#This Row],[Class]]="C",WORKDAY(Main[[#This Row],[Tech Start Date]],28),IF(Main[[#This Row],[Class]]="B", WORKDAY(Main[[#This Row],[Tech Start Date]],19),IF(Main[[#This Row],[Class]]="A",WORKDAY(Main[[#This Row],[Tech Start Date]],9),""))))</f>
        <v/>
      </c>
      <c r="Q267" s="89">
        <v>40968</v>
      </c>
      <c r="R267" s="121"/>
      <c r="S267" s="99" t="s">
        <v>6</v>
      </c>
      <c r="T267" s="76" t="s">
        <v>4</v>
      </c>
      <c r="U267" s="99" t="s">
        <v>7</v>
      </c>
      <c r="V267" s="99" t="s">
        <v>1913</v>
      </c>
      <c r="W267" s="99" t="s">
        <v>4</v>
      </c>
      <c r="X267" s="99" t="s">
        <v>2816</v>
      </c>
      <c r="Y267" s="73" t="s">
        <v>2932</v>
      </c>
      <c r="Z267" s="73" t="s">
        <v>4</v>
      </c>
      <c r="AA267" s="99" t="s">
        <v>2816</v>
      </c>
    </row>
    <row r="268" spans="1:27" ht="17.25" customHeight="1">
      <c r="A268" s="65" t="str">
        <f>IF(priority(Main[[#This Row],[Comments]])&lt;&gt;0, priority(Main[[#This Row],[Comments]]),"")</f>
        <v/>
      </c>
      <c r="B268" s="60" t="s">
        <v>1156</v>
      </c>
      <c r="C268" s="105" t="s">
        <v>4</v>
      </c>
      <c r="D268" s="74" t="s">
        <v>2335</v>
      </c>
      <c r="E268" s="89">
        <v>40274.393113425926</v>
      </c>
      <c r="F268" s="89"/>
      <c r="G268" s="65" t="str">
        <f>IF(stdProdLT(Main[[#This Row],[Comments]])=0.1,"N/A",IF(stdProdLT(Main[[#This Row],[Comments]])=0,"",TRIM(stdProdLT(Main[[#This Row],[Comments]]))))</f>
        <v/>
      </c>
      <c r="H268" s="98" t="str">
        <f>IF(Main[[#This Row],[Std. Prod. Lead Time]]="N/A", "",IF(AND(Main[[#This Row],[In Stock Date]]&lt;&gt;"",Main[[#This Row],[Revised Due Date]]&lt;&gt;"",Main[[#This Row],[In Stock Date]]&lt;&gt;""),Main[[#This Row],[In Stock Date]]-Main[[#This Row],[Revised Due Date]],""))</f>
        <v/>
      </c>
      <c r="I268" s="110" t="s">
        <v>4</v>
      </c>
      <c r="J268" s="99" t="s">
        <v>4</v>
      </c>
      <c r="K268" s="100" t="s">
        <v>4</v>
      </c>
      <c r="L268" s="89"/>
      <c r="M268" s="75" t="str">
        <f>IF(Main[[#This Row],[Tech Start Date]]&lt;1/1/1990,"",IF(Main[[#This Row],[Class]]="C",WORKDAY(Main[[#This Row],[Tech Start Date]],9),IF(Main[[#This Row],[Class]]="B", WORKDAY(Main[[#This Row],[Tech Start Date]],6),IF(Main[[#This Row],[Class]]="A",WORKDAY(Main[[#This Row],[Tech Start Date]],2),""))))</f>
        <v/>
      </c>
      <c r="N268" s="75" t="str">
        <f>IF(Main[[#This Row],[Tech Start Date]]&lt;1/1/1990,"",IF(Main[[#This Row],[Class]]="C",WORKDAY(Main[[#This Row],[Tech Start Date]],19),IF(Main[[#This Row],[Class]]="B", WORKDAY(Main[[#This Row],[Tech Start Date]],12),IF(Main[[#This Row],[Class]]="A",WORKDAY(Main[[#This Row],[Tech Start Date]],4),""))))</f>
        <v/>
      </c>
      <c r="O268" s="75" t="str">
        <f>IF(Main[[#This Row],[Tech Start Date]]&lt;1/1/1990,"",IF(Main[[#This Row],[Class]]="C",WORKDAY(Main[[#This Row],[Tech Start Date]],23),IF(Main[[#This Row],[Class]]="B", WORKDAY(Main[[#This Row],[Tech Start Date]],15),IF(Main[[#This Row],[Class]]="A",WORKDAY(Main[[#This Row],[Tech Start Date]],5),""))))</f>
        <v/>
      </c>
      <c r="P268" s="75" t="str">
        <f>IF(Main[[#This Row],[Tech Start Date]]&lt;1/1/1990,"",IF(Main[[#This Row],[Class]]="C",WORKDAY(Main[[#This Row],[Tech Start Date]],28),IF(Main[[#This Row],[Class]]="B", WORKDAY(Main[[#This Row],[Tech Start Date]],19),IF(Main[[#This Row],[Class]]="A",WORKDAY(Main[[#This Row],[Tech Start Date]],9),""))))</f>
        <v/>
      </c>
      <c r="Q268" s="89">
        <v>40302</v>
      </c>
      <c r="R268" s="121"/>
      <c r="S268" s="99" t="s">
        <v>6</v>
      </c>
      <c r="T268" s="76" t="s">
        <v>4</v>
      </c>
      <c r="U268" s="99" t="s">
        <v>7</v>
      </c>
      <c r="V268" s="99" t="s">
        <v>1913</v>
      </c>
      <c r="W268" s="99" t="s">
        <v>1915</v>
      </c>
      <c r="X268" s="99" t="s">
        <v>2815</v>
      </c>
      <c r="Y268" s="73" t="s">
        <v>2930</v>
      </c>
      <c r="Z268" s="73" t="s">
        <v>4</v>
      </c>
      <c r="AA268" s="99" t="s">
        <v>2815</v>
      </c>
    </row>
    <row r="269" spans="1:27" ht="17.25" customHeight="1">
      <c r="A269" s="65" t="str">
        <f>IF(priority(Main[[#This Row],[Comments]])&lt;&gt;0, priority(Main[[#This Row],[Comments]]),"")</f>
        <v/>
      </c>
      <c r="B269" s="60" t="s">
        <v>1389</v>
      </c>
      <c r="C269" s="105" t="s">
        <v>4</v>
      </c>
      <c r="D269" s="74" t="s">
        <v>2336</v>
      </c>
      <c r="E269" s="89">
        <v>40644.246631944443</v>
      </c>
      <c r="F269" s="89"/>
      <c r="G269" s="65" t="str">
        <f>IF(stdProdLT(Main[[#This Row],[Comments]])=0.1,"N/A",IF(stdProdLT(Main[[#This Row],[Comments]])=0,"",TRIM(stdProdLT(Main[[#This Row],[Comments]]))))</f>
        <v/>
      </c>
      <c r="H269" s="98" t="str">
        <f>IF(Main[[#This Row],[Std. Prod. Lead Time]]="N/A", "",IF(AND(Main[[#This Row],[In Stock Date]]&lt;&gt;"",Main[[#This Row],[Revised Due Date]]&lt;&gt;"",Main[[#This Row],[In Stock Date]]&lt;&gt;""),Main[[#This Row],[In Stock Date]]-Main[[#This Row],[Revised Due Date]],""))</f>
        <v/>
      </c>
      <c r="I269" s="110" t="s">
        <v>912</v>
      </c>
      <c r="J269" s="99" t="s">
        <v>52</v>
      </c>
      <c r="K269" s="99" t="s">
        <v>4</v>
      </c>
      <c r="L269" s="89"/>
      <c r="M269" s="75" t="str">
        <f>IF(Main[[#This Row],[Tech Start Date]]&lt;1/1/1990,"",IF(Main[[#This Row],[Class]]="C",WORKDAY(Main[[#This Row],[Tech Start Date]],9),IF(Main[[#This Row],[Class]]="B", WORKDAY(Main[[#This Row],[Tech Start Date]],6),IF(Main[[#This Row],[Class]]="A",WORKDAY(Main[[#This Row],[Tech Start Date]],2),""))))</f>
        <v/>
      </c>
      <c r="N269" s="75" t="str">
        <f>IF(Main[[#This Row],[Tech Start Date]]&lt;1/1/1990,"",IF(Main[[#This Row],[Class]]="C",WORKDAY(Main[[#This Row],[Tech Start Date]],19),IF(Main[[#This Row],[Class]]="B", WORKDAY(Main[[#This Row],[Tech Start Date]],12),IF(Main[[#This Row],[Class]]="A",WORKDAY(Main[[#This Row],[Tech Start Date]],4),""))))</f>
        <v/>
      </c>
      <c r="O269" s="75" t="str">
        <f>IF(Main[[#This Row],[Tech Start Date]]&lt;1/1/1990,"",IF(Main[[#This Row],[Class]]="C",WORKDAY(Main[[#This Row],[Tech Start Date]],23),IF(Main[[#This Row],[Class]]="B", WORKDAY(Main[[#This Row],[Tech Start Date]],15),IF(Main[[#This Row],[Class]]="A",WORKDAY(Main[[#This Row],[Tech Start Date]],5),""))))</f>
        <v/>
      </c>
      <c r="P269" s="75" t="str">
        <f>IF(Main[[#This Row],[Tech Start Date]]&lt;1/1/1990,"",IF(Main[[#This Row],[Class]]="C",WORKDAY(Main[[#This Row],[Tech Start Date]],28),IF(Main[[#This Row],[Class]]="B", WORKDAY(Main[[#This Row],[Tech Start Date]],19),IF(Main[[#This Row],[Class]]="A",WORKDAY(Main[[#This Row],[Tech Start Date]],9),""))))</f>
        <v/>
      </c>
      <c r="Q269" s="89">
        <v>40659</v>
      </c>
      <c r="R269" s="121"/>
      <c r="S269" s="99" t="s">
        <v>6</v>
      </c>
      <c r="T269" s="76" t="s">
        <v>4</v>
      </c>
      <c r="U269" s="99" t="s">
        <v>29</v>
      </c>
      <c r="V269" s="99" t="s">
        <v>1913</v>
      </c>
      <c r="W269" s="99" t="s">
        <v>1921</v>
      </c>
      <c r="X269" s="99" t="s">
        <v>2815</v>
      </c>
      <c r="Y269" s="73" t="s">
        <v>2930</v>
      </c>
      <c r="Z269" s="73" t="s">
        <v>4</v>
      </c>
      <c r="AA269" s="99" t="s">
        <v>2815</v>
      </c>
    </row>
    <row r="270" spans="1:27" ht="17.25" customHeight="1">
      <c r="A270" s="65" t="str">
        <f>IF(priority(Main[[#This Row],[Comments]])&lt;&gt;0, priority(Main[[#This Row],[Comments]]),"")</f>
        <v/>
      </c>
      <c r="B270" s="60" t="s">
        <v>1109</v>
      </c>
      <c r="C270" s="105" t="s">
        <v>155</v>
      </c>
      <c r="D270" s="74" t="s">
        <v>156</v>
      </c>
      <c r="E270" s="89"/>
      <c r="F270" s="89"/>
      <c r="G270" s="65" t="str">
        <f>IF(stdProdLT(Main[[#This Row],[Comments]])=0.1,"N/A",IF(stdProdLT(Main[[#This Row],[Comments]])=0,"",TRIM(stdProdLT(Main[[#This Row],[Comments]]))))</f>
        <v/>
      </c>
      <c r="H270" s="98" t="str">
        <f>IF(Main[[#This Row],[Std. Prod. Lead Time]]="N/A", "",IF(AND(Main[[#This Row],[In Stock Date]]&lt;&gt;"",Main[[#This Row],[Revised Due Date]]&lt;&gt;"",Main[[#This Row],[In Stock Date]]&lt;&gt;""),Main[[#This Row],[In Stock Date]]-Main[[#This Row],[Revised Due Date]],""))</f>
        <v/>
      </c>
      <c r="I270" s="110" t="s">
        <v>4</v>
      </c>
      <c r="J270" s="99" t="s">
        <v>4</v>
      </c>
      <c r="K270" s="99" t="s">
        <v>4</v>
      </c>
      <c r="L270" s="89"/>
      <c r="M270" s="75" t="str">
        <f>IF(Main[[#This Row],[Tech Start Date]]&lt;1/1/1990,"",IF(Main[[#This Row],[Class]]="C",WORKDAY(Main[[#This Row],[Tech Start Date]],9),IF(Main[[#This Row],[Class]]="B", WORKDAY(Main[[#This Row],[Tech Start Date]],6),IF(Main[[#This Row],[Class]]="A",WORKDAY(Main[[#This Row],[Tech Start Date]],2),""))))</f>
        <v/>
      </c>
      <c r="N270" s="75" t="str">
        <f>IF(Main[[#This Row],[Tech Start Date]]&lt;1/1/1990,"",IF(Main[[#This Row],[Class]]="C",WORKDAY(Main[[#This Row],[Tech Start Date]],19),IF(Main[[#This Row],[Class]]="B", WORKDAY(Main[[#This Row],[Tech Start Date]],12),IF(Main[[#This Row],[Class]]="A",WORKDAY(Main[[#This Row],[Tech Start Date]],4),""))))</f>
        <v/>
      </c>
      <c r="O270" s="75" t="str">
        <f>IF(Main[[#This Row],[Tech Start Date]]&lt;1/1/1990,"",IF(Main[[#This Row],[Class]]="C",WORKDAY(Main[[#This Row],[Tech Start Date]],23),IF(Main[[#This Row],[Class]]="B", WORKDAY(Main[[#This Row],[Tech Start Date]],15),IF(Main[[#This Row],[Class]]="A",WORKDAY(Main[[#This Row],[Tech Start Date]],5),""))))</f>
        <v/>
      </c>
      <c r="P270" s="75" t="str">
        <f>IF(Main[[#This Row],[Tech Start Date]]&lt;1/1/1990,"",IF(Main[[#This Row],[Class]]="C",WORKDAY(Main[[#This Row],[Tech Start Date]],28),IF(Main[[#This Row],[Class]]="B", WORKDAY(Main[[#This Row],[Tech Start Date]],19),IF(Main[[#This Row],[Class]]="A",WORKDAY(Main[[#This Row],[Tech Start Date]],9),""))))</f>
        <v/>
      </c>
      <c r="Q270" s="89">
        <v>40144</v>
      </c>
      <c r="R270" s="121"/>
      <c r="S270" s="99" t="s">
        <v>11</v>
      </c>
      <c r="T270" s="76" t="s">
        <v>4</v>
      </c>
      <c r="U270" s="99" t="s">
        <v>14</v>
      </c>
      <c r="V270" s="99" t="s">
        <v>1913</v>
      </c>
      <c r="W270" s="99" t="s">
        <v>1915</v>
      </c>
      <c r="X270" s="99" t="s">
        <v>2848</v>
      </c>
      <c r="Y270" s="73" t="s">
        <v>4</v>
      </c>
      <c r="Z270" s="73" t="s">
        <v>4</v>
      </c>
      <c r="AA270" s="99" t="s">
        <v>2848</v>
      </c>
    </row>
    <row r="271" spans="1:27" ht="17.25" customHeight="1">
      <c r="A271" s="65" t="str">
        <f>IF(priority(Main[[#This Row],[Comments]])&lt;&gt;0, priority(Main[[#This Row],[Comments]]),"")</f>
        <v/>
      </c>
      <c r="B271" s="60" t="s">
        <v>1110</v>
      </c>
      <c r="C271" s="105" t="s">
        <v>157</v>
      </c>
      <c r="D271" s="74" t="s">
        <v>158</v>
      </c>
      <c r="E271" s="89"/>
      <c r="F271" s="89"/>
      <c r="G271" s="65" t="str">
        <f>IF(stdProdLT(Main[[#This Row],[Comments]])=0.1,"N/A",IF(stdProdLT(Main[[#This Row],[Comments]])=0,"",TRIM(stdProdLT(Main[[#This Row],[Comments]]))))</f>
        <v/>
      </c>
      <c r="H271" s="98" t="str">
        <f>IF(Main[[#This Row],[Std. Prod. Lead Time]]="N/A", "",IF(AND(Main[[#This Row],[In Stock Date]]&lt;&gt;"",Main[[#This Row],[Revised Due Date]]&lt;&gt;"",Main[[#This Row],[In Stock Date]]&lt;&gt;""),Main[[#This Row],[In Stock Date]]-Main[[#This Row],[Revised Due Date]],""))</f>
        <v/>
      </c>
      <c r="I271" s="110" t="s">
        <v>4</v>
      </c>
      <c r="J271" s="99" t="s">
        <v>4</v>
      </c>
      <c r="K271" s="99" t="s">
        <v>4</v>
      </c>
      <c r="L271" s="89"/>
      <c r="M271" s="75" t="str">
        <f>IF(Main[[#This Row],[Tech Start Date]]&lt;1/1/1990,"",IF(Main[[#This Row],[Class]]="C",WORKDAY(Main[[#This Row],[Tech Start Date]],9),IF(Main[[#This Row],[Class]]="B", WORKDAY(Main[[#This Row],[Tech Start Date]],6),IF(Main[[#This Row],[Class]]="A",WORKDAY(Main[[#This Row],[Tech Start Date]],2),""))))</f>
        <v/>
      </c>
      <c r="N271" s="75" t="str">
        <f>IF(Main[[#This Row],[Tech Start Date]]&lt;1/1/1990,"",IF(Main[[#This Row],[Class]]="C",WORKDAY(Main[[#This Row],[Tech Start Date]],19),IF(Main[[#This Row],[Class]]="B", WORKDAY(Main[[#This Row],[Tech Start Date]],12),IF(Main[[#This Row],[Class]]="A",WORKDAY(Main[[#This Row],[Tech Start Date]],4),""))))</f>
        <v/>
      </c>
      <c r="O271" s="75" t="str">
        <f>IF(Main[[#This Row],[Tech Start Date]]&lt;1/1/1990,"",IF(Main[[#This Row],[Class]]="C",WORKDAY(Main[[#This Row],[Tech Start Date]],23),IF(Main[[#This Row],[Class]]="B", WORKDAY(Main[[#This Row],[Tech Start Date]],15),IF(Main[[#This Row],[Class]]="A",WORKDAY(Main[[#This Row],[Tech Start Date]],5),""))))</f>
        <v/>
      </c>
      <c r="P271" s="75" t="str">
        <f>IF(Main[[#This Row],[Tech Start Date]]&lt;1/1/1990,"",IF(Main[[#This Row],[Class]]="C",WORKDAY(Main[[#This Row],[Tech Start Date]],28),IF(Main[[#This Row],[Class]]="B", WORKDAY(Main[[#This Row],[Tech Start Date]],19),IF(Main[[#This Row],[Class]]="A",WORKDAY(Main[[#This Row],[Tech Start Date]],9),""))))</f>
        <v/>
      </c>
      <c r="Q271" s="89"/>
      <c r="R271" s="121"/>
      <c r="S271" s="99" t="s">
        <v>11</v>
      </c>
      <c r="T271" s="76" t="s">
        <v>4</v>
      </c>
      <c r="U271" s="99" t="s">
        <v>14</v>
      </c>
      <c r="V271" s="99" t="s">
        <v>1914</v>
      </c>
      <c r="W271" s="99" t="s">
        <v>1915</v>
      </c>
      <c r="X271" s="99" t="s">
        <v>2810</v>
      </c>
      <c r="Y271" s="73" t="s">
        <v>2987</v>
      </c>
      <c r="Z271" s="73" t="s">
        <v>4</v>
      </c>
      <c r="AA271" s="99" t="s">
        <v>3385</v>
      </c>
    </row>
    <row r="272" spans="1:27" ht="17.25" customHeight="1">
      <c r="A272" s="65" t="str">
        <f>IF(priority(Main[[#This Row],[Comments]])&lt;&gt;0, priority(Main[[#This Row],[Comments]]),"")</f>
        <v/>
      </c>
      <c r="B272" s="60" t="s">
        <v>1111</v>
      </c>
      <c r="C272" s="105" t="s">
        <v>159</v>
      </c>
      <c r="D272" s="74" t="s">
        <v>160</v>
      </c>
      <c r="E272" s="89"/>
      <c r="F272" s="89">
        <v>40513</v>
      </c>
      <c r="G272" s="65" t="str">
        <f>IF(stdProdLT(Main[[#This Row],[Comments]])=0.1,"N/A",IF(stdProdLT(Main[[#This Row],[Comments]])=0,"",TRIM(stdProdLT(Main[[#This Row],[Comments]]))))</f>
        <v/>
      </c>
      <c r="H272" s="98" t="str">
        <f>IF(Main[[#This Row],[Std. Prod. Lead Time]]="N/A", "",IF(AND(Main[[#This Row],[In Stock Date]]&lt;&gt;"",Main[[#This Row],[Revised Due Date]]&lt;&gt;"",Main[[#This Row],[In Stock Date]]&lt;&gt;""),Main[[#This Row],[In Stock Date]]-Main[[#This Row],[Revised Due Date]],""))</f>
        <v/>
      </c>
      <c r="I272" s="110" t="s">
        <v>4</v>
      </c>
      <c r="J272" s="99" t="s">
        <v>28</v>
      </c>
      <c r="K272" s="99" t="s">
        <v>4</v>
      </c>
      <c r="L272" s="89"/>
      <c r="M272" s="75" t="str">
        <f>IF(Main[[#This Row],[Tech Start Date]]&lt;1/1/1990,"",IF(Main[[#This Row],[Class]]="C",WORKDAY(Main[[#This Row],[Tech Start Date]],9),IF(Main[[#This Row],[Class]]="B", WORKDAY(Main[[#This Row],[Tech Start Date]],6),IF(Main[[#This Row],[Class]]="A",WORKDAY(Main[[#This Row],[Tech Start Date]],2),""))))</f>
        <v/>
      </c>
      <c r="N272" s="75" t="str">
        <f>IF(Main[[#This Row],[Tech Start Date]]&lt;1/1/1990,"",IF(Main[[#This Row],[Class]]="C",WORKDAY(Main[[#This Row],[Tech Start Date]],19),IF(Main[[#This Row],[Class]]="B", WORKDAY(Main[[#This Row],[Tech Start Date]],12),IF(Main[[#This Row],[Class]]="A",WORKDAY(Main[[#This Row],[Tech Start Date]],4),""))))</f>
        <v/>
      </c>
      <c r="O272" s="75" t="str">
        <f>IF(Main[[#This Row],[Tech Start Date]]&lt;1/1/1990,"",IF(Main[[#This Row],[Class]]="C",WORKDAY(Main[[#This Row],[Tech Start Date]],23),IF(Main[[#This Row],[Class]]="B", WORKDAY(Main[[#This Row],[Tech Start Date]],15),IF(Main[[#This Row],[Class]]="A",WORKDAY(Main[[#This Row],[Tech Start Date]],5),""))))</f>
        <v/>
      </c>
      <c r="P272" s="75" t="str">
        <f>IF(Main[[#This Row],[Tech Start Date]]&lt;1/1/1990,"",IF(Main[[#This Row],[Class]]="C",WORKDAY(Main[[#This Row],[Tech Start Date]],28),IF(Main[[#This Row],[Class]]="B", WORKDAY(Main[[#This Row],[Tech Start Date]],19),IF(Main[[#This Row],[Class]]="A",WORKDAY(Main[[#This Row],[Tech Start Date]],9),""))))</f>
        <v/>
      </c>
      <c r="Q272" s="89">
        <v>40382</v>
      </c>
      <c r="R272" s="121"/>
      <c r="S272" s="99" t="s">
        <v>11</v>
      </c>
      <c r="T272" s="76" t="s">
        <v>4</v>
      </c>
      <c r="U272" s="99" t="s">
        <v>14</v>
      </c>
      <c r="V272" s="99" t="s">
        <v>1913</v>
      </c>
      <c r="W272" s="99" t="s">
        <v>1921</v>
      </c>
      <c r="X272" s="99" t="s">
        <v>2849</v>
      </c>
      <c r="Y272" s="73" t="s">
        <v>2988</v>
      </c>
      <c r="Z272" s="73" t="s">
        <v>129</v>
      </c>
      <c r="AA272" s="99" t="s">
        <v>2849</v>
      </c>
    </row>
    <row r="273" spans="1:27" ht="17.25" customHeight="1">
      <c r="A273" s="65" t="str">
        <f>IF(priority(Main[[#This Row],[Comments]])&lt;&gt;0, priority(Main[[#This Row],[Comments]]),"")</f>
        <v/>
      </c>
      <c r="B273" s="60" t="s">
        <v>2165</v>
      </c>
      <c r="C273" s="105" t="s">
        <v>4</v>
      </c>
      <c r="D273" s="74" t="s">
        <v>2166</v>
      </c>
      <c r="E273" s="89">
        <v>40781.644953703704</v>
      </c>
      <c r="F273" s="89"/>
      <c r="G273" s="65" t="str">
        <f>IF(stdProdLT(Main[[#This Row],[Comments]])=0.1,"N/A",IF(stdProdLT(Main[[#This Row],[Comments]])=0,"",TRIM(stdProdLT(Main[[#This Row],[Comments]]))))</f>
        <v/>
      </c>
      <c r="H273" s="98" t="str">
        <f>IF(Main[[#This Row],[Std. Prod. Lead Time]]="N/A", "",IF(AND(Main[[#This Row],[In Stock Date]]&lt;&gt;"",Main[[#This Row],[Revised Due Date]]&lt;&gt;"",Main[[#This Row],[In Stock Date]]&lt;&gt;""),Main[[#This Row],[In Stock Date]]-Main[[#This Row],[Revised Due Date]],""))</f>
        <v/>
      </c>
      <c r="I273" s="110" t="s">
        <v>4</v>
      </c>
      <c r="J273" s="99" t="s">
        <v>4</v>
      </c>
      <c r="K273" s="99" t="s">
        <v>4</v>
      </c>
      <c r="L273" s="89"/>
      <c r="M273" s="75" t="str">
        <f>IF(Main[[#This Row],[Tech Start Date]]&lt;1/1/1990,"",IF(Main[[#This Row],[Class]]="C",WORKDAY(Main[[#This Row],[Tech Start Date]],9),IF(Main[[#This Row],[Class]]="B", WORKDAY(Main[[#This Row],[Tech Start Date]],6),IF(Main[[#This Row],[Class]]="A",WORKDAY(Main[[#This Row],[Tech Start Date]],2),""))))</f>
        <v/>
      </c>
      <c r="N273" s="75" t="str">
        <f>IF(Main[[#This Row],[Tech Start Date]]&lt;1/1/1990,"",IF(Main[[#This Row],[Class]]="C",WORKDAY(Main[[#This Row],[Tech Start Date]],19),IF(Main[[#This Row],[Class]]="B", WORKDAY(Main[[#This Row],[Tech Start Date]],12),IF(Main[[#This Row],[Class]]="A",WORKDAY(Main[[#This Row],[Tech Start Date]],4),""))))</f>
        <v/>
      </c>
      <c r="O273" s="75" t="str">
        <f>IF(Main[[#This Row],[Tech Start Date]]&lt;1/1/1990,"",IF(Main[[#This Row],[Class]]="C",WORKDAY(Main[[#This Row],[Tech Start Date]],23),IF(Main[[#This Row],[Class]]="B", WORKDAY(Main[[#This Row],[Tech Start Date]],15),IF(Main[[#This Row],[Class]]="A",WORKDAY(Main[[#This Row],[Tech Start Date]],5),""))))</f>
        <v/>
      </c>
      <c r="P273" s="75" t="str">
        <f>IF(Main[[#This Row],[Tech Start Date]]&lt;1/1/1990,"",IF(Main[[#This Row],[Class]]="C",WORKDAY(Main[[#This Row],[Tech Start Date]],28),IF(Main[[#This Row],[Class]]="B", WORKDAY(Main[[#This Row],[Tech Start Date]],19),IF(Main[[#This Row],[Class]]="A",WORKDAY(Main[[#This Row],[Tech Start Date]],9),""))))</f>
        <v/>
      </c>
      <c r="Q273" s="89">
        <v>40809</v>
      </c>
      <c r="R273" s="121"/>
      <c r="S273" s="99" t="s">
        <v>6</v>
      </c>
      <c r="T273" s="76" t="s">
        <v>4</v>
      </c>
      <c r="U273" s="99" t="s">
        <v>7</v>
      </c>
      <c r="V273" s="99" t="s">
        <v>1913</v>
      </c>
      <c r="W273" s="99" t="s">
        <v>4</v>
      </c>
      <c r="X273" s="99" t="s">
        <v>2813</v>
      </c>
      <c r="Y273" s="73" t="s">
        <v>2926</v>
      </c>
      <c r="Z273" s="73" t="s">
        <v>4</v>
      </c>
      <c r="AA273" s="99" t="s">
        <v>2813</v>
      </c>
    </row>
    <row r="274" spans="1:27" ht="17.25" customHeight="1">
      <c r="A274" s="65" t="str">
        <f>IF(priority(Main[[#This Row],[Comments]])&lt;&gt;0, priority(Main[[#This Row],[Comments]]),"")</f>
        <v/>
      </c>
      <c r="B274" s="60" t="s">
        <v>2696</v>
      </c>
      <c r="C274" s="105" t="s">
        <v>4</v>
      </c>
      <c r="D274" s="74" t="s">
        <v>2697</v>
      </c>
      <c r="E274" s="89">
        <v>40892.147916666669</v>
      </c>
      <c r="F274" s="89"/>
      <c r="G274" s="65" t="str">
        <f>IF(stdProdLT(Main[[#This Row],[Comments]])=0.1,"N/A",IF(stdProdLT(Main[[#This Row],[Comments]])=0,"",TRIM(stdProdLT(Main[[#This Row],[Comments]]))))</f>
        <v/>
      </c>
      <c r="H274" s="98" t="str">
        <f>IF(Main[[#This Row],[Std. Prod. Lead Time]]="N/A", "",IF(AND(Main[[#This Row],[In Stock Date]]&lt;&gt;"",Main[[#This Row],[Revised Due Date]]&lt;&gt;"",Main[[#This Row],[In Stock Date]]&lt;&gt;""),Main[[#This Row],[In Stock Date]]-Main[[#This Row],[Revised Due Date]],""))</f>
        <v/>
      </c>
      <c r="I274" s="110" t="s">
        <v>69</v>
      </c>
      <c r="J274" s="99" t="s">
        <v>70</v>
      </c>
      <c r="K274" s="100" t="s">
        <v>1922</v>
      </c>
      <c r="L274" s="89"/>
      <c r="M274" s="75" t="str">
        <f>IF(Main[[#This Row],[Tech Start Date]]&lt;1/1/1990,"",IF(Main[[#This Row],[Class]]="C",WORKDAY(Main[[#This Row],[Tech Start Date]],9),IF(Main[[#This Row],[Class]]="B", WORKDAY(Main[[#This Row],[Tech Start Date]],6),IF(Main[[#This Row],[Class]]="A",WORKDAY(Main[[#This Row],[Tech Start Date]],2),""))))</f>
        <v/>
      </c>
      <c r="N274" s="75" t="str">
        <f>IF(Main[[#This Row],[Tech Start Date]]&lt;1/1/1990,"",IF(Main[[#This Row],[Class]]="C",WORKDAY(Main[[#This Row],[Tech Start Date]],19),IF(Main[[#This Row],[Class]]="B", WORKDAY(Main[[#This Row],[Tech Start Date]],12),IF(Main[[#This Row],[Class]]="A",WORKDAY(Main[[#This Row],[Tech Start Date]],4),""))))</f>
        <v/>
      </c>
      <c r="O274" s="75" t="str">
        <f>IF(Main[[#This Row],[Tech Start Date]]&lt;1/1/1990,"",IF(Main[[#This Row],[Class]]="C",WORKDAY(Main[[#This Row],[Tech Start Date]],23),IF(Main[[#This Row],[Class]]="B", WORKDAY(Main[[#This Row],[Tech Start Date]],15),IF(Main[[#This Row],[Class]]="A",WORKDAY(Main[[#This Row],[Tech Start Date]],5),""))))</f>
        <v/>
      </c>
      <c r="P274" s="75" t="str">
        <f>IF(Main[[#This Row],[Tech Start Date]]&lt;1/1/1990,"",IF(Main[[#This Row],[Class]]="C",WORKDAY(Main[[#This Row],[Tech Start Date]],28),IF(Main[[#This Row],[Class]]="B", WORKDAY(Main[[#This Row],[Tech Start Date]],19),IF(Main[[#This Row],[Class]]="A",WORKDAY(Main[[#This Row],[Tech Start Date]],9),""))))</f>
        <v/>
      </c>
      <c r="Q274" s="89">
        <v>40914</v>
      </c>
      <c r="R274" s="121"/>
      <c r="S274" s="99" t="s">
        <v>6</v>
      </c>
      <c r="T274" s="76" t="s">
        <v>4</v>
      </c>
      <c r="U274" s="99" t="s">
        <v>29</v>
      </c>
      <c r="V274" s="99" t="s">
        <v>1916</v>
      </c>
      <c r="W274" s="99" t="s">
        <v>1917</v>
      </c>
      <c r="X274" s="99" t="s">
        <v>2845</v>
      </c>
      <c r="Y274" s="73" t="s">
        <v>2980</v>
      </c>
      <c r="Z274" s="73" t="s">
        <v>30</v>
      </c>
      <c r="AA274" s="99" t="s">
        <v>2845</v>
      </c>
    </row>
    <row r="275" spans="1:27" ht="17.25" customHeight="1">
      <c r="A275" s="12" t="str">
        <f>IF(priority(Main[[#This Row],[Comments]])&lt;&gt;0, priority(Main[[#This Row],[Comments]]),"")</f>
        <v/>
      </c>
      <c r="B275" s="60" t="s">
        <v>2338</v>
      </c>
      <c r="C275" s="104" t="s">
        <v>4</v>
      </c>
      <c r="D275" s="78" t="s">
        <v>2339</v>
      </c>
      <c r="E275" s="90">
        <v>40876.410104166665</v>
      </c>
      <c r="F275" s="90"/>
      <c r="G275" s="12" t="str">
        <f>IF(stdProdLT(Main[[#This Row],[Comments]])=0.1,"N/A",IF(stdProdLT(Main[[#This Row],[Comments]])=0,"",TRIM(stdProdLT(Main[[#This Row],[Comments]]))))</f>
        <v/>
      </c>
      <c r="H275" s="101" t="str">
        <f>IF(Main[[#This Row],[Std. Prod. Lead Time]]="N/A", "",IF(AND(Main[[#This Row],[In Stock Date]]&lt;&gt;"",Main[[#This Row],[Revised Due Date]]&lt;&gt;"",Main[[#This Row],[In Stock Date]]&lt;&gt;""),Main[[#This Row],[In Stock Date]]-Main[[#This Row],[Revised Due Date]],""))</f>
        <v/>
      </c>
      <c r="I275" s="111" t="s">
        <v>4</v>
      </c>
      <c r="J275" s="12" t="s">
        <v>4</v>
      </c>
      <c r="K275" s="12" t="s">
        <v>4</v>
      </c>
      <c r="L275" s="90"/>
      <c r="M275" s="75" t="str">
        <f>IF(Main[[#This Row],[Tech Start Date]]&lt;1/1/1990,"",IF(Main[[#This Row],[Class]]="C",WORKDAY(Main[[#This Row],[Tech Start Date]],9),IF(Main[[#This Row],[Class]]="B", WORKDAY(Main[[#This Row],[Tech Start Date]],6),IF(Main[[#This Row],[Class]]="A",WORKDAY(Main[[#This Row],[Tech Start Date]],2),""))))</f>
        <v/>
      </c>
      <c r="N275" s="75" t="str">
        <f>IF(Main[[#This Row],[Tech Start Date]]&lt;1/1/1990,"",IF(Main[[#This Row],[Class]]="C",WORKDAY(Main[[#This Row],[Tech Start Date]],19),IF(Main[[#This Row],[Class]]="B", WORKDAY(Main[[#This Row],[Tech Start Date]],12),IF(Main[[#This Row],[Class]]="A",WORKDAY(Main[[#This Row],[Tech Start Date]],4),""))))</f>
        <v/>
      </c>
      <c r="O275" s="75" t="str">
        <f>IF(Main[[#This Row],[Tech Start Date]]&lt;1/1/1990,"",IF(Main[[#This Row],[Class]]="C",WORKDAY(Main[[#This Row],[Tech Start Date]],23),IF(Main[[#This Row],[Class]]="B", WORKDAY(Main[[#This Row],[Tech Start Date]],15),IF(Main[[#This Row],[Class]]="A",WORKDAY(Main[[#This Row],[Tech Start Date]],5),""))))</f>
        <v/>
      </c>
      <c r="P275" s="75" t="str">
        <f>IF(Main[[#This Row],[Tech Start Date]]&lt;1/1/1990,"",IF(Main[[#This Row],[Class]]="C",WORKDAY(Main[[#This Row],[Tech Start Date]],28),IF(Main[[#This Row],[Class]]="B", WORKDAY(Main[[#This Row],[Tech Start Date]],19),IF(Main[[#This Row],[Class]]="A",WORKDAY(Main[[#This Row],[Tech Start Date]],9),""))))</f>
        <v/>
      </c>
      <c r="Q275" s="90">
        <v>40879</v>
      </c>
      <c r="R275" s="124"/>
      <c r="S275" s="12" t="s">
        <v>6</v>
      </c>
      <c r="T275" s="79" t="s">
        <v>4</v>
      </c>
      <c r="U275" s="12" t="s">
        <v>29</v>
      </c>
      <c r="V275" s="12" t="s">
        <v>1914</v>
      </c>
      <c r="W275" s="12" t="s">
        <v>1917</v>
      </c>
      <c r="X275" s="12" t="s">
        <v>941</v>
      </c>
      <c r="Y275" s="77" t="s">
        <v>2989</v>
      </c>
      <c r="Z275" s="77" t="s">
        <v>4</v>
      </c>
      <c r="AA275" s="99" t="s">
        <v>941</v>
      </c>
    </row>
    <row r="276" spans="1:27" ht="17.25" customHeight="1">
      <c r="A276" s="65" t="str">
        <f>IF(priority(Main[[#This Row],[Comments]])&lt;&gt;0, priority(Main[[#This Row],[Comments]]),"")</f>
        <v/>
      </c>
      <c r="B276" s="60" t="s">
        <v>2457</v>
      </c>
      <c r="C276" s="105" t="s">
        <v>4</v>
      </c>
      <c r="D276" s="74" t="s">
        <v>2458</v>
      </c>
      <c r="E276" s="89">
        <v>40876.411770833336</v>
      </c>
      <c r="F276" s="89"/>
      <c r="G276" s="65" t="str">
        <f>IF(stdProdLT(Main[[#This Row],[Comments]])=0.1,"N/A",IF(stdProdLT(Main[[#This Row],[Comments]])=0,"",TRIM(stdProdLT(Main[[#This Row],[Comments]]))))</f>
        <v/>
      </c>
      <c r="H276" s="98" t="str">
        <f>IF(Main[[#This Row],[Std. Prod. Lead Time]]="N/A", "",IF(AND(Main[[#This Row],[In Stock Date]]&lt;&gt;"",Main[[#This Row],[Revised Due Date]]&lt;&gt;"",Main[[#This Row],[In Stock Date]]&lt;&gt;""),Main[[#This Row],[In Stock Date]]-Main[[#This Row],[Revised Due Date]],""))</f>
        <v/>
      </c>
      <c r="I276" s="110" t="s">
        <v>4</v>
      </c>
      <c r="J276" s="99" t="s">
        <v>4</v>
      </c>
      <c r="K276" s="99" t="s">
        <v>4</v>
      </c>
      <c r="L276" s="89"/>
      <c r="M276" s="75" t="str">
        <f>IF(Main[[#This Row],[Tech Start Date]]&lt;1/1/1990,"",IF(Main[[#This Row],[Class]]="C",WORKDAY(Main[[#This Row],[Tech Start Date]],9),IF(Main[[#This Row],[Class]]="B", WORKDAY(Main[[#This Row],[Tech Start Date]],6),IF(Main[[#This Row],[Class]]="A",WORKDAY(Main[[#This Row],[Tech Start Date]],2),""))))</f>
        <v/>
      </c>
      <c r="N276" s="75" t="str">
        <f>IF(Main[[#This Row],[Tech Start Date]]&lt;1/1/1990,"",IF(Main[[#This Row],[Class]]="C",WORKDAY(Main[[#This Row],[Tech Start Date]],19),IF(Main[[#This Row],[Class]]="B", WORKDAY(Main[[#This Row],[Tech Start Date]],12),IF(Main[[#This Row],[Class]]="A",WORKDAY(Main[[#This Row],[Tech Start Date]],4),""))))</f>
        <v/>
      </c>
      <c r="O276" s="75" t="str">
        <f>IF(Main[[#This Row],[Tech Start Date]]&lt;1/1/1990,"",IF(Main[[#This Row],[Class]]="C",WORKDAY(Main[[#This Row],[Tech Start Date]],23),IF(Main[[#This Row],[Class]]="B", WORKDAY(Main[[#This Row],[Tech Start Date]],15),IF(Main[[#This Row],[Class]]="A",WORKDAY(Main[[#This Row],[Tech Start Date]],5),""))))</f>
        <v/>
      </c>
      <c r="P276" s="75" t="str">
        <f>IF(Main[[#This Row],[Tech Start Date]]&lt;1/1/1990,"",IF(Main[[#This Row],[Class]]="C",WORKDAY(Main[[#This Row],[Tech Start Date]],28),IF(Main[[#This Row],[Class]]="B", WORKDAY(Main[[#This Row],[Tech Start Date]],19),IF(Main[[#This Row],[Class]]="A",WORKDAY(Main[[#This Row],[Tech Start Date]],9),""))))</f>
        <v/>
      </c>
      <c r="Q276" s="89"/>
      <c r="R276" s="121"/>
      <c r="S276" s="99" t="s">
        <v>6</v>
      </c>
      <c r="T276" s="76" t="s">
        <v>4</v>
      </c>
      <c r="U276" s="99" t="s">
        <v>7</v>
      </c>
      <c r="V276" s="99" t="s">
        <v>1913</v>
      </c>
      <c r="W276" s="99" t="s">
        <v>1921</v>
      </c>
      <c r="X276" s="99" t="s">
        <v>306</v>
      </c>
      <c r="Y276" s="73" t="s">
        <v>4</v>
      </c>
      <c r="Z276" s="73" t="s">
        <v>4</v>
      </c>
      <c r="AA276" s="99" t="s">
        <v>3386</v>
      </c>
    </row>
    <row r="277" spans="1:27" ht="17.25" customHeight="1">
      <c r="A277" s="65" t="str">
        <f>IF(priority(Main[[#This Row],[Comments]])&lt;&gt;0, priority(Main[[#This Row],[Comments]]),"")</f>
        <v/>
      </c>
      <c r="B277" s="60" t="s">
        <v>1976</v>
      </c>
      <c r="C277" s="105" t="s">
        <v>1971</v>
      </c>
      <c r="D277" s="74" t="s">
        <v>1977</v>
      </c>
      <c r="E277" s="89"/>
      <c r="F277" s="89"/>
      <c r="G277" s="65" t="str">
        <f>IF(stdProdLT(Main[[#This Row],[Comments]])=0.1,"N/A",IF(stdProdLT(Main[[#This Row],[Comments]])=0,"",TRIM(stdProdLT(Main[[#This Row],[Comments]]))))</f>
        <v/>
      </c>
      <c r="H277" s="98" t="str">
        <f>IF(Main[[#This Row],[Std. Prod. Lead Time]]="N/A", "",IF(AND(Main[[#This Row],[In Stock Date]]&lt;&gt;"",Main[[#This Row],[Revised Due Date]]&lt;&gt;"",Main[[#This Row],[In Stock Date]]&lt;&gt;""),Main[[#This Row],[In Stock Date]]-Main[[#This Row],[Revised Due Date]],""))</f>
        <v/>
      </c>
      <c r="I277" s="110" t="s">
        <v>4</v>
      </c>
      <c r="J277" s="99" t="s">
        <v>4</v>
      </c>
      <c r="K277" s="99" t="s">
        <v>4</v>
      </c>
      <c r="L277" s="89"/>
      <c r="M277" s="75" t="str">
        <f>IF(Main[[#This Row],[Tech Start Date]]&lt;1/1/1990,"",IF(Main[[#This Row],[Class]]="C",WORKDAY(Main[[#This Row],[Tech Start Date]],9),IF(Main[[#This Row],[Class]]="B", WORKDAY(Main[[#This Row],[Tech Start Date]],6),IF(Main[[#This Row],[Class]]="A",WORKDAY(Main[[#This Row],[Tech Start Date]],2),""))))</f>
        <v/>
      </c>
      <c r="N277" s="75" t="str">
        <f>IF(Main[[#This Row],[Tech Start Date]]&lt;1/1/1990,"",IF(Main[[#This Row],[Class]]="C",WORKDAY(Main[[#This Row],[Tech Start Date]],19),IF(Main[[#This Row],[Class]]="B", WORKDAY(Main[[#This Row],[Tech Start Date]],12),IF(Main[[#This Row],[Class]]="A",WORKDAY(Main[[#This Row],[Tech Start Date]],4),""))))</f>
        <v/>
      </c>
      <c r="O277" s="75" t="str">
        <f>IF(Main[[#This Row],[Tech Start Date]]&lt;1/1/1990,"",IF(Main[[#This Row],[Class]]="C",WORKDAY(Main[[#This Row],[Tech Start Date]],23),IF(Main[[#This Row],[Class]]="B", WORKDAY(Main[[#This Row],[Tech Start Date]],15),IF(Main[[#This Row],[Class]]="A",WORKDAY(Main[[#This Row],[Tech Start Date]],5),""))))</f>
        <v/>
      </c>
      <c r="P277" s="75" t="str">
        <f>IF(Main[[#This Row],[Tech Start Date]]&lt;1/1/1990,"",IF(Main[[#This Row],[Class]]="C",WORKDAY(Main[[#This Row],[Tech Start Date]],28),IF(Main[[#This Row],[Class]]="B", WORKDAY(Main[[#This Row],[Tech Start Date]],19),IF(Main[[#This Row],[Class]]="A",WORKDAY(Main[[#This Row],[Tech Start Date]],9),""))))</f>
        <v/>
      </c>
      <c r="Q277" s="89">
        <v>40745</v>
      </c>
      <c r="R277" s="121"/>
      <c r="S277" s="99" t="s">
        <v>11</v>
      </c>
      <c r="T277" s="76" t="s">
        <v>4</v>
      </c>
      <c r="U277" s="99" t="s">
        <v>14</v>
      </c>
      <c r="V277" s="99" t="s">
        <v>1914</v>
      </c>
      <c r="W277" s="99" t="s">
        <v>1915</v>
      </c>
      <c r="X277" s="99" t="s">
        <v>2810</v>
      </c>
      <c r="Y277" s="73" t="s">
        <v>4</v>
      </c>
      <c r="Z277" s="73" t="s">
        <v>4</v>
      </c>
      <c r="AA277" s="99" t="s">
        <v>2810</v>
      </c>
    </row>
    <row r="278" spans="1:27" ht="17.25" customHeight="1">
      <c r="A278" s="65" t="str">
        <f>IF(priority(Main[[#This Row],[Comments]])&lt;&gt;0, priority(Main[[#This Row],[Comments]]),"")</f>
        <v/>
      </c>
      <c r="B278" s="60" t="s">
        <v>1115</v>
      </c>
      <c r="C278" s="105" t="s">
        <v>4</v>
      </c>
      <c r="D278" s="74" t="s">
        <v>164</v>
      </c>
      <c r="E278" s="89">
        <v>40315.288738425923</v>
      </c>
      <c r="F278" s="89"/>
      <c r="G278" s="65" t="str">
        <f>IF(stdProdLT(Main[[#This Row],[Comments]])=0.1,"N/A",IF(stdProdLT(Main[[#This Row],[Comments]])=0,"",TRIM(stdProdLT(Main[[#This Row],[Comments]]))))</f>
        <v/>
      </c>
      <c r="H278" s="98" t="str">
        <f>IF(Main[[#This Row],[Std. Prod. Lead Time]]="N/A", "",IF(AND(Main[[#This Row],[In Stock Date]]&lt;&gt;"",Main[[#This Row],[Revised Due Date]]&lt;&gt;"",Main[[#This Row],[In Stock Date]]&lt;&gt;""),Main[[#This Row],[In Stock Date]]-Main[[#This Row],[Revised Due Date]],""))</f>
        <v/>
      </c>
      <c r="I278" s="110" t="s">
        <v>129</v>
      </c>
      <c r="J278" s="99" t="s">
        <v>4</v>
      </c>
      <c r="K278" s="99" t="s">
        <v>4</v>
      </c>
      <c r="L278" s="89"/>
      <c r="M278" s="75" t="str">
        <f>IF(Main[[#This Row],[Tech Start Date]]&lt;1/1/1990,"",IF(Main[[#This Row],[Class]]="C",WORKDAY(Main[[#This Row],[Tech Start Date]],9),IF(Main[[#This Row],[Class]]="B", WORKDAY(Main[[#This Row],[Tech Start Date]],6),IF(Main[[#This Row],[Class]]="A",WORKDAY(Main[[#This Row],[Tech Start Date]],2),""))))</f>
        <v/>
      </c>
      <c r="N278" s="75" t="str">
        <f>IF(Main[[#This Row],[Tech Start Date]]&lt;1/1/1990,"",IF(Main[[#This Row],[Class]]="C",WORKDAY(Main[[#This Row],[Tech Start Date]],19),IF(Main[[#This Row],[Class]]="B", WORKDAY(Main[[#This Row],[Tech Start Date]],12),IF(Main[[#This Row],[Class]]="A",WORKDAY(Main[[#This Row],[Tech Start Date]],4),""))))</f>
        <v/>
      </c>
      <c r="O278" s="75" t="str">
        <f>IF(Main[[#This Row],[Tech Start Date]]&lt;1/1/1990,"",IF(Main[[#This Row],[Class]]="C",WORKDAY(Main[[#This Row],[Tech Start Date]],23),IF(Main[[#This Row],[Class]]="B", WORKDAY(Main[[#This Row],[Tech Start Date]],15),IF(Main[[#This Row],[Class]]="A",WORKDAY(Main[[#This Row],[Tech Start Date]],5),""))))</f>
        <v/>
      </c>
      <c r="P278" s="75" t="str">
        <f>IF(Main[[#This Row],[Tech Start Date]]&lt;1/1/1990,"",IF(Main[[#This Row],[Class]]="C",WORKDAY(Main[[#This Row],[Tech Start Date]],28),IF(Main[[#This Row],[Class]]="B", WORKDAY(Main[[#This Row],[Tech Start Date]],19),IF(Main[[#This Row],[Class]]="A",WORKDAY(Main[[#This Row],[Tech Start Date]],9),""))))</f>
        <v/>
      </c>
      <c r="Q278" s="89">
        <v>40359</v>
      </c>
      <c r="R278" s="121"/>
      <c r="S278" s="99" t="s">
        <v>6</v>
      </c>
      <c r="T278" s="76" t="s">
        <v>4</v>
      </c>
      <c r="U278" s="99" t="s">
        <v>7</v>
      </c>
      <c r="V278" s="99" t="s">
        <v>1913</v>
      </c>
      <c r="W278" s="99" t="s">
        <v>4</v>
      </c>
      <c r="X278" s="99" t="s">
        <v>2816</v>
      </c>
      <c r="Y278" s="73" t="s">
        <v>2932</v>
      </c>
      <c r="Z278" s="73" t="s">
        <v>4</v>
      </c>
      <c r="AA278" s="99" t="s">
        <v>2816</v>
      </c>
    </row>
    <row r="279" spans="1:27" ht="17.25" customHeight="1">
      <c r="A279" s="65" t="str">
        <f>IF(priority(Main[[#This Row],[Comments]])&lt;&gt;0, priority(Main[[#This Row],[Comments]]),"")</f>
        <v/>
      </c>
      <c r="B279" s="60" t="s">
        <v>1116</v>
      </c>
      <c r="C279" s="105" t="s">
        <v>31</v>
      </c>
      <c r="D279" s="59" t="s">
        <v>165</v>
      </c>
      <c r="E279" s="89">
        <v>40490.313692129632</v>
      </c>
      <c r="F279" s="89">
        <v>40546</v>
      </c>
      <c r="G279" s="65" t="str">
        <f>IF(stdProdLT(Main[[#This Row],[Comments]])=0.1,"N/A",IF(stdProdLT(Main[[#This Row],[Comments]])=0,"",TRIM(stdProdLT(Main[[#This Row],[Comments]]))))</f>
        <v/>
      </c>
      <c r="H279" s="98" t="str">
        <f>IF(Main[[#This Row],[Std. Prod. Lead Time]]="N/A", "",IF(AND(Main[[#This Row],[In Stock Date]]&lt;&gt;"",Main[[#This Row],[Revised Due Date]]&lt;&gt;"",Main[[#This Row],[In Stock Date]]&lt;&gt;""),Main[[#This Row],[In Stock Date]]-Main[[#This Row],[Revised Due Date]],""))</f>
        <v/>
      </c>
      <c r="I279" s="110" t="s">
        <v>4</v>
      </c>
      <c r="J279" s="99" t="s">
        <v>4</v>
      </c>
      <c r="K279" s="99" t="s">
        <v>4</v>
      </c>
      <c r="L279" s="89"/>
      <c r="M279" s="75" t="str">
        <f>IF(Main[[#This Row],[Tech Start Date]]&lt;1/1/1990,"",IF(Main[[#This Row],[Class]]="C",WORKDAY(Main[[#This Row],[Tech Start Date]],9),IF(Main[[#This Row],[Class]]="B", WORKDAY(Main[[#This Row],[Tech Start Date]],6),IF(Main[[#This Row],[Class]]="A",WORKDAY(Main[[#This Row],[Tech Start Date]],2),""))))</f>
        <v/>
      </c>
      <c r="N279" s="75" t="str">
        <f>IF(Main[[#This Row],[Tech Start Date]]&lt;1/1/1990,"",IF(Main[[#This Row],[Class]]="C",WORKDAY(Main[[#This Row],[Tech Start Date]],19),IF(Main[[#This Row],[Class]]="B", WORKDAY(Main[[#This Row],[Tech Start Date]],12),IF(Main[[#This Row],[Class]]="A",WORKDAY(Main[[#This Row],[Tech Start Date]],4),""))))</f>
        <v/>
      </c>
      <c r="O279" s="75" t="str">
        <f>IF(Main[[#This Row],[Tech Start Date]]&lt;1/1/1990,"",IF(Main[[#This Row],[Class]]="C",WORKDAY(Main[[#This Row],[Tech Start Date]],23),IF(Main[[#This Row],[Class]]="B", WORKDAY(Main[[#This Row],[Tech Start Date]],15),IF(Main[[#This Row],[Class]]="A",WORKDAY(Main[[#This Row],[Tech Start Date]],5),""))))</f>
        <v/>
      </c>
      <c r="P279" s="75" t="str">
        <f>IF(Main[[#This Row],[Tech Start Date]]&lt;1/1/1990,"",IF(Main[[#This Row],[Class]]="C",WORKDAY(Main[[#This Row],[Tech Start Date]],28),IF(Main[[#This Row],[Class]]="B", WORKDAY(Main[[#This Row],[Tech Start Date]],19),IF(Main[[#This Row],[Class]]="A",WORKDAY(Main[[#This Row],[Tech Start Date]],9),""))))</f>
        <v/>
      </c>
      <c r="Q279" s="89">
        <v>40543</v>
      </c>
      <c r="R279" s="121"/>
      <c r="S279" s="99" t="s">
        <v>17</v>
      </c>
      <c r="T279" s="76" t="s">
        <v>4</v>
      </c>
      <c r="U279" s="99" t="s">
        <v>7</v>
      </c>
      <c r="V279" s="99" t="s">
        <v>1916</v>
      </c>
      <c r="W279" s="99" t="s">
        <v>4</v>
      </c>
      <c r="X279" s="99" t="s">
        <v>2850</v>
      </c>
      <c r="Y279" s="73" t="s">
        <v>2991</v>
      </c>
      <c r="Z279" s="73" t="s">
        <v>4</v>
      </c>
      <c r="AA279" s="99" t="s">
        <v>2850</v>
      </c>
    </row>
    <row r="280" spans="1:27" ht="17.25" customHeight="1">
      <c r="A280" s="65" t="str">
        <f>IF(priority(Main[[#This Row],[Comments]])&lt;&gt;0, priority(Main[[#This Row],[Comments]]),"")</f>
        <v/>
      </c>
      <c r="B280" s="60" t="s">
        <v>1117</v>
      </c>
      <c r="C280" s="105" t="s">
        <v>4</v>
      </c>
      <c r="D280" s="59" t="s">
        <v>166</v>
      </c>
      <c r="E280" s="89">
        <v>40455.90861111111</v>
      </c>
      <c r="F280" s="89"/>
      <c r="G280" s="65" t="str">
        <f>IF(stdProdLT(Main[[#This Row],[Comments]])=0.1,"N/A",IF(stdProdLT(Main[[#This Row],[Comments]])=0,"",TRIM(stdProdLT(Main[[#This Row],[Comments]]))))</f>
        <v/>
      </c>
      <c r="H280" s="98" t="str">
        <f>IF(Main[[#This Row],[Std. Prod. Lead Time]]="N/A", "",IF(AND(Main[[#This Row],[In Stock Date]]&lt;&gt;"",Main[[#This Row],[Revised Due Date]]&lt;&gt;"",Main[[#This Row],[In Stock Date]]&lt;&gt;""),Main[[#This Row],[In Stock Date]]-Main[[#This Row],[Revised Due Date]],""))</f>
        <v/>
      </c>
      <c r="I280" s="110" t="s">
        <v>4</v>
      </c>
      <c r="J280" s="99" t="s">
        <v>28</v>
      </c>
      <c r="K280" s="99" t="s">
        <v>1925</v>
      </c>
      <c r="L280" s="89"/>
      <c r="M280" s="75" t="str">
        <f>IF(Main[[#This Row],[Tech Start Date]]&lt;1/1/1990,"",IF(Main[[#This Row],[Class]]="C",WORKDAY(Main[[#This Row],[Tech Start Date]],9),IF(Main[[#This Row],[Class]]="B", WORKDAY(Main[[#This Row],[Tech Start Date]],6),IF(Main[[#This Row],[Class]]="A",WORKDAY(Main[[#This Row],[Tech Start Date]],2),""))))</f>
        <v/>
      </c>
      <c r="N280" s="75" t="str">
        <f>IF(Main[[#This Row],[Tech Start Date]]&lt;1/1/1990,"",IF(Main[[#This Row],[Class]]="C",WORKDAY(Main[[#This Row],[Tech Start Date]],19),IF(Main[[#This Row],[Class]]="B", WORKDAY(Main[[#This Row],[Tech Start Date]],12),IF(Main[[#This Row],[Class]]="A",WORKDAY(Main[[#This Row],[Tech Start Date]],4),""))))</f>
        <v/>
      </c>
      <c r="O280" s="75" t="str">
        <f>IF(Main[[#This Row],[Tech Start Date]]&lt;1/1/1990,"",IF(Main[[#This Row],[Class]]="C",WORKDAY(Main[[#This Row],[Tech Start Date]],23),IF(Main[[#This Row],[Class]]="B", WORKDAY(Main[[#This Row],[Tech Start Date]],15),IF(Main[[#This Row],[Class]]="A",WORKDAY(Main[[#This Row],[Tech Start Date]],5),""))))</f>
        <v/>
      </c>
      <c r="P280" s="75" t="str">
        <f>IF(Main[[#This Row],[Tech Start Date]]&lt;1/1/1990,"",IF(Main[[#This Row],[Class]]="C",WORKDAY(Main[[#This Row],[Tech Start Date]],28),IF(Main[[#This Row],[Class]]="B", WORKDAY(Main[[#This Row],[Tech Start Date]],19),IF(Main[[#This Row],[Class]]="A",WORKDAY(Main[[#This Row],[Tech Start Date]],9),""))))</f>
        <v/>
      </c>
      <c r="Q280" s="89">
        <v>40512</v>
      </c>
      <c r="R280" s="121"/>
      <c r="S280" s="99" t="s">
        <v>17</v>
      </c>
      <c r="T280" s="76" t="s">
        <v>4</v>
      </c>
      <c r="U280" s="99" t="s">
        <v>7</v>
      </c>
      <c r="V280" s="99" t="s">
        <v>1913</v>
      </c>
      <c r="W280" s="99" t="s">
        <v>1918</v>
      </c>
      <c r="X280" s="99" t="s">
        <v>129</v>
      </c>
      <c r="Y280" s="73" t="s">
        <v>2927</v>
      </c>
      <c r="Z280" s="73" t="s">
        <v>129</v>
      </c>
      <c r="AA280" s="99" t="s">
        <v>129</v>
      </c>
    </row>
    <row r="281" spans="1:27" ht="17.25" customHeight="1">
      <c r="A281" s="65" t="str">
        <f>IF(priority(Main[[#This Row],[Comments]])&lt;&gt;0, priority(Main[[#This Row],[Comments]]),"")</f>
        <v/>
      </c>
      <c r="B281" s="60" t="s">
        <v>1118</v>
      </c>
      <c r="C281" s="105" t="s">
        <v>4</v>
      </c>
      <c r="D281" s="74" t="s">
        <v>167</v>
      </c>
      <c r="E281" s="89"/>
      <c r="F281" s="89"/>
      <c r="G281" s="65" t="str">
        <f>IF(stdProdLT(Main[[#This Row],[Comments]])=0.1,"N/A",IF(stdProdLT(Main[[#This Row],[Comments]])=0,"",TRIM(stdProdLT(Main[[#This Row],[Comments]]))))</f>
        <v/>
      </c>
      <c r="H281" s="98" t="str">
        <f>IF(Main[[#This Row],[Std. Prod. Lead Time]]="N/A", "",IF(AND(Main[[#This Row],[In Stock Date]]&lt;&gt;"",Main[[#This Row],[Revised Due Date]]&lt;&gt;"",Main[[#This Row],[In Stock Date]]&lt;&gt;""),Main[[#This Row],[In Stock Date]]-Main[[#This Row],[Revised Due Date]],""))</f>
        <v/>
      </c>
      <c r="I281" s="110" t="s">
        <v>4</v>
      </c>
      <c r="J281" s="99" t="s">
        <v>28</v>
      </c>
      <c r="K281" s="99" t="s">
        <v>1925</v>
      </c>
      <c r="L281" s="89"/>
      <c r="M281" s="75" t="str">
        <f>IF(Main[[#This Row],[Tech Start Date]]&lt;1/1/1990,"",IF(Main[[#This Row],[Class]]="C",WORKDAY(Main[[#This Row],[Tech Start Date]],9),IF(Main[[#This Row],[Class]]="B", WORKDAY(Main[[#This Row],[Tech Start Date]],6),IF(Main[[#This Row],[Class]]="A",WORKDAY(Main[[#This Row],[Tech Start Date]],2),""))))</f>
        <v/>
      </c>
      <c r="N281" s="75" t="str">
        <f>IF(Main[[#This Row],[Tech Start Date]]&lt;1/1/1990,"",IF(Main[[#This Row],[Class]]="C",WORKDAY(Main[[#This Row],[Tech Start Date]],19),IF(Main[[#This Row],[Class]]="B", WORKDAY(Main[[#This Row],[Tech Start Date]],12),IF(Main[[#This Row],[Class]]="A",WORKDAY(Main[[#This Row],[Tech Start Date]],4),""))))</f>
        <v/>
      </c>
      <c r="O281" s="75" t="str">
        <f>IF(Main[[#This Row],[Tech Start Date]]&lt;1/1/1990,"",IF(Main[[#This Row],[Class]]="C",WORKDAY(Main[[#This Row],[Tech Start Date]],23),IF(Main[[#This Row],[Class]]="B", WORKDAY(Main[[#This Row],[Tech Start Date]],15),IF(Main[[#This Row],[Class]]="A",WORKDAY(Main[[#This Row],[Tech Start Date]],5),""))))</f>
        <v/>
      </c>
      <c r="P281" s="75" t="str">
        <f>IF(Main[[#This Row],[Tech Start Date]]&lt;1/1/1990,"",IF(Main[[#This Row],[Class]]="C",WORKDAY(Main[[#This Row],[Tech Start Date]],28),IF(Main[[#This Row],[Class]]="B", WORKDAY(Main[[#This Row],[Tech Start Date]],19),IF(Main[[#This Row],[Class]]="A",WORKDAY(Main[[#This Row],[Tech Start Date]],9),""))))</f>
        <v/>
      </c>
      <c r="Q281" s="89"/>
      <c r="R281" s="121"/>
      <c r="S281" s="99" t="s">
        <v>17</v>
      </c>
      <c r="T281" s="76" t="s">
        <v>4</v>
      </c>
      <c r="U281" s="99" t="s">
        <v>14</v>
      </c>
      <c r="V281" s="99" t="s">
        <v>1916</v>
      </c>
      <c r="W281" s="99" t="s">
        <v>1918</v>
      </c>
      <c r="X281" s="99" t="s">
        <v>553</v>
      </c>
      <c r="Y281" s="73" t="s">
        <v>2946</v>
      </c>
      <c r="Z281" s="73" t="s">
        <v>968</v>
      </c>
      <c r="AA281" s="99" t="s">
        <v>553</v>
      </c>
    </row>
    <row r="282" spans="1:27" ht="17.25" customHeight="1">
      <c r="A282" s="65" t="str">
        <f>IF(priority(Main[[#This Row],[Comments]])&lt;&gt;0, priority(Main[[#This Row],[Comments]]),"")</f>
        <v/>
      </c>
      <c r="B282" s="60" t="s">
        <v>2666</v>
      </c>
      <c r="C282" s="105" t="s">
        <v>4</v>
      </c>
      <c r="D282" s="74" t="s">
        <v>2698</v>
      </c>
      <c r="E282" s="89">
        <v>40879.610138888886</v>
      </c>
      <c r="F282" s="89"/>
      <c r="G282" s="65" t="str">
        <f>IF(stdProdLT(Main[[#This Row],[Comments]])=0.1,"N/A",IF(stdProdLT(Main[[#This Row],[Comments]])=0,"",TRIM(stdProdLT(Main[[#This Row],[Comments]]))))</f>
        <v/>
      </c>
      <c r="H282" s="98" t="str">
        <f>IF(Main[[#This Row],[Std. Prod. Lead Time]]="N/A", "",IF(AND(Main[[#This Row],[In Stock Date]]&lt;&gt;"",Main[[#This Row],[Revised Due Date]]&lt;&gt;"",Main[[#This Row],[In Stock Date]]&lt;&gt;""),Main[[#This Row],[In Stock Date]]-Main[[#This Row],[Revised Due Date]],""))</f>
        <v/>
      </c>
      <c r="I282" s="110" t="s">
        <v>69</v>
      </c>
      <c r="J282" s="99" t="s">
        <v>21</v>
      </c>
      <c r="K282" s="99" t="s">
        <v>1922</v>
      </c>
      <c r="L282" s="89"/>
      <c r="M282" s="75" t="str">
        <f>IF(Main[[#This Row],[Tech Start Date]]&lt;1/1/1990,"",IF(Main[[#This Row],[Class]]="C",WORKDAY(Main[[#This Row],[Tech Start Date]],9),IF(Main[[#This Row],[Class]]="B", WORKDAY(Main[[#This Row],[Tech Start Date]],6),IF(Main[[#This Row],[Class]]="A",WORKDAY(Main[[#This Row],[Tech Start Date]],2),""))))</f>
        <v/>
      </c>
      <c r="N282" s="75" t="str">
        <f>IF(Main[[#This Row],[Tech Start Date]]&lt;1/1/1990,"",IF(Main[[#This Row],[Class]]="C",WORKDAY(Main[[#This Row],[Tech Start Date]],19),IF(Main[[#This Row],[Class]]="B", WORKDAY(Main[[#This Row],[Tech Start Date]],12),IF(Main[[#This Row],[Class]]="A",WORKDAY(Main[[#This Row],[Tech Start Date]],4),""))))</f>
        <v/>
      </c>
      <c r="O282" s="75" t="str">
        <f>IF(Main[[#This Row],[Tech Start Date]]&lt;1/1/1990,"",IF(Main[[#This Row],[Class]]="C",WORKDAY(Main[[#This Row],[Tech Start Date]],23),IF(Main[[#This Row],[Class]]="B", WORKDAY(Main[[#This Row],[Tech Start Date]],15),IF(Main[[#This Row],[Class]]="A",WORKDAY(Main[[#This Row],[Tech Start Date]],5),""))))</f>
        <v/>
      </c>
      <c r="P282" s="75" t="str">
        <f>IF(Main[[#This Row],[Tech Start Date]]&lt;1/1/1990,"",IF(Main[[#This Row],[Class]]="C",WORKDAY(Main[[#This Row],[Tech Start Date]],28),IF(Main[[#This Row],[Class]]="B", WORKDAY(Main[[#This Row],[Tech Start Date]],19),IF(Main[[#This Row],[Class]]="A",WORKDAY(Main[[#This Row],[Tech Start Date]],9),""))))</f>
        <v/>
      </c>
      <c r="Q282" s="89">
        <v>40921</v>
      </c>
      <c r="R282" s="121"/>
      <c r="S282" s="99" t="s">
        <v>6</v>
      </c>
      <c r="T282" s="76" t="s">
        <v>4</v>
      </c>
      <c r="U282" s="99" t="s">
        <v>29</v>
      </c>
      <c r="V282" s="99" t="s">
        <v>1923</v>
      </c>
      <c r="W282" s="99" t="s">
        <v>1917</v>
      </c>
      <c r="X282" s="99" t="s">
        <v>2812</v>
      </c>
      <c r="Y282" s="73" t="s">
        <v>2923</v>
      </c>
      <c r="Z282" s="73" t="s">
        <v>30</v>
      </c>
      <c r="AA282" s="99" t="s">
        <v>2812</v>
      </c>
    </row>
    <row r="283" spans="1:27" ht="17.25" customHeight="1">
      <c r="A283" s="65" t="str">
        <f>IF(priority(Main[[#This Row],[Comments]])&lt;&gt;0, priority(Main[[#This Row],[Comments]]),"")</f>
        <v/>
      </c>
      <c r="B283" s="60" t="s">
        <v>3579</v>
      </c>
      <c r="C283" s="105" t="s">
        <v>4</v>
      </c>
      <c r="D283" s="59" t="s">
        <v>3580</v>
      </c>
      <c r="E283" s="89">
        <v>40969.439942129633</v>
      </c>
      <c r="F283" s="89">
        <v>40982</v>
      </c>
      <c r="G283" s="65" t="str">
        <f>IF(stdProdLT(Main[[#This Row],[Comments]])=0.1,"N/A",IF(stdProdLT(Main[[#This Row],[Comments]])=0,"",TRIM(stdProdLT(Main[[#This Row],[Comments]]))))</f>
        <v/>
      </c>
      <c r="H283" s="98" t="str">
        <f>IF(Main[[#This Row],[Std. Prod. Lead Time]]="N/A", "",IF(AND(Main[[#This Row],[In Stock Date]]&lt;&gt;"",Main[[#This Row],[Revised Due Date]]&lt;&gt;"",Main[[#This Row],[In Stock Date]]&lt;&gt;""),Main[[#This Row],[In Stock Date]]-Main[[#This Row],[Revised Due Date]],""))</f>
        <v/>
      </c>
      <c r="I283" s="110" t="s">
        <v>4</v>
      </c>
      <c r="J283" s="99" t="s">
        <v>4</v>
      </c>
      <c r="K283" s="99" t="s">
        <v>4</v>
      </c>
      <c r="L283" s="89"/>
      <c r="M283" s="75" t="str">
        <f>IF(Main[[#This Row],[Tech Start Date]]&lt;1/1/1990,"",IF(Main[[#This Row],[Class]]="C",WORKDAY(Main[[#This Row],[Tech Start Date]],9),IF(Main[[#This Row],[Class]]="B", WORKDAY(Main[[#This Row],[Tech Start Date]],6),IF(Main[[#This Row],[Class]]="A",WORKDAY(Main[[#This Row],[Tech Start Date]],2),""))))</f>
        <v/>
      </c>
      <c r="N283" s="75" t="str">
        <f>IF(Main[[#This Row],[Tech Start Date]]&lt;1/1/1990,"",IF(Main[[#This Row],[Class]]="C",WORKDAY(Main[[#This Row],[Tech Start Date]],19),IF(Main[[#This Row],[Class]]="B", WORKDAY(Main[[#This Row],[Tech Start Date]],12),IF(Main[[#This Row],[Class]]="A",WORKDAY(Main[[#This Row],[Tech Start Date]],4),""))))</f>
        <v/>
      </c>
      <c r="O283" s="75" t="str">
        <f>IF(Main[[#This Row],[Tech Start Date]]&lt;1/1/1990,"",IF(Main[[#This Row],[Class]]="C",WORKDAY(Main[[#This Row],[Tech Start Date]],23),IF(Main[[#This Row],[Class]]="B", WORKDAY(Main[[#This Row],[Tech Start Date]],15),IF(Main[[#This Row],[Class]]="A",WORKDAY(Main[[#This Row],[Tech Start Date]],5),""))))</f>
        <v/>
      </c>
      <c r="P283" s="75" t="str">
        <f>IF(Main[[#This Row],[Tech Start Date]]&lt;1/1/1990,"",IF(Main[[#This Row],[Class]]="C",WORKDAY(Main[[#This Row],[Tech Start Date]],28),IF(Main[[#This Row],[Class]]="B", WORKDAY(Main[[#This Row],[Tech Start Date]],19),IF(Main[[#This Row],[Class]]="A",WORKDAY(Main[[#This Row],[Tech Start Date]],9),""))))</f>
        <v/>
      </c>
      <c r="Q283" s="89"/>
      <c r="R283" s="121"/>
      <c r="S283" s="99" t="s">
        <v>11</v>
      </c>
      <c r="T283" s="76" t="s">
        <v>4</v>
      </c>
      <c r="U283" s="99" t="s">
        <v>7</v>
      </c>
      <c r="V283" s="99" t="s">
        <v>1916</v>
      </c>
      <c r="W283" s="99" t="s">
        <v>1918</v>
      </c>
      <c r="X283" s="99" t="s">
        <v>2828</v>
      </c>
      <c r="Y283" s="73" t="s">
        <v>3581</v>
      </c>
      <c r="Z283" s="73" t="s">
        <v>4</v>
      </c>
      <c r="AA283" s="99" t="s">
        <v>2828</v>
      </c>
    </row>
    <row r="284" spans="1:27" ht="17.25" customHeight="1">
      <c r="A284" s="65" t="str">
        <f>IF(priority(Main[[#This Row],[Comments]])&lt;&gt;0, priority(Main[[#This Row],[Comments]]),"")</f>
        <v/>
      </c>
      <c r="B284" s="60" t="s">
        <v>3582</v>
      </c>
      <c r="C284" s="105" t="s">
        <v>4</v>
      </c>
      <c r="D284" s="74" t="s">
        <v>3583</v>
      </c>
      <c r="E284" s="89">
        <v>40954.397581018522</v>
      </c>
      <c r="F284" s="89"/>
      <c r="G284" s="65" t="str">
        <f>IF(stdProdLT(Main[[#This Row],[Comments]])=0.1,"N/A",IF(stdProdLT(Main[[#This Row],[Comments]])=0,"",TRIM(stdProdLT(Main[[#This Row],[Comments]]))))</f>
        <v/>
      </c>
      <c r="H284" s="98" t="str">
        <f>IF(Main[[#This Row],[Std. Prod. Lead Time]]="N/A", "",IF(AND(Main[[#This Row],[In Stock Date]]&lt;&gt;"",Main[[#This Row],[Revised Due Date]]&lt;&gt;"",Main[[#This Row],[In Stock Date]]&lt;&gt;""),Main[[#This Row],[In Stock Date]]-Main[[#This Row],[Revised Due Date]],""))</f>
        <v/>
      </c>
      <c r="I284" s="110" t="s">
        <v>2040</v>
      </c>
      <c r="J284" s="99" t="s">
        <v>28</v>
      </c>
      <c r="K284" s="99" t="s">
        <v>4</v>
      </c>
      <c r="L284" s="89"/>
      <c r="M284" s="75" t="str">
        <f>IF(Main[[#This Row],[Tech Start Date]]&lt;1/1/1990,"",IF(Main[[#This Row],[Class]]="C",WORKDAY(Main[[#This Row],[Tech Start Date]],9),IF(Main[[#This Row],[Class]]="B", WORKDAY(Main[[#This Row],[Tech Start Date]],6),IF(Main[[#This Row],[Class]]="A",WORKDAY(Main[[#This Row],[Tech Start Date]],2),""))))</f>
        <v/>
      </c>
      <c r="N284" s="75" t="str">
        <f>IF(Main[[#This Row],[Tech Start Date]]&lt;1/1/1990,"",IF(Main[[#This Row],[Class]]="C",WORKDAY(Main[[#This Row],[Tech Start Date]],19),IF(Main[[#This Row],[Class]]="B", WORKDAY(Main[[#This Row],[Tech Start Date]],12),IF(Main[[#This Row],[Class]]="A",WORKDAY(Main[[#This Row],[Tech Start Date]],4),""))))</f>
        <v/>
      </c>
      <c r="O284" s="75" t="str">
        <f>IF(Main[[#This Row],[Tech Start Date]]&lt;1/1/1990,"",IF(Main[[#This Row],[Class]]="C",WORKDAY(Main[[#This Row],[Tech Start Date]],23),IF(Main[[#This Row],[Class]]="B", WORKDAY(Main[[#This Row],[Tech Start Date]],15),IF(Main[[#This Row],[Class]]="A",WORKDAY(Main[[#This Row],[Tech Start Date]],5),""))))</f>
        <v/>
      </c>
      <c r="P284" s="75" t="str">
        <f>IF(Main[[#This Row],[Tech Start Date]]&lt;1/1/1990,"",IF(Main[[#This Row],[Class]]="C",WORKDAY(Main[[#This Row],[Tech Start Date]],28),IF(Main[[#This Row],[Class]]="B", WORKDAY(Main[[#This Row],[Tech Start Date]],19),IF(Main[[#This Row],[Class]]="A",WORKDAY(Main[[#This Row],[Tech Start Date]],9),""))))</f>
        <v/>
      </c>
      <c r="Q284" s="89"/>
      <c r="R284" s="121"/>
      <c r="S284" s="99" t="s">
        <v>6</v>
      </c>
      <c r="T284" s="76" t="s">
        <v>4</v>
      </c>
      <c r="U284" s="99" t="s">
        <v>29</v>
      </c>
      <c r="V284" s="99" t="s">
        <v>1923</v>
      </c>
      <c r="W284" s="99" t="s">
        <v>1917</v>
      </c>
      <c r="X284" s="99" t="s">
        <v>2040</v>
      </c>
      <c r="Y284" s="73" t="s">
        <v>3150</v>
      </c>
      <c r="Z284" s="73" t="s">
        <v>530</v>
      </c>
      <c r="AA284" s="99" t="s">
        <v>2040</v>
      </c>
    </row>
    <row r="285" spans="1:27" ht="17.25" customHeight="1">
      <c r="A285" s="65" t="str">
        <f>IF(priority(Main[[#This Row],[Comments]])&lt;&gt;0, priority(Main[[#This Row],[Comments]]),"")</f>
        <v/>
      </c>
      <c r="B285" s="60" t="s">
        <v>1125</v>
      </c>
      <c r="C285" s="105" t="s">
        <v>4</v>
      </c>
      <c r="D285" s="74" t="s">
        <v>176</v>
      </c>
      <c r="E285" s="89">
        <v>40655.521435185183</v>
      </c>
      <c r="F285" s="89"/>
      <c r="G285" s="65" t="str">
        <f>IF(stdProdLT(Main[[#This Row],[Comments]])=0.1,"N/A",IF(stdProdLT(Main[[#This Row],[Comments]])=0,"",TRIM(stdProdLT(Main[[#This Row],[Comments]]))))</f>
        <v/>
      </c>
      <c r="H285" s="98" t="str">
        <f>IF(Main[[#This Row],[Std. Prod. Lead Time]]="N/A", "",IF(AND(Main[[#This Row],[In Stock Date]]&lt;&gt;"",Main[[#This Row],[Revised Due Date]]&lt;&gt;"",Main[[#This Row],[In Stock Date]]&lt;&gt;""),Main[[#This Row],[In Stock Date]]-Main[[#This Row],[Revised Due Date]],""))</f>
        <v/>
      </c>
      <c r="I285" s="110" t="s">
        <v>4</v>
      </c>
      <c r="J285" s="99" t="s">
        <v>4</v>
      </c>
      <c r="K285" s="99" t="s">
        <v>4</v>
      </c>
      <c r="L285" s="89"/>
      <c r="M285" s="75" t="str">
        <f>IF(Main[[#This Row],[Tech Start Date]]&lt;1/1/1990,"",IF(Main[[#This Row],[Class]]="C",WORKDAY(Main[[#This Row],[Tech Start Date]],9),IF(Main[[#This Row],[Class]]="B", WORKDAY(Main[[#This Row],[Tech Start Date]],6),IF(Main[[#This Row],[Class]]="A",WORKDAY(Main[[#This Row],[Tech Start Date]],2),""))))</f>
        <v/>
      </c>
      <c r="N285" s="75" t="str">
        <f>IF(Main[[#This Row],[Tech Start Date]]&lt;1/1/1990,"",IF(Main[[#This Row],[Class]]="C",WORKDAY(Main[[#This Row],[Tech Start Date]],19),IF(Main[[#This Row],[Class]]="B", WORKDAY(Main[[#This Row],[Tech Start Date]],12),IF(Main[[#This Row],[Class]]="A",WORKDAY(Main[[#This Row],[Tech Start Date]],4),""))))</f>
        <v/>
      </c>
      <c r="O285" s="75" t="str">
        <f>IF(Main[[#This Row],[Tech Start Date]]&lt;1/1/1990,"",IF(Main[[#This Row],[Class]]="C",WORKDAY(Main[[#This Row],[Tech Start Date]],23),IF(Main[[#This Row],[Class]]="B", WORKDAY(Main[[#This Row],[Tech Start Date]],15),IF(Main[[#This Row],[Class]]="A",WORKDAY(Main[[#This Row],[Tech Start Date]],5),""))))</f>
        <v/>
      </c>
      <c r="P285" s="75" t="str">
        <f>IF(Main[[#This Row],[Tech Start Date]]&lt;1/1/1990,"",IF(Main[[#This Row],[Class]]="C",WORKDAY(Main[[#This Row],[Tech Start Date]],28),IF(Main[[#This Row],[Class]]="B", WORKDAY(Main[[#This Row],[Tech Start Date]],19),IF(Main[[#This Row],[Class]]="A",WORKDAY(Main[[#This Row],[Tech Start Date]],9),""))))</f>
        <v/>
      </c>
      <c r="Q285" s="89">
        <v>40655</v>
      </c>
      <c r="R285" s="121"/>
      <c r="S285" s="99" t="s">
        <v>6</v>
      </c>
      <c r="T285" s="76" t="s">
        <v>4</v>
      </c>
      <c r="U285" s="99" t="s">
        <v>7</v>
      </c>
      <c r="V285" s="99" t="s">
        <v>1913</v>
      </c>
      <c r="W285" s="99" t="s">
        <v>1915</v>
      </c>
      <c r="X285" s="99" t="s">
        <v>126</v>
      </c>
      <c r="Y285" s="73" t="s">
        <v>3027</v>
      </c>
      <c r="Z285" s="73" t="s">
        <v>4</v>
      </c>
      <c r="AA285" s="99" t="s">
        <v>126</v>
      </c>
    </row>
    <row r="286" spans="1:27" ht="17.25" customHeight="1">
      <c r="A286" s="65" t="str">
        <f>IF(priority(Main[[#This Row],[Comments]])&lt;&gt;0, priority(Main[[#This Row],[Comments]]),"")</f>
        <v/>
      </c>
      <c r="B286" s="60" t="s">
        <v>1126</v>
      </c>
      <c r="C286" s="105" t="s">
        <v>4</v>
      </c>
      <c r="D286" s="59" t="s">
        <v>177</v>
      </c>
      <c r="E286" s="89"/>
      <c r="F286" s="89">
        <v>40598</v>
      </c>
      <c r="G286" s="65" t="str">
        <f>IF(stdProdLT(Main[[#This Row],[Comments]])=0.1,"N/A",IF(stdProdLT(Main[[#This Row],[Comments]])=0,"",TRIM(stdProdLT(Main[[#This Row],[Comments]]))))</f>
        <v/>
      </c>
      <c r="H286" s="98" t="str">
        <f>IF(Main[[#This Row],[Std. Prod. Lead Time]]="N/A", "",IF(AND(Main[[#This Row],[In Stock Date]]&lt;&gt;"",Main[[#This Row],[Revised Due Date]]&lt;&gt;"",Main[[#This Row],[In Stock Date]]&lt;&gt;""),Main[[#This Row],[In Stock Date]]-Main[[#This Row],[Revised Due Date]],""))</f>
        <v/>
      </c>
      <c r="I286" s="110" t="s">
        <v>4</v>
      </c>
      <c r="J286" s="99" t="s">
        <v>4</v>
      </c>
      <c r="K286" s="99" t="s">
        <v>4</v>
      </c>
      <c r="L286" s="89"/>
      <c r="M286" s="75" t="str">
        <f>IF(Main[[#This Row],[Tech Start Date]]&lt;1/1/1990,"",IF(Main[[#This Row],[Class]]="C",WORKDAY(Main[[#This Row],[Tech Start Date]],9),IF(Main[[#This Row],[Class]]="B", WORKDAY(Main[[#This Row],[Tech Start Date]],6),IF(Main[[#This Row],[Class]]="A",WORKDAY(Main[[#This Row],[Tech Start Date]],2),""))))</f>
        <v/>
      </c>
      <c r="N286" s="75" t="str">
        <f>IF(Main[[#This Row],[Tech Start Date]]&lt;1/1/1990,"",IF(Main[[#This Row],[Class]]="C",WORKDAY(Main[[#This Row],[Tech Start Date]],19),IF(Main[[#This Row],[Class]]="B", WORKDAY(Main[[#This Row],[Tech Start Date]],12),IF(Main[[#This Row],[Class]]="A",WORKDAY(Main[[#This Row],[Tech Start Date]],4),""))))</f>
        <v/>
      </c>
      <c r="O286" s="75" t="str">
        <f>IF(Main[[#This Row],[Tech Start Date]]&lt;1/1/1990,"",IF(Main[[#This Row],[Class]]="C",WORKDAY(Main[[#This Row],[Tech Start Date]],23),IF(Main[[#This Row],[Class]]="B", WORKDAY(Main[[#This Row],[Tech Start Date]],15),IF(Main[[#This Row],[Class]]="A",WORKDAY(Main[[#This Row],[Tech Start Date]],5),""))))</f>
        <v/>
      </c>
      <c r="P286" s="75" t="str">
        <f>IF(Main[[#This Row],[Tech Start Date]]&lt;1/1/1990,"",IF(Main[[#This Row],[Class]]="C",WORKDAY(Main[[#This Row],[Tech Start Date]],28),IF(Main[[#This Row],[Class]]="B", WORKDAY(Main[[#This Row],[Tech Start Date]],19),IF(Main[[#This Row],[Class]]="A",WORKDAY(Main[[#This Row],[Tech Start Date]],9),""))))</f>
        <v/>
      </c>
      <c r="Q286" s="89">
        <v>40598</v>
      </c>
      <c r="R286" s="121"/>
      <c r="S286" s="99" t="s">
        <v>11</v>
      </c>
      <c r="T286" s="76" t="s">
        <v>4</v>
      </c>
      <c r="U286" s="99" t="s">
        <v>14</v>
      </c>
      <c r="V286" s="99" t="s">
        <v>1923</v>
      </c>
      <c r="W286" s="99" t="s">
        <v>1919</v>
      </c>
      <c r="X286" s="99" t="s">
        <v>2842</v>
      </c>
      <c r="Y286" s="73" t="s">
        <v>2973</v>
      </c>
      <c r="Z286" s="73" t="s">
        <v>4</v>
      </c>
      <c r="AA286" s="99" t="s">
        <v>2842</v>
      </c>
    </row>
    <row r="287" spans="1:27" ht="17.25" customHeight="1">
      <c r="A287" s="65" t="str">
        <f>IF(priority(Main[[#This Row],[Comments]])&lt;&gt;0, priority(Main[[#This Row],[Comments]]),"")</f>
        <v/>
      </c>
      <c r="B287" s="60" t="s">
        <v>2699</v>
      </c>
      <c r="C287" s="105" t="s">
        <v>4</v>
      </c>
      <c r="D287" s="59" t="s">
        <v>2700</v>
      </c>
      <c r="E287" s="89">
        <v>40896.649571759262</v>
      </c>
      <c r="F287" s="89"/>
      <c r="G287" s="65" t="str">
        <f>IF(stdProdLT(Main[[#This Row],[Comments]])=0.1,"N/A",IF(stdProdLT(Main[[#This Row],[Comments]])=0,"",TRIM(stdProdLT(Main[[#This Row],[Comments]]))))</f>
        <v/>
      </c>
      <c r="H287" s="98" t="str">
        <f>IF(Main[[#This Row],[Std. Prod. Lead Time]]="N/A", "",IF(AND(Main[[#This Row],[In Stock Date]]&lt;&gt;"",Main[[#This Row],[Revised Due Date]]&lt;&gt;"",Main[[#This Row],[In Stock Date]]&lt;&gt;""),Main[[#This Row],[In Stock Date]]-Main[[#This Row],[Revised Due Date]],""))</f>
        <v/>
      </c>
      <c r="I287" s="110" t="s">
        <v>530</v>
      </c>
      <c r="J287" s="99" t="s">
        <v>28</v>
      </c>
      <c r="K287" s="100" t="s">
        <v>1922</v>
      </c>
      <c r="L287" s="89"/>
      <c r="M287" s="75" t="str">
        <f>IF(Main[[#This Row],[Tech Start Date]]&lt;1/1/1990,"",IF(Main[[#This Row],[Class]]="C",WORKDAY(Main[[#This Row],[Tech Start Date]],9),IF(Main[[#This Row],[Class]]="B", WORKDAY(Main[[#This Row],[Tech Start Date]],6),IF(Main[[#This Row],[Class]]="A",WORKDAY(Main[[#This Row],[Tech Start Date]],2),""))))</f>
        <v/>
      </c>
      <c r="N287" s="75" t="str">
        <f>IF(Main[[#This Row],[Tech Start Date]]&lt;1/1/1990,"",IF(Main[[#This Row],[Class]]="C",WORKDAY(Main[[#This Row],[Tech Start Date]],19),IF(Main[[#This Row],[Class]]="B", WORKDAY(Main[[#This Row],[Tech Start Date]],12),IF(Main[[#This Row],[Class]]="A",WORKDAY(Main[[#This Row],[Tech Start Date]],4),""))))</f>
        <v/>
      </c>
      <c r="O287" s="75" t="str">
        <f>IF(Main[[#This Row],[Tech Start Date]]&lt;1/1/1990,"",IF(Main[[#This Row],[Class]]="C",WORKDAY(Main[[#This Row],[Tech Start Date]],23),IF(Main[[#This Row],[Class]]="B", WORKDAY(Main[[#This Row],[Tech Start Date]],15),IF(Main[[#This Row],[Class]]="A",WORKDAY(Main[[#This Row],[Tech Start Date]],5),""))))</f>
        <v/>
      </c>
      <c r="P287" s="75" t="str">
        <f>IF(Main[[#This Row],[Tech Start Date]]&lt;1/1/1990,"",IF(Main[[#This Row],[Class]]="C",WORKDAY(Main[[#This Row],[Tech Start Date]],28),IF(Main[[#This Row],[Class]]="B", WORKDAY(Main[[#This Row],[Tech Start Date]],19),IF(Main[[#This Row],[Class]]="A",WORKDAY(Main[[#This Row],[Tech Start Date]],9),""))))</f>
        <v/>
      </c>
      <c r="Q287" s="89">
        <v>40939</v>
      </c>
      <c r="R287" s="121"/>
      <c r="S287" s="99" t="s">
        <v>6</v>
      </c>
      <c r="T287" s="76" t="s">
        <v>4</v>
      </c>
      <c r="U287" s="99" t="s">
        <v>29</v>
      </c>
      <c r="V287" s="99" t="s">
        <v>1916</v>
      </c>
      <c r="W287" s="99" t="s">
        <v>1921</v>
      </c>
      <c r="X287" s="99" t="s">
        <v>883</v>
      </c>
      <c r="Y287" s="73" t="s">
        <v>2957</v>
      </c>
      <c r="Z287" s="73" t="s">
        <v>30</v>
      </c>
      <c r="AA287" s="99" t="s">
        <v>883</v>
      </c>
    </row>
    <row r="288" spans="1:27" ht="17.25" customHeight="1">
      <c r="A288" s="65" t="str">
        <f>IF(priority(Main[[#This Row],[Comments]])&lt;&gt;0, priority(Main[[#This Row],[Comments]]),"")</f>
        <v/>
      </c>
      <c r="B288" s="60" t="s">
        <v>2340</v>
      </c>
      <c r="C288" s="105" t="s">
        <v>2341</v>
      </c>
      <c r="D288" s="74" t="s">
        <v>2342</v>
      </c>
      <c r="E288" s="89"/>
      <c r="F288" s="89"/>
      <c r="G288" s="65" t="str">
        <f>IF(stdProdLT(Main[[#This Row],[Comments]])=0.1,"N/A",IF(stdProdLT(Main[[#This Row],[Comments]])=0,"",TRIM(stdProdLT(Main[[#This Row],[Comments]]))))</f>
        <v/>
      </c>
      <c r="H288" s="98" t="str">
        <f>IF(Main[[#This Row],[Std. Prod. Lead Time]]="N/A", "",IF(AND(Main[[#This Row],[In Stock Date]]&lt;&gt;"",Main[[#This Row],[Revised Due Date]]&lt;&gt;"",Main[[#This Row],[In Stock Date]]&lt;&gt;""),Main[[#This Row],[In Stock Date]]-Main[[#This Row],[Revised Due Date]],""))</f>
        <v/>
      </c>
      <c r="I288" s="110" t="s">
        <v>4</v>
      </c>
      <c r="J288" s="99" t="s">
        <v>4</v>
      </c>
      <c r="K288" s="99" t="s">
        <v>4</v>
      </c>
      <c r="L288" s="89"/>
      <c r="M288" s="75" t="str">
        <f>IF(Main[[#This Row],[Tech Start Date]]&lt;1/1/1990,"",IF(Main[[#This Row],[Class]]="C",WORKDAY(Main[[#This Row],[Tech Start Date]],9),IF(Main[[#This Row],[Class]]="B", WORKDAY(Main[[#This Row],[Tech Start Date]],6),IF(Main[[#This Row],[Class]]="A",WORKDAY(Main[[#This Row],[Tech Start Date]],2),""))))</f>
        <v/>
      </c>
      <c r="N288" s="75" t="str">
        <f>IF(Main[[#This Row],[Tech Start Date]]&lt;1/1/1990,"",IF(Main[[#This Row],[Class]]="C",WORKDAY(Main[[#This Row],[Tech Start Date]],19),IF(Main[[#This Row],[Class]]="B", WORKDAY(Main[[#This Row],[Tech Start Date]],12),IF(Main[[#This Row],[Class]]="A",WORKDAY(Main[[#This Row],[Tech Start Date]],4),""))))</f>
        <v/>
      </c>
      <c r="O288" s="75" t="str">
        <f>IF(Main[[#This Row],[Tech Start Date]]&lt;1/1/1990,"",IF(Main[[#This Row],[Class]]="C",WORKDAY(Main[[#This Row],[Tech Start Date]],23),IF(Main[[#This Row],[Class]]="B", WORKDAY(Main[[#This Row],[Tech Start Date]],15),IF(Main[[#This Row],[Class]]="A",WORKDAY(Main[[#This Row],[Tech Start Date]],5),""))))</f>
        <v/>
      </c>
      <c r="P288" s="75" t="str">
        <f>IF(Main[[#This Row],[Tech Start Date]]&lt;1/1/1990,"",IF(Main[[#This Row],[Class]]="C",WORKDAY(Main[[#This Row],[Tech Start Date]],28),IF(Main[[#This Row],[Class]]="B", WORKDAY(Main[[#This Row],[Tech Start Date]],19),IF(Main[[#This Row],[Class]]="A",WORKDAY(Main[[#This Row],[Tech Start Date]],9),""))))</f>
        <v/>
      </c>
      <c r="Q288" s="89">
        <v>40840</v>
      </c>
      <c r="R288" s="121"/>
      <c r="S288" s="99" t="s">
        <v>11</v>
      </c>
      <c r="T288" s="76" t="s">
        <v>4</v>
      </c>
      <c r="U288" s="99" t="s">
        <v>12</v>
      </c>
      <c r="V288" s="99" t="s">
        <v>1913</v>
      </c>
      <c r="W288" s="99" t="s">
        <v>1915</v>
      </c>
      <c r="X288" s="99" t="s">
        <v>2849</v>
      </c>
      <c r="Y288" s="73" t="s">
        <v>4</v>
      </c>
      <c r="Z288" s="73" t="s">
        <v>4</v>
      </c>
      <c r="AA288" s="99" t="s">
        <v>2849</v>
      </c>
    </row>
    <row r="289" spans="1:27" ht="17.25" customHeight="1">
      <c r="A289" s="65" t="str">
        <f>IF(priority(Main[[#This Row],[Comments]])&lt;&gt;0, priority(Main[[#This Row],[Comments]]),"")</f>
        <v/>
      </c>
      <c r="B289" s="60" t="s">
        <v>1127</v>
      </c>
      <c r="C289" s="105" t="s">
        <v>4</v>
      </c>
      <c r="D289" s="74" t="s">
        <v>178</v>
      </c>
      <c r="E289" s="89">
        <v>40688.403611111113</v>
      </c>
      <c r="F289" s="89"/>
      <c r="G289" s="65" t="str">
        <f>IF(stdProdLT(Main[[#This Row],[Comments]])=0.1,"N/A",IF(stdProdLT(Main[[#This Row],[Comments]])=0,"",TRIM(stdProdLT(Main[[#This Row],[Comments]]))))</f>
        <v/>
      </c>
      <c r="H289" s="98" t="str">
        <f>IF(Main[[#This Row],[Std. Prod. Lead Time]]="N/A", "",IF(AND(Main[[#This Row],[In Stock Date]]&lt;&gt;"",Main[[#This Row],[Revised Due Date]]&lt;&gt;"",Main[[#This Row],[In Stock Date]]&lt;&gt;""),Main[[#This Row],[In Stock Date]]-Main[[#This Row],[Revised Due Date]],""))</f>
        <v/>
      </c>
      <c r="I289" s="110" t="s">
        <v>4</v>
      </c>
      <c r="J289" s="99" t="s">
        <v>4</v>
      </c>
      <c r="K289" s="99" t="s">
        <v>4</v>
      </c>
      <c r="L289" s="89"/>
      <c r="M289" s="75" t="str">
        <f>IF(Main[[#This Row],[Tech Start Date]]&lt;1/1/1990,"",IF(Main[[#This Row],[Class]]="C",WORKDAY(Main[[#This Row],[Tech Start Date]],9),IF(Main[[#This Row],[Class]]="B", WORKDAY(Main[[#This Row],[Tech Start Date]],6),IF(Main[[#This Row],[Class]]="A",WORKDAY(Main[[#This Row],[Tech Start Date]],2),""))))</f>
        <v/>
      </c>
      <c r="N289" s="75" t="str">
        <f>IF(Main[[#This Row],[Tech Start Date]]&lt;1/1/1990,"",IF(Main[[#This Row],[Class]]="C",WORKDAY(Main[[#This Row],[Tech Start Date]],19),IF(Main[[#This Row],[Class]]="B", WORKDAY(Main[[#This Row],[Tech Start Date]],12),IF(Main[[#This Row],[Class]]="A",WORKDAY(Main[[#This Row],[Tech Start Date]],4),""))))</f>
        <v/>
      </c>
      <c r="O289" s="75" t="str">
        <f>IF(Main[[#This Row],[Tech Start Date]]&lt;1/1/1990,"",IF(Main[[#This Row],[Class]]="C",WORKDAY(Main[[#This Row],[Tech Start Date]],23),IF(Main[[#This Row],[Class]]="B", WORKDAY(Main[[#This Row],[Tech Start Date]],15),IF(Main[[#This Row],[Class]]="A",WORKDAY(Main[[#This Row],[Tech Start Date]],5),""))))</f>
        <v/>
      </c>
      <c r="P289" s="75" t="str">
        <f>IF(Main[[#This Row],[Tech Start Date]]&lt;1/1/1990,"",IF(Main[[#This Row],[Class]]="C",WORKDAY(Main[[#This Row],[Tech Start Date]],28),IF(Main[[#This Row],[Class]]="B", WORKDAY(Main[[#This Row],[Tech Start Date]],19),IF(Main[[#This Row],[Class]]="A",WORKDAY(Main[[#This Row],[Tech Start Date]],9),""))))</f>
        <v/>
      </c>
      <c r="Q289" s="89">
        <v>40725</v>
      </c>
      <c r="R289" s="121"/>
      <c r="S289" s="99" t="s">
        <v>6</v>
      </c>
      <c r="T289" s="76" t="s">
        <v>4</v>
      </c>
      <c r="U289" s="99" t="s">
        <v>7</v>
      </c>
      <c r="V289" s="99" t="s">
        <v>1913</v>
      </c>
      <c r="W289" s="99" t="s">
        <v>4</v>
      </c>
      <c r="X289" s="99" t="s">
        <v>2812</v>
      </c>
      <c r="Y289" s="73" t="s">
        <v>2923</v>
      </c>
      <c r="Z289" s="73" t="s">
        <v>4</v>
      </c>
      <c r="AA289" s="99" t="s">
        <v>2812</v>
      </c>
    </row>
    <row r="290" spans="1:27" ht="17.25" customHeight="1">
      <c r="A290" s="65" t="str">
        <f>IF(priority(Main[[#This Row],[Comments]])&lt;&gt;0, priority(Main[[#This Row],[Comments]]),"")</f>
        <v/>
      </c>
      <c r="B290" s="60" t="s">
        <v>1128</v>
      </c>
      <c r="C290" s="105" t="s">
        <v>4</v>
      </c>
      <c r="D290" s="74" t="s">
        <v>179</v>
      </c>
      <c r="E290" s="89">
        <v>40644.277719907404</v>
      </c>
      <c r="F290" s="89"/>
      <c r="G290" s="65" t="str">
        <f>IF(stdProdLT(Main[[#This Row],[Comments]])=0.1,"N/A",IF(stdProdLT(Main[[#This Row],[Comments]])=0,"",TRIM(stdProdLT(Main[[#This Row],[Comments]]))))</f>
        <v/>
      </c>
      <c r="H290" s="98" t="str">
        <f>IF(Main[[#This Row],[Std. Prod. Lead Time]]="N/A", "",IF(AND(Main[[#This Row],[In Stock Date]]&lt;&gt;"",Main[[#This Row],[Revised Due Date]]&lt;&gt;"",Main[[#This Row],[In Stock Date]]&lt;&gt;""),Main[[#This Row],[In Stock Date]]-Main[[#This Row],[Revised Due Date]],""))</f>
        <v/>
      </c>
      <c r="I290" s="110" t="s">
        <v>4</v>
      </c>
      <c r="J290" s="99" t="s">
        <v>4</v>
      </c>
      <c r="K290" s="99" t="s">
        <v>4</v>
      </c>
      <c r="L290" s="89"/>
      <c r="M290" s="75" t="str">
        <f>IF(Main[[#This Row],[Tech Start Date]]&lt;1/1/1990,"",IF(Main[[#This Row],[Class]]="C",WORKDAY(Main[[#This Row],[Tech Start Date]],9),IF(Main[[#This Row],[Class]]="B", WORKDAY(Main[[#This Row],[Tech Start Date]],6),IF(Main[[#This Row],[Class]]="A",WORKDAY(Main[[#This Row],[Tech Start Date]],2),""))))</f>
        <v/>
      </c>
      <c r="N290" s="75" t="str">
        <f>IF(Main[[#This Row],[Tech Start Date]]&lt;1/1/1990,"",IF(Main[[#This Row],[Class]]="C",WORKDAY(Main[[#This Row],[Tech Start Date]],19),IF(Main[[#This Row],[Class]]="B", WORKDAY(Main[[#This Row],[Tech Start Date]],12),IF(Main[[#This Row],[Class]]="A",WORKDAY(Main[[#This Row],[Tech Start Date]],4),""))))</f>
        <v/>
      </c>
      <c r="O290" s="75" t="str">
        <f>IF(Main[[#This Row],[Tech Start Date]]&lt;1/1/1990,"",IF(Main[[#This Row],[Class]]="C",WORKDAY(Main[[#This Row],[Tech Start Date]],23),IF(Main[[#This Row],[Class]]="B", WORKDAY(Main[[#This Row],[Tech Start Date]],15),IF(Main[[#This Row],[Class]]="A",WORKDAY(Main[[#This Row],[Tech Start Date]],5),""))))</f>
        <v/>
      </c>
      <c r="P290" s="75" t="str">
        <f>IF(Main[[#This Row],[Tech Start Date]]&lt;1/1/1990,"",IF(Main[[#This Row],[Class]]="C",WORKDAY(Main[[#This Row],[Tech Start Date]],28),IF(Main[[#This Row],[Class]]="B", WORKDAY(Main[[#This Row],[Tech Start Date]],19),IF(Main[[#This Row],[Class]]="A",WORKDAY(Main[[#This Row],[Tech Start Date]],9),""))))</f>
        <v/>
      </c>
      <c r="Q290" s="89">
        <v>40673</v>
      </c>
      <c r="R290" s="121"/>
      <c r="S290" s="99" t="s">
        <v>6</v>
      </c>
      <c r="T290" s="76" t="s">
        <v>4</v>
      </c>
      <c r="U290" s="99" t="s">
        <v>7</v>
      </c>
      <c r="V290" s="99" t="s">
        <v>1913</v>
      </c>
      <c r="W290" s="99" t="s">
        <v>1921</v>
      </c>
      <c r="X290" s="99" t="s">
        <v>2815</v>
      </c>
      <c r="Y290" s="73" t="s">
        <v>2930</v>
      </c>
      <c r="Z290" s="73" t="s">
        <v>4</v>
      </c>
      <c r="AA290" s="99" t="s">
        <v>2815</v>
      </c>
    </row>
    <row r="291" spans="1:27" ht="17.25" customHeight="1">
      <c r="A291" s="65" t="str">
        <f>IF(priority(Main[[#This Row],[Comments]])&lt;&gt;0, priority(Main[[#This Row],[Comments]]),"")</f>
        <v/>
      </c>
      <c r="B291" s="60" t="s">
        <v>1130</v>
      </c>
      <c r="C291" s="105" t="s">
        <v>180</v>
      </c>
      <c r="D291" s="59" t="s">
        <v>181</v>
      </c>
      <c r="E291" s="89"/>
      <c r="F291" s="89">
        <v>40536</v>
      </c>
      <c r="G291" s="65" t="str">
        <f>IF(stdProdLT(Main[[#This Row],[Comments]])=0.1,"N/A",IF(stdProdLT(Main[[#This Row],[Comments]])=0,"",TRIM(stdProdLT(Main[[#This Row],[Comments]]))))</f>
        <v/>
      </c>
      <c r="H291" s="98" t="str">
        <f>IF(Main[[#This Row],[Std. Prod. Lead Time]]="N/A", "",IF(AND(Main[[#This Row],[In Stock Date]]&lt;&gt;"",Main[[#This Row],[Revised Due Date]]&lt;&gt;"",Main[[#This Row],[In Stock Date]]&lt;&gt;""),Main[[#This Row],[In Stock Date]]-Main[[#This Row],[Revised Due Date]],""))</f>
        <v/>
      </c>
      <c r="I291" s="110" t="s">
        <v>4</v>
      </c>
      <c r="J291" s="99" t="s">
        <v>28</v>
      </c>
      <c r="K291" s="99" t="s">
        <v>1922</v>
      </c>
      <c r="L291" s="89"/>
      <c r="M291" s="75" t="str">
        <f>IF(Main[[#This Row],[Tech Start Date]]&lt;1/1/1990,"",IF(Main[[#This Row],[Class]]="C",WORKDAY(Main[[#This Row],[Tech Start Date]],9),IF(Main[[#This Row],[Class]]="B", WORKDAY(Main[[#This Row],[Tech Start Date]],6),IF(Main[[#This Row],[Class]]="A",WORKDAY(Main[[#This Row],[Tech Start Date]],2),""))))</f>
        <v/>
      </c>
      <c r="N291" s="75" t="str">
        <f>IF(Main[[#This Row],[Tech Start Date]]&lt;1/1/1990,"",IF(Main[[#This Row],[Class]]="C",WORKDAY(Main[[#This Row],[Tech Start Date]],19),IF(Main[[#This Row],[Class]]="B", WORKDAY(Main[[#This Row],[Tech Start Date]],12),IF(Main[[#This Row],[Class]]="A",WORKDAY(Main[[#This Row],[Tech Start Date]],4),""))))</f>
        <v/>
      </c>
      <c r="O291" s="75" t="str">
        <f>IF(Main[[#This Row],[Tech Start Date]]&lt;1/1/1990,"",IF(Main[[#This Row],[Class]]="C",WORKDAY(Main[[#This Row],[Tech Start Date]],23),IF(Main[[#This Row],[Class]]="B", WORKDAY(Main[[#This Row],[Tech Start Date]],15),IF(Main[[#This Row],[Class]]="A",WORKDAY(Main[[#This Row],[Tech Start Date]],5),""))))</f>
        <v/>
      </c>
      <c r="P291" s="75" t="str">
        <f>IF(Main[[#This Row],[Tech Start Date]]&lt;1/1/1990,"",IF(Main[[#This Row],[Class]]="C",WORKDAY(Main[[#This Row],[Tech Start Date]],28),IF(Main[[#This Row],[Class]]="B", WORKDAY(Main[[#This Row],[Tech Start Date]],19),IF(Main[[#This Row],[Class]]="A",WORKDAY(Main[[#This Row],[Tech Start Date]],9),""))))</f>
        <v/>
      </c>
      <c r="Q291" s="89">
        <v>40466</v>
      </c>
      <c r="R291" s="121"/>
      <c r="S291" s="99" t="s">
        <v>11</v>
      </c>
      <c r="T291" s="76" t="s">
        <v>4</v>
      </c>
      <c r="U291" s="99" t="s">
        <v>14</v>
      </c>
      <c r="V291" s="99" t="s">
        <v>1916</v>
      </c>
      <c r="W291" s="99" t="s">
        <v>1919</v>
      </c>
      <c r="X291" s="99" t="s">
        <v>2818</v>
      </c>
      <c r="Y291" s="73" t="s">
        <v>2937</v>
      </c>
      <c r="Z291" s="73" t="s">
        <v>530</v>
      </c>
      <c r="AA291" s="99" t="s">
        <v>2818</v>
      </c>
    </row>
    <row r="292" spans="1:27" ht="17.25" customHeight="1">
      <c r="A292" s="65" t="str">
        <f>IF(priority(Main[[#This Row],[Comments]])&lt;&gt;0, priority(Main[[#This Row],[Comments]]),"")</f>
        <v/>
      </c>
      <c r="B292" s="60" t="s">
        <v>1131</v>
      </c>
      <c r="C292" s="105" t="s">
        <v>182</v>
      </c>
      <c r="D292" s="74" t="s">
        <v>183</v>
      </c>
      <c r="E292" s="89"/>
      <c r="F292" s="89">
        <v>40571</v>
      </c>
      <c r="G292" s="65" t="str">
        <f>IF(stdProdLT(Main[[#This Row],[Comments]])=0.1,"N/A",IF(stdProdLT(Main[[#This Row],[Comments]])=0,"",TRIM(stdProdLT(Main[[#This Row],[Comments]]))))</f>
        <v/>
      </c>
      <c r="H292" s="98" t="str">
        <f>IF(Main[[#This Row],[Std. Prod. Lead Time]]="N/A", "",IF(AND(Main[[#This Row],[In Stock Date]]&lt;&gt;"",Main[[#This Row],[Revised Due Date]]&lt;&gt;"",Main[[#This Row],[In Stock Date]]&lt;&gt;""),Main[[#This Row],[In Stock Date]]-Main[[#This Row],[Revised Due Date]],""))</f>
        <v/>
      </c>
      <c r="I292" s="110" t="s">
        <v>4</v>
      </c>
      <c r="J292" s="99" t="s">
        <v>28</v>
      </c>
      <c r="K292" s="99" t="s">
        <v>4</v>
      </c>
      <c r="L292" s="89"/>
      <c r="M292" s="75" t="str">
        <f>IF(Main[[#This Row],[Tech Start Date]]&lt;1/1/1990,"",IF(Main[[#This Row],[Class]]="C",WORKDAY(Main[[#This Row],[Tech Start Date]],9),IF(Main[[#This Row],[Class]]="B", WORKDAY(Main[[#This Row],[Tech Start Date]],6),IF(Main[[#This Row],[Class]]="A",WORKDAY(Main[[#This Row],[Tech Start Date]],2),""))))</f>
        <v/>
      </c>
      <c r="N292" s="75" t="str">
        <f>IF(Main[[#This Row],[Tech Start Date]]&lt;1/1/1990,"",IF(Main[[#This Row],[Class]]="C",WORKDAY(Main[[#This Row],[Tech Start Date]],19),IF(Main[[#This Row],[Class]]="B", WORKDAY(Main[[#This Row],[Tech Start Date]],12),IF(Main[[#This Row],[Class]]="A",WORKDAY(Main[[#This Row],[Tech Start Date]],4),""))))</f>
        <v/>
      </c>
      <c r="O292" s="75" t="str">
        <f>IF(Main[[#This Row],[Tech Start Date]]&lt;1/1/1990,"",IF(Main[[#This Row],[Class]]="C",WORKDAY(Main[[#This Row],[Tech Start Date]],23),IF(Main[[#This Row],[Class]]="B", WORKDAY(Main[[#This Row],[Tech Start Date]],15),IF(Main[[#This Row],[Class]]="A",WORKDAY(Main[[#This Row],[Tech Start Date]],5),""))))</f>
        <v/>
      </c>
      <c r="P292" s="75" t="str">
        <f>IF(Main[[#This Row],[Tech Start Date]]&lt;1/1/1990,"",IF(Main[[#This Row],[Class]]="C",WORKDAY(Main[[#This Row],[Tech Start Date]],28),IF(Main[[#This Row],[Class]]="B", WORKDAY(Main[[#This Row],[Tech Start Date]],19),IF(Main[[#This Row],[Class]]="A",WORKDAY(Main[[#This Row],[Tech Start Date]],9),""))))</f>
        <v/>
      </c>
      <c r="Q292" s="89"/>
      <c r="R292" s="121"/>
      <c r="S292" s="99" t="s">
        <v>11</v>
      </c>
      <c r="T292" s="76" t="s">
        <v>4</v>
      </c>
      <c r="U292" s="99" t="s">
        <v>14</v>
      </c>
      <c r="V292" s="99" t="s">
        <v>1913</v>
      </c>
      <c r="W292" s="99" t="s">
        <v>1919</v>
      </c>
      <c r="X292" s="99" t="s">
        <v>50</v>
      </c>
      <c r="Y292" s="73" t="s">
        <v>2993</v>
      </c>
      <c r="Z292" s="73" t="s">
        <v>129</v>
      </c>
      <c r="AA292" s="99" t="s">
        <v>3388</v>
      </c>
    </row>
    <row r="293" spans="1:27" ht="17.25" customHeight="1">
      <c r="A293" s="65" t="str">
        <f>IF(priority(Main[[#This Row],[Comments]])&lt;&gt;0, priority(Main[[#This Row],[Comments]]),"")</f>
        <v/>
      </c>
      <c r="B293" s="60" t="s">
        <v>1132</v>
      </c>
      <c r="C293" s="105" t="s">
        <v>184</v>
      </c>
      <c r="D293" s="74" t="s">
        <v>185</v>
      </c>
      <c r="E293" s="89"/>
      <c r="F293" s="89"/>
      <c r="G293" s="65" t="str">
        <f>IF(stdProdLT(Main[[#This Row],[Comments]])=0.1,"N/A",IF(stdProdLT(Main[[#This Row],[Comments]])=0,"",TRIM(stdProdLT(Main[[#This Row],[Comments]]))))</f>
        <v/>
      </c>
      <c r="H293" s="98" t="str">
        <f>IF(Main[[#This Row],[Std. Prod. Lead Time]]="N/A", "",IF(AND(Main[[#This Row],[In Stock Date]]&lt;&gt;"",Main[[#This Row],[Revised Due Date]]&lt;&gt;"",Main[[#This Row],[In Stock Date]]&lt;&gt;""),Main[[#This Row],[In Stock Date]]-Main[[#This Row],[Revised Due Date]],""))</f>
        <v/>
      </c>
      <c r="I293" s="110" t="s">
        <v>4</v>
      </c>
      <c r="J293" s="99" t="s">
        <v>4</v>
      </c>
      <c r="K293" s="99" t="s">
        <v>4</v>
      </c>
      <c r="L293" s="89"/>
      <c r="M293" s="75" t="str">
        <f>IF(Main[[#This Row],[Tech Start Date]]&lt;1/1/1990,"",IF(Main[[#This Row],[Class]]="C",WORKDAY(Main[[#This Row],[Tech Start Date]],9),IF(Main[[#This Row],[Class]]="B", WORKDAY(Main[[#This Row],[Tech Start Date]],6),IF(Main[[#This Row],[Class]]="A",WORKDAY(Main[[#This Row],[Tech Start Date]],2),""))))</f>
        <v/>
      </c>
      <c r="N293" s="75" t="str">
        <f>IF(Main[[#This Row],[Tech Start Date]]&lt;1/1/1990,"",IF(Main[[#This Row],[Class]]="C",WORKDAY(Main[[#This Row],[Tech Start Date]],19),IF(Main[[#This Row],[Class]]="B", WORKDAY(Main[[#This Row],[Tech Start Date]],12),IF(Main[[#This Row],[Class]]="A",WORKDAY(Main[[#This Row],[Tech Start Date]],4),""))))</f>
        <v/>
      </c>
      <c r="O293" s="75" t="str">
        <f>IF(Main[[#This Row],[Tech Start Date]]&lt;1/1/1990,"",IF(Main[[#This Row],[Class]]="C",WORKDAY(Main[[#This Row],[Tech Start Date]],23),IF(Main[[#This Row],[Class]]="B", WORKDAY(Main[[#This Row],[Tech Start Date]],15),IF(Main[[#This Row],[Class]]="A",WORKDAY(Main[[#This Row],[Tech Start Date]],5),""))))</f>
        <v/>
      </c>
      <c r="P293" s="75" t="str">
        <f>IF(Main[[#This Row],[Tech Start Date]]&lt;1/1/1990,"",IF(Main[[#This Row],[Class]]="C",WORKDAY(Main[[#This Row],[Tech Start Date]],28),IF(Main[[#This Row],[Class]]="B", WORKDAY(Main[[#This Row],[Tech Start Date]],19),IF(Main[[#This Row],[Class]]="A",WORKDAY(Main[[#This Row],[Tech Start Date]],9),""))))</f>
        <v/>
      </c>
      <c r="Q293" s="89">
        <v>40116</v>
      </c>
      <c r="R293" s="121"/>
      <c r="S293" s="99" t="s">
        <v>11</v>
      </c>
      <c r="T293" s="76" t="s">
        <v>4</v>
      </c>
      <c r="U293" s="99" t="s">
        <v>14</v>
      </c>
      <c r="V293" s="99" t="s">
        <v>1916</v>
      </c>
      <c r="W293" s="99" t="s">
        <v>1915</v>
      </c>
      <c r="X293" s="99" t="s">
        <v>2857</v>
      </c>
      <c r="Y293" s="73" t="s">
        <v>4</v>
      </c>
      <c r="Z293" s="73" t="s">
        <v>4</v>
      </c>
      <c r="AA293" s="99" t="s">
        <v>2857</v>
      </c>
    </row>
    <row r="294" spans="1:27" ht="17.25" customHeight="1">
      <c r="A294" s="65" t="str">
        <f>IF(priority(Main[[#This Row],[Comments]])&lt;&gt;0, priority(Main[[#This Row],[Comments]]),"")</f>
        <v/>
      </c>
      <c r="B294" s="60" t="s">
        <v>1134</v>
      </c>
      <c r="C294" s="105" t="s">
        <v>187</v>
      </c>
      <c r="D294" s="59" t="s">
        <v>188</v>
      </c>
      <c r="E294" s="89"/>
      <c r="F294" s="89">
        <v>40263</v>
      </c>
      <c r="G294" s="65" t="str">
        <f>IF(stdProdLT(Main[[#This Row],[Comments]])=0.1,"N/A",IF(stdProdLT(Main[[#This Row],[Comments]])=0,"",TRIM(stdProdLT(Main[[#This Row],[Comments]]))))</f>
        <v/>
      </c>
      <c r="H294" s="98" t="str">
        <f>IF(Main[[#This Row],[Std. Prod. Lead Time]]="N/A", "",IF(AND(Main[[#This Row],[In Stock Date]]&lt;&gt;"",Main[[#This Row],[Revised Due Date]]&lt;&gt;"",Main[[#This Row],[In Stock Date]]&lt;&gt;""),Main[[#This Row],[In Stock Date]]-Main[[#This Row],[Revised Due Date]],""))</f>
        <v/>
      </c>
      <c r="I294" s="110" t="s">
        <v>4</v>
      </c>
      <c r="J294" s="99" t="s">
        <v>4</v>
      </c>
      <c r="K294" s="99" t="s">
        <v>4</v>
      </c>
      <c r="L294" s="89"/>
      <c r="M294" s="75" t="str">
        <f>IF(Main[[#This Row],[Tech Start Date]]&lt;1/1/1990,"",IF(Main[[#This Row],[Class]]="C",WORKDAY(Main[[#This Row],[Tech Start Date]],9),IF(Main[[#This Row],[Class]]="B", WORKDAY(Main[[#This Row],[Tech Start Date]],6),IF(Main[[#This Row],[Class]]="A",WORKDAY(Main[[#This Row],[Tech Start Date]],2),""))))</f>
        <v/>
      </c>
      <c r="N294" s="75" t="str">
        <f>IF(Main[[#This Row],[Tech Start Date]]&lt;1/1/1990,"",IF(Main[[#This Row],[Class]]="C",WORKDAY(Main[[#This Row],[Tech Start Date]],19),IF(Main[[#This Row],[Class]]="B", WORKDAY(Main[[#This Row],[Tech Start Date]],12),IF(Main[[#This Row],[Class]]="A",WORKDAY(Main[[#This Row],[Tech Start Date]],4),""))))</f>
        <v/>
      </c>
      <c r="O294" s="75" t="str">
        <f>IF(Main[[#This Row],[Tech Start Date]]&lt;1/1/1990,"",IF(Main[[#This Row],[Class]]="C",WORKDAY(Main[[#This Row],[Tech Start Date]],23),IF(Main[[#This Row],[Class]]="B", WORKDAY(Main[[#This Row],[Tech Start Date]],15),IF(Main[[#This Row],[Class]]="A",WORKDAY(Main[[#This Row],[Tech Start Date]],5),""))))</f>
        <v/>
      </c>
      <c r="P294" s="75" t="str">
        <f>IF(Main[[#This Row],[Tech Start Date]]&lt;1/1/1990,"",IF(Main[[#This Row],[Class]]="C",WORKDAY(Main[[#This Row],[Tech Start Date]],28),IF(Main[[#This Row],[Class]]="B", WORKDAY(Main[[#This Row],[Tech Start Date]],19),IF(Main[[#This Row],[Class]]="A",WORKDAY(Main[[#This Row],[Tech Start Date]],9),""))))</f>
        <v/>
      </c>
      <c r="Q294" s="89">
        <v>40295</v>
      </c>
      <c r="R294" s="121"/>
      <c r="S294" s="99" t="s">
        <v>11</v>
      </c>
      <c r="T294" s="76" t="s">
        <v>4</v>
      </c>
      <c r="U294" s="99" t="s">
        <v>14</v>
      </c>
      <c r="V294" s="99" t="s">
        <v>1916</v>
      </c>
      <c r="W294" s="99" t="s">
        <v>1919</v>
      </c>
      <c r="X294" s="99" t="s">
        <v>306</v>
      </c>
      <c r="Y294" s="73" t="s">
        <v>4</v>
      </c>
      <c r="Z294" s="73" t="s">
        <v>4</v>
      </c>
      <c r="AA294" s="99" t="s">
        <v>306</v>
      </c>
    </row>
    <row r="295" spans="1:27" ht="17.25" customHeight="1">
      <c r="A295" s="65" t="str">
        <f>IF(priority(Main[[#This Row],[Comments]])&lt;&gt;0, priority(Main[[#This Row],[Comments]]),"")</f>
        <v/>
      </c>
      <c r="B295" s="60" t="s">
        <v>1135</v>
      </c>
      <c r="C295" s="105" t="s">
        <v>4</v>
      </c>
      <c r="D295" s="74" t="s">
        <v>189</v>
      </c>
      <c r="E295" s="89"/>
      <c r="F295" s="89"/>
      <c r="G295" s="65" t="str">
        <f>IF(stdProdLT(Main[[#This Row],[Comments]])=0.1,"N/A",IF(stdProdLT(Main[[#This Row],[Comments]])=0,"",TRIM(stdProdLT(Main[[#This Row],[Comments]]))))</f>
        <v/>
      </c>
      <c r="H295" s="98" t="str">
        <f>IF(Main[[#This Row],[Std. Prod. Lead Time]]="N/A", "",IF(AND(Main[[#This Row],[In Stock Date]]&lt;&gt;"",Main[[#This Row],[Revised Due Date]]&lt;&gt;"",Main[[#This Row],[In Stock Date]]&lt;&gt;""),Main[[#This Row],[In Stock Date]]-Main[[#This Row],[Revised Due Date]],""))</f>
        <v/>
      </c>
      <c r="I295" s="110" t="s">
        <v>4</v>
      </c>
      <c r="J295" s="99" t="s">
        <v>4</v>
      </c>
      <c r="K295" s="99" t="s">
        <v>4</v>
      </c>
      <c r="L295" s="89"/>
      <c r="M295" s="75" t="str">
        <f>IF(Main[[#This Row],[Tech Start Date]]&lt;1/1/1990,"",IF(Main[[#This Row],[Class]]="C",WORKDAY(Main[[#This Row],[Tech Start Date]],9),IF(Main[[#This Row],[Class]]="B", WORKDAY(Main[[#This Row],[Tech Start Date]],6),IF(Main[[#This Row],[Class]]="A",WORKDAY(Main[[#This Row],[Tech Start Date]],2),""))))</f>
        <v/>
      </c>
      <c r="N295" s="75" t="str">
        <f>IF(Main[[#This Row],[Tech Start Date]]&lt;1/1/1990,"",IF(Main[[#This Row],[Class]]="C",WORKDAY(Main[[#This Row],[Tech Start Date]],19),IF(Main[[#This Row],[Class]]="B", WORKDAY(Main[[#This Row],[Tech Start Date]],12),IF(Main[[#This Row],[Class]]="A",WORKDAY(Main[[#This Row],[Tech Start Date]],4),""))))</f>
        <v/>
      </c>
      <c r="O295" s="75" t="str">
        <f>IF(Main[[#This Row],[Tech Start Date]]&lt;1/1/1990,"",IF(Main[[#This Row],[Class]]="C",WORKDAY(Main[[#This Row],[Tech Start Date]],23),IF(Main[[#This Row],[Class]]="B", WORKDAY(Main[[#This Row],[Tech Start Date]],15),IF(Main[[#This Row],[Class]]="A",WORKDAY(Main[[#This Row],[Tech Start Date]],5),""))))</f>
        <v/>
      </c>
      <c r="P295" s="75" t="str">
        <f>IF(Main[[#This Row],[Tech Start Date]]&lt;1/1/1990,"",IF(Main[[#This Row],[Class]]="C",WORKDAY(Main[[#This Row],[Tech Start Date]],28),IF(Main[[#This Row],[Class]]="B", WORKDAY(Main[[#This Row],[Tech Start Date]],19),IF(Main[[#This Row],[Class]]="A",WORKDAY(Main[[#This Row],[Tech Start Date]],9),""))))</f>
        <v/>
      </c>
      <c r="Q295" s="89"/>
      <c r="R295" s="121"/>
      <c r="S295" s="99" t="s">
        <v>4</v>
      </c>
      <c r="T295" s="76" t="s">
        <v>4</v>
      </c>
      <c r="U295" s="99" t="s">
        <v>14</v>
      </c>
      <c r="V295" s="99" t="s">
        <v>1916</v>
      </c>
      <c r="W295" s="99" t="s">
        <v>4</v>
      </c>
      <c r="X295" s="99" t="s">
        <v>968</v>
      </c>
      <c r="Y295" s="73" t="s">
        <v>4</v>
      </c>
      <c r="Z295" s="73" t="s">
        <v>4</v>
      </c>
      <c r="AA295" s="99" t="s">
        <v>4</v>
      </c>
    </row>
    <row r="296" spans="1:27" ht="17.25" customHeight="1">
      <c r="A296" s="65" t="str">
        <f>IF(priority(Main[[#This Row],[Comments]])&lt;&gt;0, priority(Main[[#This Row],[Comments]]),"")</f>
        <v/>
      </c>
      <c r="B296" s="60" t="s">
        <v>1136</v>
      </c>
      <c r="C296" s="105" t="s">
        <v>93</v>
      </c>
      <c r="D296" s="74" t="s">
        <v>190</v>
      </c>
      <c r="E296" s="89"/>
      <c r="F296" s="89">
        <v>40132</v>
      </c>
      <c r="G296" s="65" t="str">
        <f>IF(stdProdLT(Main[[#This Row],[Comments]])=0.1,"N/A",IF(stdProdLT(Main[[#This Row],[Comments]])=0,"",TRIM(stdProdLT(Main[[#This Row],[Comments]]))))</f>
        <v/>
      </c>
      <c r="H296" s="98" t="str">
        <f>IF(Main[[#This Row],[Std. Prod. Lead Time]]="N/A", "",IF(AND(Main[[#This Row],[In Stock Date]]&lt;&gt;"",Main[[#This Row],[Revised Due Date]]&lt;&gt;"",Main[[#This Row],[In Stock Date]]&lt;&gt;""),Main[[#This Row],[In Stock Date]]-Main[[#This Row],[Revised Due Date]],""))</f>
        <v/>
      </c>
      <c r="I296" s="110" t="s">
        <v>4</v>
      </c>
      <c r="J296" s="99" t="s">
        <v>4</v>
      </c>
      <c r="K296" s="99" t="s">
        <v>4</v>
      </c>
      <c r="L296" s="89"/>
      <c r="M296" s="75" t="str">
        <f>IF(Main[[#This Row],[Tech Start Date]]&lt;1/1/1990,"",IF(Main[[#This Row],[Class]]="C",WORKDAY(Main[[#This Row],[Tech Start Date]],9),IF(Main[[#This Row],[Class]]="B", WORKDAY(Main[[#This Row],[Tech Start Date]],6),IF(Main[[#This Row],[Class]]="A",WORKDAY(Main[[#This Row],[Tech Start Date]],2),""))))</f>
        <v/>
      </c>
      <c r="N296" s="75" t="str">
        <f>IF(Main[[#This Row],[Tech Start Date]]&lt;1/1/1990,"",IF(Main[[#This Row],[Class]]="C",WORKDAY(Main[[#This Row],[Tech Start Date]],19),IF(Main[[#This Row],[Class]]="B", WORKDAY(Main[[#This Row],[Tech Start Date]],12),IF(Main[[#This Row],[Class]]="A",WORKDAY(Main[[#This Row],[Tech Start Date]],4),""))))</f>
        <v/>
      </c>
      <c r="O296" s="75" t="str">
        <f>IF(Main[[#This Row],[Tech Start Date]]&lt;1/1/1990,"",IF(Main[[#This Row],[Class]]="C",WORKDAY(Main[[#This Row],[Tech Start Date]],23),IF(Main[[#This Row],[Class]]="B", WORKDAY(Main[[#This Row],[Tech Start Date]],15),IF(Main[[#This Row],[Class]]="A",WORKDAY(Main[[#This Row],[Tech Start Date]],5),""))))</f>
        <v/>
      </c>
      <c r="P296" s="75" t="str">
        <f>IF(Main[[#This Row],[Tech Start Date]]&lt;1/1/1990,"",IF(Main[[#This Row],[Class]]="C",WORKDAY(Main[[#This Row],[Tech Start Date]],28),IF(Main[[#This Row],[Class]]="B", WORKDAY(Main[[#This Row],[Tech Start Date]],19),IF(Main[[#This Row],[Class]]="A",WORKDAY(Main[[#This Row],[Tech Start Date]],9),""))))</f>
        <v/>
      </c>
      <c r="Q296" s="89">
        <v>40132</v>
      </c>
      <c r="R296" s="121"/>
      <c r="S296" s="99" t="s">
        <v>11</v>
      </c>
      <c r="T296" s="76" t="s">
        <v>4</v>
      </c>
      <c r="U296" s="99" t="s">
        <v>14</v>
      </c>
      <c r="V296" s="99" t="s">
        <v>1916</v>
      </c>
      <c r="W296" s="99" t="s">
        <v>1924</v>
      </c>
      <c r="X296" s="99" t="s">
        <v>2850</v>
      </c>
      <c r="Y296" s="73" t="s">
        <v>4</v>
      </c>
      <c r="Z296" s="73" t="s">
        <v>4</v>
      </c>
      <c r="AA296" s="99" t="s">
        <v>2850</v>
      </c>
    </row>
    <row r="297" spans="1:27" ht="17.25" customHeight="1">
      <c r="A297" s="65" t="str">
        <f>IF(priority(Main[[#This Row],[Comments]])&lt;&gt;0, priority(Main[[#This Row],[Comments]]),"")</f>
        <v/>
      </c>
      <c r="B297" s="60" t="s">
        <v>1137</v>
      </c>
      <c r="C297" s="105" t="s">
        <v>93</v>
      </c>
      <c r="D297" s="74" t="s">
        <v>191</v>
      </c>
      <c r="E297" s="89"/>
      <c r="F297" s="89">
        <v>40132</v>
      </c>
      <c r="G297" s="65" t="str">
        <f>IF(stdProdLT(Main[[#This Row],[Comments]])=0.1,"N/A",IF(stdProdLT(Main[[#This Row],[Comments]])=0,"",TRIM(stdProdLT(Main[[#This Row],[Comments]]))))</f>
        <v/>
      </c>
      <c r="H297" s="98" t="str">
        <f>IF(Main[[#This Row],[Std. Prod. Lead Time]]="N/A", "",IF(AND(Main[[#This Row],[In Stock Date]]&lt;&gt;"",Main[[#This Row],[Revised Due Date]]&lt;&gt;"",Main[[#This Row],[In Stock Date]]&lt;&gt;""),Main[[#This Row],[In Stock Date]]-Main[[#This Row],[Revised Due Date]],""))</f>
        <v/>
      </c>
      <c r="I297" s="110" t="s">
        <v>4</v>
      </c>
      <c r="J297" s="99" t="s">
        <v>4</v>
      </c>
      <c r="K297" s="99" t="s">
        <v>4</v>
      </c>
      <c r="L297" s="89"/>
      <c r="M297" s="75" t="str">
        <f>IF(Main[[#This Row],[Tech Start Date]]&lt;1/1/1990,"",IF(Main[[#This Row],[Class]]="C",WORKDAY(Main[[#This Row],[Tech Start Date]],9),IF(Main[[#This Row],[Class]]="B", WORKDAY(Main[[#This Row],[Tech Start Date]],6),IF(Main[[#This Row],[Class]]="A",WORKDAY(Main[[#This Row],[Tech Start Date]],2),""))))</f>
        <v/>
      </c>
      <c r="N297" s="75" t="str">
        <f>IF(Main[[#This Row],[Tech Start Date]]&lt;1/1/1990,"",IF(Main[[#This Row],[Class]]="C",WORKDAY(Main[[#This Row],[Tech Start Date]],19),IF(Main[[#This Row],[Class]]="B", WORKDAY(Main[[#This Row],[Tech Start Date]],12),IF(Main[[#This Row],[Class]]="A",WORKDAY(Main[[#This Row],[Tech Start Date]],4),""))))</f>
        <v/>
      </c>
      <c r="O297" s="75" t="str">
        <f>IF(Main[[#This Row],[Tech Start Date]]&lt;1/1/1990,"",IF(Main[[#This Row],[Class]]="C",WORKDAY(Main[[#This Row],[Tech Start Date]],23),IF(Main[[#This Row],[Class]]="B", WORKDAY(Main[[#This Row],[Tech Start Date]],15),IF(Main[[#This Row],[Class]]="A",WORKDAY(Main[[#This Row],[Tech Start Date]],5),""))))</f>
        <v/>
      </c>
      <c r="P297" s="75" t="str">
        <f>IF(Main[[#This Row],[Tech Start Date]]&lt;1/1/1990,"",IF(Main[[#This Row],[Class]]="C",WORKDAY(Main[[#This Row],[Tech Start Date]],28),IF(Main[[#This Row],[Class]]="B", WORKDAY(Main[[#This Row],[Tech Start Date]],19),IF(Main[[#This Row],[Class]]="A",WORKDAY(Main[[#This Row],[Tech Start Date]],9),""))))</f>
        <v/>
      </c>
      <c r="Q297" s="89">
        <v>40132</v>
      </c>
      <c r="R297" s="121"/>
      <c r="S297" s="99" t="s">
        <v>11</v>
      </c>
      <c r="T297" s="76" t="s">
        <v>4</v>
      </c>
      <c r="U297" s="99" t="s">
        <v>14</v>
      </c>
      <c r="V297" s="99" t="s">
        <v>1916</v>
      </c>
      <c r="W297" s="99" t="s">
        <v>1924</v>
      </c>
      <c r="X297" s="99" t="s">
        <v>2850</v>
      </c>
      <c r="Y297" s="73" t="s">
        <v>4</v>
      </c>
      <c r="Z297" s="73" t="s">
        <v>4</v>
      </c>
      <c r="AA297" s="99" t="s">
        <v>2850</v>
      </c>
    </row>
    <row r="298" spans="1:27" ht="17.25" customHeight="1">
      <c r="A298" s="65" t="str">
        <f>IF(priority(Main[[#This Row],[Comments]])&lt;&gt;0, priority(Main[[#This Row],[Comments]]),"")</f>
        <v/>
      </c>
      <c r="B298" s="60" t="s">
        <v>1138</v>
      </c>
      <c r="C298" s="105" t="s">
        <v>4</v>
      </c>
      <c r="D298" s="74" t="s">
        <v>192</v>
      </c>
      <c r="E298" s="89">
        <v>40371.395115740743</v>
      </c>
      <c r="F298" s="89"/>
      <c r="G298" s="65" t="str">
        <f>IF(stdProdLT(Main[[#This Row],[Comments]])=0.1,"N/A",IF(stdProdLT(Main[[#This Row],[Comments]])=0,"",TRIM(stdProdLT(Main[[#This Row],[Comments]]))))</f>
        <v/>
      </c>
      <c r="H298" s="98" t="str">
        <f>IF(Main[[#This Row],[Std. Prod. Lead Time]]="N/A", "",IF(AND(Main[[#This Row],[In Stock Date]]&lt;&gt;"",Main[[#This Row],[Revised Due Date]]&lt;&gt;"",Main[[#This Row],[In Stock Date]]&lt;&gt;""),Main[[#This Row],[In Stock Date]]-Main[[#This Row],[Revised Due Date]],""))</f>
        <v/>
      </c>
      <c r="I298" s="110" t="s">
        <v>4</v>
      </c>
      <c r="J298" s="99" t="s">
        <v>4</v>
      </c>
      <c r="K298" s="99" t="s">
        <v>4</v>
      </c>
      <c r="L298" s="89"/>
      <c r="M298" s="75" t="str">
        <f>IF(Main[[#This Row],[Tech Start Date]]&lt;1/1/1990,"",IF(Main[[#This Row],[Class]]="C",WORKDAY(Main[[#This Row],[Tech Start Date]],9),IF(Main[[#This Row],[Class]]="B", WORKDAY(Main[[#This Row],[Tech Start Date]],6),IF(Main[[#This Row],[Class]]="A",WORKDAY(Main[[#This Row],[Tech Start Date]],2),""))))</f>
        <v/>
      </c>
      <c r="N298" s="75" t="str">
        <f>IF(Main[[#This Row],[Tech Start Date]]&lt;1/1/1990,"",IF(Main[[#This Row],[Class]]="C",WORKDAY(Main[[#This Row],[Tech Start Date]],19),IF(Main[[#This Row],[Class]]="B", WORKDAY(Main[[#This Row],[Tech Start Date]],12),IF(Main[[#This Row],[Class]]="A",WORKDAY(Main[[#This Row],[Tech Start Date]],4),""))))</f>
        <v/>
      </c>
      <c r="O298" s="75" t="str">
        <f>IF(Main[[#This Row],[Tech Start Date]]&lt;1/1/1990,"",IF(Main[[#This Row],[Class]]="C",WORKDAY(Main[[#This Row],[Tech Start Date]],23),IF(Main[[#This Row],[Class]]="B", WORKDAY(Main[[#This Row],[Tech Start Date]],15),IF(Main[[#This Row],[Class]]="A",WORKDAY(Main[[#This Row],[Tech Start Date]],5),""))))</f>
        <v/>
      </c>
      <c r="P298" s="75" t="str">
        <f>IF(Main[[#This Row],[Tech Start Date]]&lt;1/1/1990,"",IF(Main[[#This Row],[Class]]="C",WORKDAY(Main[[#This Row],[Tech Start Date]],28),IF(Main[[#This Row],[Class]]="B", WORKDAY(Main[[#This Row],[Tech Start Date]],19),IF(Main[[#This Row],[Class]]="A",WORKDAY(Main[[#This Row],[Tech Start Date]],9),""))))</f>
        <v/>
      </c>
      <c r="Q298" s="89">
        <v>40385</v>
      </c>
      <c r="R298" s="121"/>
      <c r="S298" s="99" t="s">
        <v>6</v>
      </c>
      <c r="T298" s="76" t="s">
        <v>4</v>
      </c>
      <c r="U298" s="99" t="s">
        <v>7</v>
      </c>
      <c r="V298" s="99" t="s">
        <v>1913</v>
      </c>
      <c r="W298" s="99" t="s">
        <v>1915</v>
      </c>
      <c r="X298" s="99" t="s">
        <v>102</v>
      </c>
      <c r="Y298" s="73" t="s">
        <v>2995</v>
      </c>
      <c r="Z298" s="73" t="s">
        <v>4</v>
      </c>
      <c r="AA298" s="99" t="s">
        <v>3389</v>
      </c>
    </row>
    <row r="299" spans="1:27" ht="17.25" customHeight="1">
      <c r="A299" s="65" t="str">
        <f>IF(priority(Main[[#This Row],[Comments]])&lt;&gt;0, priority(Main[[#This Row],[Comments]]),"")</f>
        <v/>
      </c>
      <c r="B299" s="60" t="s">
        <v>1139</v>
      </c>
      <c r="C299" s="105" t="s">
        <v>53</v>
      </c>
      <c r="D299" s="74" t="s">
        <v>193</v>
      </c>
      <c r="E299" s="89"/>
      <c r="F299" s="89"/>
      <c r="G299" s="65" t="str">
        <f>IF(stdProdLT(Main[[#This Row],[Comments]])=0.1,"N/A",IF(stdProdLT(Main[[#This Row],[Comments]])=0,"",TRIM(stdProdLT(Main[[#This Row],[Comments]]))))</f>
        <v/>
      </c>
      <c r="H299" s="98" t="str">
        <f>IF(Main[[#This Row],[Std. Prod. Lead Time]]="N/A", "",IF(AND(Main[[#This Row],[In Stock Date]]&lt;&gt;"",Main[[#This Row],[Revised Due Date]]&lt;&gt;"",Main[[#This Row],[In Stock Date]]&lt;&gt;""),Main[[#This Row],[In Stock Date]]-Main[[#This Row],[Revised Due Date]],""))</f>
        <v/>
      </c>
      <c r="I299" s="110" t="s">
        <v>4</v>
      </c>
      <c r="J299" s="99" t="s">
        <v>28</v>
      </c>
      <c r="K299" s="100" t="s">
        <v>1920</v>
      </c>
      <c r="L299" s="89"/>
      <c r="M299" s="75" t="str">
        <f>IF(Main[[#This Row],[Tech Start Date]]&lt;1/1/1990,"",IF(Main[[#This Row],[Class]]="C",WORKDAY(Main[[#This Row],[Tech Start Date]],9),IF(Main[[#This Row],[Class]]="B", WORKDAY(Main[[#This Row],[Tech Start Date]],6),IF(Main[[#This Row],[Class]]="A",WORKDAY(Main[[#This Row],[Tech Start Date]],2),""))))</f>
        <v/>
      </c>
      <c r="N299" s="75" t="str">
        <f>IF(Main[[#This Row],[Tech Start Date]]&lt;1/1/1990,"",IF(Main[[#This Row],[Class]]="C",WORKDAY(Main[[#This Row],[Tech Start Date]],19),IF(Main[[#This Row],[Class]]="B", WORKDAY(Main[[#This Row],[Tech Start Date]],12),IF(Main[[#This Row],[Class]]="A",WORKDAY(Main[[#This Row],[Tech Start Date]],4),""))))</f>
        <v/>
      </c>
      <c r="O299" s="75" t="str">
        <f>IF(Main[[#This Row],[Tech Start Date]]&lt;1/1/1990,"",IF(Main[[#This Row],[Class]]="C",WORKDAY(Main[[#This Row],[Tech Start Date]],23),IF(Main[[#This Row],[Class]]="B", WORKDAY(Main[[#This Row],[Tech Start Date]],15),IF(Main[[#This Row],[Class]]="A",WORKDAY(Main[[#This Row],[Tech Start Date]],5),""))))</f>
        <v/>
      </c>
      <c r="P299" s="75" t="str">
        <f>IF(Main[[#This Row],[Tech Start Date]]&lt;1/1/1990,"",IF(Main[[#This Row],[Class]]="C",WORKDAY(Main[[#This Row],[Tech Start Date]],28),IF(Main[[#This Row],[Class]]="B", WORKDAY(Main[[#This Row],[Tech Start Date]],19),IF(Main[[#This Row],[Class]]="A",WORKDAY(Main[[#This Row],[Tech Start Date]],9),""))))</f>
        <v/>
      </c>
      <c r="Q299" s="89">
        <v>40581</v>
      </c>
      <c r="R299" s="121"/>
      <c r="S299" s="99" t="s">
        <v>11</v>
      </c>
      <c r="T299" s="76" t="s">
        <v>4</v>
      </c>
      <c r="U299" s="99" t="s">
        <v>14</v>
      </c>
      <c r="V299" s="99" t="s">
        <v>1914</v>
      </c>
      <c r="W299" s="99" t="s">
        <v>1915</v>
      </c>
      <c r="X299" s="99" t="s">
        <v>2810</v>
      </c>
      <c r="Y299" s="73" t="s">
        <v>2922</v>
      </c>
      <c r="Z299" s="73" t="s">
        <v>3153</v>
      </c>
      <c r="AA299" s="99" t="s">
        <v>2810</v>
      </c>
    </row>
    <row r="300" spans="1:27" ht="17.25" customHeight="1">
      <c r="A300" s="65" t="str">
        <f>IF(priority(Main[[#This Row],[Comments]])&lt;&gt;0, priority(Main[[#This Row],[Comments]]),"")</f>
        <v/>
      </c>
      <c r="B300" s="60" t="s">
        <v>1841</v>
      </c>
      <c r="C300" s="105" t="s">
        <v>4</v>
      </c>
      <c r="D300" s="74" t="s">
        <v>899</v>
      </c>
      <c r="E300" s="89"/>
      <c r="F300" s="89"/>
      <c r="G300" s="65" t="str">
        <f>IF(stdProdLT(Main[[#This Row],[Comments]])=0.1,"N/A",IF(stdProdLT(Main[[#This Row],[Comments]])=0,"",TRIM(stdProdLT(Main[[#This Row],[Comments]]))))</f>
        <v/>
      </c>
      <c r="H300" s="98" t="str">
        <f>IF(Main[[#This Row],[Std. Prod. Lead Time]]="N/A", "",IF(AND(Main[[#This Row],[In Stock Date]]&lt;&gt;"",Main[[#This Row],[Revised Due Date]]&lt;&gt;"",Main[[#This Row],[In Stock Date]]&lt;&gt;""),Main[[#This Row],[In Stock Date]]-Main[[#This Row],[Revised Due Date]],""))</f>
        <v/>
      </c>
      <c r="I300" s="110" t="s">
        <v>102</v>
      </c>
      <c r="J300" s="99" t="s">
        <v>52</v>
      </c>
      <c r="K300" s="99" t="s">
        <v>1922</v>
      </c>
      <c r="L300" s="89"/>
      <c r="M300" s="75" t="str">
        <f>IF(Main[[#This Row],[Tech Start Date]]&lt;1/1/1990,"",IF(Main[[#This Row],[Class]]="C",WORKDAY(Main[[#This Row],[Tech Start Date]],9),IF(Main[[#This Row],[Class]]="B", WORKDAY(Main[[#This Row],[Tech Start Date]],6),IF(Main[[#This Row],[Class]]="A",WORKDAY(Main[[#This Row],[Tech Start Date]],2),""))))</f>
        <v/>
      </c>
      <c r="N300" s="75" t="str">
        <f>IF(Main[[#This Row],[Tech Start Date]]&lt;1/1/1990,"",IF(Main[[#This Row],[Class]]="C",WORKDAY(Main[[#This Row],[Tech Start Date]],19),IF(Main[[#This Row],[Class]]="B", WORKDAY(Main[[#This Row],[Tech Start Date]],12),IF(Main[[#This Row],[Class]]="A",WORKDAY(Main[[#This Row],[Tech Start Date]],4),""))))</f>
        <v/>
      </c>
      <c r="O300" s="75" t="str">
        <f>IF(Main[[#This Row],[Tech Start Date]]&lt;1/1/1990,"",IF(Main[[#This Row],[Class]]="C",WORKDAY(Main[[#This Row],[Tech Start Date]],23),IF(Main[[#This Row],[Class]]="B", WORKDAY(Main[[#This Row],[Tech Start Date]],15),IF(Main[[#This Row],[Class]]="A",WORKDAY(Main[[#This Row],[Tech Start Date]],5),""))))</f>
        <v/>
      </c>
      <c r="P300" s="75" t="str">
        <f>IF(Main[[#This Row],[Tech Start Date]]&lt;1/1/1990,"",IF(Main[[#This Row],[Class]]="C",WORKDAY(Main[[#This Row],[Tech Start Date]],28),IF(Main[[#This Row],[Class]]="B", WORKDAY(Main[[#This Row],[Tech Start Date]],19),IF(Main[[#This Row],[Class]]="A",WORKDAY(Main[[#This Row],[Tech Start Date]],9),""))))</f>
        <v/>
      </c>
      <c r="Q300" s="89"/>
      <c r="R300" s="121">
        <v>40494</v>
      </c>
      <c r="S300" s="99" t="s">
        <v>6</v>
      </c>
      <c r="T300" s="76" t="s">
        <v>4</v>
      </c>
      <c r="U300" s="99" t="s">
        <v>14</v>
      </c>
      <c r="V300" s="99" t="s">
        <v>1913</v>
      </c>
      <c r="W300" s="99" t="s">
        <v>1927</v>
      </c>
      <c r="X300" s="99" t="s">
        <v>2048</v>
      </c>
      <c r="Y300" s="73" t="s">
        <v>2996</v>
      </c>
      <c r="Z300" s="73" t="s">
        <v>3154</v>
      </c>
      <c r="AA300" s="99" t="s">
        <v>2048</v>
      </c>
    </row>
    <row r="301" spans="1:27" ht="17.25" customHeight="1">
      <c r="A301" s="65" t="str">
        <f>IF(priority(Main[[#This Row],[Comments]])&lt;&gt;0, priority(Main[[#This Row],[Comments]]),"")</f>
        <v/>
      </c>
      <c r="B301" s="60" t="s">
        <v>1158</v>
      </c>
      <c r="C301" s="105" t="s">
        <v>4</v>
      </c>
      <c r="D301" s="74" t="s">
        <v>2343</v>
      </c>
      <c r="E301" s="89">
        <v>40436.507916666669</v>
      </c>
      <c r="F301" s="89"/>
      <c r="G301" s="65" t="str">
        <f>IF(stdProdLT(Main[[#This Row],[Comments]])=0.1,"N/A",IF(stdProdLT(Main[[#This Row],[Comments]])=0,"",TRIM(stdProdLT(Main[[#This Row],[Comments]]))))</f>
        <v/>
      </c>
      <c r="H301" s="98" t="str">
        <f>IF(Main[[#This Row],[Std. Prod. Lead Time]]="N/A", "",IF(AND(Main[[#This Row],[In Stock Date]]&lt;&gt;"",Main[[#This Row],[Revised Due Date]]&lt;&gt;"",Main[[#This Row],[In Stock Date]]&lt;&gt;""),Main[[#This Row],[In Stock Date]]-Main[[#This Row],[Revised Due Date]],""))</f>
        <v/>
      </c>
      <c r="I301" s="110" t="s">
        <v>912</v>
      </c>
      <c r="J301" s="99" t="s">
        <v>52</v>
      </c>
      <c r="K301" s="99" t="s">
        <v>4</v>
      </c>
      <c r="L301" s="89"/>
      <c r="M301" s="75" t="str">
        <f>IF(Main[[#This Row],[Tech Start Date]]&lt;1/1/1990,"",IF(Main[[#This Row],[Class]]="C",WORKDAY(Main[[#This Row],[Tech Start Date]],9),IF(Main[[#This Row],[Class]]="B", WORKDAY(Main[[#This Row],[Tech Start Date]],6),IF(Main[[#This Row],[Class]]="A",WORKDAY(Main[[#This Row],[Tech Start Date]],2),""))))</f>
        <v/>
      </c>
      <c r="N301" s="75" t="str">
        <f>IF(Main[[#This Row],[Tech Start Date]]&lt;1/1/1990,"",IF(Main[[#This Row],[Class]]="C",WORKDAY(Main[[#This Row],[Tech Start Date]],19),IF(Main[[#This Row],[Class]]="B", WORKDAY(Main[[#This Row],[Tech Start Date]],12),IF(Main[[#This Row],[Class]]="A",WORKDAY(Main[[#This Row],[Tech Start Date]],4),""))))</f>
        <v/>
      </c>
      <c r="O301" s="75" t="str">
        <f>IF(Main[[#This Row],[Tech Start Date]]&lt;1/1/1990,"",IF(Main[[#This Row],[Class]]="C",WORKDAY(Main[[#This Row],[Tech Start Date]],23),IF(Main[[#This Row],[Class]]="B", WORKDAY(Main[[#This Row],[Tech Start Date]],15),IF(Main[[#This Row],[Class]]="A",WORKDAY(Main[[#This Row],[Tech Start Date]],5),""))))</f>
        <v/>
      </c>
      <c r="P301" s="75" t="str">
        <f>IF(Main[[#This Row],[Tech Start Date]]&lt;1/1/1990,"",IF(Main[[#This Row],[Class]]="C",WORKDAY(Main[[#This Row],[Tech Start Date]],28),IF(Main[[#This Row],[Class]]="B", WORKDAY(Main[[#This Row],[Tech Start Date]],19),IF(Main[[#This Row],[Class]]="A",WORKDAY(Main[[#This Row],[Tech Start Date]],9),""))))</f>
        <v/>
      </c>
      <c r="Q301" s="89">
        <v>40451</v>
      </c>
      <c r="R301" s="121"/>
      <c r="S301" s="99" t="s">
        <v>6</v>
      </c>
      <c r="T301" s="76" t="s">
        <v>4</v>
      </c>
      <c r="U301" s="99" t="s">
        <v>29</v>
      </c>
      <c r="V301" s="99" t="s">
        <v>1913</v>
      </c>
      <c r="W301" s="99" t="s">
        <v>1915</v>
      </c>
      <c r="X301" s="99" t="s">
        <v>2861</v>
      </c>
      <c r="Y301" s="73" t="s">
        <v>2997</v>
      </c>
      <c r="Z301" s="73" t="s">
        <v>530</v>
      </c>
      <c r="AA301" s="99" t="s">
        <v>2861</v>
      </c>
    </row>
    <row r="302" spans="1:27" ht="17.25" customHeight="1">
      <c r="A302" s="65" t="str">
        <f>IF(priority(Main[[#This Row],[Comments]])&lt;&gt;0, priority(Main[[#This Row],[Comments]]),"")</f>
        <v/>
      </c>
      <c r="B302" s="60" t="s">
        <v>1305</v>
      </c>
      <c r="C302" s="105" t="s">
        <v>47</v>
      </c>
      <c r="D302" s="59" t="s">
        <v>2008</v>
      </c>
      <c r="E302" s="89">
        <v>39952.315729166665</v>
      </c>
      <c r="F302" s="89"/>
      <c r="G302" s="65" t="str">
        <f>IF(stdProdLT(Main[[#This Row],[Comments]])=0.1,"N/A",IF(stdProdLT(Main[[#This Row],[Comments]])=0,"",TRIM(stdProdLT(Main[[#This Row],[Comments]]))))</f>
        <v/>
      </c>
      <c r="H302" s="98" t="str">
        <f>IF(Main[[#This Row],[Std. Prod. Lead Time]]="N/A", "",IF(AND(Main[[#This Row],[In Stock Date]]&lt;&gt;"",Main[[#This Row],[Revised Due Date]]&lt;&gt;"",Main[[#This Row],[In Stock Date]]&lt;&gt;""),Main[[#This Row],[In Stock Date]]-Main[[#This Row],[Revised Due Date]],""))</f>
        <v/>
      </c>
      <c r="I302" s="110" t="s">
        <v>2009</v>
      </c>
      <c r="J302" s="99" t="s">
        <v>28</v>
      </c>
      <c r="K302" s="99" t="s">
        <v>4</v>
      </c>
      <c r="L302" s="89"/>
      <c r="M302" s="75" t="str">
        <f>IF(Main[[#This Row],[Tech Start Date]]&lt;1/1/1990,"",IF(Main[[#This Row],[Class]]="C",WORKDAY(Main[[#This Row],[Tech Start Date]],9),IF(Main[[#This Row],[Class]]="B", WORKDAY(Main[[#This Row],[Tech Start Date]],6),IF(Main[[#This Row],[Class]]="A",WORKDAY(Main[[#This Row],[Tech Start Date]],2),""))))</f>
        <v/>
      </c>
      <c r="N302" s="75" t="str">
        <f>IF(Main[[#This Row],[Tech Start Date]]&lt;1/1/1990,"",IF(Main[[#This Row],[Class]]="C",WORKDAY(Main[[#This Row],[Tech Start Date]],19),IF(Main[[#This Row],[Class]]="B", WORKDAY(Main[[#This Row],[Tech Start Date]],12),IF(Main[[#This Row],[Class]]="A",WORKDAY(Main[[#This Row],[Tech Start Date]],4),""))))</f>
        <v/>
      </c>
      <c r="O302" s="75" t="str">
        <f>IF(Main[[#This Row],[Tech Start Date]]&lt;1/1/1990,"",IF(Main[[#This Row],[Class]]="C",WORKDAY(Main[[#This Row],[Tech Start Date]],23),IF(Main[[#This Row],[Class]]="B", WORKDAY(Main[[#This Row],[Tech Start Date]],15),IF(Main[[#This Row],[Class]]="A",WORKDAY(Main[[#This Row],[Tech Start Date]],5),""))))</f>
        <v/>
      </c>
      <c r="P302" s="75" t="str">
        <f>IF(Main[[#This Row],[Tech Start Date]]&lt;1/1/1990,"",IF(Main[[#This Row],[Class]]="C",WORKDAY(Main[[#This Row],[Tech Start Date]],28),IF(Main[[#This Row],[Class]]="B", WORKDAY(Main[[#This Row],[Tech Start Date]],19),IF(Main[[#This Row],[Class]]="A",WORKDAY(Main[[#This Row],[Tech Start Date]],9),""))))</f>
        <v/>
      </c>
      <c r="Q302" s="89"/>
      <c r="R302" s="121"/>
      <c r="S302" s="99" t="s">
        <v>17</v>
      </c>
      <c r="T302" s="76" t="s">
        <v>4</v>
      </c>
      <c r="U302" s="99" t="s">
        <v>7</v>
      </c>
      <c r="V302" s="99" t="s">
        <v>1928</v>
      </c>
      <c r="W302" s="99" t="s">
        <v>1918</v>
      </c>
      <c r="X302" s="99" t="s">
        <v>2853</v>
      </c>
      <c r="Y302" s="73" t="s">
        <v>2942</v>
      </c>
      <c r="Z302" s="73" t="s">
        <v>2207</v>
      </c>
      <c r="AA302" s="99" t="s">
        <v>2853</v>
      </c>
    </row>
    <row r="303" spans="1:27" ht="17.25" customHeight="1">
      <c r="A303" s="65" t="str">
        <f>IF(priority(Main[[#This Row],[Comments]])&lt;&gt;0, priority(Main[[#This Row],[Comments]]),"")</f>
        <v/>
      </c>
      <c r="B303" s="60" t="s">
        <v>1153</v>
      </c>
      <c r="C303" s="105" t="s">
        <v>4</v>
      </c>
      <c r="D303" s="74" t="s">
        <v>209</v>
      </c>
      <c r="E303" s="89"/>
      <c r="F303" s="89"/>
      <c r="G303" s="65" t="str">
        <f>IF(stdProdLT(Main[[#This Row],[Comments]])=0.1,"N/A",IF(stdProdLT(Main[[#This Row],[Comments]])=0,"",TRIM(stdProdLT(Main[[#This Row],[Comments]]))))</f>
        <v/>
      </c>
      <c r="H303" s="98" t="str">
        <f>IF(Main[[#This Row],[Std. Prod. Lead Time]]="N/A", "",IF(AND(Main[[#This Row],[In Stock Date]]&lt;&gt;"",Main[[#This Row],[Revised Due Date]]&lt;&gt;"",Main[[#This Row],[In Stock Date]]&lt;&gt;""),Main[[#This Row],[In Stock Date]]-Main[[#This Row],[Revised Due Date]],""))</f>
        <v/>
      </c>
      <c r="I303" s="110" t="s">
        <v>4</v>
      </c>
      <c r="J303" s="99" t="s">
        <v>4</v>
      </c>
      <c r="K303" s="99" t="s">
        <v>4</v>
      </c>
      <c r="L303" s="89"/>
      <c r="M303" s="75" t="str">
        <f>IF(Main[[#This Row],[Tech Start Date]]&lt;1/1/1990,"",IF(Main[[#This Row],[Class]]="C",WORKDAY(Main[[#This Row],[Tech Start Date]],9),IF(Main[[#This Row],[Class]]="B", WORKDAY(Main[[#This Row],[Tech Start Date]],6),IF(Main[[#This Row],[Class]]="A",WORKDAY(Main[[#This Row],[Tech Start Date]],2),""))))</f>
        <v/>
      </c>
      <c r="N303" s="75" t="str">
        <f>IF(Main[[#This Row],[Tech Start Date]]&lt;1/1/1990,"",IF(Main[[#This Row],[Class]]="C",WORKDAY(Main[[#This Row],[Tech Start Date]],19),IF(Main[[#This Row],[Class]]="B", WORKDAY(Main[[#This Row],[Tech Start Date]],12),IF(Main[[#This Row],[Class]]="A",WORKDAY(Main[[#This Row],[Tech Start Date]],4),""))))</f>
        <v/>
      </c>
      <c r="O303" s="75" t="str">
        <f>IF(Main[[#This Row],[Tech Start Date]]&lt;1/1/1990,"",IF(Main[[#This Row],[Class]]="C",WORKDAY(Main[[#This Row],[Tech Start Date]],23),IF(Main[[#This Row],[Class]]="B", WORKDAY(Main[[#This Row],[Tech Start Date]],15),IF(Main[[#This Row],[Class]]="A",WORKDAY(Main[[#This Row],[Tech Start Date]],5),""))))</f>
        <v/>
      </c>
      <c r="P303" s="75" t="str">
        <f>IF(Main[[#This Row],[Tech Start Date]]&lt;1/1/1990,"",IF(Main[[#This Row],[Class]]="C",WORKDAY(Main[[#This Row],[Tech Start Date]],28),IF(Main[[#This Row],[Class]]="B", WORKDAY(Main[[#This Row],[Tech Start Date]],19),IF(Main[[#This Row],[Class]]="A",WORKDAY(Main[[#This Row],[Tech Start Date]],9),""))))</f>
        <v/>
      </c>
      <c r="Q303" s="89"/>
      <c r="R303" s="121"/>
      <c r="S303" s="99" t="s">
        <v>23</v>
      </c>
      <c r="T303" s="76" t="s">
        <v>4</v>
      </c>
      <c r="U303" s="99" t="s">
        <v>14</v>
      </c>
      <c r="V303" s="99" t="s">
        <v>1916</v>
      </c>
      <c r="W303" s="99" t="s">
        <v>1917</v>
      </c>
      <c r="X303" s="99" t="s">
        <v>306</v>
      </c>
      <c r="Y303" s="73" t="s">
        <v>4</v>
      </c>
      <c r="Z303" s="73" t="s">
        <v>4</v>
      </c>
      <c r="AA303" s="99" t="s">
        <v>3376</v>
      </c>
    </row>
    <row r="304" spans="1:27" ht="17.25" customHeight="1">
      <c r="A304" s="65" t="str">
        <f>IF(priority(Main[[#This Row],[Comments]])&lt;&gt;0, priority(Main[[#This Row],[Comments]]),"")</f>
        <v/>
      </c>
      <c r="B304" s="60" t="s">
        <v>1154</v>
      </c>
      <c r="C304" s="105" t="s">
        <v>4</v>
      </c>
      <c r="D304" s="74" t="s">
        <v>210</v>
      </c>
      <c r="E304" s="89"/>
      <c r="F304" s="89"/>
      <c r="G304" s="65" t="str">
        <f>IF(stdProdLT(Main[[#This Row],[Comments]])=0.1,"N/A",IF(stdProdLT(Main[[#This Row],[Comments]])=0,"",TRIM(stdProdLT(Main[[#This Row],[Comments]]))))</f>
        <v/>
      </c>
      <c r="H304" s="98" t="str">
        <f>IF(Main[[#This Row],[Std. Prod. Lead Time]]="N/A", "",IF(AND(Main[[#This Row],[In Stock Date]]&lt;&gt;"",Main[[#This Row],[Revised Due Date]]&lt;&gt;"",Main[[#This Row],[In Stock Date]]&lt;&gt;""),Main[[#This Row],[In Stock Date]]-Main[[#This Row],[Revised Due Date]],""))</f>
        <v/>
      </c>
      <c r="I304" s="110" t="s">
        <v>4</v>
      </c>
      <c r="J304" s="99" t="s">
        <v>4</v>
      </c>
      <c r="K304" s="99" t="s">
        <v>4</v>
      </c>
      <c r="L304" s="89"/>
      <c r="M304" s="75" t="str">
        <f>IF(Main[[#This Row],[Tech Start Date]]&lt;1/1/1990,"",IF(Main[[#This Row],[Class]]="C",WORKDAY(Main[[#This Row],[Tech Start Date]],9),IF(Main[[#This Row],[Class]]="B", WORKDAY(Main[[#This Row],[Tech Start Date]],6),IF(Main[[#This Row],[Class]]="A",WORKDAY(Main[[#This Row],[Tech Start Date]],2),""))))</f>
        <v/>
      </c>
      <c r="N304" s="75" t="str">
        <f>IF(Main[[#This Row],[Tech Start Date]]&lt;1/1/1990,"",IF(Main[[#This Row],[Class]]="C",WORKDAY(Main[[#This Row],[Tech Start Date]],19),IF(Main[[#This Row],[Class]]="B", WORKDAY(Main[[#This Row],[Tech Start Date]],12),IF(Main[[#This Row],[Class]]="A",WORKDAY(Main[[#This Row],[Tech Start Date]],4),""))))</f>
        <v/>
      </c>
      <c r="O304" s="75" t="str">
        <f>IF(Main[[#This Row],[Tech Start Date]]&lt;1/1/1990,"",IF(Main[[#This Row],[Class]]="C",WORKDAY(Main[[#This Row],[Tech Start Date]],23),IF(Main[[#This Row],[Class]]="B", WORKDAY(Main[[#This Row],[Tech Start Date]],15),IF(Main[[#This Row],[Class]]="A",WORKDAY(Main[[#This Row],[Tech Start Date]],5),""))))</f>
        <v/>
      </c>
      <c r="P304" s="75" t="str">
        <f>IF(Main[[#This Row],[Tech Start Date]]&lt;1/1/1990,"",IF(Main[[#This Row],[Class]]="C",WORKDAY(Main[[#This Row],[Tech Start Date]],28),IF(Main[[#This Row],[Class]]="B", WORKDAY(Main[[#This Row],[Tech Start Date]],19),IF(Main[[#This Row],[Class]]="A",WORKDAY(Main[[#This Row],[Tech Start Date]],9),""))))</f>
        <v/>
      </c>
      <c r="Q304" s="89"/>
      <c r="R304" s="121"/>
      <c r="S304" s="99" t="s">
        <v>23</v>
      </c>
      <c r="T304" s="76" t="s">
        <v>4</v>
      </c>
      <c r="U304" s="99" t="s">
        <v>14</v>
      </c>
      <c r="V304" s="99" t="s">
        <v>1916</v>
      </c>
      <c r="W304" s="99" t="s">
        <v>1917</v>
      </c>
      <c r="X304" s="99" t="s">
        <v>399</v>
      </c>
      <c r="Y304" s="73" t="s">
        <v>4</v>
      </c>
      <c r="Z304" s="73" t="s">
        <v>4</v>
      </c>
      <c r="AA304" s="99" t="s">
        <v>3390</v>
      </c>
    </row>
    <row r="305" spans="1:27" ht="17.25" customHeight="1">
      <c r="A305" s="65" t="str">
        <f>IF(priority(Main[[#This Row],[Comments]])&lt;&gt;0, priority(Main[[#This Row],[Comments]]),"")</f>
        <v/>
      </c>
      <c r="B305" s="60" t="s">
        <v>1218</v>
      </c>
      <c r="C305" s="105" t="s">
        <v>277</v>
      </c>
      <c r="D305" s="74" t="s">
        <v>278</v>
      </c>
      <c r="E305" s="89"/>
      <c r="F305" s="89">
        <v>40680</v>
      </c>
      <c r="G305" s="65" t="str">
        <f>IF(stdProdLT(Main[[#This Row],[Comments]])=0.1,"N/A",IF(stdProdLT(Main[[#This Row],[Comments]])=0,"",TRIM(stdProdLT(Main[[#This Row],[Comments]]))))</f>
        <v/>
      </c>
      <c r="H305" s="98" t="str">
        <f>IF(Main[[#This Row],[Std. Prod. Lead Time]]="N/A", "",IF(AND(Main[[#This Row],[In Stock Date]]&lt;&gt;"",Main[[#This Row],[Revised Due Date]]&lt;&gt;"",Main[[#This Row],[In Stock Date]]&lt;&gt;""),Main[[#This Row],[In Stock Date]]-Main[[#This Row],[Revised Due Date]],""))</f>
        <v/>
      </c>
      <c r="I305" s="110" t="s">
        <v>4</v>
      </c>
      <c r="J305" s="99" t="s">
        <v>28</v>
      </c>
      <c r="K305" s="99" t="s">
        <v>4</v>
      </c>
      <c r="L305" s="89"/>
      <c r="M305" s="75" t="str">
        <f>IF(Main[[#This Row],[Tech Start Date]]&lt;1/1/1990,"",IF(Main[[#This Row],[Class]]="C",WORKDAY(Main[[#This Row],[Tech Start Date]],9),IF(Main[[#This Row],[Class]]="B", WORKDAY(Main[[#This Row],[Tech Start Date]],6),IF(Main[[#This Row],[Class]]="A",WORKDAY(Main[[#This Row],[Tech Start Date]],2),""))))</f>
        <v/>
      </c>
      <c r="N305" s="75" t="str">
        <f>IF(Main[[#This Row],[Tech Start Date]]&lt;1/1/1990,"",IF(Main[[#This Row],[Class]]="C",WORKDAY(Main[[#This Row],[Tech Start Date]],19),IF(Main[[#This Row],[Class]]="B", WORKDAY(Main[[#This Row],[Tech Start Date]],12),IF(Main[[#This Row],[Class]]="A",WORKDAY(Main[[#This Row],[Tech Start Date]],4),""))))</f>
        <v/>
      </c>
      <c r="O305" s="75" t="str">
        <f>IF(Main[[#This Row],[Tech Start Date]]&lt;1/1/1990,"",IF(Main[[#This Row],[Class]]="C",WORKDAY(Main[[#This Row],[Tech Start Date]],23),IF(Main[[#This Row],[Class]]="B", WORKDAY(Main[[#This Row],[Tech Start Date]],15),IF(Main[[#This Row],[Class]]="A",WORKDAY(Main[[#This Row],[Tech Start Date]],5),""))))</f>
        <v/>
      </c>
      <c r="P305" s="75" t="str">
        <f>IF(Main[[#This Row],[Tech Start Date]]&lt;1/1/1990,"",IF(Main[[#This Row],[Class]]="C",WORKDAY(Main[[#This Row],[Tech Start Date]],28),IF(Main[[#This Row],[Class]]="B", WORKDAY(Main[[#This Row],[Tech Start Date]],19),IF(Main[[#This Row],[Class]]="A",WORKDAY(Main[[#This Row],[Tech Start Date]],9),""))))</f>
        <v/>
      </c>
      <c r="Q305" s="89">
        <v>40540</v>
      </c>
      <c r="R305" s="121"/>
      <c r="S305" s="99" t="s">
        <v>11</v>
      </c>
      <c r="T305" s="76" t="s">
        <v>4</v>
      </c>
      <c r="U305" s="99" t="s">
        <v>14</v>
      </c>
      <c r="V305" s="99" t="s">
        <v>1914</v>
      </c>
      <c r="W305" s="99" t="s">
        <v>1918</v>
      </c>
      <c r="X305" s="99" t="s">
        <v>2854</v>
      </c>
      <c r="Y305" s="73" t="s">
        <v>2998</v>
      </c>
      <c r="Z305" s="73" t="s">
        <v>4</v>
      </c>
      <c r="AA305" s="99" t="s">
        <v>2854</v>
      </c>
    </row>
    <row r="306" spans="1:27" ht="17.25" customHeight="1">
      <c r="A306" s="65" t="str">
        <f>IF(priority(Main[[#This Row],[Comments]])&lt;&gt;0, priority(Main[[#This Row],[Comments]]),"")</f>
        <v/>
      </c>
      <c r="B306" s="60" t="s">
        <v>2176</v>
      </c>
      <c r="C306" s="105" t="s">
        <v>4</v>
      </c>
      <c r="D306" s="74" t="s">
        <v>2177</v>
      </c>
      <c r="E306" s="89"/>
      <c r="F306" s="89"/>
      <c r="G306" s="65" t="str">
        <f>IF(stdProdLT(Main[[#This Row],[Comments]])=0.1,"N/A",IF(stdProdLT(Main[[#This Row],[Comments]])=0,"",TRIM(stdProdLT(Main[[#This Row],[Comments]]))))</f>
        <v/>
      </c>
      <c r="H306" s="98" t="str">
        <f>IF(Main[[#This Row],[Std. Prod. Lead Time]]="N/A", "",IF(AND(Main[[#This Row],[In Stock Date]]&lt;&gt;"",Main[[#This Row],[Revised Due Date]]&lt;&gt;"",Main[[#This Row],[In Stock Date]]&lt;&gt;""),Main[[#This Row],[In Stock Date]]-Main[[#This Row],[Revised Due Date]],""))</f>
        <v/>
      </c>
      <c r="I306" s="110" t="s">
        <v>4</v>
      </c>
      <c r="J306" s="99" t="s">
        <v>4</v>
      </c>
      <c r="K306" s="99" t="s">
        <v>4</v>
      </c>
      <c r="L306" s="89"/>
      <c r="M306" s="75" t="str">
        <f>IF(Main[[#This Row],[Tech Start Date]]&lt;1/1/1990,"",IF(Main[[#This Row],[Class]]="C",WORKDAY(Main[[#This Row],[Tech Start Date]],9),IF(Main[[#This Row],[Class]]="B", WORKDAY(Main[[#This Row],[Tech Start Date]],6),IF(Main[[#This Row],[Class]]="A",WORKDAY(Main[[#This Row],[Tech Start Date]],2),""))))</f>
        <v/>
      </c>
      <c r="N306" s="75" t="str">
        <f>IF(Main[[#This Row],[Tech Start Date]]&lt;1/1/1990,"",IF(Main[[#This Row],[Class]]="C",WORKDAY(Main[[#This Row],[Tech Start Date]],19),IF(Main[[#This Row],[Class]]="B", WORKDAY(Main[[#This Row],[Tech Start Date]],12),IF(Main[[#This Row],[Class]]="A",WORKDAY(Main[[#This Row],[Tech Start Date]],4),""))))</f>
        <v/>
      </c>
      <c r="O306" s="75" t="str">
        <f>IF(Main[[#This Row],[Tech Start Date]]&lt;1/1/1990,"",IF(Main[[#This Row],[Class]]="C",WORKDAY(Main[[#This Row],[Tech Start Date]],23),IF(Main[[#This Row],[Class]]="B", WORKDAY(Main[[#This Row],[Tech Start Date]],15),IF(Main[[#This Row],[Class]]="A",WORKDAY(Main[[#This Row],[Tech Start Date]],5),""))))</f>
        <v/>
      </c>
      <c r="P306" s="75" t="str">
        <f>IF(Main[[#This Row],[Tech Start Date]]&lt;1/1/1990,"",IF(Main[[#This Row],[Class]]="C",WORKDAY(Main[[#This Row],[Tech Start Date]],28),IF(Main[[#This Row],[Class]]="B", WORKDAY(Main[[#This Row],[Tech Start Date]],19),IF(Main[[#This Row],[Class]]="A",WORKDAY(Main[[#This Row],[Tech Start Date]],9),""))))</f>
        <v/>
      </c>
      <c r="Q306" s="89"/>
      <c r="R306" s="121"/>
      <c r="S306" s="99" t="s">
        <v>6</v>
      </c>
      <c r="T306" s="76" t="s">
        <v>4</v>
      </c>
      <c r="U306" s="99" t="s">
        <v>14</v>
      </c>
      <c r="V306" s="99" t="s">
        <v>1913</v>
      </c>
      <c r="W306" s="99" t="s">
        <v>1915</v>
      </c>
      <c r="X306" s="99" t="s">
        <v>306</v>
      </c>
      <c r="Y306" s="73" t="s">
        <v>4</v>
      </c>
      <c r="Z306" s="73" t="s">
        <v>4</v>
      </c>
      <c r="AA306" s="99" t="s">
        <v>4</v>
      </c>
    </row>
    <row r="307" spans="1:27" ht="17.25" customHeight="1">
      <c r="A307" s="65" t="str">
        <f>IF(priority(Main[[#This Row],[Comments]])&lt;&gt;0, priority(Main[[#This Row],[Comments]]),"")</f>
        <v/>
      </c>
      <c r="B307" s="60" t="s">
        <v>1140</v>
      </c>
      <c r="C307" s="105" t="s">
        <v>93</v>
      </c>
      <c r="D307" s="59" t="s">
        <v>194</v>
      </c>
      <c r="E307" s="89"/>
      <c r="F307" s="89">
        <v>40203</v>
      </c>
      <c r="G307" s="65" t="str">
        <f>IF(stdProdLT(Main[[#This Row],[Comments]])=0.1,"N/A",IF(stdProdLT(Main[[#This Row],[Comments]])=0,"",TRIM(stdProdLT(Main[[#This Row],[Comments]]))))</f>
        <v/>
      </c>
      <c r="H307" s="98" t="str">
        <f>IF(Main[[#This Row],[Std. Prod. Lead Time]]="N/A", "",IF(AND(Main[[#This Row],[In Stock Date]]&lt;&gt;"",Main[[#This Row],[Revised Due Date]]&lt;&gt;"",Main[[#This Row],[In Stock Date]]&lt;&gt;""),Main[[#This Row],[In Stock Date]]-Main[[#This Row],[Revised Due Date]],""))</f>
        <v/>
      </c>
      <c r="I307" s="110" t="s">
        <v>4</v>
      </c>
      <c r="J307" s="99" t="s">
        <v>4</v>
      </c>
      <c r="K307" s="100" t="s">
        <v>4</v>
      </c>
      <c r="L307" s="89"/>
      <c r="M307" s="75" t="str">
        <f>IF(Main[[#This Row],[Tech Start Date]]&lt;1/1/1990,"",IF(Main[[#This Row],[Class]]="C",WORKDAY(Main[[#This Row],[Tech Start Date]],9),IF(Main[[#This Row],[Class]]="B", WORKDAY(Main[[#This Row],[Tech Start Date]],6),IF(Main[[#This Row],[Class]]="A",WORKDAY(Main[[#This Row],[Tech Start Date]],2),""))))</f>
        <v/>
      </c>
      <c r="N307" s="75" t="str">
        <f>IF(Main[[#This Row],[Tech Start Date]]&lt;1/1/1990,"",IF(Main[[#This Row],[Class]]="C",WORKDAY(Main[[#This Row],[Tech Start Date]],19),IF(Main[[#This Row],[Class]]="B", WORKDAY(Main[[#This Row],[Tech Start Date]],12),IF(Main[[#This Row],[Class]]="A",WORKDAY(Main[[#This Row],[Tech Start Date]],4),""))))</f>
        <v/>
      </c>
      <c r="O307" s="75" t="str">
        <f>IF(Main[[#This Row],[Tech Start Date]]&lt;1/1/1990,"",IF(Main[[#This Row],[Class]]="C",WORKDAY(Main[[#This Row],[Tech Start Date]],23),IF(Main[[#This Row],[Class]]="B", WORKDAY(Main[[#This Row],[Tech Start Date]],15),IF(Main[[#This Row],[Class]]="A",WORKDAY(Main[[#This Row],[Tech Start Date]],5),""))))</f>
        <v/>
      </c>
      <c r="P307" s="75" t="str">
        <f>IF(Main[[#This Row],[Tech Start Date]]&lt;1/1/1990,"",IF(Main[[#This Row],[Class]]="C",WORKDAY(Main[[#This Row],[Tech Start Date]],28),IF(Main[[#This Row],[Class]]="B", WORKDAY(Main[[#This Row],[Tech Start Date]],19),IF(Main[[#This Row],[Class]]="A",WORKDAY(Main[[#This Row],[Tech Start Date]],9),""))))</f>
        <v/>
      </c>
      <c r="Q307" s="89">
        <v>40046</v>
      </c>
      <c r="R307" s="121"/>
      <c r="S307" s="99" t="s">
        <v>11</v>
      </c>
      <c r="T307" s="76" t="s">
        <v>4</v>
      </c>
      <c r="U307" s="99" t="s">
        <v>14</v>
      </c>
      <c r="V307" s="99" t="s">
        <v>1913</v>
      </c>
      <c r="W307" s="99" t="s">
        <v>1919</v>
      </c>
      <c r="X307" s="99" t="s">
        <v>2847</v>
      </c>
      <c r="Y307" s="73" t="s">
        <v>2985</v>
      </c>
      <c r="Z307" s="73" t="s">
        <v>4</v>
      </c>
      <c r="AA307" s="99" t="s">
        <v>2847</v>
      </c>
    </row>
    <row r="308" spans="1:27" ht="17.25" customHeight="1">
      <c r="A308" s="65" t="str">
        <f>IF(priority(Main[[#This Row],[Comments]])&lt;&gt;0, priority(Main[[#This Row],[Comments]]),"")</f>
        <v/>
      </c>
      <c r="B308" s="60" t="s">
        <v>1141</v>
      </c>
      <c r="C308" s="105" t="s">
        <v>4</v>
      </c>
      <c r="D308" s="74" t="s">
        <v>195</v>
      </c>
      <c r="E308" s="89"/>
      <c r="F308" s="89"/>
      <c r="G308" s="65" t="str">
        <f>IF(stdProdLT(Main[[#This Row],[Comments]])=0.1,"N/A",IF(stdProdLT(Main[[#This Row],[Comments]])=0,"",TRIM(stdProdLT(Main[[#This Row],[Comments]]))))</f>
        <v/>
      </c>
      <c r="H308" s="98" t="str">
        <f>IF(Main[[#This Row],[Std. Prod. Lead Time]]="N/A", "",IF(AND(Main[[#This Row],[In Stock Date]]&lt;&gt;"",Main[[#This Row],[Revised Due Date]]&lt;&gt;"",Main[[#This Row],[In Stock Date]]&lt;&gt;""),Main[[#This Row],[In Stock Date]]-Main[[#This Row],[Revised Due Date]],""))</f>
        <v/>
      </c>
      <c r="I308" s="110" t="s">
        <v>4</v>
      </c>
      <c r="J308" s="99" t="s">
        <v>4</v>
      </c>
      <c r="K308" s="99" t="s">
        <v>4</v>
      </c>
      <c r="L308" s="89"/>
      <c r="M308" s="75" t="str">
        <f>IF(Main[[#This Row],[Tech Start Date]]&lt;1/1/1990,"",IF(Main[[#This Row],[Class]]="C",WORKDAY(Main[[#This Row],[Tech Start Date]],9),IF(Main[[#This Row],[Class]]="B", WORKDAY(Main[[#This Row],[Tech Start Date]],6),IF(Main[[#This Row],[Class]]="A",WORKDAY(Main[[#This Row],[Tech Start Date]],2),""))))</f>
        <v/>
      </c>
      <c r="N308" s="75" t="str">
        <f>IF(Main[[#This Row],[Tech Start Date]]&lt;1/1/1990,"",IF(Main[[#This Row],[Class]]="C",WORKDAY(Main[[#This Row],[Tech Start Date]],19),IF(Main[[#This Row],[Class]]="B", WORKDAY(Main[[#This Row],[Tech Start Date]],12),IF(Main[[#This Row],[Class]]="A",WORKDAY(Main[[#This Row],[Tech Start Date]],4),""))))</f>
        <v/>
      </c>
      <c r="O308" s="75" t="str">
        <f>IF(Main[[#This Row],[Tech Start Date]]&lt;1/1/1990,"",IF(Main[[#This Row],[Class]]="C",WORKDAY(Main[[#This Row],[Tech Start Date]],23),IF(Main[[#This Row],[Class]]="B", WORKDAY(Main[[#This Row],[Tech Start Date]],15),IF(Main[[#This Row],[Class]]="A",WORKDAY(Main[[#This Row],[Tech Start Date]],5),""))))</f>
        <v/>
      </c>
      <c r="P308" s="75" t="str">
        <f>IF(Main[[#This Row],[Tech Start Date]]&lt;1/1/1990,"",IF(Main[[#This Row],[Class]]="C",WORKDAY(Main[[#This Row],[Tech Start Date]],28),IF(Main[[#This Row],[Class]]="B", WORKDAY(Main[[#This Row],[Tech Start Date]],19),IF(Main[[#This Row],[Class]]="A",WORKDAY(Main[[#This Row],[Tech Start Date]],9),""))))</f>
        <v/>
      </c>
      <c r="Q308" s="89">
        <v>40543</v>
      </c>
      <c r="R308" s="121"/>
      <c r="S308" s="99" t="s">
        <v>11</v>
      </c>
      <c r="T308" s="76" t="s">
        <v>4</v>
      </c>
      <c r="U308" s="99" t="s">
        <v>14</v>
      </c>
      <c r="V308" s="99" t="s">
        <v>1913</v>
      </c>
      <c r="W308" s="99" t="s">
        <v>1924</v>
      </c>
      <c r="X308" s="99" t="s">
        <v>2855</v>
      </c>
      <c r="Y308" s="73" t="s">
        <v>2999</v>
      </c>
      <c r="Z308" s="73" t="s">
        <v>4</v>
      </c>
      <c r="AA308" s="99" t="s">
        <v>2855</v>
      </c>
    </row>
    <row r="309" spans="1:27" ht="17.25" customHeight="1">
      <c r="A309" s="65" t="str">
        <f>IF(priority(Main[[#This Row],[Comments]])&lt;&gt;0, priority(Main[[#This Row],[Comments]]),"")</f>
        <v/>
      </c>
      <c r="B309" s="60" t="s">
        <v>2564</v>
      </c>
      <c r="C309" s="105" t="s">
        <v>4</v>
      </c>
      <c r="D309" s="74" t="s">
        <v>2565</v>
      </c>
      <c r="E309" s="89">
        <v>40876.146770833337</v>
      </c>
      <c r="F309" s="89"/>
      <c r="G309" s="65" t="str">
        <f>IF(stdProdLT(Main[[#This Row],[Comments]])=0.1,"N/A",IF(stdProdLT(Main[[#This Row],[Comments]])=0,"",TRIM(stdProdLT(Main[[#This Row],[Comments]]))))</f>
        <v/>
      </c>
      <c r="H309" s="98" t="str">
        <f>IF(Main[[#This Row],[Std. Prod. Lead Time]]="N/A", "",IF(AND(Main[[#This Row],[In Stock Date]]&lt;&gt;"",Main[[#This Row],[Revised Due Date]]&lt;&gt;"",Main[[#This Row],[In Stock Date]]&lt;&gt;""),Main[[#This Row],[In Stock Date]]-Main[[#This Row],[Revised Due Date]],""))</f>
        <v/>
      </c>
      <c r="I309" s="110" t="s">
        <v>4</v>
      </c>
      <c r="J309" s="99" t="s">
        <v>4</v>
      </c>
      <c r="K309" s="99" t="s">
        <v>4</v>
      </c>
      <c r="L309" s="89"/>
      <c r="M309" s="75" t="str">
        <f>IF(Main[[#This Row],[Tech Start Date]]&lt;1/1/1990,"",IF(Main[[#This Row],[Class]]="C",WORKDAY(Main[[#This Row],[Tech Start Date]],9),IF(Main[[#This Row],[Class]]="B", WORKDAY(Main[[#This Row],[Tech Start Date]],6),IF(Main[[#This Row],[Class]]="A",WORKDAY(Main[[#This Row],[Tech Start Date]],2),""))))</f>
        <v/>
      </c>
      <c r="N309" s="75" t="str">
        <f>IF(Main[[#This Row],[Tech Start Date]]&lt;1/1/1990,"",IF(Main[[#This Row],[Class]]="C",WORKDAY(Main[[#This Row],[Tech Start Date]],19),IF(Main[[#This Row],[Class]]="B", WORKDAY(Main[[#This Row],[Tech Start Date]],12),IF(Main[[#This Row],[Class]]="A",WORKDAY(Main[[#This Row],[Tech Start Date]],4),""))))</f>
        <v/>
      </c>
      <c r="O309" s="75" t="str">
        <f>IF(Main[[#This Row],[Tech Start Date]]&lt;1/1/1990,"",IF(Main[[#This Row],[Class]]="C",WORKDAY(Main[[#This Row],[Tech Start Date]],23),IF(Main[[#This Row],[Class]]="B", WORKDAY(Main[[#This Row],[Tech Start Date]],15),IF(Main[[#This Row],[Class]]="A",WORKDAY(Main[[#This Row],[Tech Start Date]],5),""))))</f>
        <v/>
      </c>
      <c r="P309" s="75" t="str">
        <f>IF(Main[[#This Row],[Tech Start Date]]&lt;1/1/1990,"",IF(Main[[#This Row],[Class]]="C",WORKDAY(Main[[#This Row],[Tech Start Date]],28),IF(Main[[#This Row],[Class]]="B", WORKDAY(Main[[#This Row],[Tech Start Date]],19),IF(Main[[#This Row],[Class]]="A",WORKDAY(Main[[#This Row],[Tech Start Date]],9),""))))</f>
        <v/>
      </c>
      <c r="Q309" s="89">
        <v>40882</v>
      </c>
      <c r="R309" s="121"/>
      <c r="S309" s="99" t="s">
        <v>6</v>
      </c>
      <c r="T309" s="76" t="s">
        <v>4</v>
      </c>
      <c r="U309" s="99" t="s">
        <v>7</v>
      </c>
      <c r="V309" s="99" t="s">
        <v>1913</v>
      </c>
      <c r="W309" s="99" t="s">
        <v>4</v>
      </c>
      <c r="X309" s="99" t="s">
        <v>2816</v>
      </c>
      <c r="Y309" s="73" t="s">
        <v>2932</v>
      </c>
      <c r="Z309" s="73" t="s">
        <v>4</v>
      </c>
      <c r="AA309" s="99" t="s">
        <v>2816</v>
      </c>
    </row>
    <row r="310" spans="1:27" ht="17.25" customHeight="1">
      <c r="A310" s="65" t="str">
        <f>IF(priority(Main[[#This Row],[Comments]])&lt;&gt;0, priority(Main[[#This Row],[Comments]]),"")</f>
        <v/>
      </c>
      <c r="B310" s="60" t="s">
        <v>1142</v>
      </c>
      <c r="C310" s="105" t="s">
        <v>4</v>
      </c>
      <c r="D310" s="59" t="s">
        <v>196</v>
      </c>
      <c r="E310" s="89"/>
      <c r="F310" s="89"/>
      <c r="G310" s="65" t="str">
        <f>IF(stdProdLT(Main[[#This Row],[Comments]])=0.1,"N/A",IF(stdProdLT(Main[[#This Row],[Comments]])=0,"",TRIM(stdProdLT(Main[[#This Row],[Comments]]))))</f>
        <v/>
      </c>
      <c r="H310" s="98" t="str">
        <f>IF(Main[[#This Row],[Std. Prod. Lead Time]]="N/A", "",IF(AND(Main[[#This Row],[In Stock Date]]&lt;&gt;"",Main[[#This Row],[Revised Due Date]]&lt;&gt;"",Main[[#This Row],[In Stock Date]]&lt;&gt;""),Main[[#This Row],[In Stock Date]]-Main[[#This Row],[Revised Due Date]],""))</f>
        <v/>
      </c>
      <c r="I310" s="110" t="s">
        <v>4</v>
      </c>
      <c r="J310" s="99" t="s">
        <v>4</v>
      </c>
      <c r="K310" s="99" t="s">
        <v>4</v>
      </c>
      <c r="L310" s="89"/>
      <c r="M310" s="75" t="str">
        <f>IF(Main[[#This Row],[Tech Start Date]]&lt;1/1/1990,"",IF(Main[[#This Row],[Class]]="C",WORKDAY(Main[[#This Row],[Tech Start Date]],9),IF(Main[[#This Row],[Class]]="B", WORKDAY(Main[[#This Row],[Tech Start Date]],6),IF(Main[[#This Row],[Class]]="A",WORKDAY(Main[[#This Row],[Tech Start Date]],2),""))))</f>
        <v/>
      </c>
      <c r="N310" s="75" t="str">
        <f>IF(Main[[#This Row],[Tech Start Date]]&lt;1/1/1990,"",IF(Main[[#This Row],[Class]]="C",WORKDAY(Main[[#This Row],[Tech Start Date]],19),IF(Main[[#This Row],[Class]]="B", WORKDAY(Main[[#This Row],[Tech Start Date]],12),IF(Main[[#This Row],[Class]]="A",WORKDAY(Main[[#This Row],[Tech Start Date]],4),""))))</f>
        <v/>
      </c>
      <c r="O310" s="75" t="str">
        <f>IF(Main[[#This Row],[Tech Start Date]]&lt;1/1/1990,"",IF(Main[[#This Row],[Class]]="C",WORKDAY(Main[[#This Row],[Tech Start Date]],23),IF(Main[[#This Row],[Class]]="B", WORKDAY(Main[[#This Row],[Tech Start Date]],15),IF(Main[[#This Row],[Class]]="A",WORKDAY(Main[[#This Row],[Tech Start Date]],5),""))))</f>
        <v/>
      </c>
      <c r="P310" s="75" t="str">
        <f>IF(Main[[#This Row],[Tech Start Date]]&lt;1/1/1990,"",IF(Main[[#This Row],[Class]]="C",WORKDAY(Main[[#This Row],[Tech Start Date]],28),IF(Main[[#This Row],[Class]]="B", WORKDAY(Main[[#This Row],[Tech Start Date]],19),IF(Main[[#This Row],[Class]]="A",WORKDAY(Main[[#This Row],[Tech Start Date]],9),""))))</f>
        <v/>
      </c>
      <c r="Q310" s="89"/>
      <c r="R310" s="121"/>
      <c r="S310" s="99" t="s">
        <v>17</v>
      </c>
      <c r="T310" s="76" t="s">
        <v>4</v>
      </c>
      <c r="U310" s="99" t="s">
        <v>14</v>
      </c>
      <c r="V310" s="99" t="s">
        <v>1916</v>
      </c>
      <c r="W310" s="99" t="s">
        <v>1918</v>
      </c>
      <c r="X310" s="99" t="s">
        <v>553</v>
      </c>
      <c r="Y310" s="73" t="s">
        <v>2946</v>
      </c>
      <c r="Z310" s="73" t="s">
        <v>4</v>
      </c>
      <c r="AA310" s="99" t="s">
        <v>553</v>
      </c>
    </row>
    <row r="311" spans="1:27" ht="17.25" customHeight="1">
      <c r="A311" s="65" t="str">
        <f>IF(priority(Main[[#This Row],[Comments]])&lt;&gt;0, priority(Main[[#This Row],[Comments]]),"")</f>
        <v/>
      </c>
      <c r="B311" s="60" t="s">
        <v>1143</v>
      </c>
      <c r="C311" s="105" t="s">
        <v>197</v>
      </c>
      <c r="D311" s="59" t="s">
        <v>198</v>
      </c>
      <c r="E311" s="89"/>
      <c r="F311" s="89"/>
      <c r="G311" s="65" t="str">
        <f>IF(stdProdLT(Main[[#This Row],[Comments]])=0.1,"N/A",IF(stdProdLT(Main[[#This Row],[Comments]])=0,"",TRIM(stdProdLT(Main[[#This Row],[Comments]]))))</f>
        <v/>
      </c>
      <c r="H311" s="98" t="str">
        <f>IF(Main[[#This Row],[Std. Prod. Lead Time]]="N/A", "",IF(AND(Main[[#This Row],[In Stock Date]]&lt;&gt;"",Main[[#This Row],[Revised Due Date]]&lt;&gt;"",Main[[#This Row],[In Stock Date]]&lt;&gt;""),Main[[#This Row],[In Stock Date]]-Main[[#This Row],[Revised Due Date]],""))</f>
        <v/>
      </c>
      <c r="I311" s="110" t="s">
        <v>4</v>
      </c>
      <c r="J311" s="99" t="s">
        <v>4</v>
      </c>
      <c r="K311" s="100" t="s">
        <v>4</v>
      </c>
      <c r="L311" s="89"/>
      <c r="M311" s="75" t="str">
        <f>IF(Main[[#This Row],[Tech Start Date]]&lt;1/1/1990,"",IF(Main[[#This Row],[Class]]="C",WORKDAY(Main[[#This Row],[Tech Start Date]],9),IF(Main[[#This Row],[Class]]="B", WORKDAY(Main[[#This Row],[Tech Start Date]],6),IF(Main[[#This Row],[Class]]="A",WORKDAY(Main[[#This Row],[Tech Start Date]],2),""))))</f>
        <v/>
      </c>
      <c r="N311" s="75" t="str">
        <f>IF(Main[[#This Row],[Tech Start Date]]&lt;1/1/1990,"",IF(Main[[#This Row],[Class]]="C",WORKDAY(Main[[#This Row],[Tech Start Date]],19),IF(Main[[#This Row],[Class]]="B", WORKDAY(Main[[#This Row],[Tech Start Date]],12),IF(Main[[#This Row],[Class]]="A",WORKDAY(Main[[#This Row],[Tech Start Date]],4),""))))</f>
        <v/>
      </c>
      <c r="O311" s="75" t="str">
        <f>IF(Main[[#This Row],[Tech Start Date]]&lt;1/1/1990,"",IF(Main[[#This Row],[Class]]="C",WORKDAY(Main[[#This Row],[Tech Start Date]],23),IF(Main[[#This Row],[Class]]="B", WORKDAY(Main[[#This Row],[Tech Start Date]],15),IF(Main[[#This Row],[Class]]="A",WORKDAY(Main[[#This Row],[Tech Start Date]],5),""))))</f>
        <v/>
      </c>
      <c r="P311" s="75" t="str">
        <f>IF(Main[[#This Row],[Tech Start Date]]&lt;1/1/1990,"",IF(Main[[#This Row],[Class]]="C",WORKDAY(Main[[#This Row],[Tech Start Date]],28),IF(Main[[#This Row],[Class]]="B", WORKDAY(Main[[#This Row],[Tech Start Date]],19),IF(Main[[#This Row],[Class]]="A",WORKDAY(Main[[#This Row],[Tech Start Date]],9),""))))</f>
        <v/>
      </c>
      <c r="Q311" s="89">
        <v>40165</v>
      </c>
      <c r="R311" s="121"/>
      <c r="S311" s="99" t="s">
        <v>11</v>
      </c>
      <c r="T311" s="76" t="s">
        <v>4</v>
      </c>
      <c r="U311" s="99" t="s">
        <v>14</v>
      </c>
      <c r="V311" s="99" t="s">
        <v>1923</v>
      </c>
      <c r="W311" s="99" t="s">
        <v>1919</v>
      </c>
      <c r="X311" s="99" t="s">
        <v>883</v>
      </c>
      <c r="Y311" s="73" t="s">
        <v>2957</v>
      </c>
      <c r="Z311" s="73" t="s">
        <v>4</v>
      </c>
      <c r="AA311" s="99" t="s">
        <v>883</v>
      </c>
    </row>
    <row r="312" spans="1:27" ht="17.25" customHeight="1">
      <c r="A312" s="65" t="str">
        <f>IF(priority(Main[[#This Row],[Comments]])&lt;&gt;0, priority(Main[[#This Row],[Comments]]),"")</f>
        <v/>
      </c>
      <c r="B312" s="60" t="s">
        <v>1717</v>
      </c>
      <c r="C312" s="105" t="s">
        <v>4</v>
      </c>
      <c r="D312" s="59" t="s">
        <v>772</v>
      </c>
      <c r="E312" s="89"/>
      <c r="F312" s="89"/>
      <c r="G312" s="65" t="str">
        <f>IF(stdProdLT(Main[[#This Row],[Comments]])=0.1,"N/A",IF(stdProdLT(Main[[#This Row],[Comments]])=0,"",TRIM(stdProdLT(Main[[#This Row],[Comments]]))))</f>
        <v/>
      </c>
      <c r="H312" s="98" t="str">
        <f>IF(Main[[#This Row],[Std. Prod. Lead Time]]="N/A", "",IF(AND(Main[[#This Row],[In Stock Date]]&lt;&gt;"",Main[[#This Row],[Revised Due Date]]&lt;&gt;"",Main[[#This Row],[In Stock Date]]&lt;&gt;""),Main[[#This Row],[In Stock Date]]-Main[[#This Row],[Revised Due Date]],""))</f>
        <v/>
      </c>
      <c r="I312" s="110" t="s">
        <v>4</v>
      </c>
      <c r="J312" s="99" t="s">
        <v>28</v>
      </c>
      <c r="K312" s="99" t="s">
        <v>1925</v>
      </c>
      <c r="L312" s="89"/>
      <c r="M312" s="75" t="str">
        <f>IF(Main[[#This Row],[Tech Start Date]]&lt;1/1/1990,"",IF(Main[[#This Row],[Class]]="C",WORKDAY(Main[[#This Row],[Tech Start Date]],9),IF(Main[[#This Row],[Class]]="B", WORKDAY(Main[[#This Row],[Tech Start Date]],6),IF(Main[[#This Row],[Class]]="A",WORKDAY(Main[[#This Row],[Tech Start Date]],2),""))))</f>
        <v/>
      </c>
      <c r="N312" s="75" t="str">
        <f>IF(Main[[#This Row],[Tech Start Date]]&lt;1/1/1990,"",IF(Main[[#This Row],[Class]]="C",WORKDAY(Main[[#This Row],[Tech Start Date]],19),IF(Main[[#This Row],[Class]]="B", WORKDAY(Main[[#This Row],[Tech Start Date]],12),IF(Main[[#This Row],[Class]]="A",WORKDAY(Main[[#This Row],[Tech Start Date]],4),""))))</f>
        <v/>
      </c>
      <c r="O312" s="75" t="str">
        <f>IF(Main[[#This Row],[Tech Start Date]]&lt;1/1/1990,"",IF(Main[[#This Row],[Class]]="C",WORKDAY(Main[[#This Row],[Tech Start Date]],23),IF(Main[[#This Row],[Class]]="B", WORKDAY(Main[[#This Row],[Tech Start Date]],15),IF(Main[[#This Row],[Class]]="A",WORKDAY(Main[[#This Row],[Tech Start Date]],5),""))))</f>
        <v/>
      </c>
      <c r="P312" s="75" t="str">
        <f>IF(Main[[#This Row],[Tech Start Date]]&lt;1/1/1990,"",IF(Main[[#This Row],[Class]]="C",WORKDAY(Main[[#This Row],[Tech Start Date]],28),IF(Main[[#This Row],[Class]]="B", WORKDAY(Main[[#This Row],[Tech Start Date]],19),IF(Main[[#This Row],[Class]]="A",WORKDAY(Main[[#This Row],[Tech Start Date]],9),""))))</f>
        <v/>
      </c>
      <c r="Q312" s="89">
        <v>40633</v>
      </c>
      <c r="R312" s="121"/>
      <c r="S312" s="99" t="s">
        <v>17</v>
      </c>
      <c r="T312" s="76" t="s">
        <v>4</v>
      </c>
      <c r="U312" s="99" t="s">
        <v>14</v>
      </c>
      <c r="V312" s="99" t="s">
        <v>1913</v>
      </c>
      <c r="W312" s="99" t="s">
        <v>1918</v>
      </c>
      <c r="X312" s="99" t="s">
        <v>129</v>
      </c>
      <c r="Y312" s="73" t="s">
        <v>2927</v>
      </c>
      <c r="Z312" s="73" t="s">
        <v>129</v>
      </c>
      <c r="AA312" s="99" t="s">
        <v>129</v>
      </c>
    </row>
    <row r="313" spans="1:27" ht="17.25" customHeight="1">
      <c r="A313" s="65" t="str">
        <f>IF(priority(Main[[#This Row],[Comments]])&lt;&gt;0, priority(Main[[#This Row],[Comments]]),"")</f>
        <v/>
      </c>
      <c r="B313" s="60" t="s">
        <v>1145</v>
      </c>
      <c r="C313" s="105" t="s">
        <v>93</v>
      </c>
      <c r="D313" s="74" t="s">
        <v>200</v>
      </c>
      <c r="E313" s="89"/>
      <c r="F313" s="89"/>
      <c r="G313" s="65" t="str">
        <f>IF(stdProdLT(Main[[#This Row],[Comments]])=0.1,"N/A",IF(stdProdLT(Main[[#This Row],[Comments]])=0,"",TRIM(stdProdLT(Main[[#This Row],[Comments]]))))</f>
        <v/>
      </c>
      <c r="H313" s="98" t="str">
        <f>IF(Main[[#This Row],[Std. Prod. Lead Time]]="N/A", "",IF(AND(Main[[#This Row],[In Stock Date]]&lt;&gt;"",Main[[#This Row],[Revised Due Date]]&lt;&gt;"",Main[[#This Row],[In Stock Date]]&lt;&gt;""),Main[[#This Row],[In Stock Date]]-Main[[#This Row],[Revised Due Date]],""))</f>
        <v/>
      </c>
      <c r="I313" s="110" t="s">
        <v>4</v>
      </c>
      <c r="J313" s="99" t="s">
        <v>4</v>
      </c>
      <c r="K313" s="99" t="s">
        <v>4</v>
      </c>
      <c r="L313" s="89"/>
      <c r="M313" s="75" t="str">
        <f>IF(Main[[#This Row],[Tech Start Date]]&lt;1/1/1990,"",IF(Main[[#This Row],[Class]]="C",WORKDAY(Main[[#This Row],[Tech Start Date]],9),IF(Main[[#This Row],[Class]]="B", WORKDAY(Main[[#This Row],[Tech Start Date]],6),IF(Main[[#This Row],[Class]]="A",WORKDAY(Main[[#This Row],[Tech Start Date]],2),""))))</f>
        <v/>
      </c>
      <c r="N313" s="75" t="str">
        <f>IF(Main[[#This Row],[Tech Start Date]]&lt;1/1/1990,"",IF(Main[[#This Row],[Class]]="C",WORKDAY(Main[[#This Row],[Tech Start Date]],19),IF(Main[[#This Row],[Class]]="B", WORKDAY(Main[[#This Row],[Tech Start Date]],12),IF(Main[[#This Row],[Class]]="A",WORKDAY(Main[[#This Row],[Tech Start Date]],4),""))))</f>
        <v/>
      </c>
      <c r="O313" s="75" t="str">
        <f>IF(Main[[#This Row],[Tech Start Date]]&lt;1/1/1990,"",IF(Main[[#This Row],[Class]]="C",WORKDAY(Main[[#This Row],[Tech Start Date]],23),IF(Main[[#This Row],[Class]]="B", WORKDAY(Main[[#This Row],[Tech Start Date]],15),IF(Main[[#This Row],[Class]]="A",WORKDAY(Main[[#This Row],[Tech Start Date]],5),""))))</f>
        <v/>
      </c>
      <c r="P313" s="75" t="str">
        <f>IF(Main[[#This Row],[Tech Start Date]]&lt;1/1/1990,"",IF(Main[[#This Row],[Class]]="C",WORKDAY(Main[[#This Row],[Tech Start Date]],28),IF(Main[[#This Row],[Class]]="B", WORKDAY(Main[[#This Row],[Tech Start Date]],19),IF(Main[[#This Row],[Class]]="A",WORKDAY(Main[[#This Row],[Tech Start Date]],9),""))))</f>
        <v/>
      </c>
      <c r="Q313" s="89"/>
      <c r="R313" s="121"/>
      <c r="S313" s="99" t="s">
        <v>11</v>
      </c>
      <c r="T313" s="76" t="s">
        <v>4</v>
      </c>
      <c r="U313" s="99" t="s">
        <v>14</v>
      </c>
      <c r="V313" s="99" t="s">
        <v>1923</v>
      </c>
      <c r="W313" s="99" t="s">
        <v>1919</v>
      </c>
      <c r="X313" s="99" t="s">
        <v>306</v>
      </c>
      <c r="Y313" s="73" t="s">
        <v>2935</v>
      </c>
      <c r="Z313" s="73" t="s">
        <v>4</v>
      </c>
      <c r="AA313" s="99" t="s">
        <v>3369</v>
      </c>
    </row>
    <row r="314" spans="1:27" ht="17.25" customHeight="1">
      <c r="A314" s="65" t="str">
        <f>IF(priority(Main[[#This Row],[Comments]])&lt;&gt;0, priority(Main[[#This Row],[Comments]]),"")</f>
        <v/>
      </c>
      <c r="B314" s="60" t="s">
        <v>1146</v>
      </c>
      <c r="C314" s="105" t="s">
        <v>42</v>
      </c>
      <c r="D314" s="74" t="s">
        <v>201</v>
      </c>
      <c r="E314" s="89">
        <v>39952.329340277778</v>
      </c>
      <c r="F314" s="89"/>
      <c r="G314" s="65" t="str">
        <f>IF(stdProdLT(Main[[#This Row],[Comments]])=0.1,"N/A",IF(stdProdLT(Main[[#This Row],[Comments]])=0,"",TRIM(stdProdLT(Main[[#This Row],[Comments]]))))</f>
        <v/>
      </c>
      <c r="H314" s="98" t="str">
        <f>IF(Main[[#This Row],[Std. Prod. Lead Time]]="N/A", "",IF(AND(Main[[#This Row],[In Stock Date]]&lt;&gt;"",Main[[#This Row],[Revised Due Date]]&lt;&gt;"",Main[[#This Row],[In Stock Date]]&lt;&gt;""),Main[[#This Row],[In Stock Date]]-Main[[#This Row],[Revised Due Date]],""))</f>
        <v/>
      </c>
      <c r="I314" s="110" t="s">
        <v>4</v>
      </c>
      <c r="J314" s="99" t="s">
        <v>4</v>
      </c>
      <c r="K314" s="99" t="s">
        <v>4</v>
      </c>
      <c r="L314" s="89"/>
      <c r="M314" s="75" t="str">
        <f>IF(Main[[#This Row],[Tech Start Date]]&lt;1/1/1990,"",IF(Main[[#This Row],[Class]]="C",WORKDAY(Main[[#This Row],[Tech Start Date]],9),IF(Main[[#This Row],[Class]]="B", WORKDAY(Main[[#This Row],[Tech Start Date]],6),IF(Main[[#This Row],[Class]]="A",WORKDAY(Main[[#This Row],[Tech Start Date]],2),""))))</f>
        <v/>
      </c>
      <c r="N314" s="75" t="str">
        <f>IF(Main[[#This Row],[Tech Start Date]]&lt;1/1/1990,"",IF(Main[[#This Row],[Class]]="C",WORKDAY(Main[[#This Row],[Tech Start Date]],19),IF(Main[[#This Row],[Class]]="B", WORKDAY(Main[[#This Row],[Tech Start Date]],12),IF(Main[[#This Row],[Class]]="A",WORKDAY(Main[[#This Row],[Tech Start Date]],4),""))))</f>
        <v/>
      </c>
      <c r="O314" s="75" t="str">
        <f>IF(Main[[#This Row],[Tech Start Date]]&lt;1/1/1990,"",IF(Main[[#This Row],[Class]]="C",WORKDAY(Main[[#This Row],[Tech Start Date]],23),IF(Main[[#This Row],[Class]]="B", WORKDAY(Main[[#This Row],[Tech Start Date]],15),IF(Main[[#This Row],[Class]]="A",WORKDAY(Main[[#This Row],[Tech Start Date]],5),""))))</f>
        <v/>
      </c>
      <c r="P314" s="75" t="str">
        <f>IF(Main[[#This Row],[Tech Start Date]]&lt;1/1/1990,"",IF(Main[[#This Row],[Class]]="C",WORKDAY(Main[[#This Row],[Tech Start Date]],28),IF(Main[[#This Row],[Class]]="B", WORKDAY(Main[[#This Row],[Tech Start Date]],19),IF(Main[[#This Row],[Class]]="A",WORKDAY(Main[[#This Row],[Tech Start Date]],9),""))))</f>
        <v/>
      </c>
      <c r="Q314" s="89"/>
      <c r="R314" s="121"/>
      <c r="S314" s="99" t="s">
        <v>17</v>
      </c>
      <c r="T314" s="76" t="s">
        <v>4</v>
      </c>
      <c r="U314" s="99" t="s">
        <v>7</v>
      </c>
      <c r="V314" s="99" t="s">
        <v>1916</v>
      </c>
      <c r="W314" s="99" t="s">
        <v>4</v>
      </c>
      <c r="X314" s="99" t="s">
        <v>399</v>
      </c>
      <c r="Y314" s="73" t="s">
        <v>4</v>
      </c>
      <c r="Z314" s="73" t="s">
        <v>4</v>
      </c>
      <c r="AA314" s="99" t="s">
        <v>3391</v>
      </c>
    </row>
    <row r="315" spans="1:27" ht="17.25" customHeight="1">
      <c r="A315" s="65" t="str">
        <f>IF(priority(Main[[#This Row],[Comments]])&lt;&gt;0, priority(Main[[#This Row],[Comments]]),"")</f>
        <v/>
      </c>
      <c r="B315" s="60" t="s">
        <v>1147</v>
      </c>
      <c r="C315" s="105" t="s">
        <v>58</v>
      </c>
      <c r="D315" s="59" t="s">
        <v>202</v>
      </c>
      <c r="E315" s="89"/>
      <c r="F315" s="89">
        <v>40697</v>
      </c>
      <c r="G315" s="65" t="str">
        <f>IF(stdProdLT(Main[[#This Row],[Comments]])=0.1,"N/A",IF(stdProdLT(Main[[#This Row],[Comments]])=0,"",TRIM(stdProdLT(Main[[#This Row],[Comments]]))))</f>
        <v/>
      </c>
      <c r="H315" s="98" t="str">
        <f>IF(Main[[#This Row],[Std. Prod. Lead Time]]="N/A", "",IF(AND(Main[[#This Row],[In Stock Date]]&lt;&gt;"",Main[[#This Row],[Revised Due Date]]&lt;&gt;"",Main[[#This Row],[In Stock Date]]&lt;&gt;""),Main[[#This Row],[In Stock Date]]-Main[[#This Row],[Revised Due Date]],""))</f>
        <v/>
      </c>
      <c r="I315" s="110" t="s">
        <v>4</v>
      </c>
      <c r="J315" s="99" t="s">
        <v>4</v>
      </c>
      <c r="K315" s="99" t="s">
        <v>4</v>
      </c>
      <c r="L315" s="89"/>
      <c r="M315" s="75" t="str">
        <f>IF(Main[[#This Row],[Tech Start Date]]&lt;1/1/1990,"",IF(Main[[#This Row],[Class]]="C",WORKDAY(Main[[#This Row],[Tech Start Date]],9),IF(Main[[#This Row],[Class]]="B", WORKDAY(Main[[#This Row],[Tech Start Date]],6),IF(Main[[#This Row],[Class]]="A",WORKDAY(Main[[#This Row],[Tech Start Date]],2),""))))</f>
        <v/>
      </c>
      <c r="N315" s="75" t="str">
        <f>IF(Main[[#This Row],[Tech Start Date]]&lt;1/1/1990,"",IF(Main[[#This Row],[Class]]="C",WORKDAY(Main[[#This Row],[Tech Start Date]],19),IF(Main[[#This Row],[Class]]="B", WORKDAY(Main[[#This Row],[Tech Start Date]],12),IF(Main[[#This Row],[Class]]="A",WORKDAY(Main[[#This Row],[Tech Start Date]],4),""))))</f>
        <v/>
      </c>
      <c r="O315" s="75" t="str">
        <f>IF(Main[[#This Row],[Tech Start Date]]&lt;1/1/1990,"",IF(Main[[#This Row],[Class]]="C",WORKDAY(Main[[#This Row],[Tech Start Date]],23),IF(Main[[#This Row],[Class]]="B", WORKDAY(Main[[#This Row],[Tech Start Date]],15),IF(Main[[#This Row],[Class]]="A",WORKDAY(Main[[#This Row],[Tech Start Date]],5),""))))</f>
        <v/>
      </c>
      <c r="P315" s="75" t="str">
        <f>IF(Main[[#This Row],[Tech Start Date]]&lt;1/1/1990,"",IF(Main[[#This Row],[Class]]="C",WORKDAY(Main[[#This Row],[Tech Start Date]],28),IF(Main[[#This Row],[Class]]="B", WORKDAY(Main[[#This Row],[Tech Start Date]],19),IF(Main[[#This Row],[Class]]="A",WORKDAY(Main[[#This Row],[Tech Start Date]],9),""))))</f>
        <v/>
      </c>
      <c r="Q315" s="89">
        <v>40539</v>
      </c>
      <c r="R315" s="121"/>
      <c r="S315" s="99" t="s">
        <v>11</v>
      </c>
      <c r="T315" s="76" t="s">
        <v>4</v>
      </c>
      <c r="U315" s="99" t="s">
        <v>14</v>
      </c>
      <c r="V315" s="99" t="s">
        <v>1913</v>
      </c>
      <c r="W315" s="99" t="s">
        <v>1919</v>
      </c>
      <c r="X315" s="99" t="s">
        <v>2823</v>
      </c>
      <c r="Y315" s="73" t="s">
        <v>2945</v>
      </c>
      <c r="Z315" s="73" t="s">
        <v>4</v>
      </c>
      <c r="AA315" s="99" t="s">
        <v>2823</v>
      </c>
    </row>
    <row r="316" spans="1:27" ht="17.25" customHeight="1">
      <c r="A316" s="65" t="str">
        <f>IF(priority(Main[[#This Row],[Comments]])&lt;&gt;0, priority(Main[[#This Row],[Comments]]),"")</f>
        <v/>
      </c>
      <c r="B316" s="60" t="s">
        <v>1148</v>
      </c>
      <c r="C316" s="105" t="s">
        <v>203</v>
      </c>
      <c r="D316" s="74" t="s">
        <v>204</v>
      </c>
      <c r="E316" s="89"/>
      <c r="F316" s="89"/>
      <c r="G316" s="65" t="str">
        <f>IF(stdProdLT(Main[[#This Row],[Comments]])=0.1,"N/A",IF(stdProdLT(Main[[#This Row],[Comments]])=0,"",TRIM(stdProdLT(Main[[#This Row],[Comments]]))))</f>
        <v/>
      </c>
      <c r="H316" s="98" t="str">
        <f>IF(Main[[#This Row],[Std. Prod. Lead Time]]="N/A", "",IF(AND(Main[[#This Row],[In Stock Date]]&lt;&gt;"",Main[[#This Row],[Revised Due Date]]&lt;&gt;"",Main[[#This Row],[In Stock Date]]&lt;&gt;""),Main[[#This Row],[In Stock Date]]-Main[[#This Row],[Revised Due Date]],""))</f>
        <v/>
      </c>
      <c r="I316" s="110" t="s">
        <v>4</v>
      </c>
      <c r="J316" s="99" t="s">
        <v>4</v>
      </c>
      <c r="K316" s="99" t="s">
        <v>4</v>
      </c>
      <c r="L316" s="89"/>
      <c r="M316" s="75" t="str">
        <f>IF(Main[[#This Row],[Tech Start Date]]&lt;1/1/1990,"",IF(Main[[#This Row],[Class]]="C",WORKDAY(Main[[#This Row],[Tech Start Date]],9),IF(Main[[#This Row],[Class]]="B", WORKDAY(Main[[#This Row],[Tech Start Date]],6),IF(Main[[#This Row],[Class]]="A",WORKDAY(Main[[#This Row],[Tech Start Date]],2),""))))</f>
        <v/>
      </c>
      <c r="N316" s="75" t="str">
        <f>IF(Main[[#This Row],[Tech Start Date]]&lt;1/1/1990,"",IF(Main[[#This Row],[Class]]="C",WORKDAY(Main[[#This Row],[Tech Start Date]],19),IF(Main[[#This Row],[Class]]="B", WORKDAY(Main[[#This Row],[Tech Start Date]],12),IF(Main[[#This Row],[Class]]="A",WORKDAY(Main[[#This Row],[Tech Start Date]],4),""))))</f>
        <v/>
      </c>
      <c r="O316" s="75" t="str">
        <f>IF(Main[[#This Row],[Tech Start Date]]&lt;1/1/1990,"",IF(Main[[#This Row],[Class]]="C",WORKDAY(Main[[#This Row],[Tech Start Date]],23),IF(Main[[#This Row],[Class]]="B", WORKDAY(Main[[#This Row],[Tech Start Date]],15),IF(Main[[#This Row],[Class]]="A",WORKDAY(Main[[#This Row],[Tech Start Date]],5),""))))</f>
        <v/>
      </c>
      <c r="P316" s="75" t="str">
        <f>IF(Main[[#This Row],[Tech Start Date]]&lt;1/1/1990,"",IF(Main[[#This Row],[Class]]="C",WORKDAY(Main[[#This Row],[Tech Start Date]],28),IF(Main[[#This Row],[Class]]="B", WORKDAY(Main[[#This Row],[Tech Start Date]],19),IF(Main[[#This Row],[Class]]="A",WORKDAY(Main[[#This Row],[Tech Start Date]],9),""))))</f>
        <v/>
      </c>
      <c r="Q316" s="89">
        <v>40302</v>
      </c>
      <c r="R316" s="121"/>
      <c r="S316" s="99" t="s">
        <v>11</v>
      </c>
      <c r="T316" s="76" t="s">
        <v>4</v>
      </c>
      <c r="U316" s="99" t="s">
        <v>14</v>
      </c>
      <c r="V316" s="99" t="s">
        <v>1913</v>
      </c>
      <c r="W316" s="99" t="s">
        <v>1915</v>
      </c>
      <c r="X316" s="99" t="s">
        <v>2848</v>
      </c>
      <c r="Y316" s="73" t="s">
        <v>4</v>
      </c>
      <c r="Z316" s="73" t="s">
        <v>4</v>
      </c>
      <c r="AA316" s="99" t="s">
        <v>2848</v>
      </c>
    </row>
    <row r="317" spans="1:27" ht="17.25" customHeight="1">
      <c r="A317" s="65" t="str">
        <f>IF(priority(Main[[#This Row],[Comments]])&lt;&gt;0, priority(Main[[#This Row],[Comments]]),"")</f>
        <v/>
      </c>
      <c r="B317" s="60" t="s">
        <v>2416</v>
      </c>
      <c r="C317" s="105" t="s">
        <v>4</v>
      </c>
      <c r="D317" s="59" t="s">
        <v>2655</v>
      </c>
      <c r="E317" s="89">
        <v>40842.390289351853</v>
      </c>
      <c r="F317" s="89"/>
      <c r="G317" s="65" t="str">
        <f>IF(stdProdLT(Main[[#This Row],[Comments]])=0.1,"N/A",IF(stdProdLT(Main[[#This Row],[Comments]])=0,"",TRIM(stdProdLT(Main[[#This Row],[Comments]]))))</f>
        <v/>
      </c>
      <c r="H317" s="98" t="str">
        <f>IF(Main[[#This Row],[Std. Prod. Lead Time]]="N/A", "",IF(AND(Main[[#This Row],[In Stock Date]]&lt;&gt;"",Main[[#This Row],[Revised Due Date]]&lt;&gt;"",Main[[#This Row],[In Stock Date]]&lt;&gt;""),Main[[#This Row],[In Stock Date]]-Main[[#This Row],[Revised Due Date]],""))</f>
        <v/>
      </c>
      <c r="I317" s="110" t="s">
        <v>4</v>
      </c>
      <c r="J317" s="99" t="s">
        <v>4</v>
      </c>
      <c r="K317" s="99" t="s">
        <v>4</v>
      </c>
      <c r="L317" s="89"/>
      <c r="M317" s="75" t="str">
        <f>IF(Main[[#This Row],[Tech Start Date]]&lt;1/1/1990,"",IF(Main[[#This Row],[Class]]="C",WORKDAY(Main[[#This Row],[Tech Start Date]],9),IF(Main[[#This Row],[Class]]="B", WORKDAY(Main[[#This Row],[Tech Start Date]],6),IF(Main[[#This Row],[Class]]="A",WORKDAY(Main[[#This Row],[Tech Start Date]],2),""))))</f>
        <v/>
      </c>
      <c r="N317" s="75" t="str">
        <f>IF(Main[[#This Row],[Tech Start Date]]&lt;1/1/1990,"",IF(Main[[#This Row],[Class]]="C",WORKDAY(Main[[#This Row],[Tech Start Date]],19),IF(Main[[#This Row],[Class]]="B", WORKDAY(Main[[#This Row],[Tech Start Date]],12),IF(Main[[#This Row],[Class]]="A",WORKDAY(Main[[#This Row],[Tech Start Date]],4),""))))</f>
        <v/>
      </c>
      <c r="O317" s="75" t="str">
        <f>IF(Main[[#This Row],[Tech Start Date]]&lt;1/1/1990,"",IF(Main[[#This Row],[Class]]="C",WORKDAY(Main[[#This Row],[Tech Start Date]],23),IF(Main[[#This Row],[Class]]="B", WORKDAY(Main[[#This Row],[Tech Start Date]],15),IF(Main[[#This Row],[Class]]="A",WORKDAY(Main[[#This Row],[Tech Start Date]],5),""))))</f>
        <v/>
      </c>
      <c r="P317" s="75" t="str">
        <f>IF(Main[[#This Row],[Tech Start Date]]&lt;1/1/1990,"",IF(Main[[#This Row],[Class]]="C",WORKDAY(Main[[#This Row],[Tech Start Date]],28),IF(Main[[#This Row],[Class]]="B", WORKDAY(Main[[#This Row],[Tech Start Date]],19),IF(Main[[#This Row],[Class]]="A",WORKDAY(Main[[#This Row],[Tech Start Date]],9),""))))</f>
        <v/>
      </c>
      <c r="Q317" s="89"/>
      <c r="R317" s="121"/>
      <c r="S317" s="99" t="s">
        <v>17</v>
      </c>
      <c r="T317" s="76" t="s">
        <v>4</v>
      </c>
      <c r="U317" s="99" t="s">
        <v>29</v>
      </c>
      <c r="V317" s="99" t="s">
        <v>1914</v>
      </c>
      <c r="W317" s="99" t="s">
        <v>1921</v>
      </c>
      <c r="X317" s="99" t="s">
        <v>2856</v>
      </c>
      <c r="Y317" s="73" t="s">
        <v>3000</v>
      </c>
      <c r="Z317" s="73" t="s">
        <v>4</v>
      </c>
      <c r="AA317" s="99" t="s">
        <v>2856</v>
      </c>
    </row>
    <row r="318" spans="1:27" ht="17.25" customHeight="1">
      <c r="A318" s="65" t="str">
        <f>IF(priority(Main[[#This Row],[Comments]])&lt;&gt;0, priority(Main[[#This Row],[Comments]]),"")</f>
        <v/>
      </c>
      <c r="B318" s="60" t="s">
        <v>1149</v>
      </c>
      <c r="C318" s="105" t="s">
        <v>205</v>
      </c>
      <c r="D318" s="74" t="s">
        <v>206</v>
      </c>
      <c r="E318" s="89"/>
      <c r="F318" s="89"/>
      <c r="G318" s="65" t="str">
        <f>IF(stdProdLT(Main[[#This Row],[Comments]])=0.1,"N/A",IF(stdProdLT(Main[[#This Row],[Comments]])=0,"",TRIM(stdProdLT(Main[[#This Row],[Comments]]))))</f>
        <v/>
      </c>
      <c r="H318" s="98" t="str">
        <f>IF(Main[[#This Row],[Std. Prod. Lead Time]]="N/A", "",IF(AND(Main[[#This Row],[In Stock Date]]&lt;&gt;"",Main[[#This Row],[Revised Due Date]]&lt;&gt;"",Main[[#This Row],[In Stock Date]]&lt;&gt;""),Main[[#This Row],[In Stock Date]]-Main[[#This Row],[Revised Due Date]],""))</f>
        <v/>
      </c>
      <c r="I318" s="110" t="s">
        <v>4</v>
      </c>
      <c r="J318" s="99" t="s">
        <v>4</v>
      </c>
      <c r="K318" s="100" t="s">
        <v>4</v>
      </c>
      <c r="L318" s="89"/>
      <c r="M318" s="75" t="str">
        <f>IF(Main[[#This Row],[Tech Start Date]]&lt;1/1/1990,"",IF(Main[[#This Row],[Class]]="C",WORKDAY(Main[[#This Row],[Tech Start Date]],9),IF(Main[[#This Row],[Class]]="B", WORKDAY(Main[[#This Row],[Tech Start Date]],6),IF(Main[[#This Row],[Class]]="A",WORKDAY(Main[[#This Row],[Tech Start Date]],2),""))))</f>
        <v/>
      </c>
      <c r="N318" s="75" t="str">
        <f>IF(Main[[#This Row],[Tech Start Date]]&lt;1/1/1990,"",IF(Main[[#This Row],[Class]]="C",WORKDAY(Main[[#This Row],[Tech Start Date]],19),IF(Main[[#This Row],[Class]]="B", WORKDAY(Main[[#This Row],[Tech Start Date]],12),IF(Main[[#This Row],[Class]]="A",WORKDAY(Main[[#This Row],[Tech Start Date]],4),""))))</f>
        <v/>
      </c>
      <c r="O318" s="75" t="str">
        <f>IF(Main[[#This Row],[Tech Start Date]]&lt;1/1/1990,"",IF(Main[[#This Row],[Class]]="C",WORKDAY(Main[[#This Row],[Tech Start Date]],23),IF(Main[[#This Row],[Class]]="B", WORKDAY(Main[[#This Row],[Tech Start Date]],15),IF(Main[[#This Row],[Class]]="A",WORKDAY(Main[[#This Row],[Tech Start Date]],5),""))))</f>
        <v/>
      </c>
      <c r="P318" s="75" t="str">
        <f>IF(Main[[#This Row],[Tech Start Date]]&lt;1/1/1990,"",IF(Main[[#This Row],[Class]]="C",WORKDAY(Main[[#This Row],[Tech Start Date]],28),IF(Main[[#This Row],[Class]]="B", WORKDAY(Main[[#This Row],[Tech Start Date]],19),IF(Main[[#This Row],[Class]]="A",WORKDAY(Main[[#This Row],[Tech Start Date]],9),""))))</f>
        <v/>
      </c>
      <c r="Q318" s="89">
        <v>40116</v>
      </c>
      <c r="R318" s="121"/>
      <c r="S318" s="99" t="s">
        <v>11</v>
      </c>
      <c r="T318" s="76" t="s">
        <v>4</v>
      </c>
      <c r="U318" s="99" t="s">
        <v>14</v>
      </c>
      <c r="V318" s="99" t="s">
        <v>1916</v>
      </c>
      <c r="W318" s="99" t="s">
        <v>1915</v>
      </c>
      <c r="X318" s="99" t="s">
        <v>2857</v>
      </c>
      <c r="Y318" s="73" t="s">
        <v>4</v>
      </c>
      <c r="Z318" s="73" t="s">
        <v>4</v>
      </c>
      <c r="AA318" s="99" t="s">
        <v>2857</v>
      </c>
    </row>
    <row r="319" spans="1:27" ht="17.25" customHeight="1">
      <c r="A319" s="65" t="str">
        <f>IF(priority(Main[[#This Row],[Comments]])&lt;&gt;0, priority(Main[[#This Row],[Comments]]),"")</f>
        <v/>
      </c>
      <c r="B319" s="60" t="s">
        <v>1150</v>
      </c>
      <c r="C319" s="105" t="s">
        <v>205</v>
      </c>
      <c r="D319" s="74" t="s">
        <v>207</v>
      </c>
      <c r="E319" s="89"/>
      <c r="F319" s="89"/>
      <c r="G319" s="65" t="str">
        <f>IF(stdProdLT(Main[[#This Row],[Comments]])=0.1,"N/A",IF(stdProdLT(Main[[#This Row],[Comments]])=0,"",TRIM(stdProdLT(Main[[#This Row],[Comments]]))))</f>
        <v/>
      </c>
      <c r="H319" s="98" t="str">
        <f>IF(Main[[#This Row],[Std. Prod. Lead Time]]="N/A", "",IF(AND(Main[[#This Row],[In Stock Date]]&lt;&gt;"",Main[[#This Row],[Revised Due Date]]&lt;&gt;"",Main[[#This Row],[In Stock Date]]&lt;&gt;""),Main[[#This Row],[In Stock Date]]-Main[[#This Row],[Revised Due Date]],""))</f>
        <v/>
      </c>
      <c r="I319" s="110" t="s">
        <v>4</v>
      </c>
      <c r="J319" s="99" t="s">
        <v>4</v>
      </c>
      <c r="K319" s="99" t="s">
        <v>4</v>
      </c>
      <c r="L319" s="89"/>
      <c r="M319" s="75" t="str">
        <f>IF(Main[[#This Row],[Tech Start Date]]&lt;1/1/1990,"",IF(Main[[#This Row],[Class]]="C",WORKDAY(Main[[#This Row],[Tech Start Date]],9),IF(Main[[#This Row],[Class]]="B", WORKDAY(Main[[#This Row],[Tech Start Date]],6),IF(Main[[#This Row],[Class]]="A",WORKDAY(Main[[#This Row],[Tech Start Date]],2),""))))</f>
        <v/>
      </c>
      <c r="N319" s="75" t="str">
        <f>IF(Main[[#This Row],[Tech Start Date]]&lt;1/1/1990,"",IF(Main[[#This Row],[Class]]="C",WORKDAY(Main[[#This Row],[Tech Start Date]],19),IF(Main[[#This Row],[Class]]="B", WORKDAY(Main[[#This Row],[Tech Start Date]],12),IF(Main[[#This Row],[Class]]="A",WORKDAY(Main[[#This Row],[Tech Start Date]],4),""))))</f>
        <v/>
      </c>
      <c r="O319" s="75" t="str">
        <f>IF(Main[[#This Row],[Tech Start Date]]&lt;1/1/1990,"",IF(Main[[#This Row],[Class]]="C",WORKDAY(Main[[#This Row],[Tech Start Date]],23),IF(Main[[#This Row],[Class]]="B", WORKDAY(Main[[#This Row],[Tech Start Date]],15),IF(Main[[#This Row],[Class]]="A",WORKDAY(Main[[#This Row],[Tech Start Date]],5),""))))</f>
        <v/>
      </c>
      <c r="P319" s="75" t="str">
        <f>IF(Main[[#This Row],[Tech Start Date]]&lt;1/1/1990,"",IF(Main[[#This Row],[Class]]="C",WORKDAY(Main[[#This Row],[Tech Start Date]],28),IF(Main[[#This Row],[Class]]="B", WORKDAY(Main[[#This Row],[Tech Start Date]],19),IF(Main[[#This Row],[Class]]="A",WORKDAY(Main[[#This Row],[Tech Start Date]],9),""))))</f>
        <v/>
      </c>
      <c r="Q319" s="89">
        <v>40116</v>
      </c>
      <c r="R319" s="121"/>
      <c r="S319" s="99" t="s">
        <v>11</v>
      </c>
      <c r="T319" s="76" t="s">
        <v>4</v>
      </c>
      <c r="U319" s="99" t="s">
        <v>14</v>
      </c>
      <c r="V319" s="99" t="s">
        <v>1916</v>
      </c>
      <c r="W319" s="99" t="s">
        <v>1915</v>
      </c>
      <c r="X319" s="99" t="s">
        <v>2857</v>
      </c>
      <c r="Y319" s="73" t="s">
        <v>4</v>
      </c>
      <c r="Z319" s="73" t="s">
        <v>4</v>
      </c>
      <c r="AA319" s="99" t="s">
        <v>2857</v>
      </c>
    </row>
    <row r="320" spans="1:27" ht="17.25" customHeight="1">
      <c r="A320" s="65" t="str">
        <f>IF(priority(Main[[#This Row],[Comments]])&lt;&gt;0, priority(Main[[#This Row],[Comments]]),"")</f>
        <v/>
      </c>
      <c r="B320" s="60" t="s">
        <v>1858</v>
      </c>
      <c r="C320" s="105" t="s">
        <v>31</v>
      </c>
      <c r="D320" s="74" t="s">
        <v>916</v>
      </c>
      <c r="E320" s="89"/>
      <c r="F320" s="89">
        <v>40664</v>
      </c>
      <c r="G320" s="65" t="str">
        <f>IF(stdProdLT(Main[[#This Row],[Comments]])=0.1,"N/A",IF(stdProdLT(Main[[#This Row],[Comments]])=0,"",TRIM(stdProdLT(Main[[#This Row],[Comments]]))))</f>
        <v/>
      </c>
      <c r="H320" s="98">
        <f>IF(Main[[#This Row],[Std. Prod. Lead Time]]="N/A", "",IF(AND(Main[[#This Row],[In Stock Date]]&lt;&gt;"",Main[[#This Row],[Revised Due Date]]&lt;&gt;"",Main[[#This Row],[In Stock Date]]&lt;&gt;""),Main[[#This Row],[In Stock Date]]-Main[[#This Row],[Revised Due Date]],""))</f>
        <v>87</v>
      </c>
      <c r="I320" s="110" t="s">
        <v>417</v>
      </c>
      <c r="J320" s="99" t="s">
        <v>75</v>
      </c>
      <c r="K320" s="99" t="s">
        <v>1922</v>
      </c>
      <c r="L320" s="89"/>
      <c r="M320" s="75" t="str">
        <f>IF(Main[[#This Row],[Tech Start Date]]&lt;1/1/1990,"",IF(Main[[#This Row],[Class]]="C",WORKDAY(Main[[#This Row],[Tech Start Date]],9),IF(Main[[#This Row],[Class]]="B", WORKDAY(Main[[#This Row],[Tech Start Date]],6),IF(Main[[#This Row],[Class]]="A",WORKDAY(Main[[#This Row],[Tech Start Date]],2),""))))</f>
        <v/>
      </c>
      <c r="N320" s="75" t="str">
        <f>IF(Main[[#This Row],[Tech Start Date]]&lt;1/1/1990,"",IF(Main[[#This Row],[Class]]="C",WORKDAY(Main[[#This Row],[Tech Start Date]],19),IF(Main[[#This Row],[Class]]="B", WORKDAY(Main[[#This Row],[Tech Start Date]],12),IF(Main[[#This Row],[Class]]="A",WORKDAY(Main[[#This Row],[Tech Start Date]],4),""))))</f>
        <v/>
      </c>
      <c r="O320" s="75" t="str">
        <f>IF(Main[[#This Row],[Tech Start Date]]&lt;1/1/1990,"",IF(Main[[#This Row],[Class]]="C",WORKDAY(Main[[#This Row],[Tech Start Date]],23),IF(Main[[#This Row],[Class]]="B", WORKDAY(Main[[#This Row],[Tech Start Date]],15),IF(Main[[#This Row],[Class]]="A",WORKDAY(Main[[#This Row],[Tech Start Date]],5),""))))</f>
        <v/>
      </c>
      <c r="P320" s="75" t="str">
        <f>IF(Main[[#This Row],[Tech Start Date]]&lt;1/1/1990,"",IF(Main[[#This Row],[Class]]="C",WORKDAY(Main[[#This Row],[Tech Start Date]],28),IF(Main[[#This Row],[Class]]="B", WORKDAY(Main[[#This Row],[Tech Start Date]],19),IF(Main[[#This Row],[Class]]="A",WORKDAY(Main[[#This Row],[Tech Start Date]],9),""))))</f>
        <v/>
      </c>
      <c r="Q320" s="89">
        <v>40589</v>
      </c>
      <c r="R320" s="121">
        <v>40577</v>
      </c>
      <c r="S320" s="99" t="s">
        <v>11</v>
      </c>
      <c r="T320" s="76" t="s">
        <v>4</v>
      </c>
      <c r="U320" s="99" t="s">
        <v>14</v>
      </c>
      <c r="V320" s="99" t="s">
        <v>1916</v>
      </c>
      <c r="W320" s="99" t="s">
        <v>1919</v>
      </c>
      <c r="X320" s="99" t="s">
        <v>2819</v>
      </c>
      <c r="Y320" s="73" t="s">
        <v>2961</v>
      </c>
      <c r="Z320" s="73" t="s">
        <v>530</v>
      </c>
      <c r="AA320" s="99" t="s">
        <v>2819</v>
      </c>
    </row>
    <row r="321" spans="1:27" ht="17.25" customHeight="1">
      <c r="A321" s="65" t="str">
        <f>IF(priority(Main[[#This Row],[Comments]])&lt;&gt;0, priority(Main[[#This Row],[Comments]]),"")</f>
        <v/>
      </c>
      <c r="B321" s="60" t="s">
        <v>1157</v>
      </c>
      <c r="C321" s="105" t="s">
        <v>211</v>
      </c>
      <c r="D321" s="74" t="s">
        <v>212</v>
      </c>
      <c r="E321" s="89"/>
      <c r="F321" s="89">
        <v>40391</v>
      </c>
      <c r="G321" s="65" t="str">
        <f>IF(stdProdLT(Main[[#This Row],[Comments]])=0.1,"N/A",IF(stdProdLT(Main[[#This Row],[Comments]])=0,"",TRIM(stdProdLT(Main[[#This Row],[Comments]]))))</f>
        <v/>
      </c>
      <c r="H321" s="98" t="str">
        <f>IF(Main[[#This Row],[Std. Prod. Lead Time]]="N/A", "",IF(AND(Main[[#This Row],[In Stock Date]]&lt;&gt;"",Main[[#This Row],[Revised Due Date]]&lt;&gt;"",Main[[#This Row],[In Stock Date]]&lt;&gt;""),Main[[#This Row],[In Stock Date]]-Main[[#This Row],[Revised Due Date]],""))</f>
        <v/>
      </c>
      <c r="I321" s="110" t="s">
        <v>4</v>
      </c>
      <c r="J321" s="99" t="s">
        <v>4</v>
      </c>
      <c r="K321" s="100" t="s">
        <v>4</v>
      </c>
      <c r="L321" s="89"/>
      <c r="M321" s="75" t="str">
        <f>IF(Main[[#This Row],[Tech Start Date]]&lt;1/1/1990,"",IF(Main[[#This Row],[Class]]="C",WORKDAY(Main[[#This Row],[Tech Start Date]],9),IF(Main[[#This Row],[Class]]="B", WORKDAY(Main[[#This Row],[Tech Start Date]],6),IF(Main[[#This Row],[Class]]="A",WORKDAY(Main[[#This Row],[Tech Start Date]],2),""))))</f>
        <v/>
      </c>
      <c r="N321" s="75" t="str">
        <f>IF(Main[[#This Row],[Tech Start Date]]&lt;1/1/1990,"",IF(Main[[#This Row],[Class]]="C",WORKDAY(Main[[#This Row],[Tech Start Date]],19),IF(Main[[#This Row],[Class]]="B", WORKDAY(Main[[#This Row],[Tech Start Date]],12),IF(Main[[#This Row],[Class]]="A",WORKDAY(Main[[#This Row],[Tech Start Date]],4),""))))</f>
        <v/>
      </c>
      <c r="O321" s="75" t="str">
        <f>IF(Main[[#This Row],[Tech Start Date]]&lt;1/1/1990,"",IF(Main[[#This Row],[Class]]="C",WORKDAY(Main[[#This Row],[Tech Start Date]],23),IF(Main[[#This Row],[Class]]="B", WORKDAY(Main[[#This Row],[Tech Start Date]],15),IF(Main[[#This Row],[Class]]="A",WORKDAY(Main[[#This Row],[Tech Start Date]],5),""))))</f>
        <v/>
      </c>
      <c r="P321" s="75" t="str">
        <f>IF(Main[[#This Row],[Tech Start Date]]&lt;1/1/1990,"",IF(Main[[#This Row],[Class]]="C",WORKDAY(Main[[#This Row],[Tech Start Date]],28),IF(Main[[#This Row],[Class]]="B", WORKDAY(Main[[#This Row],[Tech Start Date]],19),IF(Main[[#This Row],[Class]]="A",WORKDAY(Main[[#This Row],[Tech Start Date]],9),""))))</f>
        <v/>
      </c>
      <c r="Q321" s="89">
        <v>40296</v>
      </c>
      <c r="R321" s="121"/>
      <c r="S321" s="99" t="s">
        <v>11</v>
      </c>
      <c r="T321" s="76" t="s">
        <v>4</v>
      </c>
      <c r="U321" s="99" t="s">
        <v>12</v>
      </c>
      <c r="V321" s="99" t="s">
        <v>1913</v>
      </c>
      <c r="W321" s="99" t="s">
        <v>1921</v>
      </c>
      <c r="X321" s="99" t="s">
        <v>2827</v>
      </c>
      <c r="Y321" s="73" t="s">
        <v>4</v>
      </c>
      <c r="Z321" s="73" t="s">
        <v>4</v>
      </c>
      <c r="AA321" s="99" t="s">
        <v>2827</v>
      </c>
    </row>
    <row r="322" spans="1:27" ht="17.25" customHeight="1">
      <c r="A322" s="65" t="str">
        <f>IF(priority(Main[[#This Row],[Comments]])&lt;&gt;0, priority(Main[[#This Row],[Comments]]),"")</f>
        <v/>
      </c>
      <c r="B322" s="60" t="s">
        <v>1159</v>
      </c>
      <c r="C322" s="105" t="s">
        <v>213</v>
      </c>
      <c r="D322" s="59" t="s">
        <v>214</v>
      </c>
      <c r="E322" s="89">
        <v>40395.391388888886</v>
      </c>
      <c r="F322" s="89">
        <v>40574</v>
      </c>
      <c r="G322" s="65" t="str">
        <f>IF(stdProdLT(Main[[#This Row],[Comments]])=0.1,"N/A",IF(stdProdLT(Main[[#This Row],[Comments]])=0,"",TRIM(stdProdLT(Main[[#This Row],[Comments]]))))</f>
        <v/>
      </c>
      <c r="H322" s="98" t="str">
        <f>IF(Main[[#This Row],[Std. Prod. Lead Time]]="N/A", "",IF(AND(Main[[#This Row],[In Stock Date]]&lt;&gt;"",Main[[#This Row],[Revised Due Date]]&lt;&gt;"",Main[[#This Row],[In Stock Date]]&lt;&gt;""),Main[[#This Row],[In Stock Date]]-Main[[#This Row],[Revised Due Date]],""))</f>
        <v/>
      </c>
      <c r="I322" s="110" t="s">
        <v>4</v>
      </c>
      <c r="J322" s="99" t="s">
        <v>28</v>
      </c>
      <c r="K322" s="99" t="s">
        <v>4</v>
      </c>
      <c r="L322" s="89"/>
      <c r="M322" s="75" t="str">
        <f>IF(Main[[#This Row],[Tech Start Date]]&lt;1/1/1990,"",IF(Main[[#This Row],[Class]]="C",WORKDAY(Main[[#This Row],[Tech Start Date]],9),IF(Main[[#This Row],[Class]]="B", WORKDAY(Main[[#This Row],[Tech Start Date]],6),IF(Main[[#This Row],[Class]]="A",WORKDAY(Main[[#This Row],[Tech Start Date]],2),""))))</f>
        <v/>
      </c>
      <c r="N322" s="75" t="str">
        <f>IF(Main[[#This Row],[Tech Start Date]]&lt;1/1/1990,"",IF(Main[[#This Row],[Class]]="C",WORKDAY(Main[[#This Row],[Tech Start Date]],19),IF(Main[[#This Row],[Class]]="B", WORKDAY(Main[[#This Row],[Tech Start Date]],12),IF(Main[[#This Row],[Class]]="A",WORKDAY(Main[[#This Row],[Tech Start Date]],4),""))))</f>
        <v/>
      </c>
      <c r="O322" s="75" t="str">
        <f>IF(Main[[#This Row],[Tech Start Date]]&lt;1/1/1990,"",IF(Main[[#This Row],[Class]]="C",WORKDAY(Main[[#This Row],[Tech Start Date]],23),IF(Main[[#This Row],[Class]]="B", WORKDAY(Main[[#This Row],[Tech Start Date]],15),IF(Main[[#This Row],[Class]]="A",WORKDAY(Main[[#This Row],[Tech Start Date]],5),""))))</f>
        <v/>
      </c>
      <c r="P322" s="75" t="str">
        <f>IF(Main[[#This Row],[Tech Start Date]]&lt;1/1/1990,"",IF(Main[[#This Row],[Class]]="C",WORKDAY(Main[[#This Row],[Tech Start Date]],28),IF(Main[[#This Row],[Class]]="B", WORKDAY(Main[[#This Row],[Tech Start Date]],19),IF(Main[[#This Row],[Class]]="A",WORKDAY(Main[[#This Row],[Tech Start Date]],9),""))))</f>
        <v/>
      </c>
      <c r="Q322" s="89"/>
      <c r="R322" s="121"/>
      <c r="S322" s="99" t="s">
        <v>17</v>
      </c>
      <c r="T322" s="76" t="s">
        <v>4</v>
      </c>
      <c r="U322" s="99" t="s">
        <v>7</v>
      </c>
      <c r="V322" s="99" t="s">
        <v>1913</v>
      </c>
      <c r="W322" s="99" t="s">
        <v>1918</v>
      </c>
      <c r="X322" s="99" t="s">
        <v>50</v>
      </c>
      <c r="Y322" s="73" t="s">
        <v>3001</v>
      </c>
      <c r="Z322" s="73" t="s">
        <v>129</v>
      </c>
      <c r="AA322" s="99" t="s">
        <v>65</v>
      </c>
    </row>
    <row r="323" spans="1:27" ht="17.25" customHeight="1">
      <c r="A323" s="65" t="str">
        <f>IF(priority(Main[[#This Row],[Comments]])&lt;&gt;0, priority(Main[[#This Row],[Comments]]),"")</f>
        <v/>
      </c>
      <c r="B323" s="60" t="s">
        <v>1160</v>
      </c>
      <c r="C323" s="105" t="s">
        <v>169</v>
      </c>
      <c r="D323" s="74" t="s">
        <v>215</v>
      </c>
      <c r="E323" s="89"/>
      <c r="F323" s="89">
        <v>40237</v>
      </c>
      <c r="G323" s="65" t="str">
        <f>IF(stdProdLT(Main[[#This Row],[Comments]])=0.1,"N/A",IF(stdProdLT(Main[[#This Row],[Comments]])=0,"",TRIM(stdProdLT(Main[[#This Row],[Comments]]))))</f>
        <v/>
      </c>
      <c r="H323" s="98" t="str">
        <f>IF(Main[[#This Row],[Std. Prod. Lead Time]]="N/A", "",IF(AND(Main[[#This Row],[In Stock Date]]&lt;&gt;"",Main[[#This Row],[Revised Due Date]]&lt;&gt;"",Main[[#This Row],[In Stock Date]]&lt;&gt;""),Main[[#This Row],[In Stock Date]]-Main[[#This Row],[Revised Due Date]],""))</f>
        <v/>
      </c>
      <c r="I323" s="110" t="s">
        <v>4</v>
      </c>
      <c r="J323" s="99" t="s">
        <v>4</v>
      </c>
      <c r="K323" s="99" t="s">
        <v>4</v>
      </c>
      <c r="L323" s="89"/>
      <c r="M323" s="75" t="str">
        <f>IF(Main[[#This Row],[Tech Start Date]]&lt;1/1/1990,"",IF(Main[[#This Row],[Class]]="C",WORKDAY(Main[[#This Row],[Tech Start Date]],9),IF(Main[[#This Row],[Class]]="B", WORKDAY(Main[[#This Row],[Tech Start Date]],6),IF(Main[[#This Row],[Class]]="A",WORKDAY(Main[[#This Row],[Tech Start Date]],2),""))))</f>
        <v/>
      </c>
      <c r="N323" s="75" t="str">
        <f>IF(Main[[#This Row],[Tech Start Date]]&lt;1/1/1990,"",IF(Main[[#This Row],[Class]]="C",WORKDAY(Main[[#This Row],[Tech Start Date]],19),IF(Main[[#This Row],[Class]]="B", WORKDAY(Main[[#This Row],[Tech Start Date]],12),IF(Main[[#This Row],[Class]]="A",WORKDAY(Main[[#This Row],[Tech Start Date]],4),""))))</f>
        <v/>
      </c>
      <c r="O323" s="75" t="str">
        <f>IF(Main[[#This Row],[Tech Start Date]]&lt;1/1/1990,"",IF(Main[[#This Row],[Class]]="C",WORKDAY(Main[[#This Row],[Tech Start Date]],23),IF(Main[[#This Row],[Class]]="B", WORKDAY(Main[[#This Row],[Tech Start Date]],15),IF(Main[[#This Row],[Class]]="A",WORKDAY(Main[[#This Row],[Tech Start Date]],5),""))))</f>
        <v/>
      </c>
      <c r="P323" s="75" t="str">
        <f>IF(Main[[#This Row],[Tech Start Date]]&lt;1/1/1990,"",IF(Main[[#This Row],[Class]]="C",WORKDAY(Main[[#This Row],[Tech Start Date]],28),IF(Main[[#This Row],[Class]]="B", WORKDAY(Main[[#This Row],[Tech Start Date]],19),IF(Main[[#This Row],[Class]]="A",WORKDAY(Main[[#This Row],[Tech Start Date]],9),""))))</f>
        <v/>
      </c>
      <c r="Q323" s="89">
        <v>40132</v>
      </c>
      <c r="R323" s="121"/>
      <c r="S323" s="99" t="s">
        <v>11</v>
      </c>
      <c r="T323" s="76" t="s">
        <v>4</v>
      </c>
      <c r="U323" s="99" t="s">
        <v>14</v>
      </c>
      <c r="V323" s="99" t="s">
        <v>1913</v>
      </c>
      <c r="W323" s="99" t="s">
        <v>1918</v>
      </c>
      <c r="X323" s="99" t="s">
        <v>2852</v>
      </c>
      <c r="Y323" s="73" t="s">
        <v>4</v>
      </c>
      <c r="Z323" s="73" t="s">
        <v>4</v>
      </c>
      <c r="AA323" s="99" t="s">
        <v>2852</v>
      </c>
    </row>
    <row r="324" spans="1:27" ht="17.25" customHeight="1">
      <c r="A324" s="65" t="str">
        <f>IF(priority(Main[[#This Row],[Comments]])&lt;&gt;0, priority(Main[[#This Row],[Comments]]),"")</f>
        <v/>
      </c>
      <c r="B324" s="60" t="s">
        <v>1161</v>
      </c>
      <c r="C324" s="105" t="s">
        <v>4</v>
      </c>
      <c r="D324" s="74" t="s">
        <v>216</v>
      </c>
      <c r="E324" s="89"/>
      <c r="F324" s="89"/>
      <c r="G324" s="65" t="str">
        <f>IF(stdProdLT(Main[[#This Row],[Comments]])=0.1,"N/A",IF(stdProdLT(Main[[#This Row],[Comments]])=0,"",TRIM(stdProdLT(Main[[#This Row],[Comments]]))))</f>
        <v/>
      </c>
      <c r="H324" s="98" t="str">
        <f>IF(Main[[#This Row],[Std. Prod. Lead Time]]="N/A", "",IF(AND(Main[[#This Row],[In Stock Date]]&lt;&gt;"",Main[[#This Row],[Revised Due Date]]&lt;&gt;"",Main[[#This Row],[In Stock Date]]&lt;&gt;""),Main[[#This Row],[In Stock Date]]-Main[[#This Row],[Revised Due Date]],""))</f>
        <v/>
      </c>
      <c r="I324" s="110" t="s">
        <v>4</v>
      </c>
      <c r="J324" s="99" t="s">
        <v>4</v>
      </c>
      <c r="K324" s="99" t="s">
        <v>4</v>
      </c>
      <c r="L324" s="89"/>
      <c r="M324" s="75" t="str">
        <f>IF(Main[[#This Row],[Tech Start Date]]&lt;1/1/1990,"",IF(Main[[#This Row],[Class]]="C",WORKDAY(Main[[#This Row],[Tech Start Date]],9),IF(Main[[#This Row],[Class]]="B", WORKDAY(Main[[#This Row],[Tech Start Date]],6),IF(Main[[#This Row],[Class]]="A",WORKDAY(Main[[#This Row],[Tech Start Date]],2),""))))</f>
        <v/>
      </c>
      <c r="N324" s="75" t="str">
        <f>IF(Main[[#This Row],[Tech Start Date]]&lt;1/1/1990,"",IF(Main[[#This Row],[Class]]="C",WORKDAY(Main[[#This Row],[Tech Start Date]],19),IF(Main[[#This Row],[Class]]="B", WORKDAY(Main[[#This Row],[Tech Start Date]],12),IF(Main[[#This Row],[Class]]="A",WORKDAY(Main[[#This Row],[Tech Start Date]],4),""))))</f>
        <v/>
      </c>
      <c r="O324" s="75" t="str">
        <f>IF(Main[[#This Row],[Tech Start Date]]&lt;1/1/1990,"",IF(Main[[#This Row],[Class]]="C",WORKDAY(Main[[#This Row],[Tech Start Date]],23),IF(Main[[#This Row],[Class]]="B", WORKDAY(Main[[#This Row],[Tech Start Date]],15),IF(Main[[#This Row],[Class]]="A",WORKDAY(Main[[#This Row],[Tech Start Date]],5),""))))</f>
        <v/>
      </c>
      <c r="P324" s="75" t="str">
        <f>IF(Main[[#This Row],[Tech Start Date]]&lt;1/1/1990,"",IF(Main[[#This Row],[Class]]="C",WORKDAY(Main[[#This Row],[Tech Start Date]],28),IF(Main[[#This Row],[Class]]="B", WORKDAY(Main[[#This Row],[Tech Start Date]],19),IF(Main[[#This Row],[Class]]="A",WORKDAY(Main[[#This Row],[Tech Start Date]],9),""))))</f>
        <v/>
      </c>
      <c r="Q324" s="89"/>
      <c r="R324" s="121"/>
      <c r="S324" s="99" t="s">
        <v>17</v>
      </c>
      <c r="T324" s="76" t="s">
        <v>4</v>
      </c>
      <c r="U324" s="99" t="s">
        <v>12</v>
      </c>
      <c r="V324" s="99" t="s">
        <v>1913</v>
      </c>
      <c r="W324" s="99" t="s">
        <v>1917</v>
      </c>
      <c r="X324" s="99" t="s">
        <v>877</v>
      </c>
      <c r="Y324" s="73" t="s">
        <v>4</v>
      </c>
      <c r="Z324" s="73" t="s">
        <v>4</v>
      </c>
      <c r="AA324" s="99" t="s">
        <v>4</v>
      </c>
    </row>
    <row r="325" spans="1:27" ht="17.25" customHeight="1">
      <c r="A325" s="65" t="str">
        <f>IF(priority(Main[[#This Row],[Comments]])&lt;&gt;0, priority(Main[[#This Row],[Comments]]),"")</f>
        <v/>
      </c>
      <c r="B325" s="60" t="s">
        <v>1163</v>
      </c>
      <c r="C325" s="105" t="s">
        <v>93</v>
      </c>
      <c r="D325" s="74" t="s">
        <v>218</v>
      </c>
      <c r="E325" s="89"/>
      <c r="F325" s="89">
        <v>40299</v>
      </c>
      <c r="G325" s="65" t="str">
        <f>IF(stdProdLT(Main[[#This Row],[Comments]])=0.1,"N/A",IF(stdProdLT(Main[[#This Row],[Comments]])=0,"",TRIM(stdProdLT(Main[[#This Row],[Comments]]))))</f>
        <v/>
      </c>
      <c r="H325" s="98" t="str">
        <f>IF(Main[[#This Row],[Std. Prod. Lead Time]]="N/A", "",IF(AND(Main[[#This Row],[In Stock Date]]&lt;&gt;"",Main[[#This Row],[Revised Due Date]]&lt;&gt;"",Main[[#This Row],[In Stock Date]]&lt;&gt;""),Main[[#This Row],[In Stock Date]]-Main[[#This Row],[Revised Due Date]],""))</f>
        <v/>
      </c>
      <c r="I325" s="110" t="s">
        <v>4</v>
      </c>
      <c r="J325" s="99" t="s">
        <v>4</v>
      </c>
      <c r="K325" s="99" t="s">
        <v>4</v>
      </c>
      <c r="L325" s="89"/>
      <c r="M325" s="75" t="str">
        <f>IF(Main[[#This Row],[Tech Start Date]]&lt;1/1/1990,"",IF(Main[[#This Row],[Class]]="C",WORKDAY(Main[[#This Row],[Tech Start Date]],9),IF(Main[[#This Row],[Class]]="B", WORKDAY(Main[[#This Row],[Tech Start Date]],6),IF(Main[[#This Row],[Class]]="A",WORKDAY(Main[[#This Row],[Tech Start Date]],2),""))))</f>
        <v/>
      </c>
      <c r="N325" s="75" t="str">
        <f>IF(Main[[#This Row],[Tech Start Date]]&lt;1/1/1990,"",IF(Main[[#This Row],[Class]]="C",WORKDAY(Main[[#This Row],[Tech Start Date]],19),IF(Main[[#This Row],[Class]]="B", WORKDAY(Main[[#This Row],[Tech Start Date]],12),IF(Main[[#This Row],[Class]]="A",WORKDAY(Main[[#This Row],[Tech Start Date]],4),""))))</f>
        <v/>
      </c>
      <c r="O325" s="75" t="str">
        <f>IF(Main[[#This Row],[Tech Start Date]]&lt;1/1/1990,"",IF(Main[[#This Row],[Class]]="C",WORKDAY(Main[[#This Row],[Tech Start Date]],23),IF(Main[[#This Row],[Class]]="B", WORKDAY(Main[[#This Row],[Tech Start Date]],15),IF(Main[[#This Row],[Class]]="A",WORKDAY(Main[[#This Row],[Tech Start Date]],5),""))))</f>
        <v/>
      </c>
      <c r="P325" s="75" t="str">
        <f>IF(Main[[#This Row],[Tech Start Date]]&lt;1/1/1990,"",IF(Main[[#This Row],[Class]]="C",WORKDAY(Main[[#This Row],[Tech Start Date]],28),IF(Main[[#This Row],[Class]]="B", WORKDAY(Main[[#This Row],[Tech Start Date]],19),IF(Main[[#This Row],[Class]]="A",WORKDAY(Main[[#This Row],[Tech Start Date]],9),""))))</f>
        <v/>
      </c>
      <c r="Q325" s="89">
        <v>40214</v>
      </c>
      <c r="R325" s="121"/>
      <c r="S325" s="99" t="s">
        <v>11</v>
      </c>
      <c r="T325" s="76" t="s">
        <v>4</v>
      </c>
      <c r="U325" s="99" t="s">
        <v>12</v>
      </c>
      <c r="V325" s="99" t="s">
        <v>1913</v>
      </c>
      <c r="W325" s="99" t="s">
        <v>1919</v>
      </c>
      <c r="X325" s="99" t="s">
        <v>2839</v>
      </c>
      <c r="Y325" s="73" t="s">
        <v>4</v>
      </c>
      <c r="Z325" s="73" t="s">
        <v>4</v>
      </c>
      <c r="AA325" s="99" t="s">
        <v>2839</v>
      </c>
    </row>
    <row r="326" spans="1:27" ht="17.25" customHeight="1">
      <c r="A326" s="65" t="str">
        <f>IF(priority(Main[[#This Row],[Comments]])&lt;&gt;0, priority(Main[[#This Row],[Comments]]),"")</f>
        <v/>
      </c>
      <c r="B326" s="60" t="s">
        <v>1164</v>
      </c>
      <c r="C326" s="105" t="s">
        <v>113</v>
      </c>
      <c r="D326" s="74" t="s">
        <v>219</v>
      </c>
      <c r="E326" s="89"/>
      <c r="F326" s="89">
        <v>40193</v>
      </c>
      <c r="G326" s="65" t="str">
        <f>IF(stdProdLT(Main[[#This Row],[Comments]])=0.1,"N/A",IF(stdProdLT(Main[[#This Row],[Comments]])=0,"",TRIM(stdProdLT(Main[[#This Row],[Comments]]))))</f>
        <v/>
      </c>
      <c r="H326" s="98" t="str">
        <f>IF(Main[[#This Row],[Std. Prod. Lead Time]]="N/A", "",IF(AND(Main[[#This Row],[In Stock Date]]&lt;&gt;"",Main[[#This Row],[Revised Due Date]]&lt;&gt;"",Main[[#This Row],[In Stock Date]]&lt;&gt;""),Main[[#This Row],[In Stock Date]]-Main[[#This Row],[Revised Due Date]],""))</f>
        <v/>
      </c>
      <c r="I326" s="110" t="s">
        <v>4</v>
      </c>
      <c r="J326" s="99" t="s">
        <v>4</v>
      </c>
      <c r="K326" s="99" t="s">
        <v>4</v>
      </c>
      <c r="L326" s="89"/>
      <c r="M326" s="75" t="str">
        <f>IF(Main[[#This Row],[Tech Start Date]]&lt;1/1/1990,"",IF(Main[[#This Row],[Class]]="C",WORKDAY(Main[[#This Row],[Tech Start Date]],9),IF(Main[[#This Row],[Class]]="B", WORKDAY(Main[[#This Row],[Tech Start Date]],6),IF(Main[[#This Row],[Class]]="A",WORKDAY(Main[[#This Row],[Tech Start Date]],2),""))))</f>
        <v/>
      </c>
      <c r="N326" s="75" t="str">
        <f>IF(Main[[#This Row],[Tech Start Date]]&lt;1/1/1990,"",IF(Main[[#This Row],[Class]]="C",WORKDAY(Main[[#This Row],[Tech Start Date]],19),IF(Main[[#This Row],[Class]]="B", WORKDAY(Main[[#This Row],[Tech Start Date]],12),IF(Main[[#This Row],[Class]]="A",WORKDAY(Main[[#This Row],[Tech Start Date]],4),""))))</f>
        <v/>
      </c>
      <c r="O326" s="75" t="str">
        <f>IF(Main[[#This Row],[Tech Start Date]]&lt;1/1/1990,"",IF(Main[[#This Row],[Class]]="C",WORKDAY(Main[[#This Row],[Tech Start Date]],23),IF(Main[[#This Row],[Class]]="B", WORKDAY(Main[[#This Row],[Tech Start Date]],15),IF(Main[[#This Row],[Class]]="A",WORKDAY(Main[[#This Row],[Tech Start Date]],5),""))))</f>
        <v/>
      </c>
      <c r="P326" s="75" t="str">
        <f>IF(Main[[#This Row],[Tech Start Date]]&lt;1/1/1990,"",IF(Main[[#This Row],[Class]]="C",WORKDAY(Main[[#This Row],[Tech Start Date]],28),IF(Main[[#This Row],[Class]]="B", WORKDAY(Main[[#This Row],[Tech Start Date]],19),IF(Main[[#This Row],[Class]]="A",WORKDAY(Main[[#This Row],[Tech Start Date]],9),""))))</f>
        <v/>
      </c>
      <c r="Q326" s="89">
        <v>40448</v>
      </c>
      <c r="R326" s="121"/>
      <c r="S326" s="99" t="s">
        <v>11</v>
      </c>
      <c r="T326" s="76" t="s">
        <v>4</v>
      </c>
      <c r="U326" s="99" t="s">
        <v>14</v>
      </c>
      <c r="V326" s="99" t="s">
        <v>1923</v>
      </c>
      <c r="W326" s="99" t="s">
        <v>1919</v>
      </c>
      <c r="X326" s="99" t="s">
        <v>2838</v>
      </c>
      <c r="Y326" s="73" t="s">
        <v>2971</v>
      </c>
      <c r="Z326" s="73" t="s">
        <v>4</v>
      </c>
      <c r="AA326" s="99" t="s">
        <v>2838</v>
      </c>
    </row>
    <row r="327" spans="1:27" ht="17.25" customHeight="1">
      <c r="A327" s="65" t="str">
        <f>IF(priority(Main[[#This Row],[Comments]])&lt;&gt;0, priority(Main[[#This Row],[Comments]]),"")</f>
        <v/>
      </c>
      <c r="B327" s="60" t="s">
        <v>1165</v>
      </c>
      <c r="C327" s="105" t="s">
        <v>4</v>
      </c>
      <c r="D327" s="59" t="s">
        <v>220</v>
      </c>
      <c r="E327" s="89"/>
      <c r="F327" s="89">
        <v>40031</v>
      </c>
      <c r="G327" s="65" t="str">
        <f>IF(stdProdLT(Main[[#This Row],[Comments]])=0.1,"N/A",IF(stdProdLT(Main[[#This Row],[Comments]])=0,"",TRIM(stdProdLT(Main[[#This Row],[Comments]]))))</f>
        <v/>
      </c>
      <c r="H327" s="98" t="str">
        <f>IF(Main[[#This Row],[Std. Prod. Lead Time]]="N/A", "",IF(AND(Main[[#This Row],[In Stock Date]]&lt;&gt;"",Main[[#This Row],[Revised Due Date]]&lt;&gt;"",Main[[#This Row],[In Stock Date]]&lt;&gt;""),Main[[#This Row],[In Stock Date]]-Main[[#This Row],[Revised Due Date]],""))</f>
        <v/>
      </c>
      <c r="I327" s="110" t="s">
        <v>4</v>
      </c>
      <c r="J327" s="99" t="s">
        <v>4</v>
      </c>
      <c r="K327" s="99" t="s">
        <v>4</v>
      </c>
      <c r="L327" s="89"/>
      <c r="M327" s="75" t="str">
        <f>IF(Main[[#This Row],[Tech Start Date]]&lt;1/1/1990,"",IF(Main[[#This Row],[Class]]="C",WORKDAY(Main[[#This Row],[Tech Start Date]],9),IF(Main[[#This Row],[Class]]="B", WORKDAY(Main[[#This Row],[Tech Start Date]],6),IF(Main[[#This Row],[Class]]="A",WORKDAY(Main[[#This Row],[Tech Start Date]],2),""))))</f>
        <v/>
      </c>
      <c r="N327" s="75" t="str">
        <f>IF(Main[[#This Row],[Tech Start Date]]&lt;1/1/1990,"",IF(Main[[#This Row],[Class]]="C",WORKDAY(Main[[#This Row],[Tech Start Date]],19),IF(Main[[#This Row],[Class]]="B", WORKDAY(Main[[#This Row],[Tech Start Date]],12),IF(Main[[#This Row],[Class]]="A",WORKDAY(Main[[#This Row],[Tech Start Date]],4),""))))</f>
        <v/>
      </c>
      <c r="O327" s="75" t="str">
        <f>IF(Main[[#This Row],[Tech Start Date]]&lt;1/1/1990,"",IF(Main[[#This Row],[Class]]="C",WORKDAY(Main[[#This Row],[Tech Start Date]],23),IF(Main[[#This Row],[Class]]="B", WORKDAY(Main[[#This Row],[Tech Start Date]],15),IF(Main[[#This Row],[Class]]="A",WORKDAY(Main[[#This Row],[Tech Start Date]],5),""))))</f>
        <v/>
      </c>
      <c r="P327" s="75" t="str">
        <f>IF(Main[[#This Row],[Tech Start Date]]&lt;1/1/1990,"",IF(Main[[#This Row],[Class]]="C",WORKDAY(Main[[#This Row],[Tech Start Date]],28),IF(Main[[#This Row],[Class]]="B", WORKDAY(Main[[#This Row],[Tech Start Date]],19),IF(Main[[#This Row],[Class]]="A",WORKDAY(Main[[#This Row],[Tech Start Date]],9),""))))</f>
        <v/>
      </c>
      <c r="Q327" s="89">
        <v>39976</v>
      </c>
      <c r="R327" s="121"/>
      <c r="S327" s="99" t="s">
        <v>11</v>
      </c>
      <c r="T327" s="76" t="s">
        <v>4</v>
      </c>
      <c r="U327" s="99" t="s">
        <v>14</v>
      </c>
      <c r="V327" s="99" t="s">
        <v>1914</v>
      </c>
      <c r="W327" s="99" t="s">
        <v>1921</v>
      </c>
      <c r="X327" s="99" t="s">
        <v>2818</v>
      </c>
      <c r="Y327" s="73" t="s">
        <v>2937</v>
      </c>
      <c r="Z327" s="73" t="s">
        <v>4</v>
      </c>
      <c r="AA327" s="99" t="s">
        <v>2818</v>
      </c>
    </row>
    <row r="328" spans="1:27" ht="17.25" customHeight="1">
      <c r="A328" s="65" t="str">
        <f>IF(priority(Main[[#This Row],[Comments]])&lt;&gt;0, priority(Main[[#This Row],[Comments]]),"")</f>
        <v/>
      </c>
      <c r="B328" s="60" t="s">
        <v>1166</v>
      </c>
      <c r="C328" s="105" t="s">
        <v>4</v>
      </c>
      <c r="D328" s="74" t="s">
        <v>221</v>
      </c>
      <c r="E328" s="89"/>
      <c r="F328" s="89">
        <v>40309</v>
      </c>
      <c r="G328" s="65" t="str">
        <f>IF(stdProdLT(Main[[#This Row],[Comments]])=0.1,"N/A",IF(stdProdLT(Main[[#This Row],[Comments]])=0,"",TRIM(stdProdLT(Main[[#This Row],[Comments]]))))</f>
        <v/>
      </c>
      <c r="H328" s="98" t="str">
        <f>IF(Main[[#This Row],[Std. Prod. Lead Time]]="N/A", "",IF(AND(Main[[#This Row],[In Stock Date]]&lt;&gt;"",Main[[#This Row],[Revised Due Date]]&lt;&gt;"",Main[[#This Row],[In Stock Date]]&lt;&gt;""),Main[[#This Row],[In Stock Date]]-Main[[#This Row],[Revised Due Date]],""))</f>
        <v/>
      </c>
      <c r="I328" s="110" t="s">
        <v>4</v>
      </c>
      <c r="J328" s="99" t="s">
        <v>4</v>
      </c>
      <c r="K328" s="99" t="s">
        <v>4</v>
      </c>
      <c r="L328" s="89"/>
      <c r="M328" s="75" t="str">
        <f>IF(Main[[#This Row],[Tech Start Date]]&lt;1/1/1990,"",IF(Main[[#This Row],[Class]]="C",WORKDAY(Main[[#This Row],[Tech Start Date]],9),IF(Main[[#This Row],[Class]]="B", WORKDAY(Main[[#This Row],[Tech Start Date]],6),IF(Main[[#This Row],[Class]]="A",WORKDAY(Main[[#This Row],[Tech Start Date]],2),""))))</f>
        <v/>
      </c>
      <c r="N328" s="75" t="str">
        <f>IF(Main[[#This Row],[Tech Start Date]]&lt;1/1/1990,"",IF(Main[[#This Row],[Class]]="C",WORKDAY(Main[[#This Row],[Tech Start Date]],19),IF(Main[[#This Row],[Class]]="B", WORKDAY(Main[[#This Row],[Tech Start Date]],12),IF(Main[[#This Row],[Class]]="A",WORKDAY(Main[[#This Row],[Tech Start Date]],4),""))))</f>
        <v/>
      </c>
      <c r="O328" s="75" t="str">
        <f>IF(Main[[#This Row],[Tech Start Date]]&lt;1/1/1990,"",IF(Main[[#This Row],[Class]]="C",WORKDAY(Main[[#This Row],[Tech Start Date]],23),IF(Main[[#This Row],[Class]]="B", WORKDAY(Main[[#This Row],[Tech Start Date]],15),IF(Main[[#This Row],[Class]]="A",WORKDAY(Main[[#This Row],[Tech Start Date]],5),""))))</f>
        <v/>
      </c>
      <c r="P328" s="75" t="str">
        <f>IF(Main[[#This Row],[Tech Start Date]]&lt;1/1/1990,"",IF(Main[[#This Row],[Class]]="C",WORKDAY(Main[[#This Row],[Tech Start Date]],28),IF(Main[[#This Row],[Class]]="B", WORKDAY(Main[[#This Row],[Tech Start Date]],19),IF(Main[[#This Row],[Class]]="A",WORKDAY(Main[[#This Row],[Tech Start Date]],9),""))))</f>
        <v/>
      </c>
      <c r="Q328" s="89">
        <v>40305</v>
      </c>
      <c r="R328" s="121"/>
      <c r="S328" s="99" t="s">
        <v>6</v>
      </c>
      <c r="T328" s="76" t="s">
        <v>4</v>
      </c>
      <c r="U328" s="99" t="s">
        <v>12</v>
      </c>
      <c r="V328" s="99" t="s">
        <v>1913</v>
      </c>
      <c r="W328" s="99" t="s">
        <v>1921</v>
      </c>
      <c r="X328" s="99" t="s">
        <v>2818</v>
      </c>
      <c r="Y328" s="73" t="s">
        <v>2937</v>
      </c>
      <c r="Z328" s="73" t="s">
        <v>4</v>
      </c>
      <c r="AA328" s="99" t="s">
        <v>2818</v>
      </c>
    </row>
    <row r="329" spans="1:27" ht="17.25" customHeight="1">
      <c r="A329" s="65" t="str">
        <f>IF(priority(Main[[#This Row],[Comments]])&lt;&gt;0, priority(Main[[#This Row],[Comments]]),"")</f>
        <v/>
      </c>
      <c r="B329" s="60" t="s">
        <v>1167</v>
      </c>
      <c r="C329" s="105" t="s">
        <v>31</v>
      </c>
      <c r="D329" s="59" t="s">
        <v>222</v>
      </c>
      <c r="E329" s="89"/>
      <c r="F329" s="89">
        <v>40169</v>
      </c>
      <c r="G329" s="65" t="str">
        <f>IF(stdProdLT(Main[[#This Row],[Comments]])=0.1,"N/A",IF(stdProdLT(Main[[#This Row],[Comments]])=0,"",TRIM(stdProdLT(Main[[#This Row],[Comments]]))))</f>
        <v/>
      </c>
      <c r="H329" s="98" t="str">
        <f>IF(Main[[#This Row],[Std. Prod. Lead Time]]="N/A", "",IF(AND(Main[[#This Row],[In Stock Date]]&lt;&gt;"",Main[[#This Row],[Revised Due Date]]&lt;&gt;"",Main[[#This Row],[In Stock Date]]&lt;&gt;""),Main[[#This Row],[In Stock Date]]-Main[[#This Row],[Revised Due Date]],""))</f>
        <v/>
      </c>
      <c r="I329" s="110" t="s">
        <v>4</v>
      </c>
      <c r="J329" s="99" t="s">
        <v>4</v>
      </c>
      <c r="K329" s="99" t="s">
        <v>4</v>
      </c>
      <c r="L329" s="89"/>
      <c r="M329" s="75" t="str">
        <f>IF(Main[[#This Row],[Tech Start Date]]&lt;1/1/1990,"",IF(Main[[#This Row],[Class]]="C",WORKDAY(Main[[#This Row],[Tech Start Date]],9),IF(Main[[#This Row],[Class]]="B", WORKDAY(Main[[#This Row],[Tech Start Date]],6),IF(Main[[#This Row],[Class]]="A",WORKDAY(Main[[#This Row],[Tech Start Date]],2),""))))</f>
        <v/>
      </c>
      <c r="N329" s="75" t="str">
        <f>IF(Main[[#This Row],[Tech Start Date]]&lt;1/1/1990,"",IF(Main[[#This Row],[Class]]="C",WORKDAY(Main[[#This Row],[Tech Start Date]],19),IF(Main[[#This Row],[Class]]="B", WORKDAY(Main[[#This Row],[Tech Start Date]],12),IF(Main[[#This Row],[Class]]="A",WORKDAY(Main[[#This Row],[Tech Start Date]],4),""))))</f>
        <v/>
      </c>
      <c r="O329" s="75" t="str">
        <f>IF(Main[[#This Row],[Tech Start Date]]&lt;1/1/1990,"",IF(Main[[#This Row],[Class]]="C",WORKDAY(Main[[#This Row],[Tech Start Date]],23),IF(Main[[#This Row],[Class]]="B", WORKDAY(Main[[#This Row],[Tech Start Date]],15),IF(Main[[#This Row],[Class]]="A",WORKDAY(Main[[#This Row],[Tech Start Date]],5),""))))</f>
        <v/>
      </c>
      <c r="P329" s="75" t="str">
        <f>IF(Main[[#This Row],[Tech Start Date]]&lt;1/1/1990,"",IF(Main[[#This Row],[Class]]="C",WORKDAY(Main[[#This Row],[Tech Start Date]],28),IF(Main[[#This Row],[Class]]="B", WORKDAY(Main[[#This Row],[Tech Start Date]],19),IF(Main[[#This Row],[Class]]="A",WORKDAY(Main[[#This Row],[Tech Start Date]],9),""))))</f>
        <v/>
      </c>
      <c r="Q329" s="89">
        <v>40169</v>
      </c>
      <c r="R329" s="121"/>
      <c r="S329" s="99" t="s">
        <v>11</v>
      </c>
      <c r="T329" s="76" t="s">
        <v>4</v>
      </c>
      <c r="U329" s="99" t="s">
        <v>14</v>
      </c>
      <c r="V329" s="99" t="s">
        <v>1914</v>
      </c>
      <c r="W329" s="99" t="s">
        <v>1921</v>
      </c>
      <c r="X329" s="99" t="s">
        <v>2829</v>
      </c>
      <c r="Y329" s="73" t="s">
        <v>4</v>
      </c>
      <c r="Z329" s="73" t="s">
        <v>4</v>
      </c>
      <c r="AA329" s="99" t="s">
        <v>2829</v>
      </c>
    </row>
    <row r="330" spans="1:27" ht="17.25" customHeight="1">
      <c r="A330" s="65" t="str">
        <f>IF(priority(Main[[#This Row],[Comments]])&lt;&gt;0, priority(Main[[#This Row],[Comments]]),"")</f>
        <v/>
      </c>
      <c r="B330" s="60" t="s">
        <v>1168</v>
      </c>
      <c r="C330" s="105" t="s">
        <v>72</v>
      </c>
      <c r="D330" s="74" t="s">
        <v>223</v>
      </c>
      <c r="E330" s="89"/>
      <c r="F330" s="89">
        <v>40391</v>
      </c>
      <c r="G330" s="65" t="str">
        <f>IF(stdProdLT(Main[[#This Row],[Comments]])=0.1,"N/A",IF(stdProdLT(Main[[#This Row],[Comments]])=0,"",TRIM(stdProdLT(Main[[#This Row],[Comments]]))))</f>
        <v/>
      </c>
      <c r="H330" s="98" t="str">
        <f>IF(Main[[#This Row],[Std. Prod. Lead Time]]="N/A", "",IF(AND(Main[[#This Row],[In Stock Date]]&lt;&gt;"",Main[[#This Row],[Revised Due Date]]&lt;&gt;"",Main[[#This Row],[In Stock Date]]&lt;&gt;""),Main[[#This Row],[In Stock Date]]-Main[[#This Row],[Revised Due Date]],""))</f>
        <v/>
      </c>
      <c r="I330" s="110" t="s">
        <v>4</v>
      </c>
      <c r="J330" s="99" t="s">
        <v>4</v>
      </c>
      <c r="K330" s="99" t="s">
        <v>4</v>
      </c>
      <c r="L330" s="89"/>
      <c r="M330" s="75" t="str">
        <f>IF(Main[[#This Row],[Tech Start Date]]&lt;1/1/1990,"",IF(Main[[#This Row],[Class]]="C",WORKDAY(Main[[#This Row],[Tech Start Date]],9),IF(Main[[#This Row],[Class]]="B", WORKDAY(Main[[#This Row],[Tech Start Date]],6),IF(Main[[#This Row],[Class]]="A",WORKDAY(Main[[#This Row],[Tech Start Date]],2),""))))</f>
        <v/>
      </c>
      <c r="N330" s="75" t="str">
        <f>IF(Main[[#This Row],[Tech Start Date]]&lt;1/1/1990,"",IF(Main[[#This Row],[Class]]="C",WORKDAY(Main[[#This Row],[Tech Start Date]],19),IF(Main[[#This Row],[Class]]="B", WORKDAY(Main[[#This Row],[Tech Start Date]],12),IF(Main[[#This Row],[Class]]="A",WORKDAY(Main[[#This Row],[Tech Start Date]],4),""))))</f>
        <v/>
      </c>
      <c r="O330" s="75" t="str">
        <f>IF(Main[[#This Row],[Tech Start Date]]&lt;1/1/1990,"",IF(Main[[#This Row],[Class]]="C",WORKDAY(Main[[#This Row],[Tech Start Date]],23),IF(Main[[#This Row],[Class]]="B", WORKDAY(Main[[#This Row],[Tech Start Date]],15),IF(Main[[#This Row],[Class]]="A",WORKDAY(Main[[#This Row],[Tech Start Date]],5),""))))</f>
        <v/>
      </c>
      <c r="P330" s="75" t="str">
        <f>IF(Main[[#This Row],[Tech Start Date]]&lt;1/1/1990,"",IF(Main[[#This Row],[Class]]="C",WORKDAY(Main[[#This Row],[Tech Start Date]],28),IF(Main[[#This Row],[Class]]="B", WORKDAY(Main[[#This Row],[Tech Start Date]],19),IF(Main[[#This Row],[Class]]="A",WORKDAY(Main[[#This Row],[Tech Start Date]],9),""))))</f>
        <v/>
      </c>
      <c r="Q330" s="89">
        <v>40291</v>
      </c>
      <c r="R330" s="121"/>
      <c r="S330" s="99" t="s">
        <v>11</v>
      </c>
      <c r="T330" s="76" t="s">
        <v>4</v>
      </c>
      <c r="U330" s="99" t="s">
        <v>12</v>
      </c>
      <c r="V330" s="99" t="s">
        <v>1914</v>
      </c>
      <c r="W330" s="99" t="s">
        <v>1918</v>
      </c>
      <c r="X330" s="99" t="s">
        <v>2858</v>
      </c>
      <c r="Y330" s="73" t="s">
        <v>4</v>
      </c>
      <c r="Z330" s="73" t="s">
        <v>4</v>
      </c>
      <c r="AA330" s="99" t="s">
        <v>2858</v>
      </c>
    </row>
    <row r="331" spans="1:27" ht="17.25" customHeight="1">
      <c r="A331" s="65" t="str">
        <f>IF(priority(Main[[#This Row],[Comments]])&lt;&gt;0, priority(Main[[#This Row],[Comments]]),"")</f>
        <v/>
      </c>
      <c r="B331" s="60" t="s">
        <v>1170</v>
      </c>
      <c r="C331" s="105" t="s">
        <v>4</v>
      </c>
      <c r="D331" s="74" t="s">
        <v>226</v>
      </c>
      <c r="E331" s="89"/>
      <c r="F331" s="89">
        <v>40574</v>
      </c>
      <c r="G331" s="65" t="str">
        <f>IF(stdProdLT(Main[[#This Row],[Comments]])=0.1,"N/A",IF(stdProdLT(Main[[#This Row],[Comments]])=0,"",TRIM(stdProdLT(Main[[#This Row],[Comments]]))))</f>
        <v/>
      </c>
      <c r="H331" s="98" t="str">
        <f>IF(Main[[#This Row],[Std. Prod. Lead Time]]="N/A", "",IF(AND(Main[[#This Row],[In Stock Date]]&lt;&gt;"",Main[[#This Row],[Revised Due Date]]&lt;&gt;"",Main[[#This Row],[In Stock Date]]&lt;&gt;""),Main[[#This Row],[In Stock Date]]-Main[[#This Row],[Revised Due Date]],""))</f>
        <v/>
      </c>
      <c r="I331" s="110" t="s">
        <v>4</v>
      </c>
      <c r="J331" s="99" t="s">
        <v>28</v>
      </c>
      <c r="K331" s="100" t="s">
        <v>1922</v>
      </c>
      <c r="L331" s="89"/>
      <c r="M331" s="75" t="str">
        <f>IF(Main[[#This Row],[Tech Start Date]]&lt;1/1/1990,"",IF(Main[[#This Row],[Class]]="C",WORKDAY(Main[[#This Row],[Tech Start Date]],9),IF(Main[[#This Row],[Class]]="B", WORKDAY(Main[[#This Row],[Tech Start Date]],6),IF(Main[[#This Row],[Class]]="A",WORKDAY(Main[[#This Row],[Tech Start Date]],2),""))))</f>
        <v/>
      </c>
      <c r="N331" s="75" t="str">
        <f>IF(Main[[#This Row],[Tech Start Date]]&lt;1/1/1990,"",IF(Main[[#This Row],[Class]]="C",WORKDAY(Main[[#This Row],[Tech Start Date]],19),IF(Main[[#This Row],[Class]]="B", WORKDAY(Main[[#This Row],[Tech Start Date]],12),IF(Main[[#This Row],[Class]]="A",WORKDAY(Main[[#This Row],[Tech Start Date]],4),""))))</f>
        <v/>
      </c>
      <c r="O331" s="75" t="str">
        <f>IF(Main[[#This Row],[Tech Start Date]]&lt;1/1/1990,"",IF(Main[[#This Row],[Class]]="C",WORKDAY(Main[[#This Row],[Tech Start Date]],23),IF(Main[[#This Row],[Class]]="B", WORKDAY(Main[[#This Row],[Tech Start Date]],15),IF(Main[[#This Row],[Class]]="A",WORKDAY(Main[[#This Row],[Tech Start Date]],5),""))))</f>
        <v/>
      </c>
      <c r="P331" s="75" t="str">
        <f>IF(Main[[#This Row],[Tech Start Date]]&lt;1/1/1990,"",IF(Main[[#This Row],[Class]]="C",WORKDAY(Main[[#This Row],[Tech Start Date]],28),IF(Main[[#This Row],[Class]]="B", WORKDAY(Main[[#This Row],[Tech Start Date]],19),IF(Main[[#This Row],[Class]]="A",WORKDAY(Main[[#This Row],[Tech Start Date]],9),""))))</f>
        <v/>
      </c>
      <c r="Q331" s="89">
        <v>40574</v>
      </c>
      <c r="R331" s="121"/>
      <c r="S331" s="99" t="s">
        <v>6</v>
      </c>
      <c r="T331" s="76" t="s">
        <v>4</v>
      </c>
      <c r="U331" s="99" t="s">
        <v>14</v>
      </c>
      <c r="V331" s="99" t="s">
        <v>1916</v>
      </c>
      <c r="W331" s="99" t="s">
        <v>1917</v>
      </c>
      <c r="X331" s="99" t="s">
        <v>2816</v>
      </c>
      <c r="Y331" s="73" t="s">
        <v>2932</v>
      </c>
      <c r="Z331" s="73" t="s">
        <v>530</v>
      </c>
      <c r="AA331" s="99" t="s">
        <v>2816</v>
      </c>
    </row>
    <row r="332" spans="1:27" ht="17.25" customHeight="1">
      <c r="A332" s="65" t="str">
        <f>IF(priority(Main[[#This Row],[Comments]])&lt;&gt;0, priority(Main[[#This Row],[Comments]]),"")</f>
        <v/>
      </c>
      <c r="B332" s="60" t="s">
        <v>1173</v>
      </c>
      <c r="C332" s="105" t="s">
        <v>4</v>
      </c>
      <c r="D332" s="74" t="s">
        <v>228</v>
      </c>
      <c r="E332" s="89"/>
      <c r="F332" s="89"/>
      <c r="G332" s="65" t="str">
        <f>IF(stdProdLT(Main[[#This Row],[Comments]])=0.1,"N/A",IF(stdProdLT(Main[[#This Row],[Comments]])=0,"",TRIM(stdProdLT(Main[[#This Row],[Comments]]))))</f>
        <v/>
      </c>
      <c r="H332" s="98" t="str">
        <f>IF(Main[[#This Row],[Std. Prod. Lead Time]]="N/A", "",IF(AND(Main[[#This Row],[In Stock Date]]&lt;&gt;"",Main[[#This Row],[Revised Due Date]]&lt;&gt;"",Main[[#This Row],[In Stock Date]]&lt;&gt;""),Main[[#This Row],[In Stock Date]]-Main[[#This Row],[Revised Due Date]],""))</f>
        <v/>
      </c>
      <c r="I332" s="110" t="s">
        <v>4</v>
      </c>
      <c r="J332" s="99" t="s">
        <v>4</v>
      </c>
      <c r="K332" s="99" t="s">
        <v>4</v>
      </c>
      <c r="L332" s="89"/>
      <c r="M332" s="75" t="str">
        <f>IF(Main[[#This Row],[Tech Start Date]]&lt;1/1/1990,"",IF(Main[[#This Row],[Class]]="C",WORKDAY(Main[[#This Row],[Tech Start Date]],9),IF(Main[[#This Row],[Class]]="B", WORKDAY(Main[[#This Row],[Tech Start Date]],6),IF(Main[[#This Row],[Class]]="A",WORKDAY(Main[[#This Row],[Tech Start Date]],2),""))))</f>
        <v/>
      </c>
      <c r="N332" s="75" t="str">
        <f>IF(Main[[#This Row],[Tech Start Date]]&lt;1/1/1990,"",IF(Main[[#This Row],[Class]]="C",WORKDAY(Main[[#This Row],[Tech Start Date]],19),IF(Main[[#This Row],[Class]]="B", WORKDAY(Main[[#This Row],[Tech Start Date]],12),IF(Main[[#This Row],[Class]]="A",WORKDAY(Main[[#This Row],[Tech Start Date]],4),""))))</f>
        <v/>
      </c>
      <c r="O332" s="75" t="str">
        <f>IF(Main[[#This Row],[Tech Start Date]]&lt;1/1/1990,"",IF(Main[[#This Row],[Class]]="C",WORKDAY(Main[[#This Row],[Tech Start Date]],23),IF(Main[[#This Row],[Class]]="B", WORKDAY(Main[[#This Row],[Tech Start Date]],15),IF(Main[[#This Row],[Class]]="A",WORKDAY(Main[[#This Row],[Tech Start Date]],5),""))))</f>
        <v/>
      </c>
      <c r="P332" s="75" t="str">
        <f>IF(Main[[#This Row],[Tech Start Date]]&lt;1/1/1990,"",IF(Main[[#This Row],[Class]]="C",WORKDAY(Main[[#This Row],[Tech Start Date]],28),IF(Main[[#This Row],[Class]]="B", WORKDAY(Main[[#This Row],[Tech Start Date]],19),IF(Main[[#This Row],[Class]]="A",WORKDAY(Main[[#This Row],[Tech Start Date]],9),""))))</f>
        <v/>
      </c>
      <c r="Q332" s="89">
        <v>40724</v>
      </c>
      <c r="R332" s="121"/>
      <c r="S332" s="99" t="s">
        <v>6</v>
      </c>
      <c r="T332" s="76" t="s">
        <v>4</v>
      </c>
      <c r="U332" s="99" t="s">
        <v>12</v>
      </c>
      <c r="V332" s="99" t="s">
        <v>1913</v>
      </c>
      <c r="W332" s="99" t="s">
        <v>1917</v>
      </c>
      <c r="X332" s="99" t="s">
        <v>877</v>
      </c>
      <c r="Y332" s="73" t="s">
        <v>3003</v>
      </c>
      <c r="Z332" s="73" t="s">
        <v>4</v>
      </c>
      <c r="AA332" s="99" t="s">
        <v>877</v>
      </c>
    </row>
    <row r="333" spans="1:27" ht="17.25" customHeight="1">
      <c r="A333" s="65" t="str">
        <f>IF(priority(Main[[#This Row],[Comments]])&lt;&gt;0, priority(Main[[#This Row],[Comments]]),"")</f>
        <v/>
      </c>
      <c r="B333" s="60" t="s">
        <v>2345</v>
      </c>
      <c r="C333" s="105" t="s">
        <v>53</v>
      </c>
      <c r="D333" s="59" t="s">
        <v>2346</v>
      </c>
      <c r="E333" s="89"/>
      <c r="F333" s="89">
        <v>40845</v>
      </c>
      <c r="G333" s="65" t="str">
        <f>IF(stdProdLT(Main[[#This Row],[Comments]])=0.1,"N/A",IF(stdProdLT(Main[[#This Row],[Comments]])=0,"",TRIM(stdProdLT(Main[[#This Row],[Comments]]))))</f>
        <v/>
      </c>
      <c r="H333" s="98" t="str">
        <f>IF(Main[[#This Row],[Std. Prod. Lead Time]]="N/A", "",IF(AND(Main[[#This Row],[In Stock Date]]&lt;&gt;"",Main[[#This Row],[Revised Due Date]]&lt;&gt;"",Main[[#This Row],[In Stock Date]]&lt;&gt;""),Main[[#This Row],[In Stock Date]]-Main[[#This Row],[Revised Due Date]],""))</f>
        <v/>
      </c>
      <c r="I333" s="110" t="s">
        <v>4</v>
      </c>
      <c r="J333" s="99" t="s">
        <v>28</v>
      </c>
      <c r="K333" s="99" t="s">
        <v>4</v>
      </c>
      <c r="L333" s="89"/>
      <c r="M333" s="75" t="str">
        <f>IF(Main[[#This Row],[Tech Start Date]]&lt;1/1/1990,"",IF(Main[[#This Row],[Class]]="C",WORKDAY(Main[[#This Row],[Tech Start Date]],9),IF(Main[[#This Row],[Class]]="B", WORKDAY(Main[[#This Row],[Tech Start Date]],6),IF(Main[[#This Row],[Class]]="A",WORKDAY(Main[[#This Row],[Tech Start Date]],2),""))))</f>
        <v/>
      </c>
      <c r="N333" s="75" t="str">
        <f>IF(Main[[#This Row],[Tech Start Date]]&lt;1/1/1990,"",IF(Main[[#This Row],[Class]]="C",WORKDAY(Main[[#This Row],[Tech Start Date]],19),IF(Main[[#This Row],[Class]]="B", WORKDAY(Main[[#This Row],[Tech Start Date]],12),IF(Main[[#This Row],[Class]]="A",WORKDAY(Main[[#This Row],[Tech Start Date]],4),""))))</f>
        <v/>
      </c>
      <c r="O333" s="75" t="str">
        <f>IF(Main[[#This Row],[Tech Start Date]]&lt;1/1/1990,"",IF(Main[[#This Row],[Class]]="C",WORKDAY(Main[[#This Row],[Tech Start Date]],23),IF(Main[[#This Row],[Class]]="B", WORKDAY(Main[[#This Row],[Tech Start Date]],15),IF(Main[[#This Row],[Class]]="A",WORKDAY(Main[[#This Row],[Tech Start Date]],5),""))))</f>
        <v/>
      </c>
      <c r="P333" s="75" t="str">
        <f>IF(Main[[#This Row],[Tech Start Date]]&lt;1/1/1990,"",IF(Main[[#This Row],[Class]]="C",WORKDAY(Main[[#This Row],[Tech Start Date]],28),IF(Main[[#This Row],[Class]]="B", WORKDAY(Main[[#This Row],[Tech Start Date]],19),IF(Main[[#This Row],[Class]]="A",WORKDAY(Main[[#This Row],[Tech Start Date]],9),""))))</f>
        <v/>
      </c>
      <c r="Q333" s="89">
        <v>40840</v>
      </c>
      <c r="R333" s="121"/>
      <c r="S333" s="99" t="s">
        <v>11</v>
      </c>
      <c r="T333" s="76" t="s">
        <v>2347</v>
      </c>
      <c r="U333" s="99" t="s">
        <v>12</v>
      </c>
      <c r="V333" s="99" t="s">
        <v>1914</v>
      </c>
      <c r="W333" s="99" t="s">
        <v>1915</v>
      </c>
      <c r="X333" s="99" t="s">
        <v>2245</v>
      </c>
      <c r="Y333" s="73" t="s">
        <v>4</v>
      </c>
      <c r="Z333" s="73" t="s">
        <v>2049</v>
      </c>
      <c r="AA333" s="99" t="s">
        <v>2810</v>
      </c>
    </row>
    <row r="334" spans="1:27" ht="17.25" customHeight="1">
      <c r="A334" s="65" t="str">
        <f>IF(priority(Main[[#This Row],[Comments]])&lt;&gt;0, priority(Main[[#This Row],[Comments]]),"")</f>
        <v/>
      </c>
      <c r="B334" s="60" t="s">
        <v>1176</v>
      </c>
      <c r="C334" s="105" t="s">
        <v>67</v>
      </c>
      <c r="D334" s="59" t="s">
        <v>231</v>
      </c>
      <c r="E334" s="89"/>
      <c r="F334" s="89"/>
      <c r="G334" s="65" t="str">
        <f>IF(stdProdLT(Main[[#This Row],[Comments]])=0.1,"N/A",IF(stdProdLT(Main[[#This Row],[Comments]])=0,"",TRIM(stdProdLT(Main[[#This Row],[Comments]]))))</f>
        <v/>
      </c>
      <c r="H334" s="98" t="str">
        <f>IF(Main[[#This Row],[Std. Prod. Lead Time]]="N/A", "",IF(AND(Main[[#This Row],[In Stock Date]]&lt;&gt;"",Main[[#This Row],[Revised Due Date]]&lt;&gt;"",Main[[#This Row],[In Stock Date]]&lt;&gt;""),Main[[#This Row],[In Stock Date]]-Main[[#This Row],[Revised Due Date]],""))</f>
        <v/>
      </c>
      <c r="I334" s="110" t="s">
        <v>4</v>
      </c>
      <c r="J334" s="99" t="s">
        <v>4</v>
      </c>
      <c r="K334" s="99" t="s">
        <v>4</v>
      </c>
      <c r="L334" s="89"/>
      <c r="M334" s="75" t="str">
        <f>IF(Main[[#This Row],[Tech Start Date]]&lt;1/1/1990,"",IF(Main[[#This Row],[Class]]="C",WORKDAY(Main[[#This Row],[Tech Start Date]],9),IF(Main[[#This Row],[Class]]="B", WORKDAY(Main[[#This Row],[Tech Start Date]],6),IF(Main[[#This Row],[Class]]="A",WORKDAY(Main[[#This Row],[Tech Start Date]],2),""))))</f>
        <v/>
      </c>
      <c r="N334" s="75" t="str">
        <f>IF(Main[[#This Row],[Tech Start Date]]&lt;1/1/1990,"",IF(Main[[#This Row],[Class]]="C",WORKDAY(Main[[#This Row],[Tech Start Date]],19),IF(Main[[#This Row],[Class]]="B", WORKDAY(Main[[#This Row],[Tech Start Date]],12),IF(Main[[#This Row],[Class]]="A",WORKDAY(Main[[#This Row],[Tech Start Date]],4),""))))</f>
        <v/>
      </c>
      <c r="O334" s="75" t="str">
        <f>IF(Main[[#This Row],[Tech Start Date]]&lt;1/1/1990,"",IF(Main[[#This Row],[Class]]="C",WORKDAY(Main[[#This Row],[Tech Start Date]],23),IF(Main[[#This Row],[Class]]="B", WORKDAY(Main[[#This Row],[Tech Start Date]],15),IF(Main[[#This Row],[Class]]="A",WORKDAY(Main[[#This Row],[Tech Start Date]],5),""))))</f>
        <v/>
      </c>
      <c r="P334" s="75" t="str">
        <f>IF(Main[[#This Row],[Tech Start Date]]&lt;1/1/1990,"",IF(Main[[#This Row],[Class]]="C",WORKDAY(Main[[#This Row],[Tech Start Date]],28),IF(Main[[#This Row],[Class]]="B", WORKDAY(Main[[#This Row],[Tech Start Date]],19),IF(Main[[#This Row],[Class]]="A",WORKDAY(Main[[#This Row],[Tech Start Date]],9),""))))</f>
        <v/>
      </c>
      <c r="Q334" s="89">
        <v>40466</v>
      </c>
      <c r="R334" s="121"/>
      <c r="S334" s="99" t="s">
        <v>17</v>
      </c>
      <c r="T334" s="76" t="s">
        <v>4</v>
      </c>
      <c r="U334" s="99" t="s">
        <v>14</v>
      </c>
      <c r="V334" s="99" t="s">
        <v>1916</v>
      </c>
      <c r="W334" s="99" t="s">
        <v>1921</v>
      </c>
      <c r="X334" s="99" t="s">
        <v>415</v>
      </c>
      <c r="Y334" s="73" t="s">
        <v>2943</v>
      </c>
      <c r="Z334" s="73" t="s">
        <v>415</v>
      </c>
      <c r="AA334" s="99" t="s">
        <v>415</v>
      </c>
    </row>
    <row r="335" spans="1:27" ht="17.25" customHeight="1">
      <c r="A335" s="65" t="str">
        <f>IF(priority(Main[[#This Row],[Comments]])&lt;&gt;0, priority(Main[[#This Row],[Comments]]),"")</f>
        <v/>
      </c>
      <c r="B335" s="60" t="s">
        <v>1177</v>
      </c>
      <c r="C335" s="105" t="s">
        <v>72</v>
      </c>
      <c r="D335" s="74" t="s">
        <v>223</v>
      </c>
      <c r="E335" s="89"/>
      <c r="F335" s="89">
        <v>40391</v>
      </c>
      <c r="G335" s="65" t="str">
        <f>IF(stdProdLT(Main[[#This Row],[Comments]])=0.1,"N/A",IF(stdProdLT(Main[[#This Row],[Comments]])=0,"",TRIM(stdProdLT(Main[[#This Row],[Comments]]))))</f>
        <v/>
      </c>
      <c r="H335" s="98" t="str">
        <f>IF(Main[[#This Row],[Std. Prod. Lead Time]]="N/A", "",IF(AND(Main[[#This Row],[In Stock Date]]&lt;&gt;"",Main[[#This Row],[Revised Due Date]]&lt;&gt;"",Main[[#This Row],[In Stock Date]]&lt;&gt;""),Main[[#This Row],[In Stock Date]]-Main[[#This Row],[Revised Due Date]],""))</f>
        <v/>
      </c>
      <c r="I335" s="110" t="s">
        <v>4</v>
      </c>
      <c r="J335" s="99" t="s">
        <v>4</v>
      </c>
      <c r="K335" s="99" t="s">
        <v>4</v>
      </c>
      <c r="L335" s="89"/>
      <c r="M335" s="75" t="str">
        <f>IF(Main[[#This Row],[Tech Start Date]]&lt;1/1/1990,"",IF(Main[[#This Row],[Class]]="C",WORKDAY(Main[[#This Row],[Tech Start Date]],9),IF(Main[[#This Row],[Class]]="B", WORKDAY(Main[[#This Row],[Tech Start Date]],6),IF(Main[[#This Row],[Class]]="A",WORKDAY(Main[[#This Row],[Tech Start Date]],2),""))))</f>
        <v/>
      </c>
      <c r="N335" s="75" t="str">
        <f>IF(Main[[#This Row],[Tech Start Date]]&lt;1/1/1990,"",IF(Main[[#This Row],[Class]]="C",WORKDAY(Main[[#This Row],[Tech Start Date]],19),IF(Main[[#This Row],[Class]]="B", WORKDAY(Main[[#This Row],[Tech Start Date]],12),IF(Main[[#This Row],[Class]]="A",WORKDAY(Main[[#This Row],[Tech Start Date]],4),""))))</f>
        <v/>
      </c>
      <c r="O335" s="75" t="str">
        <f>IF(Main[[#This Row],[Tech Start Date]]&lt;1/1/1990,"",IF(Main[[#This Row],[Class]]="C",WORKDAY(Main[[#This Row],[Tech Start Date]],23),IF(Main[[#This Row],[Class]]="B", WORKDAY(Main[[#This Row],[Tech Start Date]],15),IF(Main[[#This Row],[Class]]="A",WORKDAY(Main[[#This Row],[Tech Start Date]],5),""))))</f>
        <v/>
      </c>
      <c r="P335" s="75" t="str">
        <f>IF(Main[[#This Row],[Tech Start Date]]&lt;1/1/1990,"",IF(Main[[#This Row],[Class]]="C",WORKDAY(Main[[#This Row],[Tech Start Date]],28),IF(Main[[#This Row],[Class]]="B", WORKDAY(Main[[#This Row],[Tech Start Date]],19),IF(Main[[#This Row],[Class]]="A",WORKDAY(Main[[#This Row],[Tech Start Date]],9),""))))</f>
        <v/>
      </c>
      <c r="Q335" s="89">
        <v>40291</v>
      </c>
      <c r="R335" s="121"/>
      <c r="S335" s="99" t="s">
        <v>11</v>
      </c>
      <c r="T335" s="76" t="s">
        <v>4</v>
      </c>
      <c r="U335" s="99" t="s">
        <v>12</v>
      </c>
      <c r="V335" s="99" t="s">
        <v>1914</v>
      </c>
      <c r="W335" s="99" t="s">
        <v>1918</v>
      </c>
      <c r="X335" s="99" t="s">
        <v>2858</v>
      </c>
      <c r="Y335" s="73" t="s">
        <v>4</v>
      </c>
      <c r="Z335" s="73" t="s">
        <v>4</v>
      </c>
      <c r="AA335" s="99" t="s">
        <v>2858</v>
      </c>
    </row>
    <row r="336" spans="1:27" ht="17.25" customHeight="1">
      <c r="A336" s="65" t="str">
        <f>IF(priority(Main[[#This Row],[Comments]])&lt;&gt;0, priority(Main[[#This Row],[Comments]]),"")</f>
        <v/>
      </c>
      <c r="B336" s="60" t="s">
        <v>1219</v>
      </c>
      <c r="C336" s="105" t="s">
        <v>4</v>
      </c>
      <c r="D336" s="59" t="s">
        <v>279</v>
      </c>
      <c r="E336" s="89"/>
      <c r="F336" s="89"/>
      <c r="G336" s="65" t="str">
        <f>IF(stdProdLT(Main[[#This Row],[Comments]])=0.1,"N/A",IF(stdProdLT(Main[[#This Row],[Comments]])=0,"",TRIM(stdProdLT(Main[[#This Row],[Comments]]))))</f>
        <v/>
      </c>
      <c r="H336" s="98" t="str">
        <f>IF(Main[[#This Row],[Std. Prod. Lead Time]]="N/A", "",IF(AND(Main[[#This Row],[In Stock Date]]&lt;&gt;"",Main[[#This Row],[Revised Due Date]]&lt;&gt;"",Main[[#This Row],[In Stock Date]]&lt;&gt;""),Main[[#This Row],[In Stock Date]]-Main[[#This Row],[Revised Due Date]],""))</f>
        <v/>
      </c>
      <c r="I336" s="110" t="s">
        <v>4</v>
      </c>
      <c r="J336" s="99" t="s">
        <v>4</v>
      </c>
      <c r="K336" s="99" t="s">
        <v>4</v>
      </c>
      <c r="L336" s="89"/>
      <c r="M336" s="75" t="str">
        <f>IF(Main[[#This Row],[Tech Start Date]]&lt;1/1/1990,"",IF(Main[[#This Row],[Class]]="C",WORKDAY(Main[[#This Row],[Tech Start Date]],9),IF(Main[[#This Row],[Class]]="B", WORKDAY(Main[[#This Row],[Tech Start Date]],6),IF(Main[[#This Row],[Class]]="A",WORKDAY(Main[[#This Row],[Tech Start Date]],2),""))))</f>
        <v/>
      </c>
      <c r="N336" s="75" t="str">
        <f>IF(Main[[#This Row],[Tech Start Date]]&lt;1/1/1990,"",IF(Main[[#This Row],[Class]]="C",WORKDAY(Main[[#This Row],[Tech Start Date]],19),IF(Main[[#This Row],[Class]]="B", WORKDAY(Main[[#This Row],[Tech Start Date]],12),IF(Main[[#This Row],[Class]]="A",WORKDAY(Main[[#This Row],[Tech Start Date]],4),""))))</f>
        <v/>
      </c>
      <c r="O336" s="75" t="str">
        <f>IF(Main[[#This Row],[Tech Start Date]]&lt;1/1/1990,"",IF(Main[[#This Row],[Class]]="C",WORKDAY(Main[[#This Row],[Tech Start Date]],23),IF(Main[[#This Row],[Class]]="B", WORKDAY(Main[[#This Row],[Tech Start Date]],15),IF(Main[[#This Row],[Class]]="A",WORKDAY(Main[[#This Row],[Tech Start Date]],5),""))))</f>
        <v/>
      </c>
      <c r="P336" s="75" t="str">
        <f>IF(Main[[#This Row],[Tech Start Date]]&lt;1/1/1990,"",IF(Main[[#This Row],[Class]]="C",WORKDAY(Main[[#This Row],[Tech Start Date]],28),IF(Main[[#This Row],[Class]]="B", WORKDAY(Main[[#This Row],[Tech Start Date]],19),IF(Main[[#This Row],[Class]]="A",WORKDAY(Main[[#This Row],[Tech Start Date]],9),""))))</f>
        <v/>
      </c>
      <c r="Q336" s="89"/>
      <c r="R336" s="121"/>
      <c r="S336" s="99" t="s">
        <v>23</v>
      </c>
      <c r="T336" s="76" t="s">
        <v>4</v>
      </c>
      <c r="U336" s="99" t="s">
        <v>12</v>
      </c>
      <c r="V336" s="99" t="s">
        <v>1913</v>
      </c>
      <c r="W336" s="99" t="s">
        <v>1917</v>
      </c>
      <c r="X336" s="99" t="s">
        <v>399</v>
      </c>
      <c r="Y336" s="73" t="s">
        <v>4</v>
      </c>
      <c r="Z336" s="73" t="s">
        <v>4</v>
      </c>
      <c r="AA336" s="99" t="s">
        <v>3371</v>
      </c>
    </row>
    <row r="337" spans="1:27" ht="17.25" customHeight="1">
      <c r="A337" s="65" t="str">
        <f>IF(priority(Main[[#This Row],[Comments]])&lt;&gt;0, priority(Main[[#This Row],[Comments]]),"")</f>
        <v/>
      </c>
      <c r="B337" s="60" t="s">
        <v>1220</v>
      </c>
      <c r="C337" s="105" t="s">
        <v>31</v>
      </c>
      <c r="D337" s="74" t="s">
        <v>280</v>
      </c>
      <c r="E337" s="89"/>
      <c r="F337" s="89"/>
      <c r="G337" s="65" t="str">
        <f>IF(stdProdLT(Main[[#This Row],[Comments]])=0.1,"N/A",IF(stdProdLT(Main[[#This Row],[Comments]])=0,"",TRIM(stdProdLT(Main[[#This Row],[Comments]]))))</f>
        <v/>
      </c>
      <c r="H337" s="98" t="str">
        <f>IF(Main[[#This Row],[Std. Prod. Lead Time]]="N/A", "",IF(AND(Main[[#This Row],[In Stock Date]]&lt;&gt;"",Main[[#This Row],[Revised Due Date]]&lt;&gt;"",Main[[#This Row],[In Stock Date]]&lt;&gt;""),Main[[#This Row],[In Stock Date]]-Main[[#This Row],[Revised Due Date]],""))</f>
        <v/>
      </c>
      <c r="I337" s="110" t="s">
        <v>4</v>
      </c>
      <c r="J337" s="99" t="s">
        <v>4</v>
      </c>
      <c r="K337" s="99" t="s">
        <v>4</v>
      </c>
      <c r="L337" s="89"/>
      <c r="M337" s="75" t="str">
        <f>IF(Main[[#This Row],[Tech Start Date]]&lt;1/1/1990,"",IF(Main[[#This Row],[Class]]="C",WORKDAY(Main[[#This Row],[Tech Start Date]],9),IF(Main[[#This Row],[Class]]="B", WORKDAY(Main[[#This Row],[Tech Start Date]],6),IF(Main[[#This Row],[Class]]="A",WORKDAY(Main[[#This Row],[Tech Start Date]],2),""))))</f>
        <v/>
      </c>
      <c r="N337" s="75" t="str">
        <f>IF(Main[[#This Row],[Tech Start Date]]&lt;1/1/1990,"",IF(Main[[#This Row],[Class]]="C",WORKDAY(Main[[#This Row],[Tech Start Date]],19),IF(Main[[#This Row],[Class]]="B", WORKDAY(Main[[#This Row],[Tech Start Date]],12),IF(Main[[#This Row],[Class]]="A",WORKDAY(Main[[#This Row],[Tech Start Date]],4),""))))</f>
        <v/>
      </c>
      <c r="O337" s="75" t="str">
        <f>IF(Main[[#This Row],[Tech Start Date]]&lt;1/1/1990,"",IF(Main[[#This Row],[Class]]="C",WORKDAY(Main[[#This Row],[Tech Start Date]],23),IF(Main[[#This Row],[Class]]="B", WORKDAY(Main[[#This Row],[Tech Start Date]],15),IF(Main[[#This Row],[Class]]="A",WORKDAY(Main[[#This Row],[Tech Start Date]],5),""))))</f>
        <v/>
      </c>
      <c r="P337" s="75" t="str">
        <f>IF(Main[[#This Row],[Tech Start Date]]&lt;1/1/1990,"",IF(Main[[#This Row],[Class]]="C",WORKDAY(Main[[#This Row],[Tech Start Date]],28),IF(Main[[#This Row],[Class]]="B", WORKDAY(Main[[#This Row],[Tech Start Date]],19),IF(Main[[#This Row],[Class]]="A",WORKDAY(Main[[#This Row],[Tech Start Date]],9),""))))</f>
        <v/>
      </c>
      <c r="Q337" s="89">
        <v>40318</v>
      </c>
      <c r="R337" s="121"/>
      <c r="S337" s="99" t="s">
        <v>11</v>
      </c>
      <c r="T337" s="76" t="s">
        <v>4</v>
      </c>
      <c r="U337" s="99" t="s">
        <v>14</v>
      </c>
      <c r="V337" s="99" t="s">
        <v>1923</v>
      </c>
      <c r="W337" s="99" t="s">
        <v>1915</v>
      </c>
      <c r="X337" s="99" t="s">
        <v>2824</v>
      </c>
      <c r="Y337" s="73" t="s">
        <v>4</v>
      </c>
      <c r="Z337" s="73" t="s">
        <v>4</v>
      </c>
      <c r="AA337" s="99" t="s">
        <v>2824</v>
      </c>
    </row>
    <row r="338" spans="1:27" ht="17.25" customHeight="1">
      <c r="A338" s="65" t="str">
        <f>IF(priority(Main[[#This Row],[Comments]])&lt;&gt;0, priority(Main[[#This Row],[Comments]]),"")</f>
        <v/>
      </c>
      <c r="B338" s="60" t="s">
        <v>1822</v>
      </c>
      <c r="C338" s="105" t="s">
        <v>79</v>
      </c>
      <c r="D338" s="59" t="s">
        <v>874</v>
      </c>
      <c r="E338" s="89">
        <v>40072.658055555556</v>
      </c>
      <c r="F338" s="89">
        <v>40157</v>
      </c>
      <c r="G338" s="65" t="str">
        <f>IF(stdProdLT(Main[[#This Row],[Comments]])=0.1,"N/A",IF(stdProdLT(Main[[#This Row],[Comments]])=0,"",TRIM(stdProdLT(Main[[#This Row],[Comments]]))))</f>
        <v/>
      </c>
      <c r="H338" s="98">
        <f>IF(Main[[#This Row],[Std. Prod. Lead Time]]="N/A", "",IF(AND(Main[[#This Row],[In Stock Date]]&lt;&gt;"",Main[[#This Row],[Revised Due Date]]&lt;&gt;"",Main[[#This Row],[In Stock Date]]&lt;&gt;""),Main[[#This Row],[In Stock Date]]-Main[[#This Row],[Revised Due Date]],""))</f>
        <v>-171</v>
      </c>
      <c r="I338" s="110" t="s">
        <v>4</v>
      </c>
      <c r="J338" s="99" t="s">
        <v>4</v>
      </c>
      <c r="K338" s="99" t="s">
        <v>1925</v>
      </c>
      <c r="L338" s="89"/>
      <c r="M338" s="75" t="str">
        <f>IF(Main[[#This Row],[Tech Start Date]]&lt;1/1/1990,"",IF(Main[[#This Row],[Class]]="C",WORKDAY(Main[[#This Row],[Tech Start Date]],9),IF(Main[[#This Row],[Class]]="B", WORKDAY(Main[[#This Row],[Tech Start Date]],6),IF(Main[[#This Row],[Class]]="A",WORKDAY(Main[[#This Row],[Tech Start Date]],2),""))))</f>
        <v/>
      </c>
      <c r="N338" s="75" t="str">
        <f>IF(Main[[#This Row],[Tech Start Date]]&lt;1/1/1990,"",IF(Main[[#This Row],[Class]]="C",WORKDAY(Main[[#This Row],[Tech Start Date]],19),IF(Main[[#This Row],[Class]]="B", WORKDAY(Main[[#This Row],[Tech Start Date]],12),IF(Main[[#This Row],[Class]]="A",WORKDAY(Main[[#This Row],[Tech Start Date]],4),""))))</f>
        <v/>
      </c>
      <c r="O338" s="75" t="str">
        <f>IF(Main[[#This Row],[Tech Start Date]]&lt;1/1/1990,"",IF(Main[[#This Row],[Class]]="C",WORKDAY(Main[[#This Row],[Tech Start Date]],23),IF(Main[[#This Row],[Class]]="B", WORKDAY(Main[[#This Row],[Tech Start Date]],15),IF(Main[[#This Row],[Class]]="A",WORKDAY(Main[[#This Row],[Tech Start Date]],5),""))))</f>
        <v/>
      </c>
      <c r="P338" s="75" t="str">
        <f>IF(Main[[#This Row],[Tech Start Date]]&lt;1/1/1990,"",IF(Main[[#This Row],[Class]]="C",WORKDAY(Main[[#This Row],[Tech Start Date]],28),IF(Main[[#This Row],[Class]]="B", WORKDAY(Main[[#This Row],[Tech Start Date]],19),IF(Main[[#This Row],[Class]]="A",WORKDAY(Main[[#This Row],[Tech Start Date]],9),""))))</f>
        <v/>
      </c>
      <c r="Q338" s="89">
        <v>40117</v>
      </c>
      <c r="R338" s="121">
        <v>40328</v>
      </c>
      <c r="S338" s="99" t="s">
        <v>17</v>
      </c>
      <c r="T338" s="76" t="s">
        <v>4</v>
      </c>
      <c r="U338" s="99" t="s">
        <v>29</v>
      </c>
      <c r="V338" s="99" t="s">
        <v>1914</v>
      </c>
      <c r="W338" s="99" t="s">
        <v>1918</v>
      </c>
      <c r="X338" s="99" t="s">
        <v>2855</v>
      </c>
      <c r="Y338" s="73" t="s">
        <v>2950</v>
      </c>
      <c r="Z338" s="73" t="s">
        <v>4</v>
      </c>
      <c r="AA338" s="99" t="s">
        <v>2855</v>
      </c>
    </row>
    <row r="339" spans="1:27" ht="17.25" customHeight="1">
      <c r="A339" s="65" t="str">
        <f>IF(priority(Main[[#This Row],[Comments]])&lt;&gt;0, priority(Main[[#This Row],[Comments]]),"")</f>
        <v/>
      </c>
      <c r="B339" s="60" t="s">
        <v>1223</v>
      </c>
      <c r="C339" s="105" t="s">
        <v>169</v>
      </c>
      <c r="D339" s="74" t="s">
        <v>232</v>
      </c>
      <c r="E339" s="89"/>
      <c r="F339" s="89">
        <v>40237</v>
      </c>
      <c r="G339" s="65" t="str">
        <f>IF(stdProdLT(Main[[#This Row],[Comments]])=0.1,"N/A",IF(stdProdLT(Main[[#This Row],[Comments]])=0,"",TRIM(stdProdLT(Main[[#This Row],[Comments]]))))</f>
        <v/>
      </c>
      <c r="H339" s="98" t="str">
        <f>IF(Main[[#This Row],[Std. Prod. Lead Time]]="N/A", "",IF(AND(Main[[#This Row],[In Stock Date]]&lt;&gt;"",Main[[#This Row],[Revised Due Date]]&lt;&gt;"",Main[[#This Row],[In Stock Date]]&lt;&gt;""),Main[[#This Row],[In Stock Date]]-Main[[#This Row],[Revised Due Date]],""))</f>
        <v/>
      </c>
      <c r="I339" s="110" t="s">
        <v>4</v>
      </c>
      <c r="J339" s="99" t="s">
        <v>4</v>
      </c>
      <c r="K339" s="99" t="s">
        <v>4</v>
      </c>
      <c r="L339" s="89"/>
      <c r="M339" s="75" t="str">
        <f>IF(Main[[#This Row],[Tech Start Date]]&lt;1/1/1990,"",IF(Main[[#This Row],[Class]]="C",WORKDAY(Main[[#This Row],[Tech Start Date]],9),IF(Main[[#This Row],[Class]]="B", WORKDAY(Main[[#This Row],[Tech Start Date]],6),IF(Main[[#This Row],[Class]]="A",WORKDAY(Main[[#This Row],[Tech Start Date]],2),""))))</f>
        <v/>
      </c>
      <c r="N339" s="75" t="str">
        <f>IF(Main[[#This Row],[Tech Start Date]]&lt;1/1/1990,"",IF(Main[[#This Row],[Class]]="C",WORKDAY(Main[[#This Row],[Tech Start Date]],19),IF(Main[[#This Row],[Class]]="B", WORKDAY(Main[[#This Row],[Tech Start Date]],12),IF(Main[[#This Row],[Class]]="A",WORKDAY(Main[[#This Row],[Tech Start Date]],4),""))))</f>
        <v/>
      </c>
      <c r="O339" s="75" t="str">
        <f>IF(Main[[#This Row],[Tech Start Date]]&lt;1/1/1990,"",IF(Main[[#This Row],[Class]]="C",WORKDAY(Main[[#This Row],[Tech Start Date]],23),IF(Main[[#This Row],[Class]]="B", WORKDAY(Main[[#This Row],[Tech Start Date]],15),IF(Main[[#This Row],[Class]]="A",WORKDAY(Main[[#This Row],[Tech Start Date]],5),""))))</f>
        <v/>
      </c>
      <c r="P339" s="75" t="str">
        <f>IF(Main[[#This Row],[Tech Start Date]]&lt;1/1/1990,"",IF(Main[[#This Row],[Class]]="C",WORKDAY(Main[[#This Row],[Tech Start Date]],28),IF(Main[[#This Row],[Class]]="B", WORKDAY(Main[[#This Row],[Tech Start Date]],19),IF(Main[[#This Row],[Class]]="A",WORKDAY(Main[[#This Row],[Tech Start Date]],9),""))))</f>
        <v/>
      </c>
      <c r="Q339" s="89">
        <v>40132</v>
      </c>
      <c r="R339" s="121"/>
      <c r="S339" s="99" t="s">
        <v>11</v>
      </c>
      <c r="T339" s="76" t="s">
        <v>4</v>
      </c>
      <c r="U339" s="99" t="s">
        <v>14</v>
      </c>
      <c r="V339" s="99" t="s">
        <v>1913</v>
      </c>
      <c r="W339" s="99" t="s">
        <v>1918</v>
      </c>
      <c r="X339" s="99" t="s">
        <v>2852</v>
      </c>
      <c r="Y339" s="73" t="s">
        <v>4</v>
      </c>
      <c r="Z339" s="73" t="s">
        <v>4</v>
      </c>
      <c r="AA339" s="99" t="s">
        <v>2852</v>
      </c>
    </row>
    <row r="340" spans="1:27" ht="17.25" customHeight="1">
      <c r="A340" s="65" t="str">
        <f>IF(priority(Main[[#This Row],[Comments]])&lt;&gt;0, priority(Main[[#This Row],[Comments]]),"")</f>
        <v/>
      </c>
      <c r="B340" s="60" t="s">
        <v>1224</v>
      </c>
      <c r="C340" s="105" t="s">
        <v>4</v>
      </c>
      <c r="D340" s="74" t="s">
        <v>233</v>
      </c>
      <c r="E340" s="89">
        <v>40403.488668981481</v>
      </c>
      <c r="F340" s="89"/>
      <c r="G340" s="65" t="str">
        <f>IF(stdProdLT(Main[[#This Row],[Comments]])=0.1,"N/A",IF(stdProdLT(Main[[#This Row],[Comments]])=0,"",TRIM(stdProdLT(Main[[#This Row],[Comments]]))))</f>
        <v/>
      </c>
      <c r="H340" s="98" t="str">
        <f>IF(Main[[#This Row],[Std. Prod. Lead Time]]="N/A", "",IF(AND(Main[[#This Row],[In Stock Date]]&lt;&gt;"",Main[[#This Row],[Revised Due Date]]&lt;&gt;"",Main[[#This Row],[In Stock Date]]&lt;&gt;""),Main[[#This Row],[In Stock Date]]-Main[[#This Row],[Revised Due Date]],""))</f>
        <v/>
      </c>
      <c r="I340" s="110" t="s">
        <v>129</v>
      </c>
      <c r="J340" s="99" t="s">
        <v>28</v>
      </c>
      <c r="K340" s="99" t="s">
        <v>4</v>
      </c>
      <c r="L340" s="89"/>
      <c r="M340" s="75" t="str">
        <f>IF(Main[[#This Row],[Tech Start Date]]&lt;1/1/1990,"",IF(Main[[#This Row],[Class]]="C",WORKDAY(Main[[#This Row],[Tech Start Date]],9),IF(Main[[#This Row],[Class]]="B", WORKDAY(Main[[#This Row],[Tech Start Date]],6),IF(Main[[#This Row],[Class]]="A",WORKDAY(Main[[#This Row],[Tech Start Date]],2),""))))</f>
        <v/>
      </c>
      <c r="N340" s="75" t="str">
        <f>IF(Main[[#This Row],[Tech Start Date]]&lt;1/1/1990,"",IF(Main[[#This Row],[Class]]="C",WORKDAY(Main[[#This Row],[Tech Start Date]],19),IF(Main[[#This Row],[Class]]="B", WORKDAY(Main[[#This Row],[Tech Start Date]],12),IF(Main[[#This Row],[Class]]="A",WORKDAY(Main[[#This Row],[Tech Start Date]],4),""))))</f>
        <v/>
      </c>
      <c r="O340" s="75" t="str">
        <f>IF(Main[[#This Row],[Tech Start Date]]&lt;1/1/1990,"",IF(Main[[#This Row],[Class]]="C",WORKDAY(Main[[#This Row],[Tech Start Date]],23),IF(Main[[#This Row],[Class]]="B", WORKDAY(Main[[#This Row],[Tech Start Date]],15),IF(Main[[#This Row],[Class]]="A",WORKDAY(Main[[#This Row],[Tech Start Date]],5),""))))</f>
        <v/>
      </c>
      <c r="P340" s="75" t="str">
        <f>IF(Main[[#This Row],[Tech Start Date]]&lt;1/1/1990,"",IF(Main[[#This Row],[Class]]="C",WORKDAY(Main[[#This Row],[Tech Start Date]],28),IF(Main[[#This Row],[Class]]="B", WORKDAY(Main[[#This Row],[Tech Start Date]],19),IF(Main[[#This Row],[Class]]="A",WORKDAY(Main[[#This Row],[Tech Start Date]],9),""))))</f>
        <v/>
      </c>
      <c r="Q340" s="89">
        <v>40438</v>
      </c>
      <c r="R340" s="121"/>
      <c r="S340" s="99" t="s">
        <v>6</v>
      </c>
      <c r="T340" s="76" t="s">
        <v>4</v>
      </c>
      <c r="U340" s="99" t="s">
        <v>7</v>
      </c>
      <c r="V340" s="99" t="s">
        <v>1913</v>
      </c>
      <c r="W340" s="99" t="s">
        <v>1917</v>
      </c>
      <c r="X340" s="99" t="s">
        <v>2812</v>
      </c>
      <c r="Y340" s="73" t="s">
        <v>2923</v>
      </c>
      <c r="Z340" s="73" t="s">
        <v>129</v>
      </c>
      <c r="AA340" s="99" t="s">
        <v>2812</v>
      </c>
    </row>
    <row r="341" spans="1:27" ht="17.25" customHeight="1">
      <c r="A341" s="65" t="str">
        <f>IF(priority(Main[[#This Row],[Comments]])&lt;&gt;0, priority(Main[[#This Row],[Comments]]),"")</f>
        <v/>
      </c>
      <c r="B341" s="60" t="s">
        <v>1178</v>
      </c>
      <c r="C341" s="105" t="s">
        <v>234</v>
      </c>
      <c r="D341" s="59" t="s">
        <v>235</v>
      </c>
      <c r="E341" s="89"/>
      <c r="F341" s="89"/>
      <c r="G341" s="65" t="str">
        <f>IF(stdProdLT(Main[[#This Row],[Comments]])=0.1,"N/A",IF(stdProdLT(Main[[#This Row],[Comments]])=0,"",TRIM(stdProdLT(Main[[#This Row],[Comments]]))))</f>
        <v/>
      </c>
      <c r="H341" s="98" t="str">
        <f>IF(Main[[#This Row],[Std. Prod. Lead Time]]="N/A", "",IF(AND(Main[[#This Row],[In Stock Date]]&lt;&gt;"",Main[[#This Row],[Revised Due Date]]&lt;&gt;"",Main[[#This Row],[In Stock Date]]&lt;&gt;""),Main[[#This Row],[In Stock Date]]-Main[[#This Row],[Revised Due Date]],""))</f>
        <v/>
      </c>
      <c r="I341" s="110" t="s">
        <v>4</v>
      </c>
      <c r="J341" s="99" t="s">
        <v>4</v>
      </c>
      <c r="K341" s="99" t="s">
        <v>4</v>
      </c>
      <c r="L341" s="89"/>
      <c r="M341" s="75" t="str">
        <f>IF(Main[[#This Row],[Tech Start Date]]&lt;1/1/1990,"",IF(Main[[#This Row],[Class]]="C",WORKDAY(Main[[#This Row],[Tech Start Date]],9),IF(Main[[#This Row],[Class]]="B", WORKDAY(Main[[#This Row],[Tech Start Date]],6),IF(Main[[#This Row],[Class]]="A",WORKDAY(Main[[#This Row],[Tech Start Date]],2),""))))</f>
        <v/>
      </c>
      <c r="N341" s="75" t="str">
        <f>IF(Main[[#This Row],[Tech Start Date]]&lt;1/1/1990,"",IF(Main[[#This Row],[Class]]="C",WORKDAY(Main[[#This Row],[Tech Start Date]],19),IF(Main[[#This Row],[Class]]="B", WORKDAY(Main[[#This Row],[Tech Start Date]],12),IF(Main[[#This Row],[Class]]="A",WORKDAY(Main[[#This Row],[Tech Start Date]],4),""))))</f>
        <v/>
      </c>
      <c r="O341" s="75" t="str">
        <f>IF(Main[[#This Row],[Tech Start Date]]&lt;1/1/1990,"",IF(Main[[#This Row],[Class]]="C",WORKDAY(Main[[#This Row],[Tech Start Date]],23),IF(Main[[#This Row],[Class]]="B", WORKDAY(Main[[#This Row],[Tech Start Date]],15),IF(Main[[#This Row],[Class]]="A",WORKDAY(Main[[#This Row],[Tech Start Date]],5),""))))</f>
        <v/>
      </c>
      <c r="P341" s="75" t="str">
        <f>IF(Main[[#This Row],[Tech Start Date]]&lt;1/1/1990,"",IF(Main[[#This Row],[Class]]="C",WORKDAY(Main[[#This Row],[Tech Start Date]],28),IF(Main[[#This Row],[Class]]="B", WORKDAY(Main[[#This Row],[Tech Start Date]],19),IF(Main[[#This Row],[Class]]="A",WORKDAY(Main[[#This Row],[Tech Start Date]],9),""))))</f>
        <v/>
      </c>
      <c r="Q341" s="89">
        <v>40204</v>
      </c>
      <c r="R341" s="121"/>
      <c r="S341" s="99" t="s">
        <v>11</v>
      </c>
      <c r="T341" s="76" t="s">
        <v>4</v>
      </c>
      <c r="U341" s="99" t="s">
        <v>14</v>
      </c>
      <c r="V341" s="99" t="s">
        <v>1916</v>
      </c>
      <c r="W341" s="99" t="s">
        <v>1915</v>
      </c>
      <c r="X341" s="99" t="s">
        <v>65</v>
      </c>
      <c r="Y341" s="73" t="s">
        <v>4</v>
      </c>
      <c r="Z341" s="73" t="s">
        <v>4</v>
      </c>
      <c r="AA341" s="99" t="s">
        <v>65</v>
      </c>
    </row>
    <row r="342" spans="1:27" ht="17.25" customHeight="1">
      <c r="A342" s="65" t="str">
        <f>IF(priority(Main[[#This Row],[Comments]])&lt;&gt;0, priority(Main[[#This Row],[Comments]]),"")</f>
        <v/>
      </c>
      <c r="B342" s="60" t="s">
        <v>3512</v>
      </c>
      <c r="C342" s="105" t="s">
        <v>3513</v>
      </c>
      <c r="D342" s="74" t="s">
        <v>3514</v>
      </c>
      <c r="E342" s="89"/>
      <c r="F342" s="89"/>
      <c r="G342" s="65" t="str">
        <f>IF(stdProdLT(Main[[#This Row],[Comments]])=0.1,"N/A",IF(stdProdLT(Main[[#This Row],[Comments]])=0,"",TRIM(stdProdLT(Main[[#This Row],[Comments]]))))</f>
        <v/>
      </c>
      <c r="H342" s="98" t="str">
        <f>IF(Main[[#This Row],[Std. Prod. Lead Time]]="N/A", "",IF(AND(Main[[#This Row],[In Stock Date]]&lt;&gt;"",Main[[#This Row],[Revised Due Date]]&lt;&gt;"",Main[[#This Row],[In Stock Date]]&lt;&gt;""),Main[[#This Row],[In Stock Date]]-Main[[#This Row],[Revised Due Date]],""))</f>
        <v/>
      </c>
      <c r="I342" s="110" t="s">
        <v>4</v>
      </c>
      <c r="J342" s="99" t="s">
        <v>4</v>
      </c>
      <c r="K342" s="99" t="s">
        <v>4</v>
      </c>
      <c r="L342" s="89"/>
      <c r="M342" s="75" t="str">
        <f>IF(Main[[#This Row],[Tech Start Date]]&lt;1/1/1990,"",IF(Main[[#This Row],[Class]]="C",WORKDAY(Main[[#This Row],[Tech Start Date]],9),IF(Main[[#This Row],[Class]]="B", WORKDAY(Main[[#This Row],[Tech Start Date]],6),IF(Main[[#This Row],[Class]]="A",WORKDAY(Main[[#This Row],[Tech Start Date]],2),""))))</f>
        <v/>
      </c>
      <c r="N342" s="75" t="str">
        <f>IF(Main[[#This Row],[Tech Start Date]]&lt;1/1/1990,"",IF(Main[[#This Row],[Class]]="C",WORKDAY(Main[[#This Row],[Tech Start Date]],19),IF(Main[[#This Row],[Class]]="B", WORKDAY(Main[[#This Row],[Tech Start Date]],12),IF(Main[[#This Row],[Class]]="A",WORKDAY(Main[[#This Row],[Tech Start Date]],4),""))))</f>
        <v/>
      </c>
      <c r="O342" s="75" t="str">
        <f>IF(Main[[#This Row],[Tech Start Date]]&lt;1/1/1990,"",IF(Main[[#This Row],[Class]]="C",WORKDAY(Main[[#This Row],[Tech Start Date]],23),IF(Main[[#This Row],[Class]]="B", WORKDAY(Main[[#This Row],[Tech Start Date]],15),IF(Main[[#This Row],[Class]]="A",WORKDAY(Main[[#This Row],[Tech Start Date]],5),""))))</f>
        <v/>
      </c>
      <c r="P342" s="75" t="str">
        <f>IF(Main[[#This Row],[Tech Start Date]]&lt;1/1/1990,"",IF(Main[[#This Row],[Class]]="C",WORKDAY(Main[[#This Row],[Tech Start Date]],28),IF(Main[[#This Row],[Class]]="B", WORKDAY(Main[[#This Row],[Tech Start Date]],19),IF(Main[[#This Row],[Class]]="A",WORKDAY(Main[[#This Row],[Tech Start Date]],9),""))))</f>
        <v/>
      </c>
      <c r="Q342" s="89">
        <v>40953</v>
      </c>
      <c r="R342" s="121"/>
      <c r="S342" s="99" t="s">
        <v>11</v>
      </c>
      <c r="T342" s="76" t="s">
        <v>4</v>
      </c>
      <c r="U342" s="99" t="s">
        <v>14</v>
      </c>
      <c r="V342" s="99" t="s">
        <v>1913</v>
      </c>
      <c r="W342" s="99" t="s">
        <v>1924</v>
      </c>
      <c r="X342" s="99" t="s">
        <v>2833</v>
      </c>
      <c r="Y342" s="73" t="s">
        <v>2964</v>
      </c>
      <c r="Z342" s="73" t="s">
        <v>4</v>
      </c>
      <c r="AA342" s="99" t="s">
        <v>2833</v>
      </c>
    </row>
    <row r="343" spans="1:27" ht="17.25" customHeight="1">
      <c r="A343" s="65" t="str">
        <f>IF(priority(Main[[#This Row],[Comments]])&lt;&gt;0, priority(Main[[#This Row],[Comments]]),"")</f>
        <v/>
      </c>
      <c r="B343" s="60" t="s">
        <v>3518</v>
      </c>
      <c r="C343" s="105" t="s">
        <v>47</v>
      </c>
      <c r="D343" s="74" t="s">
        <v>3519</v>
      </c>
      <c r="E343" s="89">
        <v>40947.640497685185</v>
      </c>
      <c r="F343" s="89"/>
      <c r="G343" s="65" t="str">
        <f>IF(stdProdLT(Main[[#This Row],[Comments]])=0.1,"N/A",IF(stdProdLT(Main[[#This Row],[Comments]])=0,"",TRIM(stdProdLT(Main[[#This Row],[Comments]]))))</f>
        <v/>
      </c>
      <c r="H343" s="98" t="str">
        <f>IF(Main[[#This Row],[Std. Prod. Lead Time]]="N/A", "",IF(AND(Main[[#This Row],[In Stock Date]]&lt;&gt;"",Main[[#This Row],[Revised Due Date]]&lt;&gt;"",Main[[#This Row],[In Stock Date]]&lt;&gt;""),Main[[#This Row],[In Stock Date]]-Main[[#This Row],[Revised Due Date]],""))</f>
        <v/>
      </c>
      <c r="I343" s="110" t="s">
        <v>4</v>
      </c>
      <c r="J343" s="99" t="s">
        <v>4</v>
      </c>
      <c r="K343" s="99" t="s">
        <v>4</v>
      </c>
      <c r="L343" s="89"/>
      <c r="M343" s="75" t="str">
        <f>IF(Main[[#This Row],[Tech Start Date]]&lt;1/1/1990,"",IF(Main[[#This Row],[Class]]="C",WORKDAY(Main[[#This Row],[Tech Start Date]],9),IF(Main[[#This Row],[Class]]="B", WORKDAY(Main[[#This Row],[Tech Start Date]],6),IF(Main[[#This Row],[Class]]="A",WORKDAY(Main[[#This Row],[Tech Start Date]],2),""))))</f>
        <v/>
      </c>
      <c r="N343" s="75" t="str">
        <f>IF(Main[[#This Row],[Tech Start Date]]&lt;1/1/1990,"",IF(Main[[#This Row],[Class]]="C",WORKDAY(Main[[#This Row],[Tech Start Date]],19),IF(Main[[#This Row],[Class]]="B", WORKDAY(Main[[#This Row],[Tech Start Date]],12),IF(Main[[#This Row],[Class]]="A",WORKDAY(Main[[#This Row],[Tech Start Date]],4),""))))</f>
        <v/>
      </c>
      <c r="O343" s="75" t="str">
        <f>IF(Main[[#This Row],[Tech Start Date]]&lt;1/1/1990,"",IF(Main[[#This Row],[Class]]="C",WORKDAY(Main[[#This Row],[Tech Start Date]],23),IF(Main[[#This Row],[Class]]="B", WORKDAY(Main[[#This Row],[Tech Start Date]],15),IF(Main[[#This Row],[Class]]="A",WORKDAY(Main[[#This Row],[Tech Start Date]],5),""))))</f>
        <v/>
      </c>
      <c r="P343" s="75" t="str">
        <f>IF(Main[[#This Row],[Tech Start Date]]&lt;1/1/1990,"",IF(Main[[#This Row],[Class]]="C",WORKDAY(Main[[#This Row],[Tech Start Date]],28),IF(Main[[#This Row],[Class]]="B", WORKDAY(Main[[#This Row],[Tech Start Date]],19),IF(Main[[#This Row],[Class]]="A",WORKDAY(Main[[#This Row],[Tech Start Date]],9),""))))</f>
        <v/>
      </c>
      <c r="Q343" s="89">
        <v>40999</v>
      </c>
      <c r="R343" s="121"/>
      <c r="S343" s="99" t="s">
        <v>6</v>
      </c>
      <c r="T343" s="76" t="s">
        <v>4</v>
      </c>
      <c r="U343" s="99" t="s">
        <v>29</v>
      </c>
      <c r="V343" s="99" t="s">
        <v>2279</v>
      </c>
      <c r="W343" s="99" t="s">
        <v>4</v>
      </c>
      <c r="X343" s="99" t="s">
        <v>2859</v>
      </c>
      <c r="Y343" s="73" t="s">
        <v>3004</v>
      </c>
      <c r="Z343" s="73" t="s">
        <v>4</v>
      </c>
      <c r="AA343" s="99" t="s">
        <v>2859</v>
      </c>
    </row>
    <row r="344" spans="1:27" ht="17.25" customHeight="1">
      <c r="A344" s="65" t="str">
        <f>IF(priority(Main[[#This Row],[Comments]])&lt;&gt;0, priority(Main[[#This Row],[Comments]]),"")</f>
        <v/>
      </c>
      <c r="B344" s="60" t="s">
        <v>1179</v>
      </c>
      <c r="C344" s="105" t="s">
        <v>4</v>
      </c>
      <c r="D344" s="74" t="s">
        <v>236</v>
      </c>
      <c r="E344" s="89">
        <v>40317.337557870371</v>
      </c>
      <c r="F344" s="89"/>
      <c r="G344" s="65" t="str">
        <f>IF(stdProdLT(Main[[#This Row],[Comments]])=0.1,"N/A",IF(stdProdLT(Main[[#This Row],[Comments]])=0,"",TRIM(stdProdLT(Main[[#This Row],[Comments]]))))</f>
        <v/>
      </c>
      <c r="H344" s="98" t="str">
        <f>IF(Main[[#This Row],[Std. Prod. Lead Time]]="N/A", "",IF(AND(Main[[#This Row],[In Stock Date]]&lt;&gt;"",Main[[#This Row],[Revised Due Date]]&lt;&gt;"",Main[[#This Row],[In Stock Date]]&lt;&gt;""),Main[[#This Row],[In Stock Date]]-Main[[#This Row],[Revised Due Date]],""))</f>
        <v/>
      </c>
      <c r="I344" s="110" t="s">
        <v>4</v>
      </c>
      <c r="J344" s="99" t="s">
        <v>4</v>
      </c>
      <c r="K344" s="99" t="s">
        <v>4</v>
      </c>
      <c r="L344" s="89"/>
      <c r="M344" s="75" t="str">
        <f>IF(Main[[#This Row],[Tech Start Date]]&lt;1/1/1990,"",IF(Main[[#This Row],[Class]]="C",WORKDAY(Main[[#This Row],[Tech Start Date]],9),IF(Main[[#This Row],[Class]]="B", WORKDAY(Main[[#This Row],[Tech Start Date]],6),IF(Main[[#This Row],[Class]]="A",WORKDAY(Main[[#This Row],[Tech Start Date]],2),""))))</f>
        <v/>
      </c>
      <c r="N344" s="75" t="str">
        <f>IF(Main[[#This Row],[Tech Start Date]]&lt;1/1/1990,"",IF(Main[[#This Row],[Class]]="C",WORKDAY(Main[[#This Row],[Tech Start Date]],19),IF(Main[[#This Row],[Class]]="B", WORKDAY(Main[[#This Row],[Tech Start Date]],12),IF(Main[[#This Row],[Class]]="A",WORKDAY(Main[[#This Row],[Tech Start Date]],4),""))))</f>
        <v/>
      </c>
      <c r="O344" s="75" t="str">
        <f>IF(Main[[#This Row],[Tech Start Date]]&lt;1/1/1990,"",IF(Main[[#This Row],[Class]]="C",WORKDAY(Main[[#This Row],[Tech Start Date]],23),IF(Main[[#This Row],[Class]]="B", WORKDAY(Main[[#This Row],[Tech Start Date]],15),IF(Main[[#This Row],[Class]]="A",WORKDAY(Main[[#This Row],[Tech Start Date]],5),""))))</f>
        <v/>
      </c>
      <c r="P344" s="75" t="str">
        <f>IF(Main[[#This Row],[Tech Start Date]]&lt;1/1/1990,"",IF(Main[[#This Row],[Class]]="C",WORKDAY(Main[[#This Row],[Tech Start Date]],28),IF(Main[[#This Row],[Class]]="B", WORKDAY(Main[[#This Row],[Tech Start Date]],19),IF(Main[[#This Row],[Class]]="A",WORKDAY(Main[[#This Row],[Tech Start Date]],9),""))))</f>
        <v/>
      </c>
      <c r="Q344" s="89">
        <v>40330</v>
      </c>
      <c r="R344" s="121"/>
      <c r="S344" s="99" t="s">
        <v>6</v>
      </c>
      <c r="T344" s="76" t="s">
        <v>4</v>
      </c>
      <c r="U344" s="99" t="s">
        <v>7</v>
      </c>
      <c r="V344" s="99" t="s">
        <v>1913</v>
      </c>
      <c r="W344" s="99" t="s">
        <v>1915</v>
      </c>
      <c r="X344" s="99" t="s">
        <v>102</v>
      </c>
      <c r="Y344" s="73" t="s">
        <v>3005</v>
      </c>
      <c r="Z344" s="73" t="s">
        <v>129</v>
      </c>
      <c r="AA344" s="99" t="s">
        <v>102</v>
      </c>
    </row>
    <row r="345" spans="1:27" ht="17.25" customHeight="1">
      <c r="A345" s="65" t="str">
        <f>IF(priority(Main[[#This Row],[Comments]])&lt;&gt;0, priority(Main[[#This Row],[Comments]]),"")</f>
        <v/>
      </c>
      <c r="B345" s="60" t="s">
        <v>1180</v>
      </c>
      <c r="C345" s="105" t="s">
        <v>4</v>
      </c>
      <c r="D345" s="74" t="s">
        <v>237</v>
      </c>
      <c r="E345" s="89"/>
      <c r="F345" s="89"/>
      <c r="G345" s="65" t="str">
        <f>IF(stdProdLT(Main[[#This Row],[Comments]])=0.1,"N/A",IF(stdProdLT(Main[[#This Row],[Comments]])=0,"",TRIM(stdProdLT(Main[[#This Row],[Comments]]))))</f>
        <v/>
      </c>
      <c r="H345" s="98" t="str">
        <f>IF(Main[[#This Row],[Std. Prod. Lead Time]]="N/A", "",IF(AND(Main[[#This Row],[In Stock Date]]&lt;&gt;"",Main[[#This Row],[Revised Due Date]]&lt;&gt;"",Main[[#This Row],[In Stock Date]]&lt;&gt;""),Main[[#This Row],[In Stock Date]]-Main[[#This Row],[Revised Due Date]],""))</f>
        <v/>
      </c>
      <c r="I345" s="110" t="s">
        <v>4</v>
      </c>
      <c r="J345" s="99" t="s">
        <v>4</v>
      </c>
      <c r="K345" s="99" t="s">
        <v>4</v>
      </c>
      <c r="L345" s="89"/>
      <c r="M345" s="75" t="str">
        <f>IF(Main[[#This Row],[Tech Start Date]]&lt;1/1/1990,"",IF(Main[[#This Row],[Class]]="C",WORKDAY(Main[[#This Row],[Tech Start Date]],9),IF(Main[[#This Row],[Class]]="B", WORKDAY(Main[[#This Row],[Tech Start Date]],6),IF(Main[[#This Row],[Class]]="A",WORKDAY(Main[[#This Row],[Tech Start Date]],2),""))))</f>
        <v/>
      </c>
      <c r="N345" s="75" t="str">
        <f>IF(Main[[#This Row],[Tech Start Date]]&lt;1/1/1990,"",IF(Main[[#This Row],[Class]]="C",WORKDAY(Main[[#This Row],[Tech Start Date]],19),IF(Main[[#This Row],[Class]]="B", WORKDAY(Main[[#This Row],[Tech Start Date]],12),IF(Main[[#This Row],[Class]]="A",WORKDAY(Main[[#This Row],[Tech Start Date]],4),""))))</f>
        <v/>
      </c>
      <c r="O345" s="75" t="str">
        <f>IF(Main[[#This Row],[Tech Start Date]]&lt;1/1/1990,"",IF(Main[[#This Row],[Class]]="C",WORKDAY(Main[[#This Row],[Tech Start Date]],23),IF(Main[[#This Row],[Class]]="B", WORKDAY(Main[[#This Row],[Tech Start Date]],15),IF(Main[[#This Row],[Class]]="A",WORKDAY(Main[[#This Row],[Tech Start Date]],5),""))))</f>
        <v/>
      </c>
      <c r="P345" s="75" t="str">
        <f>IF(Main[[#This Row],[Tech Start Date]]&lt;1/1/1990,"",IF(Main[[#This Row],[Class]]="C",WORKDAY(Main[[#This Row],[Tech Start Date]],28),IF(Main[[#This Row],[Class]]="B", WORKDAY(Main[[#This Row],[Tech Start Date]],19),IF(Main[[#This Row],[Class]]="A",WORKDAY(Main[[#This Row],[Tech Start Date]],9),""))))</f>
        <v/>
      </c>
      <c r="Q345" s="89"/>
      <c r="R345" s="121"/>
      <c r="S345" s="99" t="s">
        <v>11</v>
      </c>
      <c r="T345" s="76" t="s">
        <v>4</v>
      </c>
      <c r="U345" s="99" t="s">
        <v>14</v>
      </c>
      <c r="V345" s="99" t="s">
        <v>1913</v>
      </c>
      <c r="W345" s="99" t="s">
        <v>1917</v>
      </c>
      <c r="X345" s="99" t="s">
        <v>922</v>
      </c>
      <c r="Y345" s="73" t="s">
        <v>2976</v>
      </c>
      <c r="Z345" s="73" t="s">
        <v>4</v>
      </c>
      <c r="AA345" s="99" t="s">
        <v>922</v>
      </c>
    </row>
    <row r="346" spans="1:27" ht="17.25" customHeight="1">
      <c r="A346" s="65" t="str">
        <f>IF(priority(Main[[#This Row],[Comments]])&lt;&gt;0, priority(Main[[#This Row],[Comments]]),"")</f>
        <v/>
      </c>
      <c r="B346" s="60" t="s">
        <v>1183</v>
      </c>
      <c r="C346" s="105" t="s">
        <v>243</v>
      </c>
      <c r="D346" s="59" t="s">
        <v>244</v>
      </c>
      <c r="E346" s="89"/>
      <c r="F346" s="89">
        <v>40299</v>
      </c>
      <c r="G346" s="65" t="str">
        <f>IF(stdProdLT(Main[[#This Row],[Comments]])=0.1,"N/A",IF(stdProdLT(Main[[#This Row],[Comments]])=0,"",TRIM(stdProdLT(Main[[#This Row],[Comments]]))))</f>
        <v/>
      </c>
      <c r="H346" s="98" t="str">
        <f>IF(Main[[#This Row],[Std. Prod. Lead Time]]="N/A", "",IF(AND(Main[[#This Row],[In Stock Date]]&lt;&gt;"",Main[[#This Row],[Revised Due Date]]&lt;&gt;"",Main[[#This Row],[In Stock Date]]&lt;&gt;""),Main[[#This Row],[In Stock Date]]-Main[[#This Row],[Revised Due Date]],""))</f>
        <v/>
      </c>
      <c r="I346" s="110" t="s">
        <v>4</v>
      </c>
      <c r="J346" s="99" t="s">
        <v>4</v>
      </c>
      <c r="K346" s="99" t="s">
        <v>4</v>
      </c>
      <c r="L346" s="89"/>
      <c r="M346" s="75" t="str">
        <f>IF(Main[[#This Row],[Tech Start Date]]&lt;1/1/1990,"",IF(Main[[#This Row],[Class]]="C",WORKDAY(Main[[#This Row],[Tech Start Date]],9),IF(Main[[#This Row],[Class]]="B", WORKDAY(Main[[#This Row],[Tech Start Date]],6),IF(Main[[#This Row],[Class]]="A",WORKDAY(Main[[#This Row],[Tech Start Date]],2),""))))</f>
        <v/>
      </c>
      <c r="N346" s="75" t="str">
        <f>IF(Main[[#This Row],[Tech Start Date]]&lt;1/1/1990,"",IF(Main[[#This Row],[Class]]="C",WORKDAY(Main[[#This Row],[Tech Start Date]],19),IF(Main[[#This Row],[Class]]="B", WORKDAY(Main[[#This Row],[Tech Start Date]],12),IF(Main[[#This Row],[Class]]="A",WORKDAY(Main[[#This Row],[Tech Start Date]],4),""))))</f>
        <v/>
      </c>
      <c r="O346" s="75" t="str">
        <f>IF(Main[[#This Row],[Tech Start Date]]&lt;1/1/1990,"",IF(Main[[#This Row],[Class]]="C",WORKDAY(Main[[#This Row],[Tech Start Date]],23),IF(Main[[#This Row],[Class]]="B", WORKDAY(Main[[#This Row],[Tech Start Date]],15),IF(Main[[#This Row],[Class]]="A",WORKDAY(Main[[#This Row],[Tech Start Date]],5),""))))</f>
        <v/>
      </c>
      <c r="P346" s="75" t="str">
        <f>IF(Main[[#This Row],[Tech Start Date]]&lt;1/1/1990,"",IF(Main[[#This Row],[Class]]="C",WORKDAY(Main[[#This Row],[Tech Start Date]],28),IF(Main[[#This Row],[Class]]="B", WORKDAY(Main[[#This Row],[Tech Start Date]],19),IF(Main[[#This Row],[Class]]="A",WORKDAY(Main[[#This Row],[Tech Start Date]],9),""))))</f>
        <v/>
      </c>
      <c r="Q346" s="89">
        <v>40241</v>
      </c>
      <c r="R346" s="121"/>
      <c r="S346" s="99" t="s">
        <v>11</v>
      </c>
      <c r="T346" s="76" t="s">
        <v>4</v>
      </c>
      <c r="U346" s="99" t="s">
        <v>14</v>
      </c>
      <c r="V346" s="99" t="s">
        <v>1923</v>
      </c>
      <c r="W346" s="99" t="s">
        <v>1921</v>
      </c>
      <c r="X346" s="99" t="s">
        <v>2862</v>
      </c>
      <c r="Y346" s="73" t="s">
        <v>3006</v>
      </c>
      <c r="Z346" s="73" t="s">
        <v>4</v>
      </c>
      <c r="AA346" s="99" t="s">
        <v>2862</v>
      </c>
    </row>
    <row r="347" spans="1:27" ht="17.25" customHeight="1">
      <c r="A347" s="65" t="str">
        <f>IF(priority(Main[[#This Row],[Comments]])&lt;&gt;0, priority(Main[[#This Row],[Comments]]),"")</f>
        <v/>
      </c>
      <c r="B347" s="60" t="s">
        <v>3543</v>
      </c>
      <c r="C347" s="105" t="s">
        <v>2200</v>
      </c>
      <c r="D347" s="59" t="s">
        <v>3544</v>
      </c>
      <c r="E347" s="89"/>
      <c r="F347" s="89"/>
      <c r="G347" s="65" t="str">
        <f>IF(stdProdLT(Main[[#This Row],[Comments]])=0.1,"N/A",IF(stdProdLT(Main[[#This Row],[Comments]])=0,"",TRIM(stdProdLT(Main[[#This Row],[Comments]]))))</f>
        <v/>
      </c>
      <c r="H347" s="98" t="str">
        <f>IF(Main[[#This Row],[Std. Prod. Lead Time]]="N/A", "",IF(AND(Main[[#This Row],[In Stock Date]]&lt;&gt;"",Main[[#This Row],[Revised Due Date]]&lt;&gt;"",Main[[#This Row],[In Stock Date]]&lt;&gt;""),Main[[#This Row],[In Stock Date]]-Main[[#This Row],[Revised Due Date]],""))</f>
        <v/>
      </c>
      <c r="I347" s="110" t="s">
        <v>4</v>
      </c>
      <c r="J347" s="99" t="s">
        <v>4</v>
      </c>
      <c r="K347" s="99" t="s">
        <v>4</v>
      </c>
      <c r="L347" s="89"/>
      <c r="M347" s="75" t="str">
        <f>IF(Main[[#This Row],[Tech Start Date]]&lt;1/1/1990,"",IF(Main[[#This Row],[Class]]="C",WORKDAY(Main[[#This Row],[Tech Start Date]],9),IF(Main[[#This Row],[Class]]="B", WORKDAY(Main[[#This Row],[Tech Start Date]],6),IF(Main[[#This Row],[Class]]="A",WORKDAY(Main[[#This Row],[Tech Start Date]],2),""))))</f>
        <v/>
      </c>
      <c r="N347" s="75" t="str">
        <f>IF(Main[[#This Row],[Tech Start Date]]&lt;1/1/1990,"",IF(Main[[#This Row],[Class]]="C",WORKDAY(Main[[#This Row],[Tech Start Date]],19),IF(Main[[#This Row],[Class]]="B", WORKDAY(Main[[#This Row],[Tech Start Date]],12),IF(Main[[#This Row],[Class]]="A",WORKDAY(Main[[#This Row],[Tech Start Date]],4),""))))</f>
        <v/>
      </c>
      <c r="O347" s="75" t="str">
        <f>IF(Main[[#This Row],[Tech Start Date]]&lt;1/1/1990,"",IF(Main[[#This Row],[Class]]="C",WORKDAY(Main[[#This Row],[Tech Start Date]],23),IF(Main[[#This Row],[Class]]="B", WORKDAY(Main[[#This Row],[Tech Start Date]],15),IF(Main[[#This Row],[Class]]="A",WORKDAY(Main[[#This Row],[Tech Start Date]],5),""))))</f>
        <v/>
      </c>
      <c r="P347" s="75" t="str">
        <f>IF(Main[[#This Row],[Tech Start Date]]&lt;1/1/1990,"",IF(Main[[#This Row],[Class]]="C",WORKDAY(Main[[#This Row],[Tech Start Date]],28),IF(Main[[#This Row],[Class]]="B", WORKDAY(Main[[#This Row],[Tech Start Date]],19),IF(Main[[#This Row],[Class]]="A",WORKDAY(Main[[#This Row],[Tech Start Date]],9),""))))</f>
        <v/>
      </c>
      <c r="Q347" s="89">
        <v>40984</v>
      </c>
      <c r="R347" s="121"/>
      <c r="S347" s="99" t="s">
        <v>11</v>
      </c>
      <c r="T347" s="76" t="s">
        <v>4</v>
      </c>
      <c r="U347" s="99" t="s">
        <v>14</v>
      </c>
      <c r="V347" s="99" t="s">
        <v>1913</v>
      </c>
      <c r="W347" s="99" t="s">
        <v>1921</v>
      </c>
      <c r="X347" s="99" t="s">
        <v>2905</v>
      </c>
      <c r="Y347" s="73" t="s">
        <v>4</v>
      </c>
      <c r="Z347" s="73" t="s">
        <v>4</v>
      </c>
      <c r="AA347" s="99" t="s">
        <v>3454</v>
      </c>
    </row>
    <row r="348" spans="1:27" ht="17.25" customHeight="1">
      <c r="A348" s="65" t="str">
        <f>IF(priority(Main[[#This Row],[Comments]])&lt;&gt;0, priority(Main[[#This Row],[Comments]]),"")</f>
        <v/>
      </c>
      <c r="B348" s="60" t="s">
        <v>1184</v>
      </c>
      <c r="C348" s="105" t="s">
        <v>4</v>
      </c>
      <c r="D348" s="74" t="s">
        <v>39</v>
      </c>
      <c r="E348" s="89"/>
      <c r="F348" s="89"/>
      <c r="G348" s="65" t="str">
        <f>IF(stdProdLT(Main[[#This Row],[Comments]])=0.1,"N/A",IF(stdProdLT(Main[[#This Row],[Comments]])=0,"",TRIM(stdProdLT(Main[[#This Row],[Comments]]))))</f>
        <v/>
      </c>
      <c r="H348" s="98" t="str">
        <f>IF(Main[[#This Row],[Std. Prod. Lead Time]]="N/A", "",IF(AND(Main[[#This Row],[In Stock Date]]&lt;&gt;"",Main[[#This Row],[Revised Due Date]]&lt;&gt;"",Main[[#This Row],[In Stock Date]]&lt;&gt;""),Main[[#This Row],[In Stock Date]]-Main[[#This Row],[Revised Due Date]],""))</f>
        <v/>
      </c>
      <c r="I348" s="110" t="s">
        <v>4</v>
      </c>
      <c r="J348" s="99" t="s">
        <v>4</v>
      </c>
      <c r="K348" s="99" t="s">
        <v>4</v>
      </c>
      <c r="L348" s="89"/>
      <c r="M348" s="75" t="str">
        <f>IF(Main[[#This Row],[Tech Start Date]]&lt;1/1/1990,"",IF(Main[[#This Row],[Class]]="C",WORKDAY(Main[[#This Row],[Tech Start Date]],9),IF(Main[[#This Row],[Class]]="B", WORKDAY(Main[[#This Row],[Tech Start Date]],6),IF(Main[[#This Row],[Class]]="A",WORKDAY(Main[[#This Row],[Tech Start Date]],2),""))))</f>
        <v/>
      </c>
      <c r="N348" s="75" t="str">
        <f>IF(Main[[#This Row],[Tech Start Date]]&lt;1/1/1990,"",IF(Main[[#This Row],[Class]]="C",WORKDAY(Main[[#This Row],[Tech Start Date]],19),IF(Main[[#This Row],[Class]]="B", WORKDAY(Main[[#This Row],[Tech Start Date]],12),IF(Main[[#This Row],[Class]]="A",WORKDAY(Main[[#This Row],[Tech Start Date]],4),""))))</f>
        <v/>
      </c>
      <c r="O348" s="75" t="str">
        <f>IF(Main[[#This Row],[Tech Start Date]]&lt;1/1/1990,"",IF(Main[[#This Row],[Class]]="C",WORKDAY(Main[[#This Row],[Tech Start Date]],23),IF(Main[[#This Row],[Class]]="B", WORKDAY(Main[[#This Row],[Tech Start Date]],15),IF(Main[[#This Row],[Class]]="A",WORKDAY(Main[[#This Row],[Tech Start Date]],5),""))))</f>
        <v/>
      </c>
      <c r="P348" s="75" t="str">
        <f>IF(Main[[#This Row],[Tech Start Date]]&lt;1/1/1990,"",IF(Main[[#This Row],[Class]]="C",WORKDAY(Main[[#This Row],[Tech Start Date]],28),IF(Main[[#This Row],[Class]]="B", WORKDAY(Main[[#This Row],[Tech Start Date]],19),IF(Main[[#This Row],[Class]]="A",WORKDAY(Main[[#This Row],[Tech Start Date]],9),""))))</f>
        <v/>
      </c>
      <c r="Q348" s="89">
        <v>40669</v>
      </c>
      <c r="R348" s="121"/>
      <c r="S348" s="99" t="s">
        <v>6</v>
      </c>
      <c r="T348" s="76" t="s">
        <v>4</v>
      </c>
      <c r="U348" s="99" t="s">
        <v>14</v>
      </c>
      <c r="V348" s="99" t="s">
        <v>1916</v>
      </c>
      <c r="W348" s="99" t="s">
        <v>4</v>
      </c>
      <c r="X348" s="99" t="s">
        <v>2812</v>
      </c>
      <c r="Y348" s="73" t="s">
        <v>2923</v>
      </c>
      <c r="Z348" s="73" t="s">
        <v>4</v>
      </c>
      <c r="AA348" s="99" t="s">
        <v>2812</v>
      </c>
    </row>
    <row r="349" spans="1:27" ht="17.25" customHeight="1">
      <c r="A349" s="65" t="str">
        <f>IF(priority(Main[[#This Row],[Comments]])&lt;&gt;0, priority(Main[[#This Row],[Comments]]),"")</f>
        <v/>
      </c>
      <c r="B349" s="60" t="s">
        <v>2067</v>
      </c>
      <c r="C349" s="105" t="s">
        <v>4</v>
      </c>
      <c r="D349" s="59" t="s">
        <v>2068</v>
      </c>
      <c r="E349" s="89">
        <v>40774.330196759256</v>
      </c>
      <c r="F349" s="89"/>
      <c r="G349" s="65" t="str">
        <f>IF(stdProdLT(Main[[#This Row],[Comments]])=0.1,"N/A",IF(stdProdLT(Main[[#This Row],[Comments]])=0,"",TRIM(stdProdLT(Main[[#This Row],[Comments]]))))</f>
        <v/>
      </c>
      <c r="H349" s="98" t="str">
        <f>IF(Main[[#This Row],[Std. Prod. Lead Time]]="N/A", "",IF(AND(Main[[#This Row],[In Stock Date]]&lt;&gt;"",Main[[#This Row],[Revised Due Date]]&lt;&gt;"",Main[[#This Row],[In Stock Date]]&lt;&gt;""),Main[[#This Row],[In Stock Date]]-Main[[#This Row],[Revised Due Date]],""))</f>
        <v/>
      </c>
      <c r="I349" s="110" t="s">
        <v>4</v>
      </c>
      <c r="J349" s="99" t="s">
        <v>4</v>
      </c>
      <c r="K349" s="99" t="s">
        <v>4</v>
      </c>
      <c r="L349" s="89"/>
      <c r="M349" s="75" t="str">
        <f>IF(Main[[#This Row],[Tech Start Date]]&lt;1/1/1990,"",IF(Main[[#This Row],[Class]]="C",WORKDAY(Main[[#This Row],[Tech Start Date]],9),IF(Main[[#This Row],[Class]]="B", WORKDAY(Main[[#This Row],[Tech Start Date]],6),IF(Main[[#This Row],[Class]]="A",WORKDAY(Main[[#This Row],[Tech Start Date]],2),""))))</f>
        <v/>
      </c>
      <c r="N349" s="75" t="str">
        <f>IF(Main[[#This Row],[Tech Start Date]]&lt;1/1/1990,"",IF(Main[[#This Row],[Class]]="C",WORKDAY(Main[[#This Row],[Tech Start Date]],19),IF(Main[[#This Row],[Class]]="B", WORKDAY(Main[[#This Row],[Tech Start Date]],12),IF(Main[[#This Row],[Class]]="A",WORKDAY(Main[[#This Row],[Tech Start Date]],4),""))))</f>
        <v/>
      </c>
      <c r="O349" s="75" t="str">
        <f>IF(Main[[#This Row],[Tech Start Date]]&lt;1/1/1990,"",IF(Main[[#This Row],[Class]]="C",WORKDAY(Main[[#This Row],[Tech Start Date]],23),IF(Main[[#This Row],[Class]]="B", WORKDAY(Main[[#This Row],[Tech Start Date]],15),IF(Main[[#This Row],[Class]]="A",WORKDAY(Main[[#This Row],[Tech Start Date]],5),""))))</f>
        <v/>
      </c>
      <c r="P349" s="75" t="str">
        <f>IF(Main[[#This Row],[Tech Start Date]]&lt;1/1/1990,"",IF(Main[[#This Row],[Class]]="C",WORKDAY(Main[[#This Row],[Tech Start Date]],28),IF(Main[[#This Row],[Class]]="B", WORKDAY(Main[[#This Row],[Tech Start Date]],19),IF(Main[[#This Row],[Class]]="A",WORKDAY(Main[[#This Row],[Tech Start Date]],9),""))))</f>
        <v/>
      </c>
      <c r="Q349" s="89">
        <v>40788</v>
      </c>
      <c r="R349" s="121"/>
      <c r="S349" s="99" t="s">
        <v>6</v>
      </c>
      <c r="T349" s="76" t="s">
        <v>4</v>
      </c>
      <c r="U349" s="99" t="s">
        <v>7</v>
      </c>
      <c r="V349" s="99" t="s">
        <v>1913</v>
      </c>
      <c r="W349" s="99" t="s">
        <v>4</v>
      </c>
      <c r="X349" s="99" t="s">
        <v>2845</v>
      </c>
      <c r="Y349" s="73" t="s">
        <v>2980</v>
      </c>
      <c r="Z349" s="73" t="s">
        <v>4</v>
      </c>
      <c r="AA349" s="99" t="s">
        <v>2845</v>
      </c>
    </row>
    <row r="350" spans="1:27" ht="17.25" customHeight="1">
      <c r="A350" s="65" t="str">
        <f>IF(priority(Main[[#This Row],[Comments]])&lt;&gt;0, priority(Main[[#This Row],[Comments]]),"")</f>
        <v/>
      </c>
      <c r="B350" s="60" t="s">
        <v>1185</v>
      </c>
      <c r="C350" s="105" t="s">
        <v>245</v>
      </c>
      <c r="D350" s="59" t="s">
        <v>246</v>
      </c>
      <c r="E350" s="89"/>
      <c r="F350" s="89"/>
      <c r="G350" s="65" t="str">
        <f>IF(stdProdLT(Main[[#This Row],[Comments]])=0.1,"N/A",IF(stdProdLT(Main[[#This Row],[Comments]])=0,"",TRIM(stdProdLT(Main[[#This Row],[Comments]]))))</f>
        <v/>
      </c>
      <c r="H350" s="98" t="str">
        <f>IF(Main[[#This Row],[Std. Prod. Lead Time]]="N/A", "",IF(AND(Main[[#This Row],[In Stock Date]]&lt;&gt;"",Main[[#This Row],[Revised Due Date]]&lt;&gt;"",Main[[#This Row],[In Stock Date]]&lt;&gt;""),Main[[#This Row],[In Stock Date]]-Main[[#This Row],[Revised Due Date]],""))</f>
        <v/>
      </c>
      <c r="I350" s="110" t="s">
        <v>4</v>
      </c>
      <c r="J350" s="99" t="s">
        <v>4</v>
      </c>
      <c r="K350" s="99" t="s">
        <v>4</v>
      </c>
      <c r="L350" s="89"/>
      <c r="M350" s="75" t="str">
        <f>IF(Main[[#This Row],[Tech Start Date]]&lt;1/1/1990,"",IF(Main[[#This Row],[Class]]="C",WORKDAY(Main[[#This Row],[Tech Start Date]],9),IF(Main[[#This Row],[Class]]="B", WORKDAY(Main[[#This Row],[Tech Start Date]],6),IF(Main[[#This Row],[Class]]="A",WORKDAY(Main[[#This Row],[Tech Start Date]],2),""))))</f>
        <v/>
      </c>
      <c r="N350" s="75" t="str">
        <f>IF(Main[[#This Row],[Tech Start Date]]&lt;1/1/1990,"",IF(Main[[#This Row],[Class]]="C",WORKDAY(Main[[#This Row],[Tech Start Date]],19),IF(Main[[#This Row],[Class]]="B", WORKDAY(Main[[#This Row],[Tech Start Date]],12),IF(Main[[#This Row],[Class]]="A",WORKDAY(Main[[#This Row],[Tech Start Date]],4),""))))</f>
        <v/>
      </c>
      <c r="O350" s="75" t="str">
        <f>IF(Main[[#This Row],[Tech Start Date]]&lt;1/1/1990,"",IF(Main[[#This Row],[Class]]="C",WORKDAY(Main[[#This Row],[Tech Start Date]],23),IF(Main[[#This Row],[Class]]="B", WORKDAY(Main[[#This Row],[Tech Start Date]],15),IF(Main[[#This Row],[Class]]="A",WORKDAY(Main[[#This Row],[Tech Start Date]],5),""))))</f>
        <v/>
      </c>
      <c r="P350" s="75" t="str">
        <f>IF(Main[[#This Row],[Tech Start Date]]&lt;1/1/1990,"",IF(Main[[#This Row],[Class]]="C",WORKDAY(Main[[#This Row],[Tech Start Date]],28),IF(Main[[#This Row],[Class]]="B", WORKDAY(Main[[#This Row],[Tech Start Date]],19),IF(Main[[#This Row],[Class]]="A",WORKDAY(Main[[#This Row],[Tech Start Date]],9),""))))</f>
        <v/>
      </c>
      <c r="Q350" s="89">
        <v>40325</v>
      </c>
      <c r="R350" s="121"/>
      <c r="S350" s="99" t="s">
        <v>11</v>
      </c>
      <c r="T350" s="76" t="s">
        <v>4</v>
      </c>
      <c r="U350" s="99" t="s">
        <v>12</v>
      </c>
      <c r="V350" s="99" t="s">
        <v>1914</v>
      </c>
      <c r="W350" s="99" t="s">
        <v>1919</v>
      </c>
      <c r="X350" s="99" t="s">
        <v>50</v>
      </c>
      <c r="Y350" s="73" t="s">
        <v>3007</v>
      </c>
      <c r="Z350" s="73" t="s">
        <v>4</v>
      </c>
      <c r="AA350" s="99" t="s">
        <v>3392</v>
      </c>
    </row>
    <row r="351" spans="1:27" ht="17.25" customHeight="1">
      <c r="A351" s="65" t="str">
        <f>IF(priority(Main[[#This Row],[Comments]])&lt;&gt;0, priority(Main[[#This Row],[Comments]]),"")</f>
        <v/>
      </c>
      <c r="B351" s="60" t="s">
        <v>3505</v>
      </c>
      <c r="C351" s="105" t="s">
        <v>3253</v>
      </c>
      <c r="D351" s="74" t="s">
        <v>3506</v>
      </c>
      <c r="E351" s="89"/>
      <c r="F351" s="89">
        <v>41068</v>
      </c>
      <c r="G351" s="65" t="str">
        <f>IF(stdProdLT(Main[[#This Row],[Comments]])=0.1,"N/A",IF(stdProdLT(Main[[#This Row],[Comments]])=0,"",TRIM(stdProdLT(Main[[#This Row],[Comments]]))))</f>
        <v/>
      </c>
      <c r="H351" s="98" t="str">
        <f>IF(Main[[#This Row],[Std. Prod. Lead Time]]="N/A", "",IF(AND(Main[[#This Row],[In Stock Date]]&lt;&gt;"",Main[[#This Row],[Revised Due Date]]&lt;&gt;"",Main[[#This Row],[In Stock Date]]&lt;&gt;""),Main[[#This Row],[In Stock Date]]-Main[[#This Row],[Revised Due Date]],""))</f>
        <v/>
      </c>
      <c r="I351" s="110" t="s">
        <v>4</v>
      </c>
      <c r="J351" s="99" t="s">
        <v>4</v>
      </c>
      <c r="K351" s="100" t="s">
        <v>4</v>
      </c>
      <c r="L351" s="89"/>
      <c r="M351" s="75" t="str">
        <f>IF(Main[[#This Row],[Tech Start Date]]&lt;1/1/1990,"",IF(Main[[#This Row],[Class]]="C",WORKDAY(Main[[#This Row],[Tech Start Date]],9),IF(Main[[#This Row],[Class]]="B", WORKDAY(Main[[#This Row],[Tech Start Date]],6),IF(Main[[#This Row],[Class]]="A",WORKDAY(Main[[#This Row],[Tech Start Date]],2),""))))</f>
        <v/>
      </c>
      <c r="N351" s="75" t="str">
        <f>IF(Main[[#This Row],[Tech Start Date]]&lt;1/1/1990,"",IF(Main[[#This Row],[Class]]="C",WORKDAY(Main[[#This Row],[Tech Start Date]],19),IF(Main[[#This Row],[Class]]="B", WORKDAY(Main[[#This Row],[Tech Start Date]],12),IF(Main[[#This Row],[Class]]="A",WORKDAY(Main[[#This Row],[Tech Start Date]],4),""))))</f>
        <v/>
      </c>
      <c r="O351" s="75" t="str">
        <f>IF(Main[[#This Row],[Tech Start Date]]&lt;1/1/1990,"",IF(Main[[#This Row],[Class]]="C",WORKDAY(Main[[#This Row],[Tech Start Date]],23),IF(Main[[#This Row],[Class]]="B", WORKDAY(Main[[#This Row],[Tech Start Date]],15),IF(Main[[#This Row],[Class]]="A",WORKDAY(Main[[#This Row],[Tech Start Date]],5),""))))</f>
        <v/>
      </c>
      <c r="P351" s="75" t="str">
        <f>IF(Main[[#This Row],[Tech Start Date]]&lt;1/1/1990,"",IF(Main[[#This Row],[Class]]="C",WORKDAY(Main[[#This Row],[Tech Start Date]],28),IF(Main[[#This Row],[Class]]="B", WORKDAY(Main[[#This Row],[Tech Start Date]],19),IF(Main[[#This Row],[Class]]="A",WORKDAY(Main[[#This Row],[Tech Start Date]],9),""))))</f>
        <v/>
      </c>
      <c r="Q351" s="89">
        <v>40956</v>
      </c>
      <c r="R351" s="121"/>
      <c r="S351" s="99" t="s">
        <v>11</v>
      </c>
      <c r="T351" s="76" t="s">
        <v>4</v>
      </c>
      <c r="U351" s="99" t="s">
        <v>14</v>
      </c>
      <c r="V351" s="99" t="s">
        <v>1923</v>
      </c>
      <c r="W351" s="99" t="s">
        <v>1921</v>
      </c>
      <c r="X351" s="99" t="s">
        <v>2823</v>
      </c>
      <c r="Y351" s="73" t="s">
        <v>2945</v>
      </c>
      <c r="Z351" s="73" t="s">
        <v>4</v>
      </c>
      <c r="AA351" s="99" t="s">
        <v>2823</v>
      </c>
    </row>
    <row r="352" spans="1:27" ht="17.25" customHeight="1">
      <c r="A352" s="65" t="str">
        <f>IF(priority(Main[[#This Row],[Comments]])&lt;&gt;0, priority(Main[[#This Row],[Comments]]),"")</f>
        <v/>
      </c>
      <c r="B352" s="60" t="s">
        <v>1684</v>
      </c>
      <c r="C352" s="105" t="s">
        <v>79</v>
      </c>
      <c r="D352" s="59" t="s">
        <v>739</v>
      </c>
      <c r="E352" s="89">
        <v>40458.641226851854</v>
      </c>
      <c r="F352" s="89"/>
      <c r="G352" s="65" t="str">
        <f>IF(stdProdLT(Main[[#This Row],[Comments]])=0.1,"N/A",IF(stdProdLT(Main[[#This Row],[Comments]])=0,"",TRIM(stdProdLT(Main[[#This Row],[Comments]]))))</f>
        <v/>
      </c>
      <c r="H352" s="98" t="str">
        <f>IF(Main[[#This Row],[Std. Prod. Lead Time]]="N/A", "",IF(AND(Main[[#This Row],[In Stock Date]]&lt;&gt;"",Main[[#This Row],[Revised Due Date]]&lt;&gt;"",Main[[#This Row],[In Stock Date]]&lt;&gt;""),Main[[#This Row],[In Stock Date]]-Main[[#This Row],[Revised Due Date]],""))</f>
        <v/>
      </c>
      <c r="I352" s="110" t="s">
        <v>4</v>
      </c>
      <c r="J352" s="99" t="s">
        <v>28</v>
      </c>
      <c r="K352" s="99" t="s">
        <v>1925</v>
      </c>
      <c r="L352" s="89"/>
      <c r="M352" s="75" t="str">
        <f>IF(Main[[#This Row],[Tech Start Date]]&lt;1/1/1990,"",IF(Main[[#This Row],[Class]]="C",WORKDAY(Main[[#This Row],[Tech Start Date]],9),IF(Main[[#This Row],[Class]]="B", WORKDAY(Main[[#This Row],[Tech Start Date]],6),IF(Main[[#This Row],[Class]]="A",WORKDAY(Main[[#This Row],[Tech Start Date]],2),""))))</f>
        <v/>
      </c>
      <c r="N352" s="75" t="str">
        <f>IF(Main[[#This Row],[Tech Start Date]]&lt;1/1/1990,"",IF(Main[[#This Row],[Class]]="C",WORKDAY(Main[[#This Row],[Tech Start Date]],19),IF(Main[[#This Row],[Class]]="B", WORKDAY(Main[[#This Row],[Tech Start Date]],12),IF(Main[[#This Row],[Class]]="A",WORKDAY(Main[[#This Row],[Tech Start Date]],4),""))))</f>
        <v/>
      </c>
      <c r="O352" s="75" t="str">
        <f>IF(Main[[#This Row],[Tech Start Date]]&lt;1/1/1990,"",IF(Main[[#This Row],[Class]]="C",WORKDAY(Main[[#This Row],[Tech Start Date]],23),IF(Main[[#This Row],[Class]]="B", WORKDAY(Main[[#This Row],[Tech Start Date]],15),IF(Main[[#This Row],[Class]]="A",WORKDAY(Main[[#This Row],[Tech Start Date]],5),""))))</f>
        <v/>
      </c>
      <c r="P352" s="75" t="str">
        <f>IF(Main[[#This Row],[Tech Start Date]]&lt;1/1/1990,"",IF(Main[[#This Row],[Class]]="C",WORKDAY(Main[[#This Row],[Tech Start Date]],28),IF(Main[[#This Row],[Class]]="B", WORKDAY(Main[[#This Row],[Tech Start Date]],19),IF(Main[[#This Row],[Class]]="A",WORKDAY(Main[[#This Row],[Tech Start Date]],9),""))))</f>
        <v/>
      </c>
      <c r="Q352" s="89">
        <v>40486</v>
      </c>
      <c r="R352" s="121"/>
      <c r="S352" s="99" t="s">
        <v>17</v>
      </c>
      <c r="T352" s="76" t="s">
        <v>4</v>
      </c>
      <c r="U352" s="99" t="s">
        <v>7</v>
      </c>
      <c r="V352" s="99" t="s">
        <v>1913</v>
      </c>
      <c r="W352" s="99" t="s">
        <v>1918</v>
      </c>
      <c r="X352" s="99" t="s">
        <v>2815</v>
      </c>
      <c r="Y352" s="73" t="s">
        <v>2930</v>
      </c>
      <c r="Z352" s="73" t="s">
        <v>129</v>
      </c>
      <c r="AA352" s="99" t="s">
        <v>2815</v>
      </c>
    </row>
    <row r="353" spans="1:27" ht="17.25" customHeight="1">
      <c r="A353" s="65" t="str">
        <f>IF(priority(Main[[#This Row],[Comments]])&lt;&gt;0, priority(Main[[#This Row],[Comments]]),"")</f>
        <v/>
      </c>
      <c r="B353" s="60" t="s">
        <v>2036</v>
      </c>
      <c r="C353" s="105" t="s">
        <v>4</v>
      </c>
      <c r="D353" s="74" t="s">
        <v>2037</v>
      </c>
      <c r="E353" s="89"/>
      <c r="F353" s="89"/>
      <c r="G353" s="65" t="str">
        <f>IF(stdProdLT(Main[[#This Row],[Comments]])=0.1,"N/A",IF(stdProdLT(Main[[#This Row],[Comments]])=0,"",TRIM(stdProdLT(Main[[#This Row],[Comments]]))))</f>
        <v/>
      </c>
      <c r="H353" s="98" t="str">
        <f>IF(Main[[#This Row],[Std. Prod. Lead Time]]="N/A", "",IF(AND(Main[[#This Row],[In Stock Date]]&lt;&gt;"",Main[[#This Row],[Revised Due Date]]&lt;&gt;"",Main[[#This Row],[In Stock Date]]&lt;&gt;""),Main[[#This Row],[In Stock Date]]-Main[[#This Row],[Revised Due Date]],""))</f>
        <v/>
      </c>
      <c r="I353" s="110" t="s">
        <v>4</v>
      </c>
      <c r="J353" s="99" t="s">
        <v>4</v>
      </c>
      <c r="K353" s="100" t="s">
        <v>4</v>
      </c>
      <c r="L353" s="89"/>
      <c r="M353" s="75" t="str">
        <f>IF(Main[[#This Row],[Tech Start Date]]&lt;1/1/1990,"",IF(Main[[#This Row],[Class]]="C",WORKDAY(Main[[#This Row],[Tech Start Date]],9),IF(Main[[#This Row],[Class]]="B", WORKDAY(Main[[#This Row],[Tech Start Date]],6),IF(Main[[#This Row],[Class]]="A",WORKDAY(Main[[#This Row],[Tech Start Date]],2),""))))</f>
        <v/>
      </c>
      <c r="N353" s="75" t="str">
        <f>IF(Main[[#This Row],[Tech Start Date]]&lt;1/1/1990,"",IF(Main[[#This Row],[Class]]="C",WORKDAY(Main[[#This Row],[Tech Start Date]],19),IF(Main[[#This Row],[Class]]="B", WORKDAY(Main[[#This Row],[Tech Start Date]],12),IF(Main[[#This Row],[Class]]="A",WORKDAY(Main[[#This Row],[Tech Start Date]],4),""))))</f>
        <v/>
      </c>
      <c r="O353" s="75" t="str">
        <f>IF(Main[[#This Row],[Tech Start Date]]&lt;1/1/1990,"",IF(Main[[#This Row],[Class]]="C",WORKDAY(Main[[#This Row],[Tech Start Date]],23),IF(Main[[#This Row],[Class]]="B", WORKDAY(Main[[#This Row],[Tech Start Date]],15),IF(Main[[#This Row],[Class]]="A",WORKDAY(Main[[#This Row],[Tech Start Date]],5),""))))</f>
        <v/>
      </c>
      <c r="P353" s="75" t="str">
        <f>IF(Main[[#This Row],[Tech Start Date]]&lt;1/1/1990,"",IF(Main[[#This Row],[Class]]="C",WORKDAY(Main[[#This Row],[Tech Start Date]],28),IF(Main[[#This Row],[Class]]="B", WORKDAY(Main[[#This Row],[Tech Start Date]],19),IF(Main[[#This Row],[Class]]="A",WORKDAY(Main[[#This Row],[Tech Start Date]],9),""))))</f>
        <v/>
      </c>
      <c r="Q353" s="89"/>
      <c r="R353" s="121"/>
      <c r="S353" s="99" t="s">
        <v>6</v>
      </c>
      <c r="T353" s="76" t="s">
        <v>4</v>
      </c>
      <c r="U353" s="99" t="s">
        <v>14</v>
      </c>
      <c r="V353" s="99" t="s">
        <v>1916</v>
      </c>
      <c r="W353" s="99" t="s">
        <v>1917</v>
      </c>
      <c r="X353" s="99" t="s">
        <v>306</v>
      </c>
      <c r="Y353" s="73" t="s">
        <v>4</v>
      </c>
      <c r="Z353" s="73" t="s">
        <v>4</v>
      </c>
      <c r="AA353" s="99" t="s">
        <v>4</v>
      </c>
    </row>
    <row r="354" spans="1:27" ht="17.25" customHeight="1">
      <c r="A354" s="65" t="str">
        <f>IF(priority(Main[[#This Row],[Comments]])&lt;&gt;0, priority(Main[[#This Row],[Comments]]),"")</f>
        <v/>
      </c>
      <c r="B354" s="60" t="s">
        <v>1187</v>
      </c>
      <c r="C354" s="105" t="s">
        <v>33</v>
      </c>
      <c r="D354" s="74" t="s">
        <v>248</v>
      </c>
      <c r="E354" s="89"/>
      <c r="F354" s="89"/>
      <c r="G354" s="65" t="str">
        <f>IF(stdProdLT(Main[[#This Row],[Comments]])=0.1,"N/A",IF(stdProdLT(Main[[#This Row],[Comments]])=0,"",TRIM(stdProdLT(Main[[#This Row],[Comments]]))))</f>
        <v/>
      </c>
      <c r="H354" s="98" t="str">
        <f>IF(Main[[#This Row],[Std. Prod. Lead Time]]="N/A", "",IF(AND(Main[[#This Row],[In Stock Date]]&lt;&gt;"",Main[[#This Row],[Revised Due Date]]&lt;&gt;"",Main[[#This Row],[In Stock Date]]&lt;&gt;""),Main[[#This Row],[In Stock Date]]-Main[[#This Row],[Revised Due Date]],""))</f>
        <v/>
      </c>
      <c r="I354" s="110" t="s">
        <v>4</v>
      </c>
      <c r="J354" s="99" t="s">
        <v>4</v>
      </c>
      <c r="K354" s="99" t="s">
        <v>4</v>
      </c>
      <c r="L354" s="89"/>
      <c r="M354" s="75" t="str">
        <f>IF(Main[[#This Row],[Tech Start Date]]&lt;1/1/1990,"",IF(Main[[#This Row],[Class]]="C",WORKDAY(Main[[#This Row],[Tech Start Date]],9),IF(Main[[#This Row],[Class]]="B", WORKDAY(Main[[#This Row],[Tech Start Date]],6),IF(Main[[#This Row],[Class]]="A",WORKDAY(Main[[#This Row],[Tech Start Date]],2),""))))</f>
        <v/>
      </c>
      <c r="N354" s="75" t="str">
        <f>IF(Main[[#This Row],[Tech Start Date]]&lt;1/1/1990,"",IF(Main[[#This Row],[Class]]="C",WORKDAY(Main[[#This Row],[Tech Start Date]],19),IF(Main[[#This Row],[Class]]="B", WORKDAY(Main[[#This Row],[Tech Start Date]],12),IF(Main[[#This Row],[Class]]="A",WORKDAY(Main[[#This Row],[Tech Start Date]],4),""))))</f>
        <v/>
      </c>
      <c r="O354" s="75" t="str">
        <f>IF(Main[[#This Row],[Tech Start Date]]&lt;1/1/1990,"",IF(Main[[#This Row],[Class]]="C",WORKDAY(Main[[#This Row],[Tech Start Date]],23),IF(Main[[#This Row],[Class]]="B", WORKDAY(Main[[#This Row],[Tech Start Date]],15),IF(Main[[#This Row],[Class]]="A",WORKDAY(Main[[#This Row],[Tech Start Date]],5),""))))</f>
        <v/>
      </c>
      <c r="P354" s="75" t="str">
        <f>IF(Main[[#This Row],[Tech Start Date]]&lt;1/1/1990,"",IF(Main[[#This Row],[Class]]="C",WORKDAY(Main[[#This Row],[Tech Start Date]],28),IF(Main[[#This Row],[Class]]="B", WORKDAY(Main[[#This Row],[Tech Start Date]],19),IF(Main[[#This Row],[Class]]="A",WORKDAY(Main[[#This Row],[Tech Start Date]],9),""))))</f>
        <v/>
      </c>
      <c r="Q354" s="89">
        <v>40269</v>
      </c>
      <c r="R354" s="121"/>
      <c r="S354" s="99" t="s">
        <v>11</v>
      </c>
      <c r="T354" s="76" t="s">
        <v>4</v>
      </c>
      <c r="U354" s="99" t="s">
        <v>14</v>
      </c>
      <c r="V354" s="99" t="s">
        <v>1916</v>
      </c>
      <c r="W354" s="99" t="s">
        <v>1915</v>
      </c>
      <c r="X354" s="99" t="s">
        <v>2863</v>
      </c>
      <c r="Y354" s="73" t="s">
        <v>4</v>
      </c>
      <c r="Z354" s="73" t="s">
        <v>4</v>
      </c>
      <c r="AA354" s="99" t="s">
        <v>2863</v>
      </c>
    </row>
    <row r="355" spans="1:27" ht="17.25" customHeight="1">
      <c r="A355" s="65" t="str">
        <f>IF(priority(Main[[#This Row],[Comments]])&lt;&gt;0, priority(Main[[#This Row],[Comments]]),"")</f>
        <v/>
      </c>
      <c r="B355" s="60" t="s">
        <v>1188</v>
      </c>
      <c r="C355" s="105" t="s">
        <v>249</v>
      </c>
      <c r="D355" s="59" t="s">
        <v>250</v>
      </c>
      <c r="E355" s="89"/>
      <c r="F355" s="89"/>
      <c r="G355" s="65" t="str">
        <f>IF(stdProdLT(Main[[#This Row],[Comments]])=0.1,"N/A",IF(stdProdLT(Main[[#This Row],[Comments]])=0,"",TRIM(stdProdLT(Main[[#This Row],[Comments]]))))</f>
        <v/>
      </c>
      <c r="H355" s="98" t="str">
        <f>IF(Main[[#This Row],[Std. Prod. Lead Time]]="N/A", "",IF(AND(Main[[#This Row],[In Stock Date]]&lt;&gt;"",Main[[#This Row],[Revised Due Date]]&lt;&gt;"",Main[[#This Row],[In Stock Date]]&lt;&gt;""),Main[[#This Row],[In Stock Date]]-Main[[#This Row],[Revised Due Date]],""))</f>
        <v/>
      </c>
      <c r="I355" s="110" t="s">
        <v>4</v>
      </c>
      <c r="J355" s="99" t="s">
        <v>28</v>
      </c>
      <c r="K355" s="99" t="s">
        <v>4</v>
      </c>
      <c r="L355" s="89"/>
      <c r="M355" s="75" t="str">
        <f>IF(Main[[#This Row],[Tech Start Date]]&lt;1/1/1990,"",IF(Main[[#This Row],[Class]]="C",WORKDAY(Main[[#This Row],[Tech Start Date]],9),IF(Main[[#This Row],[Class]]="B", WORKDAY(Main[[#This Row],[Tech Start Date]],6),IF(Main[[#This Row],[Class]]="A",WORKDAY(Main[[#This Row],[Tech Start Date]],2),""))))</f>
        <v/>
      </c>
      <c r="N355" s="75" t="str">
        <f>IF(Main[[#This Row],[Tech Start Date]]&lt;1/1/1990,"",IF(Main[[#This Row],[Class]]="C",WORKDAY(Main[[#This Row],[Tech Start Date]],19),IF(Main[[#This Row],[Class]]="B", WORKDAY(Main[[#This Row],[Tech Start Date]],12),IF(Main[[#This Row],[Class]]="A",WORKDAY(Main[[#This Row],[Tech Start Date]],4),""))))</f>
        <v/>
      </c>
      <c r="O355" s="75" t="str">
        <f>IF(Main[[#This Row],[Tech Start Date]]&lt;1/1/1990,"",IF(Main[[#This Row],[Class]]="C",WORKDAY(Main[[#This Row],[Tech Start Date]],23),IF(Main[[#This Row],[Class]]="B", WORKDAY(Main[[#This Row],[Tech Start Date]],15),IF(Main[[#This Row],[Class]]="A",WORKDAY(Main[[#This Row],[Tech Start Date]],5),""))))</f>
        <v/>
      </c>
      <c r="P355" s="75" t="str">
        <f>IF(Main[[#This Row],[Tech Start Date]]&lt;1/1/1990,"",IF(Main[[#This Row],[Class]]="C",WORKDAY(Main[[#This Row],[Tech Start Date]],28),IF(Main[[#This Row],[Class]]="B", WORKDAY(Main[[#This Row],[Tech Start Date]],19),IF(Main[[#This Row],[Class]]="A",WORKDAY(Main[[#This Row],[Tech Start Date]],9),""))))</f>
        <v/>
      </c>
      <c r="Q355" s="89"/>
      <c r="R355" s="121"/>
      <c r="S355" s="99" t="s">
        <v>6</v>
      </c>
      <c r="T355" s="76" t="s">
        <v>4</v>
      </c>
      <c r="U355" s="99" t="s">
        <v>14</v>
      </c>
      <c r="V355" s="99" t="s">
        <v>1913</v>
      </c>
      <c r="W355" s="99" t="s">
        <v>1921</v>
      </c>
      <c r="X355" s="99" t="s">
        <v>889</v>
      </c>
      <c r="Y355" s="73" t="s">
        <v>3008</v>
      </c>
      <c r="Z355" s="73" t="s">
        <v>129</v>
      </c>
      <c r="AA355" s="99" t="s">
        <v>3365</v>
      </c>
    </row>
    <row r="356" spans="1:27" ht="17.25" customHeight="1">
      <c r="A356" s="65" t="str">
        <f>IF(priority(Main[[#This Row],[Comments]])&lt;&gt;0, priority(Main[[#This Row],[Comments]]),"")</f>
        <v/>
      </c>
      <c r="B356" s="60" t="s">
        <v>1189</v>
      </c>
      <c r="C356" s="105" t="s">
        <v>4</v>
      </c>
      <c r="D356" s="74" t="s">
        <v>251</v>
      </c>
      <c r="E356" s="89"/>
      <c r="F356" s="89"/>
      <c r="G356" s="65" t="str">
        <f>IF(stdProdLT(Main[[#This Row],[Comments]])=0.1,"N/A",IF(stdProdLT(Main[[#This Row],[Comments]])=0,"",TRIM(stdProdLT(Main[[#This Row],[Comments]]))))</f>
        <v/>
      </c>
      <c r="H356" s="98" t="str">
        <f>IF(Main[[#This Row],[Std. Prod. Lead Time]]="N/A", "",IF(AND(Main[[#This Row],[In Stock Date]]&lt;&gt;"",Main[[#This Row],[Revised Due Date]]&lt;&gt;"",Main[[#This Row],[In Stock Date]]&lt;&gt;""),Main[[#This Row],[In Stock Date]]-Main[[#This Row],[Revised Due Date]],""))</f>
        <v/>
      </c>
      <c r="I356" s="110" t="s">
        <v>4</v>
      </c>
      <c r="J356" s="99" t="s">
        <v>4</v>
      </c>
      <c r="K356" s="99" t="s">
        <v>4</v>
      </c>
      <c r="L356" s="89"/>
      <c r="M356" s="75" t="str">
        <f>IF(Main[[#This Row],[Tech Start Date]]&lt;1/1/1990,"",IF(Main[[#This Row],[Class]]="C",WORKDAY(Main[[#This Row],[Tech Start Date]],9),IF(Main[[#This Row],[Class]]="B", WORKDAY(Main[[#This Row],[Tech Start Date]],6),IF(Main[[#This Row],[Class]]="A",WORKDAY(Main[[#This Row],[Tech Start Date]],2),""))))</f>
        <v/>
      </c>
      <c r="N356" s="75" t="str">
        <f>IF(Main[[#This Row],[Tech Start Date]]&lt;1/1/1990,"",IF(Main[[#This Row],[Class]]="C",WORKDAY(Main[[#This Row],[Tech Start Date]],19),IF(Main[[#This Row],[Class]]="B", WORKDAY(Main[[#This Row],[Tech Start Date]],12),IF(Main[[#This Row],[Class]]="A",WORKDAY(Main[[#This Row],[Tech Start Date]],4),""))))</f>
        <v/>
      </c>
      <c r="O356" s="75" t="str">
        <f>IF(Main[[#This Row],[Tech Start Date]]&lt;1/1/1990,"",IF(Main[[#This Row],[Class]]="C",WORKDAY(Main[[#This Row],[Tech Start Date]],23),IF(Main[[#This Row],[Class]]="B", WORKDAY(Main[[#This Row],[Tech Start Date]],15),IF(Main[[#This Row],[Class]]="A",WORKDAY(Main[[#This Row],[Tech Start Date]],5),""))))</f>
        <v/>
      </c>
      <c r="P356" s="75" t="str">
        <f>IF(Main[[#This Row],[Tech Start Date]]&lt;1/1/1990,"",IF(Main[[#This Row],[Class]]="C",WORKDAY(Main[[#This Row],[Tech Start Date]],28),IF(Main[[#This Row],[Class]]="B", WORKDAY(Main[[#This Row],[Tech Start Date]],19),IF(Main[[#This Row],[Class]]="A",WORKDAY(Main[[#This Row],[Tech Start Date]],9),""))))</f>
        <v/>
      </c>
      <c r="Q356" s="89"/>
      <c r="R356" s="121"/>
      <c r="S356" s="99" t="s">
        <v>6</v>
      </c>
      <c r="T356" s="76" t="s">
        <v>4</v>
      </c>
      <c r="U356" s="99" t="s">
        <v>14</v>
      </c>
      <c r="V356" s="99" t="s">
        <v>1916</v>
      </c>
      <c r="W356" s="99" t="s">
        <v>1917</v>
      </c>
      <c r="X356" s="99" t="s">
        <v>306</v>
      </c>
      <c r="Y356" s="73" t="s">
        <v>4</v>
      </c>
      <c r="Z356" s="73" t="s">
        <v>4</v>
      </c>
      <c r="AA356" s="99" t="s">
        <v>415</v>
      </c>
    </row>
    <row r="357" spans="1:27" ht="17.25" customHeight="1">
      <c r="A357" s="65" t="str">
        <f>IF(priority(Main[[#This Row],[Comments]])&lt;&gt;0, priority(Main[[#This Row],[Comments]]),"")</f>
        <v/>
      </c>
      <c r="B357" s="60" t="s">
        <v>1190</v>
      </c>
      <c r="C357" s="105" t="s">
        <v>113</v>
      </c>
      <c r="D357" s="74" t="s">
        <v>136</v>
      </c>
      <c r="E357" s="89"/>
      <c r="F357" s="89"/>
      <c r="G357" s="65" t="str">
        <f>IF(stdProdLT(Main[[#This Row],[Comments]])=0.1,"N/A",IF(stdProdLT(Main[[#This Row],[Comments]])=0,"",TRIM(stdProdLT(Main[[#This Row],[Comments]]))))</f>
        <v/>
      </c>
      <c r="H357" s="98" t="str">
        <f>IF(Main[[#This Row],[Std. Prod. Lead Time]]="N/A", "",IF(AND(Main[[#This Row],[In Stock Date]]&lt;&gt;"",Main[[#This Row],[Revised Due Date]]&lt;&gt;"",Main[[#This Row],[In Stock Date]]&lt;&gt;""),Main[[#This Row],[In Stock Date]]-Main[[#This Row],[Revised Due Date]],""))</f>
        <v/>
      </c>
      <c r="I357" s="110" t="s">
        <v>4</v>
      </c>
      <c r="J357" s="99" t="s">
        <v>4</v>
      </c>
      <c r="K357" s="99" t="s">
        <v>4</v>
      </c>
      <c r="L357" s="89"/>
      <c r="M357" s="75" t="str">
        <f>IF(Main[[#This Row],[Tech Start Date]]&lt;1/1/1990,"",IF(Main[[#This Row],[Class]]="C",WORKDAY(Main[[#This Row],[Tech Start Date]],9),IF(Main[[#This Row],[Class]]="B", WORKDAY(Main[[#This Row],[Tech Start Date]],6),IF(Main[[#This Row],[Class]]="A",WORKDAY(Main[[#This Row],[Tech Start Date]],2),""))))</f>
        <v/>
      </c>
      <c r="N357" s="75" t="str">
        <f>IF(Main[[#This Row],[Tech Start Date]]&lt;1/1/1990,"",IF(Main[[#This Row],[Class]]="C",WORKDAY(Main[[#This Row],[Tech Start Date]],19),IF(Main[[#This Row],[Class]]="B", WORKDAY(Main[[#This Row],[Tech Start Date]],12),IF(Main[[#This Row],[Class]]="A",WORKDAY(Main[[#This Row],[Tech Start Date]],4),""))))</f>
        <v/>
      </c>
      <c r="O357" s="75" t="str">
        <f>IF(Main[[#This Row],[Tech Start Date]]&lt;1/1/1990,"",IF(Main[[#This Row],[Class]]="C",WORKDAY(Main[[#This Row],[Tech Start Date]],23),IF(Main[[#This Row],[Class]]="B", WORKDAY(Main[[#This Row],[Tech Start Date]],15),IF(Main[[#This Row],[Class]]="A",WORKDAY(Main[[#This Row],[Tech Start Date]],5),""))))</f>
        <v/>
      </c>
      <c r="P357" s="75" t="str">
        <f>IF(Main[[#This Row],[Tech Start Date]]&lt;1/1/1990,"",IF(Main[[#This Row],[Class]]="C",WORKDAY(Main[[#This Row],[Tech Start Date]],28),IF(Main[[#This Row],[Class]]="B", WORKDAY(Main[[#This Row],[Tech Start Date]],19),IF(Main[[#This Row],[Class]]="A",WORKDAY(Main[[#This Row],[Tech Start Date]],9),""))))</f>
        <v/>
      </c>
      <c r="Q357" s="89">
        <v>40641</v>
      </c>
      <c r="R357" s="121"/>
      <c r="S357" s="99" t="s">
        <v>11</v>
      </c>
      <c r="T357" s="76" t="s">
        <v>4</v>
      </c>
      <c r="U357" s="99" t="s">
        <v>14</v>
      </c>
      <c r="V357" s="99" t="s">
        <v>1913</v>
      </c>
      <c r="W357" s="99" t="s">
        <v>1921</v>
      </c>
      <c r="X357" s="99" t="s">
        <v>2833</v>
      </c>
      <c r="Y357" s="73" t="s">
        <v>2975</v>
      </c>
      <c r="Z357" s="73" t="s">
        <v>4</v>
      </c>
      <c r="AA357" s="99" t="s">
        <v>2833</v>
      </c>
    </row>
    <row r="358" spans="1:27" ht="17.25" customHeight="1">
      <c r="A358" s="65" t="str">
        <f>IF(priority(Main[[#This Row],[Comments]])&lt;&gt;0, priority(Main[[#This Row],[Comments]]),"")</f>
        <v/>
      </c>
      <c r="B358" s="60" t="s">
        <v>1133</v>
      </c>
      <c r="C358" s="105" t="s">
        <v>4</v>
      </c>
      <c r="D358" s="59" t="s">
        <v>186</v>
      </c>
      <c r="E358" s="89">
        <v>40585.675416666665</v>
      </c>
      <c r="F358" s="89">
        <v>40606</v>
      </c>
      <c r="G358" s="65" t="str">
        <f>IF(stdProdLT(Main[[#This Row],[Comments]])=0.1,"N/A",IF(stdProdLT(Main[[#This Row],[Comments]])=0,"",TRIM(stdProdLT(Main[[#This Row],[Comments]]))))</f>
        <v/>
      </c>
      <c r="H358" s="98" t="str">
        <f>IF(Main[[#This Row],[Std. Prod. Lead Time]]="N/A", "",IF(AND(Main[[#This Row],[In Stock Date]]&lt;&gt;"",Main[[#This Row],[Revised Due Date]]&lt;&gt;"",Main[[#This Row],[In Stock Date]]&lt;&gt;""),Main[[#This Row],[In Stock Date]]-Main[[#This Row],[Revised Due Date]],""))</f>
        <v/>
      </c>
      <c r="I358" s="110" t="s">
        <v>4</v>
      </c>
      <c r="J358" s="99" t="s">
        <v>28</v>
      </c>
      <c r="K358" s="99" t="s">
        <v>1925</v>
      </c>
      <c r="L358" s="89"/>
      <c r="M358" s="75" t="str">
        <f>IF(Main[[#This Row],[Tech Start Date]]&lt;1/1/1990,"",IF(Main[[#This Row],[Class]]="C",WORKDAY(Main[[#This Row],[Tech Start Date]],9),IF(Main[[#This Row],[Class]]="B", WORKDAY(Main[[#This Row],[Tech Start Date]],6),IF(Main[[#This Row],[Class]]="A",WORKDAY(Main[[#This Row],[Tech Start Date]],2),""))))</f>
        <v/>
      </c>
      <c r="N358" s="75" t="str">
        <f>IF(Main[[#This Row],[Tech Start Date]]&lt;1/1/1990,"",IF(Main[[#This Row],[Class]]="C",WORKDAY(Main[[#This Row],[Tech Start Date]],19),IF(Main[[#This Row],[Class]]="B", WORKDAY(Main[[#This Row],[Tech Start Date]],12),IF(Main[[#This Row],[Class]]="A",WORKDAY(Main[[#This Row],[Tech Start Date]],4),""))))</f>
        <v/>
      </c>
      <c r="O358" s="75" t="str">
        <f>IF(Main[[#This Row],[Tech Start Date]]&lt;1/1/1990,"",IF(Main[[#This Row],[Class]]="C",WORKDAY(Main[[#This Row],[Tech Start Date]],23),IF(Main[[#This Row],[Class]]="B", WORKDAY(Main[[#This Row],[Tech Start Date]],15),IF(Main[[#This Row],[Class]]="A",WORKDAY(Main[[#This Row],[Tech Start Date]],5),""))))</f>
        <v/>
      </c>
      <c r="P358" s="75" t="str">
        <f>IF(Main[[#This Row],[Tech Start Date]]&lt;1/1/1990,"",IF(Main[[#This Row],[Class]]="C",WORKDAY(Main[[#This Row],[Tech Start Date]],28),IF(Main[[#This Row],[Class]]="B", WORKDAY(Main[[#This Row],[Tech Start Date]],19),IF(Main[[#This Row],[Class]]="A",WORKDAY(Main[[#This Row],[Tech Start Date]],9),""))))</f>
        <v/>
      </c>
      <c r="Q358" s="89">
        <v>40606</v>
      </c>
      <c r="R358" s="121"/>
      <c r="S358" s="99" t="s">
        <v>17</v>
      </c>
      <c r="T358" s="76" t="s">
        <v>4</v>
      </c>
      <c r="U358" s="99" t="s">
        <v>7</v>
      </c>
      <c r="V358" s="99" t="s">
        <v>1913</v>
      </c>
      <c r="W358" s="99" t="s">
        <v>1921</v>
      </c>
      <c r="X358" s="99" t="s">
        <v>2822</v>
      </c>
      <c r="Y358" s="73" t="s">
        <v>2944</v>
      </c>
      <c r="Z358" s="73" t="s">
        <v>129</v>
      </c>
      <c r="AA358" s="99" t="s">
        <v>2822</v>
      </c>
    </row>
    <row r="359" spans="1:27" ht="17.25" customHeight="1">
      <c r="A359" s="65" t="str">
        <f>IF(priority(Main[[#This Row],[Comments]])&lt;&gt;0, priority(Main[[#This Row],[Comments]]),"")</f>
        <v/>
      </c>
      <c r="B359" s="60" t="s">
        <v>1191</v>
      </c>
      <c r="C359" s="105" t="s">
        <v>4</v>
      </c>
      <c r="D359" s="74" t="s">
        <v>2352</v>
      </c>
      <c r="E359" s="89">
        <v>40620.555636574078</v>
      </c>
      <c r="F359" s="89"/>
      <c r="G359" s="65" t="str">
        <f>IF(stdProdLT(Main[[#This Row],[Comments]])=0.1,"N/A",IF(stdProdLT(Main[[#This Row],[Comments]])=0,"",TRIM(stdProdLT(Main[[#This Row],[Comments]]))))</f>
        <v/>
      </c>
      <c r="H359" s="98" t="str">
        <f>IF(Main[[#This Row],[Std. Prod. Lead Time]]="N/A", "",IF(AND(Main[[#This Row],[In Stock Date]]&lt;&gt;"",Main[[#This Row],[Revised Due Date]]&lt;&gt;"",Main[[#This Row],[In Stock Date]]&lt;&gt;""),Main[[#This Row],[In Stock Date]]-Main[[#This Row],[Revised Due Date]],""))</f>
        <v/>
      </c>
      <c r="I359" s="110" t="s">
        <v>30</v>
      </c>
      <c r="J359" s="99" t="s">
        <v>75</v>
      </c>
      <c r="K359" s="99" t="s">
        <v>1922</v>
      </c>
      <c r="L359" s="89"/>
      <c r="M359" s="75" t="str">
        <f>IF(Main[[#This Row],[Tech Start Date]]&lt;1/1/1990,"",IF(Main[[#This Row],[Class]]="C",WORKDAY(Main[[#This Row],[Tech Start Date]],9),IF(Main[[#This Row],[Class]]="B", WORKDAY(Main[[#This Row],[Tech Start Date]],6),IF(Main[[#This Row],[Class]]="A",WORKDAY(Main[[#This Row],[Tech Start Date]],2),""))))</f>
        <v/>
      </c>
      <c r="N359" s="75" t="str">
        <f>IF(Main[[#This Row],[Tech Start Date]]&lt;1/1/1990,"",IF(Main[[#This Row],[Class]]="C",WORKDAY(Main[[#This Row],[Tech Start Date]],19),IF(Main[[#This Row],[Class]]="B", WORKDAY(Main[[#This Row],[Tech Start Date]],12),IF(Main[[#This Row],[Class]]="A",WORKDAY(Main[[#This Row],[Tech Start Date]],4),""))))</f>
        <v/>
      </c>
      <c r="O359" s="75" t="str">
        <f>IF(Main[[#This Row],[Tech Start Date]]&lt;1/1/1990,"",IF(Main[[#This Row],[Class]]="C",WORKDAY(Main[[#This Row],[Tech Start Date]],23),IF(Main[[#This Row],[Class]]="B", WORKDAY(Main[[#This Row],[Tech Start Date]],15),IF(Main[[#This Row],[Class]]="A",WORKDAY(Main[[#This Row],[Tech Start Date]],5),""))))</f>
        <v/>
      </c>
      <c r="P359" s="75" t="str">
        <f>IF(Main[[#This Row],[Tech Start Date]]&lt;1/1/1990,"",IF(Main[[#This Row],[Class]]="C",WORKDAY(Main[[#This Row],[Tech Start Date]],28),IF(Main[[#This Row],[Class]]="B", WORKDAY(Main[[#This Row],[Tech Start Date]],19),IF(Main[[#This Row],[Class]]="A",WORKDAY(Main[[#This Row],[Tech Start Date]],9),""))))</f>
        <v/>
      </c>
      <c r="Q359" s="89">
        <v>40662</v>
      </c>
      <c r="R359" s="121"/>
      <c r="S359" s="99" t="s">
        <v>6</v>
      </c>
      <c r="T359" s="76" t="s">
        <v>4</v>
      </c>
      <c r="U359" s="99" t="s">
        <v>29</v>
      </c>
      <c r="V359" s="99" t="s">
        <v>1916</v>
      </c>
      <c r="W359" s="99" t="s">
        <v>1917</v>
      </c>
      <c r="X359" s="99" t="s">
        <v>30</v>
      </c>
      <c r="Y359" s="73" t="s">
        <v>3009</v>
      </c>
      <c r="Z359" s="73" t="s">
        <v>30</v>
      </c>
      <c r="AA359" s="99" t="s">
        <v>3393</v>
      </c>
    </row>
    <row r="360" spans="1:27" ht="17.25" customHeight="1">
      <c r="A360" s="65" t="str">
        <f>IF(priority(Main[[#This Row],[Comments]])&lt;&gt;0, priority(Main[[#This Row],[Comments]]),"")</f>
        <v/>
      </c>
      <c r="B360" s="60" t="s">
        <v>1120</v>
      </c>
      <c r="C360" s="105" t="s">
        <v>169</v>
      </c>
      <c r="D360" s="74" t="s">
        <v>170</v>
      </c>
      <c r="E360" s="89"/>
      <c r="F360" s="89">
        <v>40237</v>
      </c>
      <c r="G360" s="65" t="str">
        <f>IF(stdProdLT(Main[[#This Row],[Comments]])=0.1,"N/A",IF(stdProdLT(Main[[#This Row],[Comments]])=0,"",TRIM(stdProdLT(Main[[#This Row],[Comments]]))))</f>
        <v/>
      </c>
      <c r="H360" s="98" t="str">
        <f>IF(Main[[#This Row],[Std. Prod. Lead Time]]="N/A", "",IF(AND(Main[[#This Row],[In Stock Date]]&lt;&gt;"",Main[[#This Row],[Revised Due Date]]&lt;&gt;"",Main[[#This Row],[In Stock Date]]&lt;&gt;""),Main[[#This Row],[In Stock Date]]-Main[[#This Row],[Revised Due Date]],""))</f>
        <v/>
      </c>
      <c r="I360" s="110" t="s">
        <v>4</v>
      </c>
      <c r="J360" s="99" t="s">
        <v>4</v>
      </c>
      <c r="K360" s="99" t="s">
        <v>4</v>
      </c>
      <c r="L360" s="89"/>
      <c r="M360" s="75" t="str">
        <f>IF(Main[[#This Row],[Tech Start Date]]&lt;1/1/1990,"",IF(Main[[#This Row],[Class]]="C",WORKDAY(Main[[#This Row],[Tech Start Date]],9),IF(Main[[#This Row],[Class]]="B", WORKDAY(Main[[#This Row],[Tech Start Date]],6),IF(Main[[#This Row],[Class]]="A",WORKDAY(Main[[#This Row],[Tech Start Date]],2),""))))</f>
        <v/>
      </c>
      <c r="N360" s="75" t="str">
        <f>IF(Main[[#This Row],[Tech Start Date]]&lt;1/1/1990,"",IF(Main[[#This Row],[Class]]="C",WORKDAY(Main[[#This Row],[Tech Start Date]],19),IF(Main[[#This Row],[Class]]="B", WORKDAY(Main[[#This Row],[Tech Start Date]],12),IF(Main[[#This Row],[Class]]="A",WORKDAY(Main[[#This Row],[Tech Start Date]],4),""))))</f>
        <v/>
      </c>
      <c r="O360" s="75" t="str">
        <f>IF(Main[[#This Row],[Tech Start Date]]&lt;1/1/1990,"",IF(Main[[#This Row],[Class]]="C",WORKDAY(Main[[#This Row],[Tech Start Date]],23),IF(Main[[#This Row],[Class]]="B", WORKDAY(Main[[#This Row],[Tech Start Date]],15),IF(Main[[#This Row],[Class]]="A",WORKDAY(Main[[#This Row],[Tech Start Date]],5),""))))</f>
        <v/>
      </c>
      <c r="P360" s="75" t="str">
        <f>IF(Main[[#This Row],[Tech Start Date]]&lt;1/1/1990,"",IF(Main[[#This Row],[Class]]="C",WORKDAY(Main[[#This Row],[Tech Start Date]],28),IF(Main[[#This Row],[Class]]="B", WORKDAY(Main[[#This Row],[Tech Start Date]],19),IF(Main[[#This Row],[Class]]="A",WORKDAY(Main[[#This Row],[Tech Start Date]],9),""))))</f>
        <v/>
      </c>
      <c r="Q360" s="89">
        <v>40132</v>
      </c>
      <c r="R360" s="121"/>
      <c r="S360" s="99" t="s">
        <v>11</v>
      </c>
      <c r="T360" s="76" t="s">
        <v>4</v>
      </c>
      <c r="U360" s="99" t="s">
        <v>14</v>
      </c>
      <c r="V360" s="99" t="s">
        <v>1913</v>
      </c>
      <c r="W360" s="99" t="s">
        <v>1918</v>
      </c>
      <c r="X360" s="99" t="s">
        <v>2852</v>
      </c>
      <c r="Y360" s="73" t="s">
        <v>4</v>
      </c>
      <c r="Z360" s="73" t="s">
        <v>4</v>
      </c>
      <c r="AA360" s="99" t="s">
        <v>2852</v>
      </c>
    </row>
    <row r="361" spans="1:27" ht="17.25" customHeight="1">
      <c r="A361" s="65" t="str">
        <f>IF(priority(Main[[#This Row],[Comments]])&lt;&gt;0, priority(Main[[#This Row],[Comments]]),"")</f>
        <v/>
      </c>
      <c r="B361" s="60" t="s">
        <v>2353</v>
      </c>
      <c r="C361" s="105" t="s">
        <v>4</v>
      </c>
      <c r="D361" s="74" t="s">
        <v>2354</v>
      </c>
      <c r="E361" s="89">
        <v>40826.383356481485</v>
      </c>
      <c r="F361" s="89"/>
      <c r="G361" s="65" t="str">
        <f>IF(stdProdLT(Main[[#This Row],[Comments]])=0.1,"N/A",IF(stdProdLT(Main[[#This Row],[Comments]])=0,"",TRIM(stdProdLT(Main[[#This Row],[Comments]]))))</f>
        <v/>
      </c>
      <c r="H361" s="98" t="str">
        <f>IF(Main[[#This Row],[Std. Prod. Lead Time]]="N/A", "",IF(AND(Main[[#This Row],[In Stock Date]]&lt;&gt;"",Main[[#This Row],[Revised Due Date]]&lt;&gt;"",Main[[#This Row],[In Stock Date]]&lt;&gt;""),Main[[#This Row],[In Stock Date]]-Main[[#This Row],[Revised Due Date]],""))</f>
        <v/>
      </c>
      <c r="I361" s="110" t="s">
        <v>30</v>
      </c>
      <c r="J361" s="99" t="s">
        <v>2208</v>
      </c>
      <c r="K361" s="99" t="s">
        <v>4</v>
      </c>
      <c r="L361" s="89"/>
      <c r="M361" s="75" t="str">
        <f>IF(Main[[#This Row],[Tech Start Date]]&lt;1/1/1990,"",IF(Main[[#This Row],[Class]]="C",WORKDAY(Main[[#This Row],[Tech Start Date]],9),IF(Main[[#This Row],[Class]]="B", WORKDAY(Main[[#This Row],[Tech Start Date]],6),IF(Main[[#This Row],[Class]]="A",WORKDAY(Main[[#This Row],[Tech Start Date]],2),""))))</f>
        <v/>
      </c>
      <c r="N361" s="75" t="str">
        <f>IF(Main[[#This Row],[Tech Start Date]]&lt;1/1/1990,"",IF(Main[[#This Row],[Class]]="C",WORKDAY(Main[[#This Row],[Tech Start Date]],19),IF(Main[[#This Row],[Class]]="B", WORKDAY(Main[[#This Row],[Tech Start Date]],12),IF(Main[[#This Row],[Class]]="A",WORKDAY(Main[[#This Row],[Tech Start Date]],4),""))))</f>
        <v/>
      </c>
      <c r="O361" s="75" t="str">
        <f>IF(Main[[#This Row],[Tech Start Date]]&lt;1/1/1990,"",IF(Main[[#This Row],[Class]]="C",WORKDAY(Main[[#This Row],[Tech Start Date]],23),IF(Main[[#This Row],[Class]]="B", WORKDAY(Main[[#This Row],[Tech Start Date]],15),IF(Main[[#This Row],[Class]]="A",WORKDAY(Main[[#This Row],[Tech Start Date]],5),""))))</f>
        <v/>
      </c>
      <c r="P361" s="75" t="str">
        <f>IF(Main[[#This Row],[Tech Start Date]]&lt;1/1/1990,"",IF(Main[[#This Row],[Class]]="C",WORKDAY(Main[[#This Row],[Tech Start Date]],28),IF(Main[[#This Row],[Class]]="B", WORKDAY(Main[[#This Row],[Tech Start Date]],19),IF(Main[[#This Row],[Class]]="A",WORKDAY(Main[[#This Row],[Tech Start Date]],9),""))))</f>
        <v/>
      </c>
      <c r="Q361" s="89"/>
      <c r="R361" s="121"/>
      <c r="S361" s="99" t="s">
        <v>6</v>
      </c>
      <c r="T361" s="76" t="s">
        <v>4</v>
      </c>
      <c r="U361" s="99" t="s">
        <v>29</v>
      </c>
      <c r="V361" s="99" t="s">
        <v>1916</v>
      </c>
      <c r="W361" s="99" t="s">
        <v>1915</v>
      </c>
      <c r="X361" s="99" t="s">
        <v>306</v>
      </c>
      <c r="Y361" s="73" t="s">
        <v>4</v>
      </c>
      <c r="Z361" s="73" t="s">
        <v>81</v>
      </c>
      <c r="AA361" s="99" t="s">
        <v>3387</v>
      </c>
    </row>
    <row r="362" spans="1:27" ht="17.25" customHeight="1">
      <c r="A362" s="65" t="str">
        <f>IF(priority(Main[[#This Row],[Comments]])&lt;&gt;0, priority(Main[[#This Row],[Comments]]),"")</f>
        <v/>
      </c>
      <c r="B362" s="60" t="s">
        <v>1121</v>
      </c>
      <c r="C362" s="105" t="s">
        <v>172</v>
      </c>
      <c r="D362" s="74" t="s">
        <v>173</v>
      </c>
      <c r="E362" s="89"/>
      <c r="F362" s="89">
        <v>40848</v>
      </c>
      <c r="G362" s="65" t="str">
        <f>IF(stdProdLT(Main[[#This Row],[Comments]])=0.1,"N/A",IF(stdProdLT(Main[[#This Row],[Comments]])=0,"",TRIM(stdProdLT(Main[[#This Row],[Comments]]))))</f>
        <v/>
      </c>
      <c r="H362" s="98" t="str">
        <f>IF(Main[[#This Row],[Std. Prod. Lead Time]]="N/A", "",IF(AND(Main[[#This Row],[In Stock Date]]&lt;&gt;"",Main[[#This Row],[Revised Due Date]]&lt;&gt;"",Main[[#This Row],[In Stock Date]]&lt;&gt;""),Main[[#This Row],[In Stock Date]]-Main[[#This Row],[Revised Due Date]],""))</f>
        <v/>
      </c>
      <c r="I362" s="110" t="s">
        <v>4</v>
      </c>
      <c r="J362" s="99" t="s">
        <v>51</v>
      </c>
      <c r="K362" s="99" t="s">
        <v>4</v>
      </c>
      <c r="L362" s="89"/>
      <c r="M362" s="75" t="str">
        <f>IF(Main[[#This Row],[Tech Start Date]]&lt;1/1/1990,"",IF(Main[[#This Row],[Class]]="C",WORKDAY(Main[[#This Row],[Tech Start Date]],9),IF(Main[[#This Row],[Class]]="B", WORKDAY(Main[[#This Row],[Tech Start Date]],6),IF(Main[[#This Row],[Class]]="A",WORKDAY(Main[[#This Row],[Tech Start Date]],2),""))))</f>
        <v/>
      </c>
      <c r="N362" s="75" t="str">
        <f>IF(Main[[#This Row],[Tech Start Date]]&lt;1/1/1990,"",IF(Main[[#This Row],[Class]]="C",WORKDAY(Main[[#This Row],[Tech Start Date]],19),IF(Main[[#This Row],[Class]]="B", WORKDAY(Main[[#This Row],[Tech Start Date]],12),IF(Main[[#This Row],[Class]]="A",WORKDAY(Main[[#This Row],[Tech Start Date]],4),""))))</f>
        <v/>
      </c>
      <c r="O362" s="75" t="str">
        <f>IF(Main[[#This Row],[Tech Start Date]]&lt;1/1/1990,"",IF(Main[[#This Row],[Class]]="C",WORKDAY(Main[[#This Row],[Tech Start Date]],23),IF(Main[[#This Row],[Class]]="B", WORKDAY(Main[[#This Row],[Tech Start Date]],15),IF(Main[[#This Row],[Class]]="A",WORKDAY(Main[[#This Row],[Tech Start Date]],5),""))))</f>
        <v/>
      </c>
      <c r="P362" s="75" t="str">
        <f>IF(Main[[#This Row],[Tech Start Date]]&lt;1/1/1990,"",IF(Main[[#This Row],[Class]]="C",WORKDAY(Main[[#This Row],[Tech Start Date]],28),IF(Main[[#This Row],[Class]]="B", WORKDAY(Main[[#This Row],[Tech Start Date]],19),IF(Main[[#This Row],[Class]]="A",WORKDAY(Main[[#This Row],[Tech Start Date]],9),""))))</f>
        <v/>
      </c>
      <c r="Q362" s="89">
        <v>40648</v>
      </c>
      <c r="R362" s="121"/>
      <c r="S362" s="99" t="s">
        <v>11</v>
      </c>
      <c r="T362" s="76" t="s">
        <v>4</v>
      </c>
      <c r="U362" s="99" t="s">
        <v>12</v>
      </c>
      <c r="V362" s="99" t="s">
        <v>1913</v>
      </c>
      <c r="W362" s="99" t="s">
        <v>1919</v>
      </c>
      <c r="X362" s="99" t="s">
        <v>50</v>
      </c>
      <c r="Y362" s="73" t="s">
        <v>2937</v>
      </c>
      <c r="Z362" s="73" t="s">
        <v>3154</v>
      </c>
      <c r="AA362" s="99" t="s">
        <v>2818</v>
      </c>
    </row>
    <row r="363" spans="1:27" ht="17.25" customHeight="1">
      <c r="A363" s="65" t="str">
        <f>IF(priority(Main[[#This Row],[Comments]])&lt;&gt;0, priority(Main[[#This Row],[Comments]]),"")</f>
        <v/>
      </c>
      <c r="B363" s="60" t="s">
        <v>2532</v>
      </c>
      <c r="C363" s="105" t="s">
        <v>2348</v>
      </c>
      <c r="D363" s="74" t="s">
        <v>2533</v>
      </c>
      <c r="E363" s="89"/>
      <c r="F363" s="89">
        <v>41030</v>
      </c>
      <c r="G363" s="65" t="str">
        <f>IF(stdProdLT(Main[[#This Row],[Comments]])=0.1,"N/A",IF(stdProdLT(Main[[#This Row],[Comments]])=0,"",TRIM(stdProdLT(Main[[#This Row],[Comments]]))))</f>
        <v/>
      </c>
      <c r="H363" s="98" t="str">
        <f>IF(Main[[#This Row],[Std. Prod. Lead Time]]="N/A", "",IF(AND(Main[[#This Row],[In Stock Date]]&lt;&gt;"",Main[[#This Row],[Revised Due Date]]&lt;&gt;"",Main[[#This Row],[In Stock Date]]&lt;&gt;""),Main[[#This Row],[In Stock Date]]-Main[[#This Row],[Revised Due Date]],""))</f>
        <v/>
      </c>
      <c r="I363" s="110" t="s">
        <v>4</v>
      </c>
      <c r="J363" s="99" t="s">
        <v>75</v>
      </c>
      <c r="K363" s="100" t="s">
        <v>4</v>
      </c>
      <c r="L363" s="89"/>
      <c r="M363" s="75" t="str">
        <f>IF(Main[[#This Row],[Tech Start Date]]&lt;1/1/1990,"",IF(Main[[#This Row],[Class]]="C",WORKDAY(Main[[#This Row],[Tech Start Date]],9),IF(Main[[#This Row],[Class]]="B", WORKDAY(Main[[#This Row],[Tech Start Date]],6),IF(Main[[#This Row],[Class]]="A",WORKDAY(Main[[#This Row],[Tech Start Date]],2),""))))</f>
        <v/>
      </c>
      <c r="N363" s="75" t="str">
        <f>IF(Main[[#This Row],[Tech Start Date]]&lt;1/1/1990,"",IF(Main[[#This Row],[Class]]="C",WORKDAY(Main[[#This Row],[Tech Start Date]],19),IF(Main[[#This Row],[Class]]="B", WORKDAY(Main[[#This Row],[Tech Start Date]],12),IF(Main[[#This Row],[Class]]="A",WORKDAY(Main[[#This Row],[Tech Start Date]],4),""))))</f>
        <v/>
      </c>
      <c r="O363" s="75" t="str">
        <f>IF(Main[[#This Row],[Tech Start Date]]&lt;1/1/1990,"",IF(Main[[#This Row],[Class]]="C",WORKDAY(Main[[#This Row],[Tech Start Date]],23),IF(Main[[#This Row],[Class]]="B", WORKDAY(Main[[#This Row],[Tech Start Date]],15),IF(Main[[#This Row],[Class]]="A",WORKDAY(Main[[#This Row],[Tech Start Date]],5),""))))</f>
        <v/>
      </c>
      <c r="P363" s="75" t="str">
        <f>IF(Main[[#This Row],[Tech Start Date]]&lt;1/1/1990,"",IF(Main[[#This Row],[Class]]="C",WORKDAY(Main[[#This Row],[Tech Start Date]],28),IF(Main[[#This Row],[Class]]="B", WORKDAY(Main[[#This Row],[Tech Start Date]],19),IF(Main[[#This Row],[Class]]="A",WORKDAY(Main[[#This Row],[Tech Start Date]],9),""))))</f>
        <v/>
      </c>
      <c r="Q363" s="89">
        <v>40923</v>
      </c>
      <c r="R363" s="121"/>
      <c r="S363" s="99" t="s">
        <v>11</v>
      </c>
      <c r="T363" s="76" t="s">
        <v>4</v>
      </c>
      <c r="U363" s="99" t="s">
        <v>14</v>
      </c>
      <c r="V363" s="99" t="s">
        <v>1923</v>
      </c>
      <c r="W363" s="99" t="s">
        <v>1919</v>
      </c>
      <c r="X363" s="99" t="s">
        <v>2842</v>
      </c>
      <c r="Y363" s="73" t="s">
        <v>2973</v>
      </c>
      <c r="Z363" s="73" t="s">
        <v>530</v>
      </c>
      <c r="AA363" s="99" t="s">
        <v>2842</v>
      </c>
    </row>
    <row r="364" spans="1:27" ht="17.25" customHeight="1">
      <c r="A364" s="65" t="str">
        <f>IF(priority(Main[[#This Row],[Comments]])&lt;&gt;0, priority(Main[[#This Row],[Comments]]),"")</f>
        <v/>
      </c>
      <c r="B364" s="60" t="s">
        <v>1122</v>
      </c>
      <c r="C364" s="105" t="s">
        <v>4</v>
      </c>
      <c r="D364" s="74" t="s">
        <v>174</v>
      </c>
      <c r="E364" s="89">
        <v>40681.639328703706</v>
      </c>
      <c r="F364" s="89"/>
      <c r="G364" s="65" t="str">
        <f>IF(stdProdLT(Main[[#This Row],[Comments]])=0.1,"N/A",IF(stdProdLT(Main[[#This Row],[Comments]])=0,"",TRIM(stdProdLT(Main[[#This Row],[Comments]]))))</f>
        <v/>
      </c>
      <c r="H364" s="98" t="str">
        <f>IF(Main[[#This Row],[Std. Prod. Lead Time]]="N/A", "",IF(AND(Main[[#This Row],[In Stock Date]]&lt;&gt;"",Main[[#This Row],[Revised Due Date]]&lt;&gt;"",Main[[#This Row],[In Stock Date]]&lt;&gt;""),Main[[#This Row],[In Stock Date]]-Main[[#This Row],[Revised Due Date]],""))</f>
        <v/>
      </c>
      <c r="I364" s="110" t="s">
        <v>4</v>
      </c>
      <c r="J364" s="99" t="s">
        <v>4</v>
      </c>
      <c r="K364" s="99" t="s">
        <v>4</v>
      </c>
      <c r="L364" s="89"/>
      <c r="M364" s="75" t="str">
        <f>IF(Main[[#This Row],[Tech Start Date]]&lt;1/1/1990,"",IF(Main[[#This Row],[Class]]="C",WORKDAY(Main[[#This Row],[Tech Start Date]],9),IF(Main[[#This Row],[Class]]="B", WORKDAY(Main[[#This Row],[Tech Start Date]],6),IF(Main[[#This Row],[Class]]="A",WORKDAY(Main[[#This Row],[Tech Start Date]],2),""))))</f>
        <v/>
      </c>
      <c r="N364" s="75" t="str">
        <f>IF(Main[[#This Row],[Tech Start Date]]&lt;1/1/1990,"",IF(Main[[#This Row],[Class]]="C",WORKDAY(Main[[#This Row],[Tech Start Date]],19),IF(Main[[#This Row],[Class]]="B", WORKDAY(Main[[#This Row],[Tech Start Date]],12),IF(Main[[#This Row],[Class]]="A",WORKDAY(Main[[#This Row],[Tech Start Date]],4),""))))</f>
        <v/>
      </c>
      <c r="O364" s="75" t="str">
        <f>IF(Main[[#This Row],[Tech Start Date]]&lt;1/1/1990,"",IF(Main[[#This Row],[Class]]="C",WORKDAY(Main[[#This Row],[Tech Start Date]],23),IF(Main[[#This Row],[Class]]="B", WORKDAY(Main[[#This Row],[Tech Start Date]],15),IF(Main[[#This Row],[Class]]="A",WORKDAY(Main[[#This Row],[Tech Start Date]],5),""))))</f>
        <v/>
      </c>
      <c r="P364" s="75" t="str">
        <f>IF(Main[[#This Row],[Tech Start Date]]&lt;1/1/1990,"",IF(Main[[#This Row],[Class]]="C",WORKDAY(Main[[#This Row],[Tech Start Date]],28),IF(Main[[#This Row],[Class]]="B", WORKDAY(Main[[#This Row],[Tech Start Date]],19),IF(Main[[#This Row],[Class]]="A",WORKDAY(Main[[#This Row],[Tech Start Date]],9),""))))</f>
        <v/>
      </c>
      <c r="Q364" s="89">
        <v>40702</v>
      </c>
      <c r="R364" s="121"/>
      <c r="S364" s="99" t="s">
        <v>6</v>
      </c>
      <c r="T364" s="76" t="s">
        <v>4</v>
      </c>
      <c r="U364" s="99" t="s">
        <v>7</v>
      </c>
      <c r="V364" s="99" t="s">
        <v>1913</v>
      </c>
      <c r="W364" s="99" t="s">
        <v>1921</v>
      </c>
      <c r="X364" s="99" t="s">
        <v>2815</v>
      </c>
      <c r="Y364" s="73" t="s">
        <v>2930</v>
      </c>
      <c r="Z364" s="73" t="s">
        <v>4</v>
      </c>
      <c r="AA364" s="99" t="s">
        <v>2815</v>
      </c>
    </row>
    <row r="365" spans="1:27" ht="17.25" customHeight="1">
      <c r="A365" s="65" t="str">
        <f>IF(priority(Main[[#This Row],[Comments]])&lt;&gt;0, priority(Main[[#This Row],[Comments]]),"")</f>
        <v/>
      </c>
      <c r="B365" s="60" t="s">
        <v>1192</v>
      </c>
      <c r="C365" s="105" t="s">
        <v>4</v>
      </c>
      <c r="D365" s="74" t="s">
        <v>252</v>
      </c>
      <c r="E365" s="89"/>
      <c r="F365" s="89"/>
      <c r="G365" s="65" t="str">
        <f>IF(stdProdLT(Main[[#This Row],[Comments]])=0.1,"N/A",IF(stdProdLT(Main[[#This Row],[Comments]])=0,"",TRIM(stdProdLT(Main[[#This Row],[Comments]]))))</f>
        <v/>
      </c>
      <c r="H365" s="98" t="str">
        <f>IF(Main[[#This Row],[Std. Prod. Lead Time]]="N/A", "",IF(AND(Main[[#This Row],[In Stock Date]]&lt;&gt;"",Main[[#This Row],[Revised Due Date]]&lt;&gt;"",Main[[#This Row],[In Stock Date]]&lt;&gt;""),Main[[#This Row],[In Stock Date]]-Main[[#This Row],[Revised Due Date]],""))</f>
        <v/>
      </c>
      <c r="I365" s="110" t="s">
        <v>4</v>
      </c>
      <c r="J365" s="99" t="s">
        <v>4</v>
      </c>
      <c r="K365" s="99" t="s">
        <v>4</v>
      </c>
      <c r="L365" s="89"/>
      <c r="M365" s="75" t="str">
        <f>IF(Main[[#This Row],[Tech Start Date]]&lt;1/1/1990,"",IF(Main[[#This Row],[Class]]="C",WORKDAY(Main[[#This Row],[Tech Start Date]],9),IF(Main[[#This Row],[Class]]="B", WORKDAY(Main[[#This Row],[Tech Start Date]],6),IF(Main[[#This Row],[Class]]="A",WORKDAY(Main[[#This Row],[Tech Start Date]],2),""))))</f>
        <v/>
      </c>
      <c r="N365" s="75" t="str">
        <f>IF(Main[[#This Row],[Tech Start Date]]&lt;1/1/1990,"",IF(Main[[#This Row],[Class]]="C",WORKDAY(Main[[#This Row],[Tech Start Date]],19),IF(Main[[#This Row],[Class]]="B", WORKDAY(Main[[#This Row],[Tech Start Date]],12),IF(Main[[#This Row],[Class]]="A",WORKDAY(Main[[#This Row],[Tech Start Date]],4),""))))</f>
        <v/>
      </c>
      <c r="O365" s="75" t="str">
        <f>IF(Main[[#This Row],[Tech Start Date]]&lt;1/1/1990,"",IF(Main[[#This Row],[Class]]="C",WORKDAY(Main[[#This Row],[Tech Start Date]],23),IF(Main[[#This Row],[Class]]="B", WORKDAY(Main[[#This Row],[Tech Start Date]],15),IF(Main[[#This Row],[Class]]="A",WORKDAY(Main[[#This Row],[Tech Start Date]],5),""))))</f>
        <v/>
      </c>
      <c r="P365" s="75" t="str">
        <f>IF(Main[[#This Row],[Tech Start Date]]&lt;1/1/1990,"",IF(Main[[#This Row],[Class]]="C",WORKDAY(Main[[#This Row],[Tech Start Date]],28),IF(Main[[#This Row],[Class]]="B", WORKDAY(Main[[#This Row],[Tech Start Date]],19),IF(Main[[#This Row],[Class]]="A",WORKDAY(Main[[#This Row],[Tech Start Date]],9),""))))</f>
        <v/>
      </c>
      <c r="Q365" s="89"/>
      <c r="R365" s="121"/>
      <c r="S365" s="99" t="s">
        <v>11</v>
      </c>
      <c r="T365" s="76" t="s">
        <v>4</v>
      </c>
      <c r="U365" s="99" t="s">
        <v>12</v>
      </c>
      <c r="V365" s="99" t="s">
        <v>1913</v>
      </c>
      <c r="W365" s="99" t="s">
        <v>1917</v>
      </c>
      <c r="X365" s="99" t="s">
        <v>877</v>
      </c>
      <c r="Y365" s="73" t="s">
        <v>3028</v>
      </c>
      <c r="Z365" s="73" t="s">
        <v>4</v>
      </c>
      <c r="AA365" s="99" t="s">
        <v>3394</v>
      </c>
    </row>
    <row r="366" spans="1:27" ht="17.25" customHeight="1">
      <c r="A366" s="65" t="str">
        <f>IF(priority(Main[[#This Row],[Comments]])&lt;&gt;0, priority(Main[[#This Row],[Comments]]),"")</f>
        <v/>
      </c>
      <c r="B366" s="60" t="s">
        <v>1193</v>
      </c>
      <c r="C366" s="105" t="s">
        <v>155</v>
      </c>
      <c r="D366" s="74" t="s">
        <v>253</v>
      </c>
      <c r="E366" s="89"/>
      <c r="F366" s="89"/>
      <c r="G366" s="65" t="str">
        <f>IF(stdProdLT(Main[[#This Row],[Comments]])=0.1,"N/A",IF(stdProdLT(Main[[#This Row],[Comments]])=0,"",TRIM(stdProdLT(Main[[#This Row],[Comments]]))))</f>
        <v/>
      </c>
      <c r="H366" s="98" t="str">
        <f>IF(Main[[#This Row],[Std. Prod. Lead Time]]="N/A", "",IF(AND(Main[[#This Row],[In Stock Date]]&lt;&gt;"",Main[[#This Row],[Revised Due Date]]&lt;&gt;"",Main[[#This Row],[In Stock Date]]&lt;&gt;""),Main[[#This Row],[In Stock Date]]-Main[[#This Row],[Revised Due Date]],""))</f>
        <v/>
      </c>
      <c r="I366" s="110" t="s">
        <v>4</v>
      </c>
      <c r="J366" s="99" t="s">
        <v>4</v>
      </c>
      <c r="K366" s="99" t="s">
        <v>4</v>
      </c>
      <c r="L366" s="89"/>
      <c r="M366" s="75" t="str">
        <f>IF(Main[[#This Row],[Tech Start Date]]&lt;1/1/1990,"",IF(Main[[#This Row],[Class]]="C",WORKDAY(Main[[#This Row],[Tech Start Date]],9),IF(Main[[#This Row],[Class]]="B", WORKDAY(Main[[#This Row],[Tech Start Date]],6),IF(Main[[#This Row],[Class]]="A",WORKDAY(Main[[#This Row],[Tech Start Date]],2),""))))</f>
        <v/>
      </c>
      <c r="N366" s="75" t="str">
        <f>IF(Main[[#This Row],[Tech Start Date]]&lt;1/1/1990,"",IF(Main[[#This Row],[Class]]="C",WORKDAY(Main[[#This Row],[Tech Start Date]],19),IF(Main[[#This Row],[Class]]="B", WORKDAY(Main[[#This Row],[Tech Start Date]],12),IF(Main[[#This Row],[Class]]="A",WORKDAY(Main[[#This Row],[Tech Start Date]],4),""))))</f>
        <v/>
      </c>
      <c r="O366" s="75" t="str">
        <f>IF(Main[[#This Row],[Tech Start Date]]&lt;1/1/1990,"",IF(Main[[#This Row],[Class]]="C",WORKDAY(Main[[#This Row],[Tech Start Date]],23),IF(Main[[#This Row],[Class]]="B", WORKDAY(Main[[#This Row],[Tech Start Date]],15),IF(Main[[#This Row],[Class]]="A",WORKDAY(Main[[#This Row],[Tech Start Date]],5),""))))</f>
        <v/>
      </c>
      <c r="P366" s="75" t="str">
        <f>IF(Main[[#This Row],[Tech Start Date]]&lt;1/1/1990,"",IF(Main[[#This Row],[Class]]="C",WORKDAY(Main[[#This Row],[Tech Start Date]],28),IF(Main[[#This Row],[Class]]="B", WORKDAY(Main[[#This Row],[Tech Start Date]],19),IF(Main[[#This Row],[Class]]="A",WORKDAY(Main[[#This Row],[Tech Start Date]],9),""))))</f>
        <v/>
      </c>
      <c r="Q366" s="89">
        <v>40144</v>
      </c>
      <c r="R366" s="121"/>
      <c r="S366" s="99" t="s">
        <v>11</v>
      </c>
      <c r="T366" s="76" t="s">
        <v>4</v>
      </c>
      <c r="U366" s="99" t="s">
        <v>14</v>
      </c>
      <c r="V366" s="99" t="s">
        <v>1913</v>
      </c>
      <c r="W366" s="99" t="s">
        <v>1915</v>
      </c>
      <c r="X366" s="99" t="s">
        <v>2848</v>
      </c>
      <c r="Y366" s="73" t="s">
        <v>4</v>
      </c>
      <c r="Z366" s="73" t="s">
        <v>4</v>
      </c>
      <c r="AA366" s="99" t="s">
        <v>2848</v>
      </c>
    </row>
    <row r="367" spans="1:27" ht="17.25" customHeight="1">
      <c r="A367" s="65" t="str">
        <f>IF(priority(Main[[#This Row],[Comments]])&lt;&gt;0, priority(Main[[#This Row],[Comments]]),"")</f>
        <v/>
      </c>
      <c r="B367" s="60" t="s">
        <v>1228</v>
      </c>
      <c r="C367" s="105" t="s">
        <v>4</v>
      </c>
      <c r="D367" s="74" t="s">
        <v>289</v>
      </c>
      <c r="E367" s="89">
        <v>40379.350532407407</v>
      </c>
      <c r="F367" s="89"/>
      <c r="G367" s="65" t="str">
        <f>IF(stdProdLT(Main[[#This Row],[Comments]])=0.1,"N/A",IF(stdProdLT(Main[[#This Row],[Comments]])=0,"",TRIM(stdProdLT(Main[[#This Row],[Comments]]))))</f>
        <v/>
      </c>
      <c r="H367" s="98" t="str">
        <f>IF(Main[[#This Row],[Std. Prod. Lead Time]]="N/A", "",IF(AND(Main[[#This Row],[In Stock Date]]&lt;&gt;"",Main[[#This Row],[Revised Due Date]]&lt;&gt;"",Main[[#This Row],[In Stock Date]]&lt;&gt;""),Main[[#This Row],[In Stock Date]]-Main[[#This Row],[Revised Due Date]],""))</f>
        <v/>
      </c>
      <c r="I367" s="110" t="s">
        <v>4</v>
      </c>
      <c r="J367" s="99" t="s">
        <v>28</v>
      </c>
      <c r="K367" s="99" t="s">
        <v>4</v>
      </c>
      <c r="L367" s="89"/>
      <c r="M367" s="75" t="str">
        <f>IF(Main[[#This Row],[Tech Start Date]]&lt;1/1/1990,"",IF(Main[[#This Row],[Class]]="C",WORKDAY(Main[[#This Row],[Tech Start Date]],9),IF(Main[[#This Row],[Class]]="B", WORKDAY(Main[[#This Row],[Tech Start Date]],6),IF(Main[[#This Row],[Class]]="A",WORKDAY(Main[[#This Row],[Tech Start Date]],2),""))))</f>
        <v/>
      </c>
      <c r="N367" s="75" t="str">
        <f>IF(Main[[#This Row],[Tech Start Date]]&lt;1/1/1990,"",IF(Main[[#This Row],[Class]]="C",WORKDAY(Main[[#This Row],[Tech Start Date]],19),IF(Main[[#This Row],[Class]]="B", WORKDAY(Main[[#This Row],[Tech Start Date]],12),IF(Main[[#This Row],[Class]]="A",WORKDAY(Main[[#This Row],[Tech Start Date]],4),""))))</f>
        <v/>
      </c>
      <c r="O367" s="75" t="str">
        <f>IF(Main[[#This Row],[Tech Start Date]]&lt;1/1/1990,"",IF(Main[[#This Row],[Class]]="C",WORKDAY(Main[[#This Row],[Tech Start Date]],23),IF(Main[[#This Row],[Class]]="B", WORKDAY(Main[[#This Row],[Tech Start Date]],15),IF(Main[[#This Row],[Class]]="A",WORKDAY(Main[[#This Row],[Tech Start Date]],5),""))))</f>
        <v/>
      </c>
      <c r="P367" s="75" t="str">
        <f>IF(Main[[#This Row],[Tech Start Date]]&lt;1/1/1990,"",IF(Main[[#This Row],[Class]]="C",WORKDAY(Main[[#This Row],[Tech Start Date]],28),IF(Main[[#This Row],[Class]]="B", WORKDAY(Main[[#This Row],[Tech Start Date]],19),IF(Main[[#This Row],[Class]]="A",WORKDAY(Main[[#This Row],[Tech Start Date]],9),""))))</f>
        <v/>
      </c>
      <c r="Q367" s="89">
        <v>40413</v>
      </c>
      <c r="R367" s="121"/>
      <c r="S367" s="99" t="s">
        <v>6</v>
      </c>
      <c r="T367" s="76" t="s">
        <v>4</v>
      </c>
      <c r="U367" s="99" t="s">
        <v>7</v>
      </c>
      <c r="V367" s="99" t="s">
        <v>1913</v>
      </c>
      <c r="W367" s="99" t="s">
        <v>1915</v>
      </c>
      <c r="X367" s="99" t="s">
        <v>2812</v>
      </c>
      <c r="Y367" s="73" t="s">
        <v>2923</v>
      </c>
      <c r="Z367" s="73" t="s">
        <v>129</v>
      </c>
      <c r="AA367" s="99" t="s">
        <v>2812</v>
      </c>
    </row>
    <row r="368" spans="1:27" ht="17.25" customHeight="1">
      <c r="A368" s="65" t="str">
        <f>IF(priority(Main[[#This Row],[Comments]])&lt;&gt;0, priority(Main[[#This Row],[Comments]]),"")</f>
        <v/>
      </c>
      <c r="B368" s="60" t="s">
        <v>1229</v>
      </c>
      <c r="C368" s="105" t="s">
        <v>290</v>
      </c>
      <c r="D368" s="74" t="s">
        <v>291</v>
      </c>
      <c r="E368" s="89"/>
      <c r="F368" s="89"/>
      <c r="G368" s="65" t="str">
        <f>IF(stdProdLT(Main[[#This Row],[Comments]])=0.1,"N/A",IF(stdProdLT(Main[[#This Row],[Comments]])=0,"",TRIM(stdProdLT(Main[[#This Row],[Comments]]))))</f>
        <v/>
      </c>
      <c r="H368" s="98" t="str">
        <f>IF(Main[[#This Row],[Std. Prod. Lead Time]]="N/A", "",IF(AND(Main[[#This Row],[In Stock Date]]&lt;&gt;"",Main[[#This Row],[Revised Due Date]]&lt;&gt;"",Main[[#This Row],[In Stock Date]]&lt;&gt;""),Main[[#This Row],[In Stock Date]]-Main[[#This Row],[Revised Due Date]],""))</f>
        <v/>
      </c>
      <c r="I368" s="110" t="s">
        <v>4</v>
      </c>
      <c r="J368" s="99" t="s">
        <v>4</v>
      </c>
      <c r="K368" s="99" t="s">
        <v>4</v>
      </c>
      <c r="L368" s="89"/>
      <c r="M368" s="75" t="str">
        <f>IF(Main[[#This Row],[Tech Start Date]]&lt;1/1/1990,"",IF(Main[[#This Row],[Class]]="C",WORKDAY(Main[[#This Row],[Tech Start Date]],9),IF(Main[[#This Row],[Class]]="B", WORKDAY(Main[[#This Row],[Tech Start Date]],6),IF(Main[[#This Row],[Class]]="A",WORKDAY(Main[[#This Row],[Tech Start Date]],2),""))))</f>
        <v/>
      </c>
      <c r="N368" s="75" t="str">
        <f>IF(Main[[#This Row],[Tech Start Date]]&lt;1/1/1990,"",IF(Main[[#This Row],[Class]]="C",WORKDAY(Main[[#This Row],[Tech Start Date]],19),IF(Main[[#This Row],[Class]]="B", WORKDAY(Main[[#This Row],[Tech Start Date]],12),IF(Main[[#This Row],[Class]]="A",WORKDAY(Main[[#This Row],[Tech Start Date]],4),""))))</f>
        <v/>
      </c>
      <c r="O368" s="75" t="str">
        <f>IF(Main[[#This Row],[Tech Start Date]]&lt;1/1/1990,"",IF(Main[[#This Row],[Class]]="C",WORKDAY(Main[[#This Row],[Tech Start Date]],23),IF(Main[[#This Row],[Class]]="B", WORKDAY(Main[[#This Row],[Tech Start Date]],15),IF(Main[[#This Row],[Class]]="A",WORKDAY(Main[[#This Row],[Tech Start Date]],5),""))))</f>
        <v/>
      </c>
      <c r="P368" s="75" t="str">
        <f>IF(Main[[#This Row],[Tech Start Date]]&lt;1/1/1990,"",IF(Main[[#This Row],[Class]]="C",WORKDAY(Main[[#This Row],[Tech Start Date]],28),IF(Main[[#This Row],[Class]]="B", WORKDAY(Main[[#This Row],[Tech Start Date]],19),IF(Main[[#This Row],[Class]]="A",WORKDAY(Main[[#This Row],[Tech Start Date]],9),""))))</f>
        <v/>
      </c>
      <c r="Q368" s="89">
        <v>40052</v>
      </c>
      <c r="R368" s="121"/>
      <c r="S368" s="99" t="s">
        <v>11</v>
      </c>
      <c r="T368" s="76" t="s">
        <v>4</v>
      </c>
      <c r="U368" s="99" t="s">
        <v>14</v>
      </c>
      <c r="V368" s="99" t="s">
        <v>1916</v>
      </c>
      <c r="W368" s="99" t="s">
        <v>1915</v>
      </c>
      <c r="X368" s="99" t="s">
        <v>2828</v>
      </c>
      <c r="Y368" s="73" t="s">
        <v>4</v>
      </c>
      <c r="Z368" s="73" t="s">
        <v>4</v>
      </c>
      <c r="AA368" s="99" t="s">
        <v>2828</v>
      </c>
    </row>
    <row r="369" spans="1:27" ht="17.25" customHeight="1">
      <c r="A369" s="65" t="str">
        <f>IF(priority(Main[[#This Row],[Comments]])&lt;&gt;0, priority(Main[[#This Row],[Comments]]),"")</f>
        <v/>
      </c>
      <c r="B369" s="60" t="s">
        <v>2702</v>
      </c>
      <c r="C369" s="105" t="s">
        <v>2703</v>
      </c>
      <c r="D369" s="74" t="s">
        <v>2704</v>
      </c>
      <c r="E369" s="89"/>
      <c r="F369" s="89">
        <v>40900</v>
      </c>
      <c r="G369" s="65" t="str">
        <f>IF(stdProdLT(Main[[#This Row],[Comments]])=0.1,"N/A",IF(stdProdLT(Main[[#This Row],[Comments]])=0,"",TRIM(stdProdLT(Main[[#This Row],[Comments]]))))</f>
        <v/>
      </c>
      <c r="H369" s="98" t="str">
        <f>IF(Main[[#This Row],[Std. Prod. Lead Time]]="N/A", "",IF(AND(Main[[#This Row],[In Stock Date]]&lt;&gt;"",Main[[#This Row],[Revised Due Date]]&lt;&gt;"",Main[[#This Row],[In Stock Date]]&lt;&gt;""),Main[[#This Row],[In Stock Date]]-Main[[#This Row],[Revised Due Date]],""))</f>
        <v/>
      </c>
      <c r="I369" s="110" t="s">
        <v>4</v>
      </c>
      <c r="J369" s="99" t="s">
        <v>4</v>
      </c>
      <c r="K369" s="99" t="s">
        <v>4</v>
      </c>
      <c r="L369" s="89"/>
      <c r="M369" s="75" t="str">
        <f>IF(Main[[#This Row],[Tech Start Date]]&lt;1/1/1990,"",IF(Main[[#This Row],[Class]]="C",WORKDAY(Main[[#This Row],[Tech Start Date]],9),IF(Main[[#This Row],[Class]]="B", WORKDAY(Main[[#This Row],[Tech Start Date]],6),IF(Main[[#This Row],[Class]]="A",WORKDAY(Main[[#This Row],[Tech Start Date]],2),""))))</f>
        <v/>
      </c>
      <c r="N369" s="75" t="str">
        <f>IF(Main[[#This Row],[Tech Start Date]]&lt;1/1/1990,"",IF(Main[[#This Row],[Class]]="C",WORKDAY(Main[[#This Row],[Tech Start Date]],19),IF(Main[[#This Row],[Class]]="B", WORKDAY(Main[[#This Row],[Tech Start Date]],12),IF(Main[[#This Row],[Class]]="A",WORKDAY(Main[[#This Row],[Tech Start Date]],4),""))))</f>
        <v/>
      </c>
      <c r="O369" s="75" t="str">
        <f>IF(Main[[#This Row],[Tech Start Date]]&lt;1/1/1990,"",IF(Main[[#This Row],[Class]]="C",WORKDAY(Main[[#This Row],[Tech Start Date]],23),IF(Main[[#This Row],[Class]]="B", WORKDAY(Main[[#This Row],[Tech Start Date]],15),IF(Main[[#This Row],[Class]]="A",WORKDAY(Main[[#This Row],[Tech Start Date]],5),""))))</f>
        <v/>
      </c>
      <c r="P369" s="75" t="str">
        <f>IF(Main[[#This Row],[Tech Start Date]]&lt;1/1/1990,"",IF(Main[[#This Row],[Class]]="C",WORKDAY(Main[[#This Row],[Tech Start Date]],28),IF(Main[[#This Row],[Class]]="B", WORKDAY(Main[[#This Row],[Tech Start Date]],19),IF(Main[[#This Row],[Class]]="A",WORKDAY(Main[[#This Row],[Tech Start Date]],9),""))))</f>
        <v/>
      </c>
      <c r="Q369" s="89">
        <v>40899</v>
      </c>
      <c r="R369" s="121"/>
      <c r="S369" s="99" t="s">
        <v>11</v>
      </c>
      <c r="T369" s="76" t="s">
        <v>4</v>
      </c>
      <c r="U369" s="99" t="s">
        <v>14</v>
      </c>
      <c r="V369" s="99" t="s">
        <v>1916</v>
      </c>
      <c r="W369" s="99" t="s">
        <v>1919</v>
      </c>
      <c r="X369" s="99" t="s">
        <v>2864</v>
      </c>
      <c r="Y369" s="73" t="s">
        <v>3010</v>
      </c>
      <c r="Z369" s="73" t="s">
        <v>4</v>
      </c>
      <c r="AA369" s="99" t="s">
        <v>2864</v>
      </c>
    </row>
    <row r="370" spans="1:27" ht="17.25" customHeight="1">
      <c r="A370" s="65" t="str">
        <f>IF(priority(Main[[#This Row],[Comments]])&lt;&gt;0, priority(Main[[#This Row],[Comments]]),"")</f>
        <v/>
      </c>
      <c r="B370" s="60" t="s">
        <v>3584</v>
      </c>
      <c r="C370" s="105" t="s">
        <v>4</v>
      </c>
      <c r="D370" s="74" t="s">
        <v>3585</v>
      </c>
      <c r="E370" s="89">
        <v>40959.340949074074</v>
      </c>
      <c r="F370" s="89"/>
      <c r="G370" s="65" t="str">
        <f>IF(stdProdLT(Main[[#This Row],[Comments]])=0.1,"N/A",IF(stdProdLT(Main[[#This Row],[Comments]])=0,"",TRIM(stdProdLT(Main[[#This Row],[Comments]]))))</f>
        <v/>
      </c>
      <c r="H370" s="98" t="str">
        <f>IF(Main[[#This Row],[Std. Prod. Lead Time]]="N/A", "",IF(AND(Main[[#This Row],[In Stock Date]]&lt;&gt;"",Main[[#This Row],[Revised Due Date]]&lt;&gt;"",Main[[#This Row],[In Stock Date]]&lt;&gt;""),Main[[#This Row],[In Stock Date]]-Main[[#This Row],[Revised Due Date]],""))</f>
        <v/>
      </c>
      <c r="I370" s="110" t="s">
        <v>4</v>
      </c>
      <c r="J370" s="99" t="s">
        <v>4</v>
      </c>
      <c r="K370" s="99" t="s">
        <v>4</v>
      </c>
      <c r="L370" s="89"/>
      <c r="M370" s="75" t="str">
        <f>IF(Main[[#This Row],[Tech Start Date]]&lt;1/1/1990,"",IF(Main[[#This Row],[Class]]="C",WORKDAY(Main[[#This Row],[Tech Start Date]],9),IF(Main[[#This Row],[Class]]="B", WORKDAY(Main[[#This Row],[Tech Start Date]],6),IF(Main[[#This Row],[Class]]="A",WORKDAY(Main[[#This Row],[Tech Start Date]],2),""))))</f>
        <v/>
      </c>
      <c r="N370" s="75" t="str">
        <f>IF(Main[[#This Row],[Tech Start Date]]&lt;1/1/1990,"",IF(Main[[#This Row],[Class]]="C",WORKDAY(Main[[#This Row],[Tech Start Date]],19),IF(Main[[#This Row],[Class]]="B", WORKDAY(Main[[#This Row],[Tech Start Date]],12),IF(Main[[#This Row],[Class]]="A",WORKDAY(Main[[#This Row],[Tech Start Date]],4),""))))</f>
        <v/>
      </c>
      <c r="O370" s="75" t="str">
        <f>IF(Main[[#This Row],[Tech Start Date]]&lt;1/1/1990,"",IF(Main[[#This Row],[Class]]="C",WORKDAY(Main[[#This Row],[Tech Start Date]],23),IF(Main[[#This Row],[Class]]="B", WORKDAY(Main[[#This Row],[Tech Start Date]],15),IF(Main[[#This Row],[Class]]="A",WORKDAY(Main[[#This Row],[Tech Start Date]],5),""))))</f>
        <v/>
      </c>
      <c r="P370" s="75" t="str">
        <f>IF(Main[[#This Row],[Tech Start Date]]&lt;1/1/1990,"",IF(Main[[#This Row],[Class]]="C",WORKDAY(Main[[#This Row],[Tech Start Date]],28),IF(Main[[#This Row],[Class]]="B", WORKDAY(Main[[#This Row],[Tech Start Date]],19),IF(Main[[#This Row],[Class]]="A",WORKDAY(Main[[#This Row],[Tech Start Date]],9),""))))</f>
        <v/>
      </c>
      <c r="Q370" s="89"/>
      <c r="R370" s="121"/>
      <c r="S370" s="99" t="s">
        <v>6</v>
      </c>
      <c r="T370" s="76" t="s">
        <v>4</v>
      </c>
      <c r="U370" s="99" t="s">
        <v>7</v>
      </c>
      <c r="V370" s="99" t="s">
        <v>1914</v>
      </c>
      <c r="W370" s="99" t="s">
        <v>1915</v>
      </c>
      <c r="X370" s="99" t="s">
        <v>306</v>
      </c>
      <c r="Y370" s="73" t="s">
        <v>4</v>
      </c>
      <c r="Z370" s="73" t="s">
        <v>2207</v>
      </c>
      <c r="AA370" s="99" t="s">
        <v>4</v>
      </c>
    </row>
    <row r="371" spans="1:27" ht="17.25" customHeight="1">
      <c r="A371" s="65" t="str">
        <f>IF(priority(Main[[#This Row],[Comments]])&lt;&gt;0, priority(Main[[#This Row],[Comments]]),"")</f>
        <v/>
      </c>
      <c r="B371" s="60" t="s">
        <v>2358</v>
      </c>
      <c r="C371" s="105" t="s">
        <v>4</v>
      </c>
      <c r="D371" s="74" t="s">
        <v>2359</v>
      </c>
      <c r="E371" s="89"/>
      <c r="F371" s="89"/>
      <c r="G371" s="65" t="str">
        <f>IF(stdProdLT(Main[[#This Row],[Comments]])=0.1,"N/A",IF(stdProdLT(Main[[#This Row],[Comments]])=0,"",TRIM(stdProdLT(Main[[#This Row],[Comments]]))))</f>
        <v/>
      </c>
      <c r="H371" s="98" t="str">
        <f>IF(Main[[#This Row],[Std. Prod. Lead Time]]="N/A", "",IF(AND(Main[[#This Row],[In Stock Date]]&lt;&gt;"",Main[[#This Row],[Revised Due Date]]&lt;&gt;"",Main[[#This Row],[In Stock Date]]&lt;&gt;""),Main[[#This Row],[In Stock Date]]-Main[[#This Row],[Revised Due Date]],""))</f>
        <v/>
      </c>
      <c r="I371" s="110" t="s">
        <v>4</v>
      </c>
      <c r="J371" s="99" t="s">
        <v>4</v>
      </c>
      <c r="K371" s="100" t="s">
        <v>4</v>
      </c>
      <c r="L371" s="89"/>
      <c r="M371" s="75" t="str">
        <f>IF(Main[[#This Row],[Tech Start Date]]&lt;1/1/1990,"",IF(Main[[#This Row],[Class]]="C",WORKDAY(Main[[#This Row],[Tech Start Date]],9),IF(Main[[#This Row],[Class]]="B", WORKDAY(Main[[#This Row],[Tech Start Date]],6),IF(Main[[#This Row],[Class]]="A",WORKDAY(Main[[#This Row],[Tech Start Date]],2),""))))</f>
        <v/>
      </c>
      <c r="N371" s="75" t="str">
        <f>IF(Main[[#This Row],[Tech Start Date]]&lt;1/1/1990,"",IF(Main[[#This Row],[Class]]="C",WORKDAY(Main[[#This Row],[Tech Start Date]],19),IF(Main[[#This Row],[Class]]="B", WORKDAY(Main[[#This Row],[Tech Start Date]],12),IF(Main[[#This Row],[Class]]="A",WORKDAY(Main[[#This Row],[Tech Start Date]],4),""))))</f>
        <v/>
      </c>
      <c r="O371" s="75" t="str">
        <f>IF(Main[[#This Row],[Tech Start Date]]&lt;1/1/1990,"",IF(Main[[#This Row],[Class]]="C",WORKDAY(Main[[#This Row],[Tech Start Date]],23),IF(Main[[#This Row],[Class]]="B", WORKDAY(Main[[#This Row],[Tech Start Date]],15),IF(Main[[#This Row],[Class]]="A",WORKDAY(Main[[#This Row],[Tech Start Date]],5),""))))</f>
        <v/>
      </c>
      <c r="P371" s="75" t="str">
        <f>IF(Main[[#This Row],[Tech Start Date]]&lt;1/1/1990,"",IF(Main[[#This Row],[Class]]="C",WORKDAY(Main[[#This Row],[Tech Start Date]],28),IF(Main[[#This Row],[Class]]="B", WORKDAY(Main[[#This Row],[Tech Start Date]],19),IF(Main[[#This Row],[Class]]="A",WORKDAY(Main[[#This Row],[Tech Start Date]],9),""))))</f>
        <v/>
      </c>
      <c r="Q371" s="89"/>
      <c r="R371" s="121"/>
      <c r="S371" s="99" t="s">
        <v>11</v>
      </c>
      <c r="T371" s="76" t="s">
        <v>4</v>
      </c>
      <c r="U371" s="99" t="s">
        <v>14</v>
      </c>
      <c r="V371" s="99" t="s">
        <v>1914</v>
      </c>
      <c r="W371" s="99" t="s">
        <v>4</v>
      </c>
      <c r="X371" s="99" t="s">
        <v>2245</v>
      </c>
      <c r="Y371" s="73" t="s">
        <v>4</v>
      </c>
      <c r="Z371" s="73" t="s">
        <v>4</v>
      </c>
      <c r="AA371" s="99" t="s">
        <v>4</v>
      </c>
    </row>
    <row r="372" spans="1:27" ht="17.25" customHeight="1">
      <c r="A372" s="65" t="str">
        <f>IF(priority(Main[[#This Row],[Comments]])&lt;&gt;0, priority(Main[[#This Row],[Comments]]),"")</f>
        <v/>
      </c>
      <c r="B372" s="60" t="s">
        <v>3314</v>
      </c>
      <c r="C372" s="105" t="s">
        <v>4</v>
      </c>
      <c r="D372" s="74" t="s">
        <v>3315</v>
      </c>
      <c r="E372" s="89">
        <v>40938.460057870368</v>
      </c>
      <c r="F372" s="89"/>
      <c r="G372" s="65" t="str">
        <f>IF(stdProdLT(Main[[#This Row],[Comments]])=0.1,"N/A",IF(stdProdLT(Main[[#This Row],[Comments]])=0,"",TRIM(stdProdLT(Main[[#This Row],[Comments]]))))</f>
        <v/>
      </c>
      <c r="H372" s="98" t="str">
        <f>IF(Main[[#This Row],[Std. Prod. Lead Time]]="N/A", "",IF(AND(Main[[#This Row],[In Stock Date]]&lt;&gt;"",Main[[#This Row],[Revised Due Date]]&lt;&gt;"",Main[[#This Row],[In Stock Date]]&lt;&gt;""),Main[[#This Row],[In Stock Date]]-Main[[#This Row],[Revised Due Date]],""))</f>
        <v/>
      </c>
      <c r="I372" s="110" t="s">
        <v>4</v>
      </c>
      <c r="J372" s="99" t="s">
        <v>4</v>
      </c>
      <c r="K372" s="99" t="s">
        <v>4</v>
      </c>
      <c r="L372" s="89"/>
      <c r="M372" s="75" t="str">
        <f>IF(Main[[#This Row],[Tech Start Date]]&lt;1/1/1990,"",IF(Main[[#This Row],[Class]]="C",WORKDAY(Main[[#This Row],[Tech Start Date]],9),IF(Main[[#This Row],[Class]]="B", WORKDAY(Main[[#This Row],[Tech Start Date]],6),IF(Main[[#This Row],[Class]]="A",WORKDAY(Main[[#This Row],[Tech Start Date]],2),""))))</f>
        <v/>
      </c>
      <c r="N372" s="75" t="str">
        <f>IF(Main[[#This Row],[Tech Start Date]]&lt;1/1/1990,"",IF(Main[[#This Row],[Class]]="C",WORKDAY(Main[[#This Row],[Tech Start Date]],19),IF(Main[[#This Row],[Class]]="B", WORKDAY(Main[[#This Row],[Tech Start Date]],12),IF(Main[[#This Row],[Class]]="A",WORKDAY(Main[[#This Row],[Tech Start Date]],4),""))))</f>
        <v/>
      </c>
      <c r="O372" s="75" t="str">
        <f>IF(Main[[#This Row],[Tech Start Date]]&lt;1/1/1990,"",IF(Main[[#This Row],[Class]]="C",WORKDAY(Main[[#This Row],[Tech Start Date]],23),IF(Main[[#This Row],[Class]]="B", WORKDAY(Main[[#This Row],[Tech Start Date]],15),IF(Main[[#This Row],[Class]]="A",WORKDAY(Main[[#This Row],[Tech Start Date]],5),""))))</f>
        <v/>
      </c>
      <c r="P372" s="75" t="str">
        <f>IF(Main[[#This Row],[Tech Start Date]]&lt;1/1/1990,"",IF(Main[[#This Row],[Class]]="C",WORKDAY(Main[[#This Row],[Tech Start Date]],28),IF(Main[[#This Row],[Class]]="B", WORKDAY(Main[[#This Row],[Tech Start Date]],19),IF(Main[[#This Row],[Class]]="A",WORKDAY(Main[[#This Row],[Tech Start Date]],9),""))))</f>
        <v/>
      </c>
      <c r="Q372" s="89"/>
      <c r="R372" s="121"/>
      <c r="S372" s="99" t="s">
        <v>6</v>
      </c>
      <c r="T372" s="76" t="s">
        <v>4</v>
      </c>
      <c r="U372" s="99" t="s">
        <v>7</v>
      </c>
      <c r="V372" s="99" t="s">
        <v>1928</v>
      </c>
      <c r="W372" s="99" t="s">
        <v>1917</v>
      </c>
      <c r="X372" s="99" t="s">
        <v>922</v>
      </c>
      <c r="Y372" s="73" t="s">
        <v>2976</v>
      </c>
      <c r="Z372" s="73" t="s">
        <v>4</v>
      </c>
      <c r="AA372" s="99" t="s">
        <v>922</v>
      </c>
    </row>
    <row r="373" spans="1:27" ht="17.25" customHeight="1">
      <c r="A373" s="65" t="str">
        <f>IF(priority(Main[[#This Row],[Comments]])&lt;&gt;0, priority(Main[[#This Row],[Comments]]),"")</f>
        <v/>
      </c>
      <c r="B373" s="60" t="s">
        <v>1835</v>
      </c>
      <c r="C373" s="105" t="s">
        <v>891</v>
      </c>
      <c r="D373" s="74" t="s">
        <v>892</v>
      </c>
      <c r="E373" s="89"/>
      <c r="F373" s="89"/>
      <c r="G373" s="65" t="str">
        <f>IF(stdProdLT(Main[[#This Row],[Comments]])=0.1,"N/A",IF(stdProdLT(Main[[#This Row],[Comments]])=0,"",TRIM(stdProdLT(Main[[#This Row],[Comments]]))))</f>
        <v/>
      </c>
      <c r="H373" s="98" t="str">
        <f>IF(Main[[#This Row],[Std. Prod. Lead Time]]="N/A", "",IF(AND(Main[[#This Row],[In Stock Date]]&lt;&gt;"",Main[[#This Row],[Revised Due Date]]&lt;&gt;"",Main[[#This Row],[In Stock Date]]&lt;&gt;""),Main[[#This Row],[In Stock Date]]-Main[[#This Row],[Revised Due Date]],""))</f>
        <v/>
      </c>
      <c r="I373" s="110" t="s">
        <v>4</v>
      </c>
      <c r="J373" s="99" t="s">
        <v>4</v>
      </c>
      <c r="K373" s="99" t="s">
        <v>1926</v>
      </c>
      <c r="L373" s="89"/>
      <c r="M373" s="75" t="str">
        <f>IF(Main[[#This Row],[Tech Start Date]]&lt;1/1/1990,"",IF(Main[[#This Row],[Class]]="C",WORKDAY(Main[[#This Row],[Tech Start Date]],9),IF(Main[[#This Row],[Class]]="B", WORKDAY(Main[[#This Row],[Tech Start Date]],6),IF(Main[[#This Row],[Class]]="A",WORKDAY(Main[[#This Row],[Tech Start Date]],2),""))))</f>
        <v/>
      </c>
      <c r="N373" s="75" t="str">
        <f>IF(Main[[#This Row],[Tech Start Date]]&lt;1/1/1990,"",IF(Main[[#This Row],[Class]]="C",WORKDAY(Main[[#This Row],[Tech Start Date]],19),IF(Main[[#This Row],[Class]]="B", WORKDAY(Main[[#This Row],[Tech Start Date]],12),IF(Main[[#This Row],[Class]]="A",WORKDAY(Main[[#This Row],[Tech Start Date]],4),""))))</f>
        <v/>
      </c>
      <c r="O373" s="75" t="str">
        <f>IF(Main[[#This Row],[Tech Start Date]]&lt;1/1/1990,"",IF(Main[[#This Row],[Class]]="C",WORKDAY(Main[[#This Row],[Tech Start Date]],23),IF(Main[[#This Row],[Class]]="B", WORKDAY(Main[[#This Row],[Tech Start Date]],15),IF(Main[[#This Row],[Class]]="A",WORKDAY(Main[[#This Row],[Tech Start Date]],5),""))))</f>
        <v/>
      </c>
      <c r="P373" s="75" t="str">
        <f>IF(Main[[#This Row],[Tech Start Date]]&lt;1/1/1990,"",IF(Main[[#This Row],[Class]]="C",WORKDAY(Main[[#This Row],[Tech Start Date]],28),IF(Main[[#This Row],[Class]]="B", WORKDAY(Main[[#This Row],[Tech Start Date]],19),IF(Main[[#This Row],[Class]]="A",WORKDAY(Main[[#This Row],[Tech Start Date]],9),""))))</f>
        <v/>
      </c>
      <c r="Q373" s="89">
        <v>40436</v>
      </c>
      <c r="R373" s="121">
        <v>40436</v>
      </c>
      <c r="S373" s="99" t="s">
        <v>11</v>
      </c>
      <c r="T373" s="76" t="s">
        <v>4</v>
      </c>
      <c r="U373" s="99" t="s">
        <v>14</v>
      </c>
      <c r="V373" s="99" t="s">
        <v>1914</v>
      </c>
      <c r="W373" s="99" t="s">
        <v>1915</v>
      </c>
      <c r="X373" s="99" t="s">
        <v>2848</v>
      </c>
      <c r="Y373" s="73" t="s">
        <v>4</v>
      </c>
      <c r="Z373" s="73" t="s">
        <v>4</v>
      </c>
      <c r="AA373" s="99" t="s">
        <v>2848</v>
      </c>
    </row>
    <row r="374" spans="1:27" ht="17.25" customHeight="1">
      <c r="A374" s="65" t="str">
        <f>IF(priority(Main[[#This Row],[Comments]])&lt;&gt;0, priority(Main[[#This Row],[Comments]]),"")</f>
        <v/>
      </c>
      <c r="B374" s="60" t="s">
        <v>1230</v>
      </c>
      <c r="C374" s="105" t="s">
        <v>113</v>
      </c>
      <c r="D374" s="74" t="s">
        <v>292</v>
      </c>
      <c r="E374" s="89"/>
      <c r="F374" s="89">
        <v>40193</v>
      </c>
      <c r="G374" s="65" t="str">
        <f>IF(stdProdLT(Main[[#This Row],[Comments]])=0.1,"N/A",IF(stdProdLT(Main[[#This Row],[Comments]])=0,"",TRIM(stdProdLT(Main[[#This Row],[Comments]]))))</f>
        <v/>
      </c>
      <c r="H374" s="98" t="str">
        <f>IF(Main[[#This Row],[Std. Prod. Lead Time]]="N/A", "",IF(AND(Main[[#This Row],[In Stock Date]]&lt;&gt;"",Main[[#This Row],[Revised Due Date]]&lt;&gt;"",Main[[#This Row],[In Stock Date]]&lt;&gt;""),Main[[#This Row],[In Stock Date]]-Main[[#This Row],[Revised Due Date]],""))</f>
        <v/>
      </c>
      <c r="I374" s="110" t="s">
        <v>4</v>
      </c>
      <c r="J374" s="99" t="s">
        <v>4</v>
      </c>
      <c r="K374" s="99" t="s">
        <v>4</v>
      </c>
      <c r="L374" s="89"/>
      <c r="M374" s="75" t="str">
        <f>IF(Main[[#This Row],[Tech Start Date]]&lt;1/1/1990,"",IF(Main[[#This Row],[Class]]="C",WORKDAY(Main[[#This Row],[Tech Start Date]],9),IF(Main[[#This Row],[Class]]="B", WORKDAY(Main[[#This Row],[Tech Start Date]],6),IF(Main[[#This Row],[Class]]="A",WORKDAY(Main[[#This Row],[Tech Start Date]],2),""))))</f>
        <v/>
      </c>
      <c r="N374" s="75" t="str">
        <f>IF(Main[[#This Row],[Tech Start Date]]&lt;1/1/1990,"",IF(Main[[#This Row],[Class]]="C",WORKDAY(Main[[#This Row],[Tech Start Date]],19),IF(Main[[#This Row],[Class]]="B", WORKDAY(Main[[#This Row],[Tech Start Date]],12),IF(Main[[#This Row],[Class]]="A",WORKDAY(Main[[#This Row],[Tech Start Date]],4),""))))</f>
        <v/>
      </c>
      <c r="O374" s="75" t="str">
        <f>IF(Main[[#This Row],[Tech Start Date]]&lt;1/1/1990,"",IF(Main[[#This Row],[Class]]="C",WORKDAY(Main[[#This Row],[Tech Start Date]],23),IF(Main[[#This Row],[Class]]="B", WORKDAY(Main[[#This Row],[Tech Start Date]],15),IF(Main[[#This Row],[Class]]="A",WORKDAY(Main[[#This Row],[Tech Start Date]],5),""))))</f>
        <v/>
      </c>
      <c r="P374" s="75" t="str">
        <f>IF(Main[[#This Row],[Tech Start Date]]&lt;1/1/1990,"",IF(Main[[#This Row],[Class]]="C",WORKDAY(Main[[#This Row],[Tech Start Date]],28),IF(Main[[#This Row],[Class]]="B", WORKDAY(Main[[#This Row],[Tech Start Date]],19),IF(Main[[#This Row],[Class]]="A",WORKDAY(Main[[#This Row],[Tech Start Date]],9),""))))</f>
        <v/>
      </c>
      <c r="Q374" s="89"/>
      <c r="R374" s="121"/>
      <c r="S374" s="99" t="s">
        <v>11</v>
      </c>
      <c r="T374" s="76" t="s">
        <v>4</v>
      </c>
      <c r="U374" s="99" t="s">
        <v>14</v>
      </c>
      <c r="V374" s="99" t="s">
        <v>1923</v>
      </c>
      <c r="W374" s="99" t="s">
        <v>1919</v>
      </c>
      <c r="X374" s="99" t="s">
        <v>2838</v>
      </c>
      <c r="Y374" s="73" t="s">
        <v>2971</v>
      </c>
      <c r="Z374" s="73" t="s">
        <v>4</v>
      </c>
      <c r="AA374" s="99" t="s">
        <v>2838</v>
      </c>
    </row>
    <row r="375" spans="1:27" ht="17.25" customHeight="1">
      <c r="A375" s="65" t="str">
        <f>IF(priority(Main[[#This Row],[Comments]])&lt;&gt;0, priority(Main[[#This Row],[Comments]]),"")</f>
        <v/>
      </c>
      <c r="B375" s="60" t="s">
        <v>1231</v>
      </c>
      <c r="C375" s="105" t="s">
        <v>4</v>
      </c>
      <c r="D375" s="74" t="s">
        <v>293</v>
      </c>
      <c r="E375" s="89"/>
      <c r="F375" s="89"/>
      <c r="G375" s="65" t="str">
        <f>IF(stdProdLT(Main[[#This Row],[Comments]])=0.1,"N/A",IF(stdProdLT(Main[[#This Row],[Comments]])=0,"",TRIM(stdProdLT(Main[[#This Row],[Comments]]))))</f>
        <v/>
      </c>
      <c r="H375" s="98" t="str">
        <f>IF(Main[[#This Row],[Std. Prod. Lead Time]]="N/A", "",IF(AND(Main[[#This Row],[In Stock Date]]&lt;&gt;"",Main[[#This Row],[Revised Due Date]]&lt;&gt;"",Main[[#This Row],[In Stock Date]]&lt;&gt;""),Main[[#This Row],[In Stock Date]]-Main[[#This Row],[Revised Due Date]],""))</f>
        <v/>
      </c>
      <c r="I375" s="110" t="s">
        <v>4</v>
      </c>
      <c r="J375" s="99" t="s">
        <v>28</v>
      </c>
      <c r="K375" s="99" t="s">
        <v>4</v>
      </c>
      <c r="L375" s="89"/>
      <c r="M375" s="75" t="str">
        <f>IF(Main[[#This Row],[Tech Start Date]]&lt;1/1/1990,"",IF(Main[[#This Row],[Class]]="C",WORKDAY(Main[[#This Row],[Tech Start Date]],9),IF(Main[[#This Row],[Class]]="B", WORKDAY(Main[[#This Row],[Tech Start Date]],6),IF(Main[[#This Row],[Class]]="A",WORKDAY(Main[[#This Row],[Tech Start Date]],2),""))))</f>
        <v/>
      </c>
      <c r="N375" s="75" t="str">
        <f>IF(Main[[#This Row],[Tech Start Date]]&lt;1/1/1990,"",IF(Main[[#This Row],[Class]]="C",WORKDAY(Main[[#This Row],[Tech Start Date]],19),IF(Main[[#This Row],[Class]]="B", WORKDAY(Main[[#This Row],[Tech Start Date]],12),IF(Main[[#This Row],[Class]]="A",WORKDAY(Main[[#This Row],[Tech Start Date]],4),""))))</f>
        <v/>
      </c>
      <c r="O375" s="75" t="str">
        <f>IF(Main[[#This Row],[Tech Start Date]]&lt;1/1/1990,"",IF(Main[[#This Row],[Class]]="C",WORKDAY(Main[[#This Row],[Tech Start Date]],23),IF(Main[[#This Row],[Class]]="B", WORKDAY(Main[[#This Row],[Tech Start Date]],15),IF(Main[[#This Row],[Class]]="A",WORKDAY(Main[[#This Row],[Tech Start Date]],5),""))))</f>
        <v/>
      </c>
      <c r="P375" s="75" t="str">
        <f>IF(Main[[#This Row],[Tech Start Date]]&lt;1/1/1990,"",IF(Main[[#This Row],[Class]]="C",WORKDAY(Main[[#This Row],[Tech Start Date]],28),IF(Main[[#This Row],[Class]]="B", WORKDAY(Main[[#This Row],[Tech Start Date]],19),IF(Main[[#This Row],[Class]]="A",WORKDAY(Main[[#This Row],[Tech Start Date]],9),""))))</f>
        <v/>
      </c>
      <c r="Q375" s="89">
        <v>40471</v>
      </c>
      <c r="R375" s="121"/>
      <c r="S375" s="99" t="s">
        <v>6</v>
      </c>
      <c r="T375" s="76" t="s">
        <v>4</v>
      </c>
      <c r="U375" s="99" t="s">
        <v>14</v>
      </c>
      <c r="V375" s="99" t="s">
        <v>1923</v>
      </c>
      <c r="W375" s="99" t="s">
        <v>1915</v>
      </c>
      <c r="X375" s="99" t="s">
        <v>2841</v>
      </c>
      <c r="Y375" s="73" t="s">
        <v>2972</v>
      </c>
      <c r="Z375" s="73" t="s">
        <v>530</v>
      </c>
      <c r="AA375" s="99" t="s">
        <v>2841</v>
      </c>
    </row>
    <row r="376" spans="1:27" ht="17.25" customHeight="1">
      <c r="A376" s="65" t="str">
        <f>IF(priority(Main[[#This Row],[Comments]])&lt;&gt;0, priority(Main[[#This Row],[Comments]]),"")</f>
        <v/>
      </c>
      <c r="B376" s="60" t="s">
        <v>1232</v>
      </c>
      <c r="C376" s="105" t="s">
        <v>4</v>
      </c>
      <c r="D376" s="74" t="s">
        <v>97</v>
      </c>
      <c r="E376" s="89"/>
      <c r="F376" s="89"/>
      <c r="G376" s="65" t="str">
        <f>IF(stdProdLT(Main[[#This Row],[Comments]])=0.1,"N/A",IF(stdProdLT(Main[[#This Row],[Comments]])=0,"",TRIM(stdProdLT(Main[[#This Row],[Comments]]))))</f>
        <v/>
      </c>
      <c r="H376" s="98" t="str">
        <f>IF(Main[[#This Row],[Std. Prod. Lead Time]]="N/A", "",IF(AND(Main[[#This Row],[In Stock Date]]&lt;&gt;"",Main[[#This Row],[Revised Due Date]]&lt;&gt;"",Main[[#This Row],[In Stock Date]]&lt;&gt;""),Main[[#This Row],[In Stock Date]]-Main[[#This Row],[Revised Due Date]],""))</f>
        <v/>
      </c>
      <c r="I376" s="110" t="s">
        <v>4</v>
      </c>
      <c r="J376" s="99" t="s">
        <v>4</v>
      </c>
      <c r="K376" s="99" t="s">
        <v>4</v>
      </c>
      <c r="L376" s="89"/>
      <c r="M376" s="75" t="str">
        <f>IF(Main[[#This Row],[Tech Start Date]]&lt;1/1/1990,"",IF(Main[[#This Row],[Class]]="C",WORKDAY(Main[[#This Row],[Tech Start Date]],9),IF(Main[[#This Row],[Class]]="B", WORKDAY(Main[[#This Row],[Tech Start Date]],6),IF(Main[[#This Row],[Class]]="A",WORKDAY(Main[[#This Row],[Tech Start Date]],2),""))))</f>
        <v/>
      </c>
      <c r="N376" s="75" t="str">
        <f>IF(Main[[#This Row],[Tech Start Date]]&lt;1/1/1990,"",IF(Main[[#This Row],[Class]]="C",WORKDAY(Main[[#This Row],[Tech Start Date]],19),IF(Main[[#This Row],[Class]]="B", WORKDAY(Main[[#This Row],[Tech Start Date]],12),IF(Main[[#This Row],[Class]]="A",WORKDAY(Main[[#This Row],[Tech Start Date]],4),""))))</f>
        <v/>
      </c>
      <c r="O376" s="75" t="str">
        <f>IF(Main[[#This Row],[Tech Start Date]]&lt;1/1/1990,"",IF(Main[[#This Row],[Class]]="C",WORKDAY(Main[[#This Row],[Tech Start Date]],23),IF(Main[[#This Row],[Class]]="B", WORKDAY(Main[[#This Row],[Tech Start Date]],15),IF(Main[[#This Row],[Class]]="A",WORKDAY(Main[[#This Row],[Tech Start Date]],5),""))))</f>
        <v/>
      </c>
      <c r="P376" s="75" t="str">
        <f>IF(Main[[#This Row],[Tech Start Date]]&lt;1/1/1990,"",IF(Main[[#This Row],[Class]]="C",WORKDAY(Main[[#This Row],[Tech Start Date]],28),IF(Main[[#This Row],[Class]]="B", WORKDAY(Main[[#This Row],[Tech Start Date]],19),IF(Main[[#This Row],[Class]]="A",WORKDAY(Main[[#This Row],[Tech Start Date]],9),""))))</f>
        <v/>
      </c>
      <c r="Q376" s="89">
        <v>40858</v>
      </c>
      <c r="R376" s="121"/>
      <c r="S376" s="99" t="s">
        <v>17</v>
      </c>
      <c r="T376" s="76" t="s">
        <v>4</v>
      </c>
      <c r="U376" s="99" t="s">
        <v>14</v>
      </c>
      <c r="V376" s="99" t="s">
        <v>1913</v>
      </c>
      <c r="W376" s="99" t="s">
        <v>1918</v>
      </c>
      <c r="X376" s="99" t="s">
        <v>50</v>
      </c>
      <c r="Y376" s="73" t="s">
        <v>2953</v>
      </c>
      <c r="Z376" s="73" t="s">
        <v>4</v>
      </c>
      <c r="AA376" s="99" t="s">
        <v>2822</v>
      </c>
    </row>
    <row r="377" spans="1:27" ht="17.25" customHeight="1">
      <c r="A377" s="65" t="str">
        <f>IF(priority(Main[[#This Row],[Comments]])&lt;&gt;0, priority(Main[[#This Row],[Comments]]),"")</f>
        <v/>
      </c>
      <c r="B377" s="60" t="s">
        <v>1234</v>
      </c>
      <c r="C377" s="105" t="s">
        <v>4</v>
      </c>
      <c r="D377" s="74" t="s">
        <v>295</v>
      </c>
      <c r="E377" s="89"/>
      <c r="F377" s="89"/>
      <c r="G377" s="65" t="str">
        <f>IF(stdProdLT(Main[[#This Row],[Comments]])=0.1,"N/A",IF(stdProdLT(Main[[#This Row],[Comments]])=0,"",TRIM(stdProdLT(Main[[#This Row],[Comments]]))))</f>
        <v/>
      </c>
      <c r="H377" s="98" t="str">
        <f>IF(Main[[#This Row],[Std. Prod. Lead Time]]="N/A", "",IF(AND(Main[[#This Row],[In Stock Date]]&lt;&gt;"",Main[[#This Row],[Revised Due Date]]&lt;&gt;"",Main[[#This Row],[In Stock Date]]&lt;&gt;""),Main[[#This Row],[In Stock Date]]-Main[[#This Row],[Revised Due Date]],""))</f>
        <v/>
      </c>
      <c r="I377" s="110" t="s">
        <v>4</v>
      </c>
      <c r="J377" s="99" t="s">
        <v>28</v>
      </c>
      <c r="K377" s="100" t="s">
        <v>4</v>
      </c>
      <c r="L377" s="89"/>
      <c r="M377" s="75" t="str">
        <f>IF(Main[[#This Row],[Tech Start Date]]&lt;1/1/1990,"",IF(Main[[#This Row],[Class]]="C",WORKDAY(Main[[#This Row],[Tech Start Date]],9),IF(Main[[#This Row],[Class]]="B", WORKDAY(Main[[#This Row],[Tech Start Date]],6),IF(Main[[#This Row],[Class]]="A",WORKDAY(Main[[#This Row],[Tech Start Date]],2),""))))</f>
        <v/>
      </c>
      <c r="N377" s="75" t="str">
        <f>IF(Main[[#This Row],[Tech Start Date]]&lt;1/1/1990,"",IF(Main[[#This Row],[Class]]="C",WORKDAY(Main[[#This Row],[Tech Start Date]],19),IF(Main[[#This Row],[Class]]="B", WORKDAY(Main[[#This Row],[Tech Start Date]],12),IF(Main[[#This Row],[Class]]="A",WORKDAY(Main[[#This Row],[Tech Start Date]],4),""))))</f>
        <v/>
      </c>
      <c r="O377" s="75" t="str">
        <f>IF(Main[[#This Row],[Tech Start Date]]&lt;1/1/1990,"",IF(Main[[#This Row],[Class]]="C",WORKDAY(Main[[#This Row],[Tech Start Date]],23),IF(Main[[#This Row],[Class]]="B", WORKDAY(Main[[#This Row],[Tech Start Date]],15),IF(Main[[#This Row],[Class]]="A",WORKDAY(Main[[#This Row],[Tech Start Date]],5),""))))</f>
        <v/>
      </c>
      <c r="P377" s="75" t="str">
        <f>IF(Main[[#This Row],[Tech Start Date]]&lt;1/1/1990,"",IF(Main[[#This Row],[Class]]="C",WORKDAY(Main[[#This Row],[Tech Start Date]],28),IF(Main[[#This Row],[Class]]="B", WORKDAY(Main[[#This Row],[Tech Start Date]],19),IF(Main[[#This Row],[Class]]="A",WORKDAY(Main[[#This Row],[Tech Start Date]],9),""))))</f>
        <v/>
      </c>
      <c r="Q377" s="89">
        <v>40471</v>
      </c>
      <c r="R377" s="121"/>
      <c r="S377" s="99" t="s">
        <v>296</v>
      </c>
      <c r="T377" s="76" t="s">
        <v>4</v>
      </c>
      <c r="U377" s="99" t="s">
        <v>14</v>
      </c>
      <c r="V377" s="99" t="s">
        <v>1923</v>
      </c>
      <c r="W377" s="99" t="s">
        <v>1915</v>
      </c>
      <c r="X377" s="99" t="s">
        <v>2841</v>
      </c>
      <c r="Y377" s="73" t="s">
        <v>2972</v>
      </c>
      <c r="Z377" s="73" t="s">
        <v>530</v>
      </c>
      <c r="AA377" s="99" t="s">
        <v>2841</v>
      </c>
    </row>
    <row r="378" spans="1:27" ht="17.25" customHeight="1">
      <c r="A378" s="65" t="str">
        <f>IF(priority(Main[[#This Row],[Comments]])&lt;&gt;0, priority(Main[[#This Row],[Comments]]),"")</f>
        <v/>
      </c>
      <c r="B378" s="60" t="s">
        <v>1235</v>
      </c>
      <c r="C378" s="105" t="s">
        <v>93</v>
      </c>
      <c r="D378" s="74" t="s">
        <v>297</v>
      </c>
      <c r="E378" s="89"/>
      <c r="F378" s="89">
        <v>40210</v>
      </c>
      <c r="G378" s="65" t="str">
        <f>IF(stdProdLT(Main[[#This Row],[Comments]])=0.1,"N/A",IF(stdProdLT(Main[[#This Row],[Comments]])=0,"",TRIM(stdProdLT(Main[[#This Row],[Comments]]))))</f>
        <v/>
      </c>
      <c r="H378" s="98" t="str">
        <f>IF(Main[[#This Row],[Std. Prod. Lead Time]]="N/A", "",IF(AND(Main[[#This Row],[In Stock Date]]&lt;&gt;"",Main[[#This Row],[Revised Due Date]]&lt;&gt;"",Main[[#This Row],[In Stock Date]]&lt;&gt;""),Main[[#This Row],[In Stock Date]]-Main[[#This Row],[Revised Due Date]],""))</f>
        <v/>
      </c>
      <c r="I378" s="110" t="s">
        <v>4</v>
      </c>
      <c r="J378" s="99" t="s">
        <v>4</v>
      </c>
      <c r="K378" s="100" t="s">
        <v>4</v>
      </c>
      <c r="L378" s="89"/>
      <c r="M378" s="75" t="str">
        <f>IF(Main[[#This Row],[Tech Start Date]]&lt;1/1/1990,"",IF(Main[[#This Row],[Class]]="C",WORKDAY(Main[[#This Row],[Tech Start Date]],9),IF(Main[[#This Row],[Class]]="B", WORKDAY(Main[[#This Row],[Tech Start Date]],6),IF(Main[[#This Row],[Class]]="A",WORKDAY(Main[[#This Row],[Tech Start Date]],2),""))))</f>
        <v/>
      </c>
      <c r="N378" s="75" t="str">
        <f>IF(Main[[#This Row],[Tech Start Date]]&lt;1/1/1990,"",IF(Main[[#This Row],[Class]]="C",WORKDAY(Main[[#This Row],[Tech Start Date]],19),IF(Main[[#This Row],[Class]]="B", WORKDAY(Main[[#This Row],[Tech Start Date]],12),IF(Main[[#This Row],[Class]]="A",WORKDAY(Main[[#This Row],[Tech Start Date]],4),""))))</f>
        <v/>
      </c>
      <c r="O378" s="75" t="str">
        <f>IF(Main[[#This Row],[Tech Start Date]]&lt;1/1/1990,"",IF(Main[[#This Row],[Class]]="C",WORKDAY(Main[[#This Row],[Tech Start Date]],23),IF(Main[[#This Row],[Class]]="B", WORKDAY(Main[[#This Row],[Tech Start Date]],15),IF(Main[[#This Row],[Class]]="A",WORKDAY(Main[[#This Row],[Tech Start Date]],5),""))))</f>
        <v/>
      </c>
      <c r="P378" s="75" t="str">
        <f>IF(Main[[#This Row],[Tech Start Date]]&lt;1/1/1990,"",IF(Main[[#This Row],[Class]]="C",WORKDAY(Main[[#This Row],[Tech Start Date]],28),IF(Main[[#This Row],[Class]]="B", WORKDAY(Main[[#This Row],[Tech Start Date]],19),IF(Main[[#This Row],[Class]]="A",WORKDAY(Main[[#This Row],[Tech Start Date]],9),""))))</f>
        <v/>
      </c>
      <c r="Q378" s="89">
        <v>40145</v>
      </c>
      <c r="R378" s="121"/>
      <c r="S378" s="99" t="s">
        <v>11</v>
      </c>
      <c r="T378" s="76" t="s">
        <v>4</v>
      </c>
      <c r="U378" s="99" t="s">
        <v>14</v>
      </c>
      <c r="V378" s="99" t="s">
        <v>1913</v>
      </c>
      <c r="W378" s="99" t="s">
        <v>1919</v>
      </c>
      <c r="X378" s="99" t="s">
        <v>2865</v>
      </c>
      <c r="Y378" s="73" t="s">
        <v>4</v>
      </c>
      <c r="Z378" s="73" t="s">
        <v>4</v>
      </c>
      <c r="AA378" s="99" t="s">
        <v>2865</v>
      </c>
    </row>
    <row r="379" spans="1:27" ht="17.25" customHeight="1">
      <c r="A379" s="65" t="str">
        <f>IF(priority(Main[[#This Row],[Comments]])&lt;&gt;0, priority(Main[[#This Row],[Comments]]),"")</f>
        <v/>
      </c>
      <c r="B379" s="60" t="s">
        <v>1236</v>
      </c>
      <c r="C379" s="105" t="s">
        <v>63</v>
      </c>
      <c r="D379" s="74" t="s">
        <v>298</v>
      </c>
      <c r="E379" s="89"/>
      <c r="F379" s="89">
        <v>40513</v>
      </c>
      <c r="G379" s="65" t="str">
        <f>IF(stdProdLT(Main[[#This Row],[Comments]])=0.1,"N/A",IF(stdProdLT(Main[[#This Row],[Comments]])=0,"",TRIM(stdProdLT(Main[[#This Row],[Comments]]))))</f>
        <v/>
      </c>
      <c r="H379" s="98" t="str">
        <f>IF(Main[[#This Row],[Std. Prod. Lead Time]]="N/A", "",IF(AND(Main[[#This Row],[In Stock Date]]&lt;&gt;"",Main[[#This Row],[Revised Due Date]]&lt;&gt;"",Main[[#This Row],[In Stock Date]]&lt;&gt;""),Main[[#This Row],[In Stock Date]]-Main[[#This Row],[Revised Due Date]],""))</f>
        <v/>
      </c>
      <c r="I379" s="110" t="s">
        <v>65</v>
      </c>
      <c r="J379" s="99" t="s">
        <v>28</v>
      </c>
      <c r="K379" s="99" t="s">
        <v>4</v>
      </c>
      <c r="L379" s="89"/>
      <c r="M379" s="75" t="str">
        <f>IF(Main[[#This Row],[Tech Start Date]]&lt;1/1/1990,"",IF(Main[[#This Row],[Class]]="C",WORKDAY(Main[[#This Row],[Tech Start Date]],9),IF(Main[[#This Row],[Class]]="B", WORKDAY(Main[[#This Row],[Tech Start Date]],6),IF(Main[[#This Row],[Class]]="A",WORKDAY(Main[[#This Row],[Tech Start Date]],2),""))))</f>
        <v/>
      </c>
      <c r="N379" s="75" t="str">
        <f>IF(Main[[#This Row],[Tech Start Date]]&lt;1/1/1990,"",IF(Main[[#This Row],[Class]]="C",WORKDAY(Main[[#This Row],[Tech Start Date]],19),IF(Main[[#This Row],[Class]]="B", WORKDAY(Main[[#This Row],[Tech Start Date]],12),IF(Main[[#This Row],[Class]]="A",WORKDAY(Main[[#This Row],[Tech Start Date]],4),""))))</f>
        <v/>
      </c>
      <c r="O379" s="75" t="str">
        <f>IF(Main[[#This Row],[Tech Start Date]]&lt;1/1/1990,"",IF(Main[[#This Row],[Class]]="C",WORKDAY(Main[[#This Row],[Tech Start Date]],23),IF(Main[[#This Row],[Class]]="B", WORKDAY(Main[[#This Row],[Tech Start Date]],15),IF(Main[[#This Row],[Class]]="A",WORKDAY(Main[[#This Row],[Tech Start Date]],5),""))))</f>
        <v/>
      </c>
      <c r="P379" s="75" t="str">
        <f>IF(Main[[#This Row],[Tech Start Date]]&lt;1/1/1990,"",IF(Main[[#This Row],[Class]]="C",WORKDAY(Main[[#This Row],[Tech Start Date]],28),IF(Main[[#This Row],[Class]]="B", WORKDAY(Main[[#This Row],[Tech Start Date]],19),IF(Main[[#This Row],[Class]]="A",WORKDAY(Main[[#This Row],[Tech Start Date]],9),""))))</f>
        <v/>
      </c>
      <c r="Q379" s="89">
        <v>40513</v>
      </c>
      <c r="R379" s="121"/>
      <c r="S379" s="99" t="s">
        <v>11</v>
      </c>
      <c r="T379" s="76" t="s">
        <v>4</v>
      </c>
      <c r="U379" s="99" t="s">
        <v>14</v>
      </c>
      <c r="V379" s="99" t="s">
        <v>1916</v>
      </c>
      <c r="W379" s="99" t="s">
        <v>1921</v>
      </c>
      <c r="X379" s="99" t="s">
        <v>2809</v>
      </c>
      <c r="Y379" s="73" t="s">
        <v>2921</v>
      </c>
      <c r="Z379" s="73" t="s">
        <v>530</v>
      </c>
      <c r="AA379" s="99" t="s">
        <v>2809</v>
      </c>
    </row>
    <row r="380" spans="1:27" ht="17.25" customHeight="1">
      <c r="A380" s="65" t="str">
        <f>IF(priority(Main[[#This Row],[Comments]])&lt;&gt;0, priority(Main[[#This Row],[Comments]]),"")</f>
        <v/>
      </c>
      <c r="B380" s="60" t="s">
        <v>1237</v>
      </c>
      <c r="C380" s="105" t="s">
        <v>4</v>
      </c>
      <c r="D380" s="74" t="s">
        <v>300</v>
      </c>
      <c r="E380" s="89"/>
      <c r="F380" s="89"/>
      <c r="G380" s="65" t="str">
        <f>IF(stdProdLT(Main[[#This Row],[Comments]])=0.1,"N/A",IF(stdProdLT(Main[[#This Row],[Comments]])=0,"",TRIM(stdProdLT(Main[[#This Row],[Comments]]))))</f>
        <v/>
      </c>
      <c r="H380" s="98" t="str">
        <f>IF(Main[[#This Row],[Std. Prod. Lead Time]]="N/A", "",IF(AND(Main[[#This Row],[In Stock Date]]&lt;&gt;"",Main[[#This Row],[Revised Due Date]]&lt;&gt;"",Main[[#This Row],[In Stock Date]]&lt;&gt;""),Main[[#This Row],[In Stock Date]]-Main[[#This Row],[Revised Due Date]],""))</f>
        <v/>
      </c>
      <c r="I380" s="110" t="s">
        <v>4</v>
      </c>
      <c r="J380" s="99" t="s">
        <v>28</v>
      </c>
      <c r="K380" s="100" t="s">
        <v>1922</v>
      </c>
      <c r="L380" s="89"/>
      <c r="M380" s="75" t="str">
        <f>IF(Main[[#This Row],[Tech Start Date]]&lt;1/1/1990,"",IF(Main[[#This Row],[Class]]="C",WORKDAY(Main[[#This Row],[Tech Start Date]],9),IF(Main[[#This Row],[Class]]="B", WORKDAY(Main[[#This Row],[Tech Start Date]],6),IF(Main[[#This Row],[Class]]="A",WORKDAY(Main[[#This Row],[Tech Start Date]],2),""))))</f>
        <v/>
      </c>
      <c r="N380" s="75" t="str">
        <f>IF(Main[[#This Row],[Tech Start Date]]&lt;1/1/1990,"",IF(Main[[#This Row],[Class]]="C",WORKDAY(Main[[#This Row],[Tech Start Date]],19),IF(Main[[#This Row],[Class]]="B", WORKDAY(Main[[#This Row],[Tech Start Date]],12),IF(Main[[#This Row],[Class]]="A",WORKDAY(Main[[#This Row],[Tech Start Date]],4),""))))</f>
        <v/>
      </c>
      <c r="O380" s="75" t="str">
        <f>IF(Main[[#This Row],[Tech Start Date]]&lt;1/1/1990,"",IF(Main[[#This Row],[Class]]="C",WORKDAY(Main[[#This Row],[Tech Start Date]],23),IF(Main[[#This Row],[Class]]="B", WORKDAY(Main[[#This Row],[Tech Start Date]],15),IF(Main[[#This Row],[Class]]="A",WORKDAY(Main[[#This Row],[Tech Start Date]],5),""))))</f>
        <v/>
      </c>
      <c r="P380" s="75" t="str">
        <f>IF(Main[[#This Row],[Tech Start Date]]&lt;1/1/1990,"",IF(Main[[#This Row],[Class]]="C",WORKDAY(Main[[#This Row],[Tech Start Date]],28),IF(Main[[#This Row],[Class]]="B", WORKDAY(Main[[#This Row],[Tech Start Date]],19),IF(Main[[#This Row],[Class]]="A",WORKDAY(Main[[#This Row],[Tech Start Date]],9),""))))</f>
        <v/>
      </c>
      <c r="Q380" s="89">
        <v>40661</v>
      </c>
      <c r="R380" s="121"/>
      <c r="S380" s="99" t="s">
        <v>6</v>
      </c>
      <c r="T380" s="76" t="s">
        <v>4</v>
      </c>
      <c r="U380" s="99" t="s">
        <v>14</v>
      </c>
      <c r="V380" s="99" t="s">
        <v>1916</v>
      </c>
      <c r="W380" s="99" t="s">
        <v>1917</v>
      </c>
      <c r="X380" s="99" t="s">
        <v>2816</v>
      </c>
      <c r="Y380" s="73" t="s">
        <v>2932</v>
      </c>
      <c r="Z380" s="73" t="s">
        <v>530</v>
      </c>
      <c r="AA380" s="99" t="s">
        <v>2816</v>
      </c>
    </row>
    <row r="381" spans="1:27" ht="17.25" customHeight="1">
      <c r="A381" s="65" t="str">
        <f>IF(priority(Main[[#This Row],[Comments]])&lt;&gt;0, priority(Main[[#This Row],[Comments]]),"")</f>
        <v/>
      </c>
      <c r="B381" s="60" t="s">
        <v>1238</v>
      </c>
      <c r="C381" s="105" t="s">
        <v>4</v>
      </c>
      <c r="D381" s="74" t="s">
        <v>301</v>
      </c>
      <c r="E381" s="89"/>
      <c r="F381" s="89"/>
      <c r="G381" s="65" t="str">
        <f>IF(stdProdLT(Main[[#This Row],[Comments]])=0.1,"N/A",IF(stdProdLT(Main[[#This Row],[Comments]])=0,"",TRIM(stdProdLT(Main[[#This Row],[Comments]]))))</f>
        <v/>
      </c>
      <c r="H381" s="98" t="str">
        <f>IF(Main[[#This Row],[Std. Prod. Lead Time]]="N/A", "",IF(AND(Main[[#This Row],[In Stock Date]]&lt;&gt;"",Main[[#This Row],[Revised Due Date]]&lt;&gt;"",Main[[#This Row],[In Stock Date]]&lt;&gt;""),Main[[#This Row],[In Stock Date]]-Main[[#This Row],[Revised Due Date]],""))</f>
        <v/>
      </c>
      <c r="I381" s="110" t="s">
        <v>4</v>
      </c>
      <c r="J381" s="99" t="s">
        <v>4</v>
      </c>
      <c r="K381" s="99" t="s">
        <v>4</v>
      </c>
      <c r="L381" s="89"/>
      <c r="M381" s="75" t="str">
        <f>IF(Main[[#This Row],[Tech Start Date]]&lt;1/1/1990,"",IF(Main[[#This Row],[Class]]="C",WORKDAY(Main[[#This Row],[Tech Start Date]],9),IF(Main[[#This Row],[Class]]="B", WORKDAY(Main[[#This Row],[Tech Start Date]],6),IF(Main[[#This Row],[Class]]="A",WORKDAY(Main[[#This Row],[Tech Start Date]],2),""))))</f>
        <v/>
      </c>
      <c r="N381" s="75" t="str">
        <f>IF(Main[[#This Row],[Tech Start Date]]&lt;1/1/1990,"",IF(Main[[#This Row],[Class]]="C",WORKDAY(Main[[#This Row],[Tech Start Date]],19),IF(Main[[#This Row],[Class]]="B", WORKDAY(Main[[#This Row],[Tech Start Date]],12),IF(Main[[#This Row],[Class]]="A",WORKDAY(Main[[#This Row],[Tech Start Date]],4),""))))</f>
        <v/>
      </c>
      <c r="O381" s="75" t="str">
        <f>IF(Main[[#This Row],[Tech Start Date]]&lt;1/1/1990,"",IF(Main[[#This Row],[Class]]="C",WORKDAY(Main[[#This Row],[Tech Start Date]],23),IF(Main[[#This Row],[Class]]="B", WORKDAY(Main[[#This Row],[Tech Start Date]],15),IF(Main[[#This Row],[Class]]="A",WORKDAY(Main[[#This Row],[Tech Start Date]],5),""))))</f>
        <v/>
      </c>
      <c r="P381" s="75" t="str">
        <f>IF(Main[[#This Row],[Tech Start Date]]&lt;1/1/1990,"",IF(Main[[#This Row],[Class]]="C",WORKDAY(Main[[#This Row],[Tech Start Date]],28),IF(Main[[#This Row],[Class]]="B", WORKDAY(Main[[#This Row],[Tech Start Date]],19),IF(Main[[#This Row],[Class]]="A",WORKDAY(Main[[#This Row],[Tech Start Date]],9),""))))</f>
        <v/>
      </c>
      <c r="Q381" s="89">
        <v>40287</v>
      </c>
      <c r="R381" s="121"/>
      <c r="S381" s="99" t="s">
        <v>11</v>
      </c>
      <c r="T381" s="76" t="s">
        <v>4</v>
      </c>
      <c r="U381" s="99" t="s">
        <v>14</v>
      </c>
      <c r="V381" s="99" t="s">
        <v>1913</v>
      </c>
      <c r="W381" s="99" t="s">
        <v>1919</v>
      </c>
      <c r="X381" s="99" t="s">
        <v>883</v>
      </c>
      <c r="Y381" s="73" t="s">
        <v>2957</v>
      </c>
      <c r="Z381" s="73" t="s">
        <v>4</v>
      </c>
      <c r="AA381" s="99" t="s">
        <v>883</v>
      </c>
    </row>
    <row r="382" spans="1:27" ht="17.25" customHeight="1">
      <c r="A382" s="65" t="str">
        <f>IF(priority(Main[[#This Row],[Comments]])&lt;&gt;0, priority(Main[[#This Row],[Comments]]),"")</f>
        <v/>
      </c>
      <c r="B382" s="60" t="s">
        <v>1239</v>
      </c>
      <c r="C382" s="105" t="s">
        <v>93</v>
      </c>
      <c r="D382" s="74" t="s">
        <v>302</v>
      </c>
      <c r="E382" s="89"/>
      <c r="F382" s="89">
        <v>40210</v>
      </c>
      <c r="G382" s="65" t="str">
        <f>IF(stdProdLT(Main[[#This Row],[Comments]])=0.1,"N/A",IF(stdProdLT(Main[[#This Row],[Comments]])=0,"",TRIM(stdProdLT(Main[[#This Row],[Comments]]))))</f>
        <v/>
      </c>
      <c r="H382" s="98" t="str">
        <f>IF(Main[[#This Row],[Std. Prod. Lead Time]]="N/A", "",IF(AND(Main[[#This Row],[In Stock Date]]&lt;&gt;"",Main[[#This Row],[Revised Due Date]]&lt;&gt;"",Main[[#This Row],[In Stock Date]]&lt;&gt;""),Main[[#This Row],[In Stock Date]]-Main[[#This Row],[Revised Due Date]],""))</f>
        <v/>
      </c>
      <c r="I382" s="110" t="s">
        <v>4</v>
      </c>
      <c r="J382" s="99" t="s">
        <v>4</v>
      </c>
      <c r="K382" s="100" t="s">
        <v>4</v>
      </c>
      <c r="L382" s="89"/>
      <c r="M382" s="75" t="str">
        <f>IF(Main[[#This Row],[Tech Start Date]]&lt;1/1/1990,"",IF(Main[[#This Row],[Class]]="C",WORKDAY(Main[[#This Row],[Tech Start Date]],9),IF(Main[[#This Row],[Class]]="B", WORKDAY(Main[[#This Row],[Tech Start Date]],6),IF(Main[[#This Row],[Class]]="A",WORKDAY(Main[[#This Row],[Tech Start Date]],2),""))))</f>
        <v/>
      </c>
      <c r="N382" s="75" t="str">
        <f>IF(Main[[#This Row],[Tech Start Date]]&lt;1/1/1990,"",IF(Main[[#This Row],[Class]]="C",WORKDAY(Main[[#This Row],[Tech Start Date]],19),IF(Main[[#This Row],[Class]]="B", WORKDAY(Main[[#This Row],[Tech Start Date]],12),IF(Main[[#This Row],[Class]]="A",WORKDAY(Main[[#This Row],[Tech Start Date]],4),""))))</f>
        <v/>
      </c>
      <c r="O382" s="75" t="str">
        <f>IF(Main[[#This Row],[Tech Start Date]]&lt;1/1/1990,"",IF(Main[[#This Row],[Class]]="C",WORKDAY(Main[[#This Row],[Tech Start Date]],23),IF(Main[[#This Row],[Class]]="B", WORKDAY(Main[[#This Row],[Tech Start Date]],15),IF(Main[[#This Row],[Class]]="A",WORKDAY(Main[[#This Row],[Tech Start Date]],5),""))))</f>
        <v/>
      </c>
      <c r="P382" s="75" t="str">
        <f>IF(Main[[#This Row],[Tech Start Date]]&lt;1/1/1990,"",IF(Main[[#This Row],[Class]]="C",WORKDAY(Main[[#This Row],[Tech Start Date]],28),IF(Main[[#This Row],[Class]]="B", WORKDAY(Main[[#This Row],[Tech Start Date]],19),IF(Main[[#This Row],[Class]]="A",WORKDAY(Main[[#This Row],[Tech Start Date]],9),""))))</f>
        <v/>
      </c>
      <c r="Q382" s="89">
        <v>40210</v>
      </c>
      <c r="R382" s="121"/>
      <c r="S382" s="99" t="s">
        <v>11</v>
      </c>
      <c r="T382" s="76" t="s">
        <v>4</v>
      </c>
      <c r="U382" s="99" t="s">
        <v>12</v>
      </c>
      <c r="V382" s="99" t="s">
        <v>1923</v>
      </c>
      <c r="W382" s="99" t="s">
        <v>1924</v>
      </c>
      <c r="X382" s="99" t="s">
        <v>2839</v>
      </c>
      <c r="Y382" s="73" t="s">
        <v>4</v>
      </c>
      <c r="Z382" s="73" t="s">
        <v>4</v>
      </c>
      <c r="AA382" s="99" t="s">
        <v>2839</v>
      </c>
    </row>
    <row r="383" spans="1:27" ht="17.25" customHeight="1">
      <c r="A383" s="65" t="str">
        <f>IF(priority(Main[[#This Row],[Comments]])&lt;&gt;0, priority(Main[[#This Row],[Comments]]),"")</f>
        <v/>
      </c>
      <c r="B383" s="60" t="s">
        <v>2705</v>
      </c>
      <c r="C383" s="105" t="s">
        <v>4</v>
      </c>
      <c r="D383" s="74" t="s">
        <v>2706</v>
      </c>
      <c r="E383" s="89">
        <v>40897.76525462963</v>
      </c>
      <c r="F383" s="89"/>
      <c r="G383" s="65" t="str">
        <f>IF(stdProdLT(Main[[#This Row],[Comments]])=0.1,"N/A",IF(stdProdLT(Main[[#This Row],[Comments]])=0,"",TRIM(stdProdLT(Main[[#This Row],[Comments]]))))</f>
        <v/>
      </c>
      <c r="H383" s="98" t="str">
        <f>IF(Main[[#This Row],[Std. Prod. Lead Time]]="N/A", "",IF(AND(Main[[#This Row],[In Stock Date]]&lt;&gt;"",Main[[#This Row],[Revised Due Date]]&lt;&gt;"",Main[[#This Row],[In Stock Date]]&lt;&gt;""),Main[[#This Row],[In Stock Date]]-Main[[#This Row],[Revised Due Date]],""))</f>
        <v/>
      </c>
      <c r="I383" s="110" t="s">
        <v>4</v>
      </c>
      <c r="J383" s="99" t="s">
        <v>4</v>
      </c>
      <c r="K383" s="99" t="s">
        <v>4</v>
      </c>
      <c r="L383" s="89"/>
      <c r="M383" s="75" t="str">
        <f>IF(Main[[#This Row],[Tech Start Date]]&lt;1/1/1990,"",IF(Main[[#This Row],[Class]]="C",WORKDAY(Main[[#This Row],[Tech Start Date]],9),IF(Main[[#This Row],[Class]]="B", WORKDAY(Main[[#This Row],[Tech Start Date]],6),IF(Main[[#This Row],[Class]]="A",WORKDAY(Main[[#This Row],[Tech Start Date]],2),""))))</f>
        <v/>
      </c>
      <c r="N383" s="75" t="str">
        <f>IF(Main[[#This Row],[Tech Start Date]]&lt;1/1/1990,"",IF(Main[[#This Row],[Class]]="C",WORKDAY(Main[[#This Row],[Tech Start Date]],19),IF(Main[[#This Row],[Class]]="B", WORKDAY(Main[[#This Row],[Tech Start Date]],12),IF(Main[[#This Row],[Class]]="A",WORKDAY(Main[[#This Row],[Tech Start Date]],4),""))))</f>
        <v/>
      </c>
      <c r="O383" s="75" t="str">
        <f>IF(Main[[#This Row],[Tech Start Date]]&lt;1/1/1990,"",IF(Main[[#This Row],[Class]]="C",WORKDAY(Main[[#This Row],[Tech Start Date]],23),IF(Main[[#This Row],[Class]]="B", WORKDAY(Main[[#This Row],[Tech Start Date]],15),IF(Main[[#This Row],[Class]]="A",WORKDAY(Main[[#This Row],[Tech Start Date]],5),""))))</f>
        <v/>
      </c>
      <c r="P383" s="75" t="str">
        <f>IF(Main[[#This Row],[Tech Start Date]]&lt;1/1/1990,"",IF(Main[[#This Row],[Class]]="C",WORKDAY(Main[[#This Row],[Tech Start Date]],28),IF(Main[[#This Row],[Class]]="B", WORKDAY(Main[[#This Row],[Tech Start Date]],19),IF(Main[[#This Row],[Class]]="A",WORKDAY(Main[[#This Row],[Tech Start Date]],9),""))))</f>
        <v/>
      </c>
      <c r="Q383" s="89">
        <v>40907</v>
      </c>
      <c r="R383" s="121"/>
      <c r="S383" s="99" t="s">
        <v>6</v>
      </c>
      <c r="T383" s="76" t="s">
        <v>4</v>
      </c>
      <c r="U383" s="99" t="s">
        <v>7</v>
      </c>
      <c r="V383" s="99" t="s">
        <v>1913</v>
      </c>
      <c r="W383" s="99" t="s">
        <v>4</v>
      </c>
      <c r="X383" s="99" t="s">
        <v>2813</v>
      </c>
      <c r="Y383" s="73" t="s">
        <v>2926</v>
      </c>
      <c r="Z383" s="73" t="s">
        <v>4</v>
      </c>
      <c r="AA383" s="99" t="s">
        <v>2813</v>
      </c>
    </row>
    <row r="384" spans="1:27" ht="17.25" customHeight="1">
      <c r="A384" s="65" t="str">
        <f>IF(priority(Main[[#This Row],[Comments]])&lt;&gt;0, priority(Main[[#This Row],[Comments]]),"")</f>
        <v/>
      </c>
      <c r="B384" s="60" t="s">
        <v>1240</v>
      </c>
      <c r="C384" s="105" t="s">
        <v>31</v>
      </c>
      <c r="D384" s="74" t="s">
        <v>303</v>
      </c>
      <c r="E384" s="89"/>
      <c r="F384" s="89">
        <v>40269</v>
      </c>
      <c r="G384" s="65" t="str">
        <f>IF(stdProdLT(Main[[#This Row],[Comments]])=0.1,"N/A",IF(stdProdLT(Main[[#This Row],[Comments]])=0,"",TRIM(stdProdLT(Main[[#This Row],[Comments]]))))</f>
        <v/>
      </c>
      <c r="H384" s="98" t="str">
        <f>IF(Main[[#This Row],[Std. Prod. Lead Time]]="N/A", "",IF(AND(Main[[#This Row],[In Stock Date]]&lt;&gt;"",Main[[#This Row],[Revised Due Date]]&lt;&gt;"",Main[[#This Row],[In Stock Date]]&lt;&gt;""),Main[[#This Row],[In Stock Date]]-Main[[#This Row],[Revised Due Date]],""))</f>
        <v/>
      </c>
      <c r="I384" s="110" t="s">
        <v>4</v>
      </c>
      <c r="J384" s="99" t="s">
        <v>4</v>
      </c>
      <c r="K384" s="99" t="s">
        <v>4</v>
      </c>
      <c r="L384" s="89"/>
      <c r="M384" s="75" t="str">
        <f>IF(Main[[#This Row],[Tech Start Date]]&lt;1/1/1990,"",IF(Main[[#This Row],[Class]]="C",WORKDAY(Main[[#This Row],[Tech Start Date]],9),IF(Main[[#This Row],[Class]]="B", WORKDAY(Main[[#This Row],[Tech Start Date]],6),IF(Main[[#This Row],[Class]]="A",WORKDAY(Main[[#This Row],[Tech Start Date]],2),""))))</f>
        <v/>
      </c>
      <c r="N384" s="75" t="str">
        <f>IF(Main[[#This Row],[Tech Start Date]]&lt;1/1/1990,"",IF(Main[[#This Row],[Class]]="C",WORKDAY(Main[[#This Row],[Tech Start Date]],19),IF(Main[[#This Row],[Class]]="B", WORKDAY(Main[[#This Row],[Tech Start Date]],12),IF(Main[[#This Row],[Class]]="A",WORKDAY(Main[[#This Row],[Tech Start Date]],4),""))))</f>
        <v/>
      </c>
      <c r="O384" s="75" t="str">
        <f>IF(Main[[#This Row],[Tech Start Date]]&lt;1/1/1990,"",IF(Main[[#This Row],[Class]]="C",WORKDAY(Main[[#This Row],[Tech Start Date]],23),IF(Main[[#This Row],[Class]]="B", WORKDAY(Main[[#This Row],[Tech Start Date]],15),IF(Main[[#This Row],[Class]]="A",WORKDAY(Main[[#This Row],[Tech Start Date]],5),""))))</f>
        <v/>
      </c>
      <c r="P384" s="75" t="str">
        <f>IF(Main[[#This Row],[Tech Start Date]]&lt;1/1/1990,"",IF(Main[[#This Row],[Class]]="C",WORKDAY(Main[[#This Row],[Tech Start Date]],28),IF(Main[[#This Row],[Class]]="B", WORKDAY(Main[[#This Row],[Tech Start Date]],19),IF(Main[[#This Row],[Class]]="A",WORKDAY(Main[[#This Row],[Tech Start Date]],9),""))))</f>
        <v/>
      </c>
      <c r="Q384" s="89">
        <v>40274</v>
      </c>
      <c r="R384" s="121"/>
      <c r="S384" s="99" t="s">
        <v>11</v>
      </c>
      <c r="T384" s="76" t="s">
        <v>4</v>
      </c>
      <c r="U384" s="99" t="s">
        <v>14</v>
      </c>
      <c r="V384" s="99" t="s">
        <v>1913</v>
      </c>
      <c r="W384" s="99" t="s">
        <v>1919</v>
      </c>
      <c r="X384" s="99" t="s">
        <v>2865</v>
      </c>
      <c r="Y384" s="73" t="s">
        <v>4</v>
      </c>
      <c r="Z384" s="73" t="s">
        <v>4</v>
      </c>
      <c r="AA384" s="99" t="s">
        <v>2865</v>
      </c>
    </row>
    <row r="385" spans="1:27" ht="17.25" customHeight="1">
      <c r="A385" s="65" t="str">
        <f>IF(priority(Main[[#This Row],[Comments]])&lt;&gt;0, priority(Main[[#This Row],[Comments]]),"")</f>
        <v/>
      </c>
      <c r="B385" s="60" t="s">
        <v>1241</v>
      </c>
      <c r="C385" s="105" t="s">
        <v>4</v>
      </c>
      <c r="D385" s="74" t="s">
        <v>304</v>
      </c>
      <c r="E385" s="89"/>
      <c r="F385" s="89">
        <v>40390</v>
      </c>
      <c r="G385" s="65" t="str">
        <f>IF(stdProdLT(Main[[#This Row],[Comments]])=0.1,"N/A",IF(stdProdLT(Main[[#This Row],[Comments]])=0,"",TRIM(stdProdLT(Main[[#This Row],[Comments]]))))</f>
        <v/>
      </c>
      <c r="H385" s="98" t="str">
        <f>IF(Main[[#This Row],[Std. Prod. Lead Time]]="N/A", "",IF(AND(Main[[#This Row],[In Stock Date]]&lt;&gt;"",Main[[#This Row],[Revised Due Date]]&lt;&gt;"",Main[[#This Row],[In Stock Date]]&lt;&gt;""),Main[[#This Row],[In Stock Date]]-Main[[#This Row],[Revised Due Date]],""))</f>
        <v/>
      </c>
      <c r="I385" s="110" t="s">
        <v>4</v>
      </c>
      <c r="J385" s="99" t="s">
        <v>4</v>
      </c>
      <c r="K385" s="99" t="s">
        <v>4</v>
      </c>
      <c r="L385" s="89"/>
      <c r="M385" s="75" t="str">
        <f>IF(Main[[#This Row],[Tech Start Date]]&lt;1/1/1990,"",IF(Main[[#This Row],[Class]]="C",WORKDAY(Main[[#This Row],[Tech Start Date]],9),IF(Main[[#This Row],[Class]]="B", WORKDAY(Main[[#This Row],[Tech Start Date]],6),IF(Main[[#This Row],[Class]]="A",WORKDAY(Main[[#This Row],[Tech Start Date]],2),""))))</f>
        <v/>
      </c>
      <c r="N385" s="75" t="str">
        <f>IF(Main[[#This Row],[Tech Start Date]]&lt;1/1/1990,"",IF(Main[[#This Row],[Class]]="C",WORKDAY(Main[[#This Row],[Tech Start Date]],19),IF(Main[[#This Row],[Class]]="B", WORKDAY(Main[[#This Row],[Tech Start Date]],12),IF(Main[[#This Row],[Class]]="A",WORKDAY(Main[[#This Row],[Tech Start Date]],4),""))))</f>
        <v/>
      </c>
      <c r="O385" s="75" t="str">
        <f>IF(Main[[#This Row],[Tech Start Date]]&lt;1/1/1990,"",IF(Main[[#This Row],[Class]]="C",WORKDAY(Main[[#This Row],[Tech Start Date]],23),IF(Main[[#This Row],[Class]]="B", WORKDAY(Main[[#This Row],[Tech Start Date]],15),IF(Main[[#This Row],[Class]]="A",WORKDAY(Main[[#This Row],[Tech Start Date]],5),""))))</f>
        <v/>
      </c>
      <c r="P385" s="75" t="str">
        <f>IF(Main[[#This Row],[Tech Start Date]]&lt;1/1/1990,"",IF(Main[[#This Row],[Class]]="C",WORKDAY(Main[[#This Row],[Tech Start Date]],28),IF(Main[[#This Row],[Class]]="B", WORKDAY(Main[[#This Row],[Tech Start Date]],19),IF(Main[[#This Row],[Class]]="A",WORKDAY(Main[[#This Row],[Tech Start Date]],9),""))))</f>
        <v/>
      </c>
      <c r="Q385" s="89">
        <v>40329</v>
      </c>
      <c r="R385" s="121"/>
      <c r="S385" s="99" t="s">
        <v>11</v>
      </c>
      <c r="T385" s="76" t="s">
        <v>4</v>
      </c>
      <c r="U385" s="99" t="s">
        <v>12</v>
      </c>
      <c r="V385" s="99" t="s">
        <v>1923</v>
      </c>
      <c r="W385" s="99" t="s">
        <v>1919</v>
      </c>
      <c r="X385" s="99" t="s">
        <v>2866</v>
      </c>
      <c r="Y385" s="73" t="s">
        <v>2990</v>
      </c>
      <c r="Z385" s="73" t="s">
        <v>4</v>
      </c>
      <c r="AA385" s="99" t="s">
        <v>2866</v>
      </c>
    </row>
    <row r="386" spans="1:27" ht="17.25" customHeight="1">
      <c r="A386" s="65" t="str">
        <f>IF(priority(Main[[#This Row],[Comments]])&lt;&gt;0, priority(Main[[#This Row],[Comments]]),"")</f>
        <v/>
      </c>
      <c r="B386" s="60" t="s">
        <v>1242</v>
      </c>
      <c r="C386" s="105" t="s">
        <v>4</v>
      </c>
      <c r="D386" s="74" t="s">
        <v>305</v>
      </c>
      <c r="E386" s="89"/>
      <c r="F386" s="89">
        <v>40574</v>
      </c>
      <c r="G386" s="65" t="str">
        <f>IF(stdProdLT(Main[[#This Row],[Comments]])=0.1,"N/A",IF(stdProdLT(Main[[#This Row],[Comments]])=0,"",TRIM(stdProdLT(Main[[#This Row],[Comments]]))))</f>
        <v/>
      </c>
      <c r="H386" s="98" t="str">
        <f>IF(Main[[#This Row],[Std. Prod. Lead Time]]="N/A", "",IF(AND(Main[[#This Row],[In Stock Date]]&lt;&gt;"",Main[[#This Row],[Revised Due Date]]&lt;&gt;"",Main[[#This Row],[In Stock Date]]&lt;&gt;""),Main[[#This Row],[In Stock Date]]-Main[[#This Row],[Revised Due Date]],""))</f>
        <v/>
      </c>
      <c r="I386" s="110" t="s">
        <v>306</v>
      </c>
      <c r="J386" s="99" t="s">
        <v>75</v>
      </c>
      <c r="K386" s="100" t="s">
        <v>1922</v>
      </c>
      <c r="L386" s="89"/>
      <c r="M386" s="75" t="str">
        <f>IF(Main[[#This Row],[Tech Start Date]]&lt;1/1/1990,"",IF(Main[[#This Row],[Class]]="C",WORKDAY(Main[[#This Row],[Tech Start Date]],9),IF(Main[[#This Row],[Class]]="B", WORKDAY(Main[[#This Row],[Tech Start Date]],6),IF(Main[[#This Row],[Class]]="A",WORKDAY(Main[[#This Row],[Tech Start Date]],2),""))))</f>
        <v/>
      </c>
      <c r="N386" s="75" t="str">
        <f>IF(Main[[#This Row],[Tech Start Date]]&lt;1/1/1990,"",IF(Main[[#This Row],[Class]]="C",WORKDAY(Main[[#This Row],[Tech Start Date]],19),IF(Main[[#This Row],[Class]]="B", WORKDAY(Main[[#This Row],[Tech Start Date]],12),IF(Main[[#This Row],[Class]]="A",WORKDAY(Main[[#This Row],[Tech Start Date]],4),""))))</f>
        <v/>
      </c>
      <c r="O386" s="75" t="str">
        <f>IF(Main[[#This Row],[Tech Start Date]]&lt;1/1/1990,"",IF(Main[[#This Row],[Class]]="C",WORKDAY(Main[[#This Row],[Tech Start Date]],23),IF(Main[[#This Row],[Class]]="B", WORKDAY(Main[[#This Row],[Tech Start Date]],15),IF(Main[[#This Row],[Class]]="A",WORKDAY(Main[[#This Row],[Tech Start Date]],5),""))))</f>
        <v/>
      </c>
      <c r="P386" s="75" t="str">
        <f>IF(Main[[#This Row],[Tech Start Date]]&lt;1/1/1990,"",IF(Main[[#This Row],[Class]]="C",WORKDAY(Main[[#This Row],[Tech Start Date]],28),IF(Main[[#This Row],[Class]]="B", WORKDAY(Main[[#This Row],[Tech Start Date]],19),IF(Main[[#This Row],[Class]]="A",WORKDAY(Main[[#This Row],[Tech Start Date]],9),""))))</f>
        <v/>
      </c>
      <c r="Q386" s="89">
        <v>40574</v>
      </c>
      <c r="R386" s="121"/>
      <c r="S386" s="99" t="s">
        <v>6</v>
      </c>
      <c r="T386" s="76" t="s">
        <v>4</v>
      </c>
      <c r="U386" s="99" t="s">
        <v>14</v>
      </c>
      <c r="V386" s="99" t="s">
        <v>1923</v>
      </c>
      <c r="W386" s="99" t="s">
        <v>1915</v>
      </c>
      <c r="X386" s="99" t="s">
        <v>2812</v>
      </c>
      <c r="Y386" s="73" t="s">
        <v>2923</v>
      </c>
      <c r="Z386" s="73" t="s">
        <v>30</v>
      </c>
      <c r="AA386" s="99" t="s">
        <v>2812</v>
      </c>
    </row>
    <row r="387" spans="1:27" ht="17.25" customHeight="1">
      <c r="A387" s="65" t="str">
        <f>IF(priority(Main[[#This Row],[Comments]])&lt;&gt;0, priority(Main[[#This Row],[Comments]]),"")</f>
        <v/>
      </c>
      <c r="B387" s="60" t="s">
        <v>1243</v>
      </c>
      <c r="C387" s="105" t="s">
        <v>169</v>
      </c>
      <c r="D387" s="74" t="s">
        <v>307</v>
      </c>
      <c r="E387" s="89"/>
      <c r="F387" s="89">
        <v>40237</v>
      </c>
      <c r="G387" s="65" t="str">
        <f>IF(stdProdLT(Main[[#This Row],[Comments]])=0.1,"N/A",IF(stdProdLT(Main[[#This Row],[Comments]])=0,"",TRIM(stdProdLT(Main[[#This Row],[Comments]]))))</f>
        <v/>
      </c>
      <c r="H387" s="98" t="str">
        <f>IF(Main[[#This Row],[Std. Prod. Lead Time]]="N/A", "",IF(AND(Main[[#This Row],[In Stock Date]]&lt;&gt;"",Main[[#This Row],[Revised Due Date]]&lt;&gt;"",Main[[#This Row],[In Stock Date]]&lt;&gt;""),Main[[#This Row],[In Stock Date]]-Main[[#This Row],[Revised Due Date]],""))</f>
        <v/>
      </c>
      <c r="I387" s="110" t="s">
        <v>4</v>
      </c>
      <c r="J387" s="99" t="s">
        <v>4</v>
      </c>
      <c r="K387" s="100" t="s">
        <v>4</v>
      </c>
      <c r="L387" s="89"/>
      <c r="M387" s="75" t="str">
        <f>IF(Main[[#This Row],[Tech Start Date]]&lt;1/1/1990,"",IF(Main[[#This Row],[Class]]="C",WORKDAY(Main[[#This Row],[Tech Start Date]],9),IF(Main[[#This Row],[Class]]="B", WORKDAY(Main[[#This Row],[Tech Start Date]],6),IF(Main[[#This Row],[Class]]="A",WORKDAY(Main[[#This Row],[Tech Start Date]],2),""))))</f>
        <v/>
      </c>
      <c r="N387" s="75" t="str">
        <f>IF(Main[[#This Row],[Tech Start Date]]&lt;1/1/1990,"",IF(Main[[#This Row],[Class]]="C",WORKDAY(Main[[#This Row],[Tech Start Date]],19),IF(Main[[#This Row],[Class]]="B", WORKDAY(Main[[#This Row],[Tech Start Date]],12),IF(Main[[#This Row],[Class]]="A",WORKDAY(Main[[#This Row],[Tech Start Date]],4),""))))</f>
        <v/>
      </c>
      <c r="O387" s="75" t="str">
        <f>IF(Main[[#This Row],[Tech Start Date]]&lt;1/1/1990,"",IF(Main[[#This Row],[Class]]="C",WORKDAY(Main[[#This Row],[Tech Start Date]],23),IF(Main[[#This Row],[Class]]="B", WORKDAY(Main[[#This Row],[Tech Start Date]],15),IF(Main[[#This Row],[Class]]="A",WORKDAY(Main[[#This Row],[Tech Start Date]],5),""))))</f>
        <v/>
      </c>
      <c r="P387" s="75" t="str">
        <f>IF(Main[[#This Row],[Tech Start Date]]&lt;1/1/1990,"",IF(Main[[#This Row],[Class]]="C",WORKDAY(Main[[#This Row],[Tech Start Date]],28),IF(Main[[#This Row],[Class]]="B", WORKDAY(Main[[#This Row],[Tech Start Date]],19),IF(Main[[#This Row],[Class]]="A",WORKDAY(Main[[#This Row],[Tech Start Date]],9),""))))</f>
        <v/>
      </c>
      <c r="Q387" s="89">
        <v>40132</v>
      </c>
      <c r="R387" s="121"/>
      <c r="S387" s="99" t="s">
        <v>11</v>
      </c>
      <c r="T387" s="76" t="s">
        <v>4</v>
      </c>
      <c r="U387" s="99" t="s">
        <v>14</v>
      </c>
      <c r="V387" s="99" t="s">
        <v>1913</v>
      </c>
      <c r="W387" s="99" t="s">
        <v>1918</v>
      </c>
      <c r="X387" s="99" t="s">
        <v>2852</v>
      </c>
      <c r="Y387" s="73" t="s">
        <v>4</v>
      </c>
      <c r="Z387" s="73" t="s">
        <v>4</v>
      </c>
      <c r="AA387" s="99" t="s">
        <v>2852</v>
      </c>
    </row>
    <row r="388" spans="1:27" ht="17.25" customHeight="1">
      <c r="A388" s="65" t="str">
        <f>IF(priority(Main[[#This Row],[Comments]])&lt;&gt;0, priority(Main[[#This Row],[Comments]]),"")</f>
        <v/>
      </c>
      <c r="B388" s="60" t="s">
        <v>1244</v>
      </c>
      <c r="C388" s="105" t="s">
        <v>4</v>
      </c>
      <c r="D388" s="74" t="s">
        <v>308</v>
      </c>
      <c r="E388" s="89"/>
      <c r="F388" s="89"/>
      <c r="G388" s="65" t="str">
        <f>IF(stdProdLT(Main[[#This Row],[Comments]])=0.1,"N/A",IF(stdProdLT(Main[[#This Row],[Comments]])=0,"",TRIM(stdProdLT(Main[[#This Row],[Comments]]))))</f>
        <v/>
      </c>
      <c r="H388" s="98" t="str">
        <f>IF(Main[[#This Row],[Std. Prod. Lead Time]]="N/A", "",IF(AND(Main[[#This Row],[In Stock Date]]&lt;&gt;"",Main[[#This Row],[Revised Due Date]]&lt;&gt;"",Main[[#This Row],[In Stock Date]]&lt;&gt;""),Main[[#This Row],[In Stock Date]]-Main[[#This Row],[Revised Due Date]],""))</f>
        <v/>
      </c>
      <c r="I388" s="110" t="s">
        <v>4</v>
      </c>
      <c r="J388" s="99" t="s">
        <v>4</v>
      </c>
      <c r="K388" s="99" t="s">
        <v>4</v>
      </c>
      <c r="L388" s="89"/>
      <c r="M388" s="75" t="str">
        <f>IF(Main[[#This Row],[Tech Start Date]]&lt;1/1/1990,"",IF(Main[[#This Row],[Class]]="C",WORKDAY(Main[[#This Row],[Tech Start Date]],9),IF(Main[[#This Row],[Class]]="B", WORKDAY(Main[[#This Row],[Tech Start Date]],6),IF(Main[[#This Row],[Class]]="A",WORKDAY(Main[[#This Row],[Tech Start Date]],2),""))))</f>
        <v/>
      </c>
      <c r="N388" s="75" t="str">
        <f>IF(Main[[#This Row],[Tech Start Date]]&lt;1/1/1990,"",IF(Main[[#This Row],[Class]]="C",WORKDAY(Main[[#This Row],[Tech Start Date]],19),IF(Main[[#This Row],[Class]]="B", WORKDAY(Main[[#This Row],[Tech Start Date]],12),IF(Main[[#This Row],[Class]]="A",WORKDAY(Main[[#This Row],[Tech Start Date]],4),""))))</f>
        <v/>
      </c>
      <c r="O388" s="75" t="str">
        <f>IF(Main[[#This Row],[Tech Start Date]]&lt;1/1/1990,"",IF(Main[[#This Row],[Class]]="C",WORKDAY(Main[[#This Row],[Tech Start Date]],23),IF(Main[[#This Row],[Class]]="B", WORKDAY(Main[[#This Row],[Tech Start Date]],15),IF(Main[[#This Row],[Class]]="A",WORKDAY(Main[[#This Row],[Tech Start Date]],5),""))))</f>
        <v/>
      </c>
      <c r="P388" s="75" t="str">
        <f>IF(Main[[#This Row],[Tech Start Date]]&lt;1/1/1990,"",IF(Main[[#This Row],[Class]]="C",WORKDAY(Main[[#This Row],[Tech Start Date]],28),IF(Main[[#This Row],[Class]]="B", WORKDAY(Main[[#This Row],[Tech Start Date]],19),IF(Main[[#This Row],[Class]]="A",WORKDAY(Main[[#This Row],[Tech Start Date]],9),""))))</f>
        <v/>
      </c>
      <c r="Q388" s="89">
        <v>40390</v>
      </c>
      <c r="R388" s="121"/>
      <c r="S388" s="99" t="s">
        <v>6</v>
      </c>
      <c r="T388" s="76" t="s">
        <v>4</v>
      </c>
      <c r="U388" s="99" t="s">
        <v>14</v>
      </c>
      <c r="V388" s="99" t="s">
        <v>1916</v>
      </c>
      <c r="W388" s="99" t="s">
        <v>4</v>
      </c>
      <c r="X388" s="99" t="s">
        <v>2813</v>
      </c>
      <c r="Y388" s="73" t="s">
        <v>2926</v>
      </c>
      <c r="Z388" s="73" t="s">
        <v>4</v>
      </c>
      <c r="AA388" s="99" t="s">
        <v>2813</v>
      </c>
    </row>
    <row r="389" spans="1:27" ht="17.25" customHeight="1">
      <c r="A389" s="65" t="str">
        <f>IF(priority(Main[[#This Row],[Comments]])&lt;&gt;0, priority(Main[[#This Row],[Comments]]),"")</f>
        <v/>
      </c>
      <c r="B389" s="60" t="s">
        <v>1246</v>
      </c>
      <c r="C389" s="105" t="s">
        <v>310</v>
      </c>
      <c r="D389" s="74" t="s">
        <v>311</v>
      </c>
      <c r="E389" s="89"/>
      <c r="F389" s="89">
        <v>40179</v>
      </c>
      <c r="G389" s="65" t="str">
        <f>IF(stdProdLT(Main[[#This Row],[Comments]])=0.1,"N/A",IF(stdProdLT(Main[[#This Row],[Comments]])=0,"",TRIM(stdProdLT(Main[[#This Row],[Comments]]))))</f>
        <v/>
      </c>
      <c r="H389" s="98" t="str">
        <f>IF(Main[[#This Row],[Std. Prod. Lead Time]]="N/A", "",IF(AND(Main[[#This Row],[In Stock Date]]&lt;&gt;"",Main[[#This Row],[Revised Due Date]]&lt;&gt;"",Main[[#This Row],[In Stock Date]]&lt;&gt;""),Main[[#This Row],[In Stock Date]]-Main[[#This Row],[Revised Due Date]],""))</f>
        <v/>
      </c>
      <c r="I389" s="110" t="s">
        <v>4</v>
      </c>
      <c r="J389" s="99" t="s">
        <v>4</v>
      </c>
      <c r="K389" s="99" t="s">
        <v>4</v>
      </c>
      <c r="L389" s="89"/>
      <c r="M389" s="75" t="str">
        <f>IF(Main[[#This Row],[Tech Start Date]]&lt;1/1/1990,"",IF(Main[[#This Row],[Class]]="C",WORKDAY(Main[[#This Row],[Tech Start Date]],9),IF(Main[[#This Row],[Class]]="B", WORKDAY(Main[[#This Row],[Tech Start Date]],6),IF(Main[[#This Row],[Class]]="A",WORKDAY(Main[[#This Row],[Tech Start Date]],2),""))))</f>
        <v/>
      </c>
      <c r="N389" s="75" t="str">
        <f>IF(Main[[#This Row],[Tech Start Date]]&lt;1/1/1990,"",IF(Main[[#This Row],[Class]]="C",WORKDAY(Main[[#This Row],[Tech Start Date]],19),IF(Main[[#This Row],[Class]]="B", WORKDAY(Main[[#This Row],[Tech Start Date]],12),IF(Main[[#This Row],[Class]]="A",WORKDAY(Main[[#This Row],[Tech Start Date]],4),""))))</f>
        <v/>
      </c>
      <c r="O389" s="75" t="str">
        <f>IF(Main[[#This Row],[Tech Start Date]]&lt;1/1/1990,"",IF(Main[[#This Row],[Class]]="C",WORKDAY(Main[[#This Row],[Tech Start Date]],23),IF(Main[[#This Row],[Class]]="B", WORKDAY(Main[[#This Row],[Tech Start Date]],15),IF(Main[[#This Row],[Class]]="A",WORKDAY(Main[[#This Row],[Tech Start Date]],5),""))))</f>
        <v/>
      </c>
      <c r="P389" s="75" t="str">
        <f>IF(Main[[#This Row],[Tech Start Date]]&lt;1/1/1990,"",IF(Main[[#This Row],[Class]]="C",WORKDAY(Main[[#This Row],[Tech Start Date]],28),IF(Main[[#This Row],[Class]]="B", WORKDAY(Main[[#This Row],[Tech Start Date]],19),IF(Main[[#This Row],[Class]]="A",WORKDAY(Main[[#This Row],[Tech Start Date]],9),""))))</f>
        <v/>
      </c>
      <c r="Q389" s="89">
        <v>40174</v>
      </c>
      <c r="R389" s="121"/>
      <c r="S389" s="99" t="s">
        <v>11</v>
      </c>
      <c r="T389" s="76" t="s">
        <v>4</v>
      </c>
      <c r="U389" s="99" t="s">
        <v>12</v>
      </c>
      <c r="V389" s="99" t="s">
        <v>1913</v>
      </c>
      <c r="W389" s="99" t="s">
        <v>1921</v>
      </c>
      <c r="X389" s="99" t="s">
        <v>2867</v>
      </c>
      <c r="Y389" s="73" t="s">
        <v>4</v>
      </c>
      <c r="Z389" s="73" t="s">
        <v>4</v>
      </c>
      <c r="AA389" s="99" t="s">
        <v>2867</v>
      </c>
    </row>
    <row r="390" spans="1:27" ht="17.25" customHeight="1">
      <c r="A390" s="65" t="str">
        <f>IF(priority(Main[[#This Row],[Comments]])&lt;&gt;0, priority(Main[[#This Row],[Comments]]),"")</f>
        <v/>
      </c>
      <c r="B390" s="60" t="s">
        <v>1247</v>
      </c>
      <c r="C390" s="105" t="s">
        <v>4</v>
      </c>
      <c r="D390" s="74" t="s">
        <v>312</v>
      </c>
      <c r="E390" s="89">
        <v>40701.550486111111</v>
      </c>
      <c r="F390" s="89"/>
      <c r="G390" s="65" t="str">
        <f>IF(stdProdLT(Main[[#This Row],[Comments]])=0.1,"N/A",IF(stdProdLT(Main[[#This Row],[Comments]])=0,"",TRIM(stdProdLT(Main[[#This Row],[Comments]]))))</f>
        <v/>
      </c>
      <c r="H390" s="98" t="str">
        <f>IF(Main[[#This Row],[Std. Prod. Lead Time]]="N/A", "",IF(AND(Main[[#This Row],[In Stock Date]]&lt;&gt;"",Main[[#This Row],[Revised Due Date]]&lt;&gt;"",Main[[#This Row],[In Stock Date]]&lt;&gt;""),Main[[#This Row],[In Stock Date]]-Main[[#This Row],[Revised Due Date]],""))</f>
        <v/>
      </c>
      <c r="I390" s="110" t="s">
        <v>4</v>
      </c>
      <c r="J390" s="99" t="s">
        <v>4</v>
      </c>
      <c r="K390" s="99" t="s">
        <v>4</v>
      </c>
      <c r="L390" s="89"/>
      <c r="M390" s="75" t="str">
        <f>IF(Main[[#This Row],[Tech Start Date]]&lt;1/1/1990,"",IF(Main[[#This Row],[Class]]="C",WORKDAY(Main[[#This Row],[Tech Start Date]],9),IF(Main[[#This Row],[Class]]="B", WORKDAY(Main[[#This Row],[Tech Start Date]],6),IF(Main[[#This Row],[Class]]="A",WORKDAY(Main[[#This Row],[Tech Start Date]],2),""))))</f>
        <v/>
      </c>
      <c r="N390" s="75" t="str">
        <f>IF(Main[[#This Row],[Tech Start Date]]&lt;1/1/1990,"",IF(Main[[#This Row],[Class]]="C",WORKDAY(Main[[#This Row],[Tech Start Date]],19),IF(Main[[#This Row],[Class]]="B", WORKDAY(Main[[#This Row],[Tech Start Date]],12),IF(Main[[#This Row],[Class]]="A",WORKDAY(Main[[#This Row],[Tech Start Date]],4),""))))</f>
        <v/>
      </c>
      <c r="O390" s="75" t="str">
        <f>IF(Main[[#This Row],[Tech Start Date]]&lt;1/1/1990,"",IF(Main[[#This Row],[Class]]="C",WORKDAY(Main[[#This Row],[Tech Start Date]],23),IF(Main[[#This Row],[Class]]="B", WORKDAY(Main[[#This Row],[Tech Start Date]],15),IF(Main[[#This Row],[Class]]="A",WORKDAY(Main[[#This Row],[Tech Start Date]],5),""))))</f>
        <v/>
      </c>
      <c r="P390" s="75" t="str">
        <f>IF(Main[[#This Row],[Tech Start Date]]&lt;1/1/1990,"",IF(Main[[#This Row],[Class]]="C",WORKDAY(Main[[#This Row],[Tech Start Date]],28),IF(Main[[#This Row],[Class]]="B", WORKDAY(Main[[#This Row],[Tech Start Date]],19),IF(Main[[#This Row],[Class]]="A",WORKDAY(Main[[#This Row],[Tech Start Date]],9),""))))</f>
        <v/>
      </c>
      <c r="Q390" s="89"/>
      <c r="R390" s="121"/>
      <c r="S390" s="99" t="s">
        <v>6</v>
      </c>
      <c r="T390" s="76" t="s">
        <v>4</v>
      </c>
      <c r="U390" s="99" t="s">
        <v>7</v>
      </c>
      <c r="V390" s="99" t="s">
        <v>1913</v>
      </c>
      <c r="W390" s="99" t="s">
        <v>4</v>
      </c>
      <c r="X390" s="99" t="s">
        <v>907</v>
      </c>
      <c r="Y390" s="73" t="s">
        <v>3011</v>
      </c>
      <c r="Z390" s="73" t="s">
        <v>4</v>
      </c>
      <c r="AA390" s="99" t="s">
        <v>907</v>
      </c>
    </row>
    <row r="391" spans="1:27" ht="17.25" customHeight="1">
      <c r="A391" s="65" t="str">
        <f>IF(priority(Main[[#This Row],[Comments]])&lt;&gt;0, priority(Main[[#This Row],[Comments]]),"")</f>
        <v/>
      </c>
      <c r="B391" s="60" t="s">
        <v>1248</v>
      </c>
      <c r="C391" s="105" t="s">
        <v>4</v>
      </c>
      <c r="D391" s="74" t="s">
        <v>313</v>
      </c>
      <c r="E391" s="89"/>
      <c r="F391" s="89"/>
      <c r="G391" s="65" t="str">
        <f>IF(stdProdLT(Main[[#This Row],[Comments]])=0.1,"N/A",IF(stdProdLT(Main[[#This Row],[Comments]])=0,"",TRIM(stdProdLT(Main[[#This Row],[Comments]]))))</f>
        <v/>
      </c>
      <c r="H391" s="98" t="str">
        <f>IF(Main[[#This Row],[Std. Prod. Lead Time]]="N/A", "",IF(AND(Main[[#This Row],[In Stock Date]]&lt;&gt;"",Main[[#This Row],[Revised Due Date]]&lt;&gt;"",Main[[#This Row],[In Stock Date]]&lt;&gt;""),Main[[#This Row],[In Stock Date]]-Main[[#This Row],[Revised Due Date]],""))</f>
        <v/>
      </c>
      <c r="I391" s="110" t="s">
        <v>4</v>
      </c>
      <c r="J391" s="99" t="s">
        <v>4</v>
      </c>
      <c r="K391" s="99" t="s">
        <v>4</v>
      </c>
      <c r="L391" s="89"/>
      <c r="M391" s="75" t="str">
        <f>IF(Main[[#This Row],[Tech Start Date]]&lt;1/1/1990,"",IF(Main[[#This Row],[Class]]="C",WORKDAY(Main[[#This Row],[Tech Start Date]],9),IF(Main[[#This Row],[Class]]="B", WORKDAY(Main[[#This Row],[Tech Start Date]],6),IF(Main[[#This Row],[Class]]="A",WORKDAY(Main[[#This Row],[Tech Start Date]],2),""))))</f>
        <v/>
      </c>
      <c r="N391" s="75" t="str">
        <f>IF(Main[[#This Row],[Tech Start Date]]&lt;1/1/1990,"",IF(Main[[#This Row],[Class]]="C",WORKDAY(Main[[#This Row],[Tech Start Date]],19),IF(Main[[#This Row],[Class]]="B", WORKDAY(Main[[#This Row],[Tech Start Date]],12),IF(Main[[#This Row],[Class]]="A",WORKDAY(Main[[#This Row],[Tech Start Date]],4),""))))</f>
        <v/>
      </c>
      <c r="O391" s="75" t="str">
        <f>IF(Main[[#This Row],[Tech Start Date]]&lt;1/1/1990,"",IF(Main[[#This Row],[Class]]="C",WORKDAY(Main[[#This Row],[Tech Start Date]],23),IF(Main[[#This Row],[Class]]="B", WORKDAY(Main[[#This Row],[Tech Start Date]],15),IF(Main[[#This Row],[Class]]="A",WORKDAY(Main[[#This Row],[Tech Start Date]],5),""))))</f>
        <v/>
      </c>
      <c r="P391" s="75" t="str">
        <f>IF(Main[[#This Row],[Tech Start Date]]&lt;1/1/1990,"",IF(Main[[#This Row],[Class]]="C",WORKDAY(Main[[#This Row],[Tech Start Date]],28),IF(Main[[#This Row],[Class]]="B", WORKDAY(Main[[#This Row],[Tech Start Date]],19),IF(Main[[#This Row],[Class]]="A",WORKDAY(Main[[#This Row],[Tech Start Date]],9),""))))</f>
        <v/>
      </c>
      <c r="Q391" s="89">
        <v>40374</v>
      </c>
      <c r="R391" s="121"/>
      <c r="S391" s="99" t="s">
        <v>11</v>
      </c>
      <c r="T391" s="76" t="s">
        <v>4</v>
      </c>
      <c r="U391" s="99" t="s">
        <v>12</v>
      </c>
      <c r="V391" s="99" t="s">
        <v>1914</v>
      </c>
      <c r="W391" s="99" t="s">
        <v>1915</v>
      </c>
      <c r="X391" s="99" t="s">
        <v>2866</v>
      </c>
      <c r="Y391" s="73" t="s">
        <v>2990</v>
      </c>
      <c r="Z391" s="73" t="s">
        <v>4</v>
      </c>
      <c r="AA391" s="99" t="s">
        <v>2866</v>
      </c>
    </row>
    <row r="392" spans="1:27" ht="17.25" customHeight="1">
      <c r="A392" s="65" t="str">
        <f>IF(priority(Main[[#This Row],[Comments]])&lt;&gt;0, priority(Main[[#This Row],[Comments]]),"")</f>
        <v/>
      </c>
      <c r="B392" s="60" t="s">
        <v>1249</v>
      </c>
      <c r="C392" s="105" t="s">
        <v>4</v>
      </c>
      <c r="D392" s="74" t="s">
        <v>314</v>
      </c>
      <c r="E392" s="89"/>
      <c r="F392" s="89"/>
      <c r="G392" s="65" t="str">
        <f>IF(stdProdLT(Main[[#This Row],[Comments]])=0.1,"N/A",IF(stdProdLT(Main[[#This Row],[Comments]])=0,"",TRIM(stdProdLT(Main[[#This Row],[Comments]]))))</f>
        <v/>
      </c>
      <c r="H392" s="98" t="str">
        <f>IF(Main[[#This Row],[Std. Prod. Lead Time]]="N/A", "",IF(AND(Main[[#This Row],[In Stock Date]]&lt;&gt;"",Main[[#This Row],[Revised Due Date]]&lt;&gt;"",Main[[#This Row],[In Stock Date]]&lt;&gt;""),Main[[#This Row],[In Stock Date]]-Main[[#This Row],[Revised Due Date]],""))</f>
        <v/>
      </c>
      <c r="I392" s="110" t="s">
        <v>4</v>
      </c>
      <c r="J392" s="99" t="s">
        <v>4</v>
      </c>
      <c r="K392" s="99" t="s">
        <v>4</v>
      </c>
      <c r="L392" s="89"/>
      <c r="M392" s="75" t="str">
        <f>IF(Main[[#This Row],[Tech Start Date]]&lt;1/1/1990,"",IF(Main[[#This Row],[Class]]="C",WORKDAY(Main[[#This Row],[Tech Start Date]],9),IF(Main[[#This Row],[Class]]="B", WORKDAY(Main[[#This Row],[Tech Start Date]],6),IF(Main[[#This Row],[Class]]="A",WORKDAY(Main[[#This Row],[Tech Start Date]],2),""))))</f>
        <v/>
      </c>
      <c r="N392" s="75" t="str">
        <f>IF(Main[[#This Row],[Tech Start Date]]&lt;1/1/1990,"",IF(Main[[#This Row],[Class]]="C",WORKDAY(Main[[#This Row],[Tech Start Date]],19),IF(Main[[#This Row],[Class]]="B", WORKDAY(Main[[#This Row],[Tech Start Date]],12),IF(Main[[#This Row],[Class]]="A",WORKDAY(Main[[#This Row],[Tech Start Date]],4),""))))</f>
        <v/>
      </c>
      <c r="O392" s="75" t="str">
        <f>IF(Main[[#This Row],[Tech Start Date]]&lt;1/1/1990,"",IF(Main[[#This Row],[Class]]="C",WORKDAY(Main[[#This Row],[Tech Start Date]],23),IF(Main[[#This Row],[Class]]="B", WORKDAY(Main[[#This Row],[Tech Start Date]],15),IF(Main[[#This Row],[Class]]="A",WORKDAY(Main[[#This Row],[Tech Start Date]],5),""))))</f>
        <v/>
      </c>
      <c r="P392" s="75" t="str">
        <f>IF(Main[[#This Row],[Tech Start Date]]&lt;1/1/1990,"",IF(Main[[#This Row],[Class]]="C",WORKDAY(Main[[#This Row],[Tech Start Date]],28),IF(Main[[#This Row],[Class]]="B", WORKDAY(Main[[#This Row],[Tech Start Date]],19),IF(Main[[#This Row],[Class]]="A",WORKDAY(Main[[#This Row],[Tech Start Date]],9),""))))</f>
        <v/>
      </c>
      <c r="Q392" s="89"/>
      <c r="R392" s="121"/>
      <c r="S392" s="99" t="s">
        <v>6</v>
      </c>
      <c r="T392" s="76" t="s">
        <v>4</v>
      </c>
      <c r="U392" s="99" t="s">
        <v>14</v>
      </c>
      <c r="V392" s="99" t="s">
        <v>1914</v>
      </c>
      <c r="W392" s="99" t="s">
        <v>1915</v>
      </c>
      <c r="X392" s="99" t="s">
        <v>2856</v>
      </c>
      <c r="Y392" s="73" t="s">
        <v>3000</v>
      </c>
      <c r="Z392" s="73" t="s">
        <v>4</v>
      </c>
      <c r="AA392" s="99" t="s">
        <v>2856</v>
      </c>
    </row>
    <row r="393" spans="1:27" ht="17.25" customHeight="1">
      <c r="A393" s="65" t="str">
        <f>IF(priority(Main[[#This Row],[Comments]])&lt;&gt;0, priority(Main[[#This Row],[Comments]]),"")</f>
        <v/>
      </c>
      <c r="B393" s="60" t="s">
        <v>1250</v>
      </c>
      <c r="C393" s="105" t="s">
        <v>197</v>
      </c>
      <c r="D393" s="74" t="s">
        <v>315</v>
      </c>
      <c r="E393" s="89"/>
      <c r="F393" s="89"/>
      <c r="G393" s="65" t="str">
        <f>IF(stdProdLT(Main[[#This Row],[Comments]])=0.1,"N/A",IF(stdProdLT(Main[[#This Row],[Comments]])=0,"",TRIM(stdProdLT(Main[[#This Row],[Comments]]))))</f>
        <v/>
      </c>
      <c r="H393" s="98" t="str">
        <f>IF(Main[[#This Row],[Std. Prod. Lead Time]]="N/A", "",IF(AND(Main[[#This Row],[In Stock Date]]&lt;&gt;"",Main[[#This Row],[Revised Due Date]]&lt;&gt;"",Main[[#This Row],[In Stock Date]]&lt;&gt;""),Main[[#This Row],[In Stock Date]]-Main[[#This Row],[Revised Due Date]],""))</f>
        <v/>
      </c>
      <c r="I393" s="110" t="s">
        <v>4</v>
      </c>
      <c r="J393" s="99" t="s">
        <v>4</v>
      </c>
      <c r="K393" s="99" t="s">
        <v>4</v>
      </c>
      <c r="L393" s="89"/>
      <c r="M393" s="75" t="str">
        <f>IF(Main[[#This Row],[Tech Start Date]]&lt;1/1/1990,"",IF(Main[[#This Row],[Class]]="C",WORKDAY(Main[[#This Row],[Tech Start Date]],9),IF(Main[[#This Row],[Class]]="B", WORKDAY(Main[[#This Row],[Tech Start Date]],6),IF(Main[[#This Row],[Class]]="A",WORKDAY(Main[[#This Row],[Tech Start Date]],2),""))))</f>
        <v/>
      </c>
      <c r="N393" s="75" t="str">
        <f>IF(Main[[#This Row],[Tech Start Date]]&lt;1/1/1990,"",IF(Main[[#This Row],[Class]]="C",WORKDAY(Main[[#This Row],[Tech Start Date]],19),IF(Main[[#This Row],[Class]]="B", WORKDAY(Main[[#This Row],[Tech Start Date]],12),IF(Main[[#This Row],[Class]]="A",WORKDAY(Main[[#This Row],[Tech Start Date]],4),""))))</f>
        <v/>
      </c>
      <c r="O393" s="75" t="str">
        <f>IF(Main[[#This Row],[Tech Start Date]]&lt;1/1/1990,"",IF(Main[[#This Row],[Class]]="C",WORKDAY(Main[[#This Row],[Tech Start Date]],23),IF(Main[[#This Row],[Class]]="B", WORKDAY(Main[[#This Row],[Tech Start Date]],15),IF(Main[[#This Row],[Class]]="A",WORKDAY(Main[[#This Row],[Tech Start Date]],5),""))))</f>
        <v/>
      </c>
      <c r="P393" s="75" t="str">
        <f>IF(Main[[#This Row],[Tech Start Date]]&lt;1/1/1990,"",IF(Main[[#This Row],[Class]]="C",WORKDAY(Main[[#This Row],[Tech Start Date]],28),IF(Main[[#This Row],[Class]]="B", WORKDAY(Main[[#This Row],[Tech Start Date]],19),IF(Main[[#This Row],[Class]]="A",WORKDAY(Main[[#This Row],[Tech Start Date]],9),""))))</f>
        <v/>
      </c>
      <c r="Q393" s="89">
        <v>40165</v>
      </c>
      <c r="R393" s="121"/>
      <c r="S393" s="99" t="s">
        <v>11</v>
      </c>
      <c r="T393" s="76" t="s">
        <v>4</v>
      </c>
      <c r="U393" s="99" t="s">
        <v>14</v>
      </c>
      <c r="V393" s="99" t="s">
        <v>1923</v>
      </c>
      <c r="W393" s="99" t="s">
        <v>1919</v>
      </c>
      <c r="X393" s="99" t="s">
        <v>306</v>
      </c>
      <c r="Y393" s="73" t="s">
        <v>2957</v>
      </c>
      <c r="Z393" s="73" t="s">
        <v>4</v>
      </c>
      <c r="AA393" s="99" t="s">
        <v>883</v>
      </c>
    </row>
    <row r="394" spans="1:27" ht="17.25" customHeight="1">
      <c r="A394" s="65" t="str">
        <f>IF(priority(Main[[#This Row],[Comments]])&lt;&gt;0, priority(Main[[#This Row],[Comments]]),"")</f>
        <v/>
      </c>
      <c r="B394" s="60" t="s">
        <v>1252</v>
      </c>
      <c r="C394" s="105" t="s">
        <v>4</v>
      </c>
      <c r="D394" s="74" t="s">
        <v>317</v>
      </c>
      <c r="E394" s="89">
        <v>40275.49355324074</v>
      </c>
      <c r="F394" s="89"/>
      <c r="G394" s="65" t="str">
        <f>IF(stdProdLT(Main[[#This Row],[Comments]])=0.1,"N/A",IF(stdProdLT(Main[[#This Row],[Comments]])=0,"",TRIM(stdProdLT(Main[[#This Row],[Comments]]))))</f>
        <v/>
      </c>
      <c r="H394" s="98" t="str">
        <f>IF(Main[[#This Row],[Std. Prod. Lead Time]]="N/A", "",IF(AND(Main[[#This Row],[In Stock Date]]&lt;&gt;"",Main[[#This Row],[Revised Due Date]]&lt;&gt;"",Main[[#This Row],[In Stock Date]]&lt;&gt;""),Main[[#This Row],[In Stock Date]]-Main[[#This Row],[Revised Due Date]],""))</f>
        <v/>
      </c>
      <c r="I394" s="110" t="s">
        <v>4</v>
      </c>
      <c r="J394" s="99" t="s">
        <v>4</v>
      </c>
      <c r="K394" s="99" t="s">
        <v>4</v>
      </c>
      <c r="L394" s="89"/>
      <c r="M394" s="75" t="str">
        <f>IF(Main[[#This Row],[Tech Start Date]]&lt;1/1/1990,"",IF(Main[[#This Row],[Class]]="C",WORKDAY(Main[[#This Row],[Tech Start Date]],9),IF(Main[[#This Row],[Class]]="B", WORKDAY(Main[[#This Row],[Tech Start Date]],6),IF(Main[[#This Row],[Class]]="A",WORKDAY(Main[[#This Row],[Tech Start Date]],2),""))))</f>
        <v/>
      </c>
      <c r="N394" s="75" t="str">
        <f>IF(Main[[#This Row],[Tech Start Date]]&lt;1/1/1990,"",IF(Main[[#This Row],[Class]]="C",WORKDAY(Main[[#This Row],[Tech Start Date]],19),IF(Main[[#This Row],[Class]]="B", WORKDAY(Main[[#This Row],[Tech Start Date]],12),IF(Main[[#This Row],[Class]]="A",WORKDAY(Main[[#This Row],[Tech Start Date]],4),""))))</f>
        <v/>
      </c>
      <c r="O394" s="75" t="str">
        <f>IF(Main[[#This Row],[Tech Start Date]]&lt;1/1/1990,"",IF(Main[[#This Row],[Class]]="C",WORKDAY(Main[[#This Row],[Tech Start Date]],23),IF(Main[[#This Row],[Class]]="B", WORKDAY(Main[[#This Row],[Tech Start Date]],15),IF(Main[[#This Row],[Class]]="A",WORKDAY(Main[[#This Row],[Tech Start Date]],5),""))))</f>
        <v/>
      </c>
      <c r="P394" s="75" t="str">
        <f>IF(Main[[#This Row],[Tech Start Date]]&lt;1/1/1990,"",IF(Main[[#This Row],[Class]]="C",WORKDAY(Main[[#This Row],[Tech Start Date]],28),IF(Main[[#This Row],[Class]]="B", WORKDAY(Main[[#This Row],[Tech Start Date]],19),IF(Main[[#This Row],[Class]]="A",WORKDAY(Main[[#This Row],[Tech Start Date]],9),""))))</f>
        <v/>
      </c>
      <c r="Q394" s="89">
        <v>40289</v>
      </c>
      <c r="R394" s="121"/>
      <c r="S394" s="99" t="s">
        <v>318</v>
      </c>
      <c r="T394" s="76" t="s">
        <v>4</v>
      </c>
      <c r="U394" s="99" t="s">
        <v>7</v>
      </c>
      <c r="V394" s="99" t="s">
        <v>1913</v>
      </c>
      <c r="W394" s="99" t="s">
        <v>1915</v>
      </c>
      <c r="X394" s="99" t="s">
        <v>2815</v>
      </c>
      <c r="Y394" s="73" t="s">
        <v>2930</v>
      </c>
      <c r="Z394" s="73" t="s">
        <v>4</v>
      </c>
      <c r="AA394" s="99" t="s">
        <v>2815</v>
      </c>
    </row>
    <row r="395" spans="1:27" ht="17.25" customHeight="1">
      <c r="A395" s="65" t="str">
        <f>IF(priority(Main[[#This Row],[Comments]])&lt;&gt;0, priority(Main[[#This Row],[Comments]]),"")</f>
        <v/>
      </c>
      <c r="B395" s="60" t="s">
        <v>1254</v>
      </c>
      <c r="C395" s="105" t="s">
        <v>4</v>
      </c>
      <c r="D395" s="74" t="s">
        <v>320</v>
      </c>
      <c r="E395" s="89"/>
      <c r="F395" s="89"/>
      <c r="G395" s="65" t="str">
        <f>IF(stdProdLT(Main[[#This Row],[Comments]])=0.1,"N/A",IF(stdProdLT(Main[[#This Row],[Comments]])=0,"",TRIM(stdProdLT(Main[[#This Row],[Comments]]))))</f>
        <v/>
      </c>
      <c r="H395" s="98" t="str">
        <f>IF(Main[[#This Row],[Std. Prod. Lead Time]]="N/A", "",IF(AND(Main[[#This Row],[In Stock Date]]&lt;&gt;"",Main[[#This Row],[Revised Due Date]]&lt;&gt;"",Main[[#This Row],[In Stock Date]]&lt;&gt;""),Main[[#This Row],[In Stock Date]]-Main[[#This Row],[Revised Due Date]],""))</f>
        <v/>
      </c>
      <c r="I395" s="110" t="s">
        <v>4</v>
      </c>
      <c r="J395" s="99" t="s">
        <v>28</v>
      </c>
      <c r="K395" s="99" t="s">
        <v>4</v>
      </c>
      <c r="L395" s="89"/>
      <c r="M395" s="75" t="str">
        <f>IF(Main[[#This Row],[Tech Start Date]]&lt;1/1/1990,"",IF(Main[[#This Row],[Class]]="C",WORKDAY(Main[[#This Row],[Tech Start Date]],9),IF(Main[[#This Row],[Class]]="B", WORKDAY(Main[[#This Row],[Tech Start Date]],6),IF(Main[[#This Row],[Class]]="A",WORKDAY(Main[[#This Row],[Tech Start Date]],2),""))))</f>
        <v/>
      </c>
      <c r="N395" s="75" t="str">
        <f>IF(Main[[#This Row],[Tech Start Date]]&lt;1/1/1990,"",IF(Main[[#This Row],[Class]]="C",WORKDAY(Main[[#This Row],[Tech Start Date]],19),IF(Main[[#This Row],[Class]]="B", WORKDAY(Main[[#This Row],[Tech Start Date]],12),IF(Main[[#This Row],[Class]]="A",WORKDAY(Main[[#This Row],[Tech Start Date]],4),""))))</f>
        <v/>
      </c>
      <c r="O395" s="75" t="str">
        <f>IF(Main[[#This Row],[Tech Start Date]]&lt;1/1/1990,"",IF(Main[[#This Row],[Class]]="C",WORKDAY(Main[[#This Row],[Tech Start Date]],23),IF(Main[[#This Row],[Class]]="B", WORKDAY(Main[[#This Row],[Tech Start Date]],15),IF(Main[[#This Row],[Class]]="A",WORKDAY(Main[[#This Row],[Tech Start Date]],5),""))))</f>
        <v/>
      </c>
      <c r="P395" s="75" t="str">
        <f>IF(Main[[#This Row],[Tech Start Date]]&lt;1/1/1990,"",IF(Main[[#This Row],[Class]]="C",WORKDAY(Main[[#This Row],[Tech Start Date]],28),IF(Main[[#This Row],[Class]]="B", WORKDAY(Main[[#This Row],[Tech Start Date]],19),IF(Main[[#This Row],[Class]]="A",WORKDAY(Main[[#This Row],[Tech Start Date]],9),""))))</f>
        <v/>
      </c>
      <c r="Q395" s="89"/>
      <c r="R395" s="121"/>
      <c r="S395" s="99" t="s">
        <v>17</v>
      </c>
      <c r="T395" s="76" t="s">
        <v>4</v>
      </c>
      <c r="U395" s="99" t="s">
        <v>14</v>
      </c>
      <c r="V395" s="99" t="s">
        <v>1913</v>
      </c>
      <c r="W395" s="99" t="s">
        <v>1917</v>
      </c>
      <c r="X395" s="99" t="s">
        <v>129</v>
      </c>
      <c r="Y395" s="73" t="s">
        <v>4</v>
      </c>
      <c r="Z395" s="73" t="s">
        <v>129</v>
      </c>
      <c r="AA395" s="99" t="s">
        <v>2815</v>
      </c>
    </row>
    <row r="396" spans="1:27" ht="17.25" customHeight="1">
      <c r="A396" s="65" t="str">
        <f>IF(priority(Main[[#This Row],[Comments]])&lt;&gt;0, priority(Main[[#This Row],[Comments]]),"")</f>
        <v/>
      </c>
      <c r="B396" s="60" t="s">
        <v>1255</v>
      </c>
      <c r="C396" s="105" t="s">
        <v>4</v>
      </c>
      <c r="D396" s="74" t="s">
        <v>321</v>
      </c>
      <c r="E396" s="89"/>
      <c r="F396" s="89"/>
      <c r="G396" s="65" t="str">
        <f>IF(stdProdLT(Main[[#This Row],[Comments]])=0.1,"N/A",IF(stdProdLT(Main[[#This Row],[Comments]])=0,"",TRIM(stdProdLT(Main[[#This Row],[Comments]]))))</f>
        <v/>
      </c>
      <c r="H396" s="98" t="str">
        <f>IF(Main[[#This Row],[Std. Prod. Lead Time]]="N/A", "",IF(AND(Main[[#This Row],[In Stock Date]]&lt;&gt;"",Main[[#This Row],[Revised Due Date]]&lt;&gt;"",Main[[#This Row],[In Stock Date]]&lt;&gt;""),Main[[#This Row],[In Stock Date]]-Main[[#This Row],[Revised Due Date]],""))</f>
        <v/>
      </c>
      <c r="I396" s="110" t="s">
        <v>4</v>
      </c>
      <c r="J396" s="99" t="s">
        <v>4</v>
      </c>
      <c r="K396" s="99" t="s">
        <v>4</v>
      </c>
      <c r="L396" s="89"/>
      <c r="M396" s="75" t="str">
        <f>IF(Main[[#This Row],[Tech Start Date]]&lt;1/1/1990,"",IF(Main[[#This Row],[Class]]="C",WORKDAY(Main[[#This Row],[Tech Start Date]],9),IF(Main[[#This Row],[Class]]="B", WORKDAY(Main[[#This Row],[Tech Start Date]],6),IF(Main[[#This Row],[Class]]="A",WORKDAY(Main[[#This Row],[Tech Start Date]],2),""))))</f>
        <v/>
      </c>
      <c r="N396" s="75" t="str">
        <f>IF(Main[[#This Row],[Tech Start Date]]&lt;1/1/1990,"",IF(Main[[#This Row],[Class]]="C",WORKDAY(Main[[#This Row],[Tech Start Date]],19),IF(Main[[#This Row],[Class]]="B", WORKDAY(Main[[#This Row],[Tech Start Date]],12),IF(Main[[#This Row],[Class]]="A",WORKDAY(Main[[#This Row],[Tech Start Date]],4),""))))</f>
        <v/>
      </c>
      <c r="O396" s="75" t="str">
        <f>IF(Main[[#This Row],[Tech Start Date]]&lt;1/1/1990,"",IF(Main[[#This Row],[Class]]="C",WORKDAY(Main[[#This Row],[Tech Start Date]],23),IF(Main[[#This Row],[Class]]="B", WORKDAY(Main[[#This Row],[Tech Start Date]],15),IF(Main[[#This Row],[Class]]="A",WORKDAY(Main[[#This Row],[Tech Start Date]],5),""))))</f>
        <v/>
      </c>
      <c r="P396" s="75" t="str">
        <f>IF(Main[[#This Row],[Tech Start Date]]&lt;1/1/1990,"",IF(Main[[#This Row],[Class]]="C",WORKDAY(Main[[#This Row],[Tech Start Date]],28),IF(Main[[#This Row],[Class]]="B", WORKDAY(Main[[#This Row],[Tech Start Date]],19),IF(Main[[#This Row],[Class]]="A",WORKDAY(Main[[#This Row],[Tech Start Date]],9),""))))</f>
        <v/>
      </c>
      <c r="Q396" s="89">
        <v>40725</v>
      </c>
      <c r="R396" s="121"/>
      <c r="S396" s="99" t="s">
        <v>17</v>
      </c>
      <c r="T396" s="76" t="s">
        <v>4</v>
      </c>
      <c r="U396" s="99" t="s">
        <v>14</v>
      </c>
      <c r="V396" s="99" t="s">
        <v>1913</v>
      </c>
      <c r="W396" s="99" t="s">
        <v>1915</v>
      </c>
      <c r="X396" s="99" t="s">
        <v>907</v>
      </c>
      <c r="Y396" s="73" t="s">
        <v>3011</v>
      </c>
      <c r="Z396" s="73" t="s">
        <v>4</v>
      </c>
      <c r="AA396" s="99" t="s">
        <v>907</v>
      </c>
    </row>
    <row r="397" spans="1:27" ht="17.25" customHeight="1">
      <c r="A397" s="65" t="str">
        <f>IF(priority(Main[[#This Row],[Comments]])&lt;&gt;0, priority(Main[[#This Row],[Comments]]),"")</f>
        <v/>
      </c>
      <c r="B397" s="60" t="s">
        <v>1256</v>
      </c>
      <c r="C397" s="105" t="s">
        <v>93</v>
      </c>
      <c r="D397" s="74" t="s">
        <v>322</v>
      </c>
      <c r="E397" s="89"/>
      <c r="F397" s="89">
        <v>40168</v>
      </c>
      <c r="G397" s="65" t="str">
        <f>IF(stdProdLT(Main[[#This Row],[Comments]])=0.1,"N/A",IF(stdProdLT(Main[[#This Row],[Comments]])=0,"",TRIM(stdProdLT(Main[[#This Row],[Comments]]))))</f>
        <v/>
      </c>
      <c r="H397" s="98" t="str">
        <f>IF(Main[[#This Row],[Std. Prod. Lead Time]]="N/A", "",IF(AND(Main[[#This Row],[In Stock Date]]&lt;&gt;"",Main[[#This Row],[Revised Due Date]]&lt;&gt;"",Main[[#This Row],[In Stock Date]]&lt;&gt;""),Main[[#This Row],[In Stock Date]]-Main[[#This Row],[Revised Due Date]],""))</f>
        <v/>
      </c>
      <c r="I397" s="110" t="s">
        <v>4</v>
      </c>
      <c r="J397" s="99" t="s">
        <v>4</v>
      </c>
      <c r="K397" s="99" t="s">
        <v>4</v>
      </c>
      <c r="L397" s="89"/>
      <c r="M397" s="75" t="str">
        <f>IF(Main[[#This Row],[Tech Start Date]]&lt;1/1/1990,"",IF(Main[[#This Row],[Class]]="C",WORKDAY(Main[[#This Row],[Tech Start Date]],9),IF(Main[[#This Row],[Class]]="B", WORKDAY(Main[[#This Row],[Tech Start Date]],6),IF(Main[[#This Row],[Class]]="A",WORKDAY(Main[[#This Row],[Tech Start Date]],2),""))))</f>
        <v/>
      </c>
      <c r="N397" s="75" t="str">
        <f>IF(Main[[#This Row],[Tech Start Date]]&lt;1/1/1990,"",IF(Main[[#This Row],[Class]]="C",WORKDAY(Main[[#This Row],[Tech Start Date]],19),IF(Main[[#This Row],[Class]]="B", WORKDAY(Main[[#This Row],[Tech Start Date]],12),IF(Main[[#This Row],[Class]]="A",WORKDAY(Main[[#This Row],[Tech Start Date]],4),""))))</f>
        <v/>
      </c>
      <c r="O397" s="75" t="str">
        <f>IF(Main[[#This Row],[Tech Start Date]]&lt;1/1/1990,"",IF(Main[[#This Row],[Class]]="C",WORKDAY(Main[[#This Row],[Tech Start Date]],23),IF(Main[[#This Row],[Class]]="B", WORKDAY(Main[[#This Row],[Tech Start Date]],15),IF(Main[[#This Row],[Class]]="A",WORKDAY(Main[[#This Row],[Tech Start Date]],5),""))))</f>
        <v/>
      </c>
      <c r="P397" s="75" t="str">
        <f>IF(Main[[#This Row],[Tech Start Date]]&lt;1/1/1990,"",IF(Main[[#This Row],[Class]]="C",WORKDAY(Main[[#This Row],[Tech Start Date]],28),IF(Main[[#This Row],[Class]]="B", WORKDAY(Main[[#This Row],[Tech Start Date]],19),IF(Main[[#This Row],[Class]]="A",WORKDAY(Main[[#This Row],[Tech Start Date]],9),""))))</f>
        <v/>
      </c>
      <c r="Q397" s="89">
        <v>39993</v>
      </c>
      <c r="R397" s="121"/>
      <c r="S397" s="99" t="s">
        <v>11</v>
      </c>
      <c r="T397" s="76" t="s">
        <v>4</v>
      </c>
      <c r="U397" s="99" t="s">
        <v>14</v>
      </c>
      <c r="V397" s="99" t="s">
        <v>1914</v>
      </c>
      <c r="W397" s="99" t="s">
        <v>1921</v>
      </c>
      <c r="X397" s="99" t="s">
        <v>2847</v>
      </c>
      <c r="Y397" s="73" t="s">
        <v>2985</v>
      </c>
      <c r="Z397" s="73" t="s">
        <v>4</v>
      </c>
      <c r="AA397" s="99" t="s">
        <v>2847</v>
      </c>
    </row>
    <row r="398" spans="1:27" ht="17.25" customHeight="1">
      <c r="A398" s="65" t="str">
        <f>IF(priority(Main[[#This Row],[Comments]])&lt;&gt;0, priority(Main[[#This Row],[Comments]]),"")</f>
        <v/>
      </c>
      <c r="B398" s="60" t="s">
        <v>1257</v>
      </c>
      <c r="C398" s="105" t="s">
        <v>93</v>
      </c>
      <c r="D398" s="74" t="s">
        <v>323</v>
      </c>
      <c r="E398" s="89"/>
      <c r="F398" s="89">
        <v>40299</v>
      </c>
      <c r="G398" s="65" t="str">
        <f>IF(stdProdLT(Main[[#This Row],[Comments]])=0.1,"N/A",IF(stdProdLT(Main[[#This Row],[Comments]])=0,"",TRIM(stdProdLT(Main[[#This Row],[Comments]]))))</f>
        <v/>
      </c>
      <c r="H398" s="98" t="str">
        <f>IF(Main[[#This Row],[Std. Prod. Lead Time]]="N/A", "",IF(AND(Main[[#This Row],[In Stock Date]]&lt;&gt;"",Main[[#This Row],[Revised Due Date]]&lt;&gt;"",Main[[#This Row],[In Stock Date]]&lt;&gt;""),Main[[#This Row],[In Stock Date]]-Main[[#This Row],[Revised Due Date]],""))</f>
        <v/>
      </c>
      <c r="I398" s="110" t="s">
        <v>4</v>
      </c>
      <c r="J398" s="99" t="s">
        <v>4</v>
      </c>
      <c r="K398" s="99" t="s">
        <v>4</v>
      </c>
      <c r="L398" s="89"/>
      <c r="M398" s="75" t="str">
        <f>IF(Main[[#This Row],[Tech Start Date]]&lt;1/1/1990,"",IF(Main[[#This Row],[Class]]="C",WORKDAY(Main[[#This Row],[Tech Start Date]],9),IF(Main[[#This Row],[Class]]="B", WORKDAY(Main[[#This Row],[Tech Start Date]],6),IF(Main[[#This Row],[Class]]="A",WORKDAY(Main[[#This Row],[Tech Start Date]],2),""))))</f>
        <v/>
      </c>
      <c r="N398" s="75" t="str">
        <f>IF(Main[[#This Row],[Tech Start Date]]&lt;1/1/1990,"",IF(Main[[#This Row],[Class]]="C",WORKDAY(Main[[#This Row],[Tech Start Date]],19),IF(Main[[#This Row],[Class]]="B", WORKDAY(Main[[#This Row],[Tech Start Date]],12),IF(Main[[#This Row],[Class]]="A",WORKDAY(Main[[#This Row],[Tech Start Date]],4),""))))</f>
        <v/>
      </c>
      <c r="O398" s="75" t="str">
        <f>IF(Main[[#This Row],[Tech Start Date]]&lt;1/1/1990,"",IF(Main[[#This Row],[Class]]="C",WORKDAY(Main[[#This Row],[Tech Start Date]],23),IF(Main[[#This Row],[Class]]="B", WORKDAY(Main[[#This Row],[Tech Start Date]],15),IF(Main[[#This Row],[Class]]="A",WORKDAY(Main[[#This Row],[Tech Start Date]],5),""))))</f>
        <v/>
      </c>
      <c r="P398" s="75" t="str">
        <f>IF(Main[[#This Row],[Tech Start Date]]&lt;1/1/1990,"",IF(Main[[#This Row],[Class]]="C",WORKDAY(Main[[#This Row],[Tech Start Date]],28),IF(Main[[#This Row],[Class]]="B", WORKDAY(Main[[#This Row],[Tech Start Date]],19),IF(Main[[#This Row],[Class]]="A",WORKDAY(Main[[#This Row],[Tech Start Date]],9),""))))</f>
        <v/>
      </c>
      <c r="Q398" s="89">
        <v>40214</v>
      </c>
      <c r="R398" s="121"/>
      <c r="S398" s="99" t="s">
        <v>11</v>
      </c>
      <c r="T398" s="76" t="s">
        <v>4</v>
      </c>
      <c r="U398" s="99" t="s">
        <v>12</v>
      </c>
      <c r="V398" s="99" t="s">
        <v>1913</v>
      </c>
      <c r="W398" s="99" t="s">
        <v>1919</v>
      </c>
      <c r="X398" s="99" t="s">
        <v>2839</v>
      </c>
      <c r="Y398" s="73" t="s">
        <v>4</v>
      </c>
      <c r="Z398" s="73" t="s">
        <v>4</v>
      </c>
      <c r="AA398" s="99" t="s">
        <v>2839</v>
      </c>
    </row>
    <row r="399" spans="1:27" ht="17.25" customHeight="1">
      <c r="A399" s="65" t="str">
        <f>IF(priority(Main[[#This Row],[Comments]])&lt;&gt;0, priority(Main[[#This Row],[Comments]]),"")</f>
        <v/>
      </c>
      <c r="B399" s="60" t="s">
        <v>1258</v>
      </c>
      <c r="C399" s="105" t="s">
        <v>4</v>
      </c>
      <c r="D399" s="74" t="s">
        <v>328</v>
      </c>
      <c r="E399" s="89"/>
      <c r="F399" s="89"/>
      <c r="G399" s="65" t="str">
        <f>IF(stdProdLT(Main[[#This Row],[Comments]])=0.1,"N/A",IF(stdProdLT(Main[[#This Row],[Comments]])=0,"",TRIM(stdProdLT(Main[[#This Row],[Comments]]))))</f>
        <v/>
      </c>
      <c r="H399" s="98" t="str">
        <f>IF(Main[[#This Row],[Std. Prod. Lead Time]]="N/A", "",IF(AND(Main[[#This Row],[In Stock Date]]&lt;&gt;"",Main[[#This Row],[Revised Due Date]]&lt;&gt;"",Main[[#This Row],[In Stock Date]]&lt;&gt;""),Main[[#This Row],[In Stock Date]]-Main[[#This Row],[Revised Due Date]],""))</f>
        <v/>
      </c>
      <c r="I399" s="110" t="s">
        <v>4</v>
      </c>
      <c r="J399" s="99" t="s">
        <v>4</v>
      </c>
      <c r="K399" s="99" t="s">
        <v>4</v>
      </c>
      <c r="L399" s="89"/>
      <c r="M399" s="75" t="str">
        <f>IF(Main[[#This Row],[Tech Start Date]]&lt;1/1/1990,"",IF(Main[[#This Row],[Class]]="C",WORKDAY(Main[[#This Row],[Tech Start Date]],9),IF(Main[[#This Row],[Class]]="B", WORKDAY(Main[[#This Row],[Tech Start Date]],6),IF(Main[[#This Row],[Class]]="A",WORKDAY(Main[[#This Row],[Tech Start Date]],2),""))))</f>
        <v/>
      </c>
      <c r="N399" s="75" t="str">
        <f>IF(Main[[#This Row],[Tech Start Date]]&lt;1/1/1990,"",IF(Main[[#This Row],[Class]]="C",WORKDAY(Main[[#This Row],[Tech Start Date]],19),IF(Main[[#This Row],[Class]]="B", WORKDAY(Main[[#This Row],[Tech Start Date]],12),IF(Main[[#This Row],[Class]]="A",WORKDAY(Main[[#This Row],[Tech Start Date]],4),""))))</f>
        <v/>
      </c>
      <c r="O399" s="75" t="str">
        <f>IF(Main[[#This Row],[Tech Start Date]]&lt;1/1/1990,"",IF(Main[[#This Row],[Class]]="C",WORKDAY(Main[[#This Row],[Tech Start Date]],23),IF(Main[[#This Row],[Class]]="B", WORKDAY(Main[[#This Row],[Tech Start Date]],15),IF(Main[[#This Row],[Class]]="A",WORKDAY(Main[[#This Row],[Tech Start Date]],5),""))))</f>
        <v/>
      </c>
      <c r="P399" s="75" t="str">
        <f>IF(Main[[#This Row],[Tech Start Date]]&lt;1/1/1990,"",IF(Main[[#This Row],[Class]]="C",WORKDAY(Main[[#This Row],[Tech Start Date]],28),IF(Main[[#This Row],[Class]]="B", WORKDAY(Main[[#This Row],[Tech Start Date]],19),IF(Main[[#This Row],[Class]]="A",WORKDAY(Main[[#This Row],[Tech Start Date]],9),""))))</f>
        <v/>
      </c>
      <c r="Q399" s="89"/>
      <c r="R399" s="121"/>
      <c r="S399" s="99" t="s">
        <v>17</v>
      </c>
      <c r="T399" s="76" t="s">
        <v>4</v>
      </c>
      <c r="U399" s="99" t="s">
        <v>14</v>
      </c>
      <c r="V399" s="99" t="s">
        <v>1913</v>
      </c>
      <c r="W399" s="99" t="s">
        <v>1915</v>
      </c>
      <c r="X399" s="99" t="s">
        <v>907</v>
      </c>
      <c r="Y399" s="73" t="s">
        <v>3011</v>
      </c>
      <c r="Z399" s="73" t="s">
        <v>4</v>
      </c>
      <c r="AA399" s="99" t="s">
        <v>907</v>
      </c>
    </row>
    <row r="400" spans="1:27" ht="17.25" customHeight="1">
      <c r="A400" s="65" t="str">
        <f>IF(priority(Main[[#This Row],[Comments]])&lt;&gt;0, priority(Main[[#This Row],[Comments]]),"")</f>
        <v/>
      </c>
      <c r="B400" s="60" t="s">
        <v>3586</v>
      </c>
      <c r="C400" s="105" t="s">
        <v>4</v>
      </c>
      <c r="D400" s="74" t="s">
        <v>3587</v>
      </c>
      <c r="E400" s="89">
        <v>40967.694027777776</v>
      </c>
      <c r="F400" s="89"/>
      <c r="G400" s="65" t="str">
        <f>IF(stdProdLT(Main[[#This Row],[Comments]])=0.1,"N/A",IF(stdProdLT(Main[[#This Row],[Comments]])=0,"",TRIM(stdProdLT(Main[[#This Row],[Comments]]))))</f>
        <v/>
      </c>
      <c r="H400" s="98" t="str">
        <f>IF(Main[[#This Row],[Std. Prod. Lead Time]]="N/A", "",IF(AND(Main[[#This Row],[In Stock Date]]&lt;&gt;"",Main[[#This Row],[Revised Due Date]]&lt;&gt;"",Main[[#This Row],[In Stock Date]]&lt;&gt;""),Main[[#This Row],[In Stock Date]]-Main[[#This Row],[Revised Due Date]],""))</f>
        <v/>
      </c>
      <c r="I400" s="110" t="s">
        <v>4</v>
      </c>
      <c r="J400" s="99" t="s">
        <v>4</v>
      </c>
      <c r="K400" s="99" t="s">
        <v>4</v>
      </c>
      <c r="L400" s="89"/>
      <c r="M400" s="75" t="str">
        <f>IF(Main[[#This Row],[Tech Start Date]]&lt;1/1/1990,"",IF(Main[[#This Row],[Class]]="C",WORKDAY(Main[[#This Row],[Tech Start Date]],9),IF(Main[[#This Row],[Class]]="B", WORKDAY(Main[[#This Row],[Tech Start Date]],6),IF(Main[[#This Row],[Class]]="A",WORKDAY(Main[[#This Row],[Tech Start Date]],2),""))))</f>
        <v/>
      </c>
      <c r="N400" s="75" t="str">
        <f>IF(Main[[#This Row],[Tech Start Date]]&lt;1/1/1990,"",IF(Main[[#This Row],[Class]]="C",WORKDAY(Main[[#This Row],[Tech Start Date]],19),IF(Main[[#This Row],[Class]]="B", WORKDAY(Main[[#This Row],[Tech Start Date]],12),IF(Main[[#This Row],[Class]]="A",WORKDAY(Main[[#This Row],[Tech Start Date]],4),""))))</f>
        <v/>
      </c>
      <c r="O400" s="75" t="str">
        <f>IF(Main[[#This Row],[Tech Start Date]]&lt;1/1/1990,"",IF(Main[[#This Row],[Class]]="C",WORKDAY(Main[[#This Row],[Tech Start Date]],23),IF(Main[[#This Row],[Class]]="B", WORKDAY(Main[[#This Row],[Tech Start Date]],15),IF(Main[[#This Row],[Class]]="A",WORKDAY(Main[[#This Row],[Tech Start Date]],5),""))))</f>
        <v/>
      </c>
      <c r="P400" s="75" t="str">
        <f>IF(Main[[#This Row],[Tech Start Date]]&lt;1/1/1990,"",IF(Main[[#This Row],[Class]]="C",WORKDAY(Main[[#This Row],[Tech Start Date]],28),IF(Main[[#This Row],[Class]]="B", WORKDAY(Main[[#This Row],[Tech Start Date]],19),IF(Main[[#This Row],[Class]]="A",WORKDAY(Main[[#This Row],[Tech Start Date]],9),""))))</f>
        <v/>
      </c>
      <c r="Q400" s="89"/>
      <c r="R400" s="121"/>
      <c r="S400" s="99" t="s">
        <v>6</v>
      </c>
      <c r="T400" s="76" t="s">
        <v>4</v>
      </c>
      <c r="U400" s="99" t="s">
        <v>7</v>
      </c>
      <c r="V400" s="99" t="s">
        <v>1916</v>
      </c>
      <c r="W400" s="99" t="s">
        <v>1917</v>
      </c>
      <c r="X400" s="99" t="s">
        <v>69</v>
      </c>
      <c r="Y400" s="73" t="s">
        <v>4</v>
      </c>
      <c r="Z400" s="73" t="s">
        <v>4</v>
      </c>
      <c r="AA400" s="99" t="s">
        <v>4</v>
      </c>
    </row>
    <row r="401" spans="1:27" ht="17.25" customHeight="1">
      <c r="A401" s="65" t="str">
        <f>IF(priority(Main[[#This Row],[Comments]])&lt;&gt;0, priority(Main[[#This Row],[Comments]]),"")</f>
        <v/>
      </c>
      <c r="B401" s="60" t="s">
        <v>1259</v>
      </c>
      <c r="C401" s="105" t="s">
        <v>4</v>
      </c>
      <c r="D401" s="74" t="s">
        <v>329</v>
      </c>
      <c r="E401" s="89">
        <v>40519.3518287037</v>
      </c>
      <c r="F401" s="89"/>
      <c r="G401" s="65" t="str">
        <f>IF(stdProdLT(Main[[#This Row],[Comments]])=0.1,"N/A",IF(stdProdLT(Main[[#This Row],[Comments]])=0,"",TRIM(stdProdLT(Main[[#This Row],[Comments]]))))</f>
        <v/>
      </c>
      <c r="H401" s="98" t="str">
        <f>IF(Main[[#This Row],[Std. Prod. Lead Time]]="N/A", "",IF(AND(Main[[#This Row],[In Stock Date]]&lt;&gt;"",Main[[#This Row],[Revised Due Date]]&lt;&gt;"",Main[[#This Row],[In Stock Date]]&lt;&gt;""),Main[[#This Row],[In Stock Date]]-Main[[#This Row],[Revised Due Date]],""))</f>
        <v/>
      </c>
      <c r="I401" s="110" t="s">
        <v>4</v>
      </c>
      <c r="J401" s="99" t="s">
        <v>4</v>
      </c>
      <c r="K401" s="99" t="s">
        <v>4</v>
      </c>
      <c r="L401" s="89"/>
      <c r="M401" s="75" t="str">
        <f>IF(Main[[#This Row],[Tech Start Date]]&lt;1/1/1990,"",IF(Main[[#This Row],[Class]]="C",WORKDAY(Main[[#This Row],[Tech Start Date]],9),IF(Main[[#This Row],[Class]]="B", WORKDAY(Main[[#This Row],[Tech Start Date]],6),IF(Main[[#This Row],[Class]]="A",WORKDAY(Main[[#This Row],[Tech Start Date]],2),""))))</f>
        <v/>
      </c>
      <c r="N401" s="75" t="str">
        <f>IF(Main[[#This Row],[Tech Start Date]]&lt;1/1/1990,"",IF(Main[[#This Row],[Class]]="C",WORKDAY(Main[[#This Row],[Tech Start Date]],19),IF(Main[[#This Row],[Class]]="B", WORKDAY(Main[[#This Row],[Tech Start Date]],12),IF(Main[[#This Row],[Class]]="A",WORKDAY(Main[[#This Row],[Tech Start Date]],4),""))))</f>
        <v/>
      </c>
      <c r="O401" s="75" t="str">
        <f>IF(Main[[#This Row],[Tech Start Date]]&lt;1/1/1990,"",IF(Main[[#This Row],[Class]]="C",WORKDAY(Main[[#This Row],[Tech Start Date]],23),IF(Main[[#This Row],[Class]]="B", WORKDAY(Main[[#This Row],[Tech Start Date]],15),IF(Main[[#This Row],[Class]]="A",WORKDAY(Main[[#This Row],[Tech Start Date]],5),""))))</f>
        <v/>
      </c>
      <c r="P401" s="75" t="str">
        <f>IF(Main[[#This Row],[Tech Start Date]]&lt;1/1/1990,"",IF(Main[[#This Row],[Class]]="C",WORKDAY(Main[[#This Row],[Tech Start Date]],28),IF(Main[[#This Row],[Class]]="B", WORKDAY(Main[[#This Row],[Tech Start Date]],19),IF(Main[[#This Row],[Class]]="A",WORKDAY(Main[[#This Row],[Tech Start Date]],9),""))))</f>
        <v/>
      </c>
      <c r="Q401" s="89">
        <v>40536</v>
      </c>
      <c r="R401" s="121"/>
      <c r="S401" s="99" t="s">
        <v>4</v>
      </c>
      <c r="T401" s="76" t="s">
        <v>4</v>
      </c>
      <c r="U401" s="99" t="s">
        <v>7</v>
      </c>
      <c r="V401" s="99" t="s">
        <v>1913</v>
      </c>
      <c r="W401" s="99" t="s">
        <v>4</v>
      </c>
      <c r="X401" s="99" t="s">
        <v>2812</v>
      </c>
      <c r="Y401" s="73" t="s">
        <v>2923</v>
      </c>
      <c r="Z401" s="73" t="s">
        <v>4</v>
      </c>
      <c r="AA401" s="99" t="s">
        <v>2812</v>
      </c>
    </row>
    <row r="402" spans="1:27" ht="17.25" customHeight="1">
      <c r="A402" s="65" t="str">
        <f>IF(priority(Main[[#This Row],[Comments]])&lt;&gt;0, priority(Main[[#This Row],[Comments]]),"")</f>
        <v/>
      </c>
      <c r="B402" s="60" t="s">
        <v>1260</v>
      </c>
      <c r="C402" s="105" t="s">
        <v>72</v>
      </c>
      <c r="D402" s="74" t="s">
        <v>330</v>
      </c>
      <c r="E402" s="89"/>
      <c r="F402" s="89">
        <v>40313</v>
      </c>
      <c r="G402" s="65" t="str">
        <f>IF(stdProdLT(Main[[#This Row],[Comments]])=0.1,"N/A",IF(stdProdLT(Main[[#This Row],[Comments]])=0,"",TRIM(stdProdLT(Main[[#This Row],[Comments]]))))</f>
        <v/>
      </c>
      <c r="H402" s="98" t="str">
        <f>IF(Main[[#This Row],[Std. Prod. Lead Time]]="N/A", "",IF(AND(Main[[#This Row],[In Stock Date]]&lt;&gt;"",Main[[#This Row],[Revised Due Date]]&lt;&gt;"",Main[[#This Row],[In Stock Date]]&lt;&gt;""),Main[[#This Row],[In Stock Date]]-Main[[#This Row],[Revised Due Date]],""))</f>
        <v/>
      </c>
      <c r="I402" s="110" t="s">
        <v>4</v>
      </c>
      <c r="J402" s="99" t="s">
        <v>4</v>
      </c>
      <c r="K402" s="99" t="s">
        <v>4</v>
      </c>
      <c r="L402" s="89"/>
      <c r="M402" s="75" t="str">
        <f>IF(Main[[#This Row],[Tech Start Date]]&lt;1/1/1990,"",IF(Main[[#This Row],[Class]]="C",WORKDAY(Main[[#This Row],[Tech Start Date]],9),IF(Main[[#This Row],[Class]]="B", WORKDAY(Main[[#This Row],[Tech Start Date]],6),IF(Main[[#This Row],[Class]]="A",WORKDAY(Main[[#This Row],[Tech Start Date]],2),""))))</f>
        <v/>
      </c>
      <c r="N402" s="75" t="str">
        <f>IF(Main[[#This Row],[Tech Start Date]]&lt;1/1/1990,"",IF(Main[[#This Row],[Class]]="C",WORKDAY(Main[[#This Row],[Tech Start Date]],19),IF(Main[[#This Row],[Class]]="B", WORKDAY(Main[[#This Row],[Tech Start Date]],12),IF(Main[[#This Row],[Class]]="A",WORKDAY(Main[[#This Row],[Tech Start Date]],4),""))))</f>
        <v/>
      </c>
      <c r="O402" s="75" t="str">
        <f>IF(Main[[#This Row],[Tech Start Date]]&lt;1/1/1990,"",IF(Main[[#This Row],[Class]]="C",WORKDAY(Main[[#This Row],[Tech Start Date]],23),IF(Main[[#This Row],[Class]]="B", WORKDAY(Main[[#This Row],[Tech Start Date]],15),IF(Main[[#This Row],[Class]]="A",WORKDAY(Main[[#This Row],[Tech Start Date]],5),""))))</f>
        <v/>
      </c>
      <c r="P402" s="75" t="str">
        <f>IF(Main[[#This Row],[Tech Start Date]]&lt;1/1/1990,"",IF(Main[[#This Row],[Class]]="C",WORKDAY(Main[[#This Row],[Tech Start Date]],28),IF(Main[[#This Row],[Class]]="B", WORKDAY(Main[[#This Row],[Tech Start Date]],19),IF(Main[[#This Row],[Class]]="A",WORKDAY(Main[[#This Row],[Tech Start Date]],9),""))))</f>
        <v/>
      </c>
      <c r="Q402" s="89">
        <v>40233</v>
      </c>
      <c r="R402" s="121"/>
      <c r="S402" s="99" t="s">
        <v>11</v>
      </c>
      <c r="T402" s="76" t="s">
        <v>4</v>
      </c>
      <c r="U402" s="99" t="s">
        <v>14</v>
      </c>
      <c r="V402" s="99" t="s">
        <v>1916</v>
      </c>
      <c r="W402" s="99" t="s">
        <v>1921</v>
      </c>
      <c r="X402" s="99" t="s">
        <v>2818</v>
      </c>
      <c r="Y402" s="73" t="s">
        <v>2937</v>
      </c>
      <c r="Z402" s="73" t="s">
        <v>4</v>
      </c>
      <c r="AA402" s="99" t="s">
        <v>2818</v>
      </c>
    </row>
    <row r="403" spans="1:27" ht="17.25" customHeight="1">
      <c r="A403" s="65" t="str">
        <f>IF(priority(Main[[#This Row],[Comments]])&lt;&gt;0, priority(Main[[#This Row],[Comments]]),"")</f>
        <v/>
      </c>
      <c r="B403" s="60" t="s">
        <v>3947</v>
      </c>
      <c r="C403" s="105" t="s">
        <v>3948</v>
      </c>
      <c r="D403" s="74" t="s">
        <v>3949</v>
      </c>
      <c r="E403" s="89"/>
      <c r="F403" s="89">
        <v>40983</v>
      </c>
      <c r="G403" s="65" t="str">
        <f>IF(stdProdLT(Main[[#This Row],[Comments]])=0.1,"N/A",IF(stdProdLT(Main[[#This Row],[Comments]])=0,"",TRIM(stdProdLT(Main[[#This Row],[Comments]]))))</f>
        <v/>
      </c>
      <c r="H403" s="98" t="str">
        <f>IF(Main[[#This Row],[Std. Prod. Lead Time]]="N/A", "",IF(AND(Main[[#This Row],[In Stock Date]]&lt;&gt;"",Main[[#This Row],[Revised Due Date]]&lt;&gt;"",Main[[#This Row],[In Stock Date]]&lt;&gt;""),Main[[#This Row],[In Stock Date]]-Main[[#This Row],[Revised Due Date]],""))</f>
        <v/>
      </c>
      <c r="I403" s="110" t="s">
        <v>4</v>
      </c>
      <c r="J403" s="99" t="s">
        <v>4</v>
      </c>
      <c r="K403" s="100" t="s">
        <v>4</v>
      </c>
      <c r="L403" s="89"/>
      <c r="M403" s="75" t="str">
        <f>IF(Main[[#This Row],[Tech Start Date]]&lt;1/1/1990,"",IF(Main[[#This Row],[Class]]="C",WORKDAY(Main[[#This Row],[Tech Start Date]],9),IF(Main[[#This Row],[Class]]="B", WORKDAY(Main[[#This Row],[Tech Start Date]],6),IF(Main[[#This Row],[Class]]="A",WORKDAY(Main[[#This Row],[Tech Start Date]],2),""))))</f>
        <v/>
      </c>
      <c r="N403" s="75" t="str">
        <f>IF(Main[[#This Row],[Tech Start Date]]&lt;1/1/1990,"",IF(Main[[#This Row],[Class]]="C",WORKDAY(Main[[#This Row],[Tech Start Date]],19),IF(Main[[#This Row],[Class]]="B", WORKDAY(Main[[#This Row],[Tech Start Date]],12),IF(Main[[#This Row],[Class]]="A",WORKDAY(Main[[#This Row],[Tech Start Date]],4),""))))</f>
        <v/>
      </c>
      <c r="O403" s="75" t="str">
        <f>IF(Main[[#This Row],[Tech Start Date]]&lt;1/1/1990,"",IF(Main[[#This Row],[Class]]="C",WORKDAY(Main[[#This Row],[Tech Start Date]],23),IF(Main[[#This Row],[Class]]="B", WORKDAY(Main[[#This Row],[Tech Start Date]],15),IF(Main[[#This Row],[Class]]="A",WORKDAY(Main[[#This Row],[Tech Start Date]],5),""))))</f>
        <v/>
      </c>
      <c r="P403" s="75" t="str">
        <f>IF(Main[[#This Row],[Tech Start Date]]&lt;1/1/1990,"",IF(Main[[#This Row],[Class]]="C",WORKDAY(Main[[#This Row],[Tech Start Date]],28),IF(Main[[#This Row],[Class]]="B", WORKDAY(Main[[#This Row],[Tech Start Date]],19),IF(Main[[#This Row],[Class]]="A",WORKDAY(Main[[#This Row],[Tech Start Date]],9),""))))</f>
        <v/>
      </c>
      <c r="Q403" s="89"/>
      <c r="R403" s="121"/>
      <c r="S403" s="99" t="s">
        <v>11</v>
      </c>
      <c r="T403" s="76" t="s">
        <v>4</v>
      </c>
      <c r="U403" s="99" t="s">
        <v>12</v>
      </c>
      <c r="V403" s="99" t="s">
        <v>1913</v>
      </c>
      <c r="W403" s="99" t="s">
        <v>1918</v>
      </c>
      <c r="X403" s="99" t="s">
        <v>2828</v>
      </c>
      <c r="Y403" s="73" t="s">
        <v>3581</v>
      </c>
      <c r="Z403" s="73" t="s">
        <v>4</v>
      </c>
      <c r="AA403" s="99" t="s">
        <v>2828</v>
      </c>
    </row>
    <row r="404" spans="1:27" ht="17.25" customHeight="1">
      <c r="A404" s="65" t="str">
        <f>IF(priority(Main[[#This Row],[Comments]])&lt;&gt;0, priority(Main[[#This Row],[Comments]]),"")</f>
        <v/>
      </c>
      <c r="B404" s="60" t="s">
        <v>1261</v>
      </c>
      <c r="C404" s="105" t="s">
        <v>4</v>
      </c>
      <c r="D404" s="74" t="s">
        <v>331</v>
      </c>
      <c r="E404" s="89"/>
      <c r="F404" s="89"/>
      <c r="G404" s="65" t="str">
        <f>IF(stdProdLT(Main[[#This Row],[Comments]])=0.1,"N/A",IF(stdProdLT(Main[[#This Row],[Comments]])=0,"",TRIM(stdProdLT(Main[[#This Row],[Comments]]))))</f>
        <v/>
      </c>
      <c r="H404" s="98" t="str">
        <f>IF(Main[[#This Row],[Std. Prod. Lead Time]]="N/A", "",IF(AND(Main[[#This Row],[In Stock Date]]&lt;&gt;"",Main[[#This Row],[Revised Due Date]]&lt;&gt;"",Main[[#This Row],[In Stock Date]]&lt;&gt;""),Main[[#This Row],[In Stock Date]]-Main[[#This Row],[Revised Due Date]],""))</f>
        <v/>
      </c>
      <c r="I404" s="110" t="s">
        <v>4</v>
      </c>
      <c r="J404" s="99" t="s">
        <v>4</v>
      </c>
      <c r="K404" s="99" t="s">
        <v>4</v>
      </c>
      <c r="L404" s="89"/>
      <c r="M404" s="75" t="str">
        <f>IF(Main[[#This Row],[Tech Start Date]]&lt;1/1/1990,"",IF(Main[[#This Row],[Class]]="C",WORKDAY(Main[[#This Row],[Tech Start Date]],9),IF(Main[[#This Row],[Class]]="B", WORKDAY(Main[[#This Row],[Tech Start Date]],6),IF(Main[[#This Row],[Class]]="A",WORKDAY(Main[[#This Row],[Tech Start Date]],2),""))))</f>
        <v/>
      </c>
      <c r="N404" s="75" t="str">
        <f>IF(Main[[#This Row],[Tech Start Date]]&lt;1/1/1990,"",IF(Main[[#This Row],[Class]]="C",WORKDAY(Main[[#This Row],[Tech Start Date]],19),IF(Main[[#This Row],[Class]]="B", WORKDAY(Main[[#This Row],[Tech Start Date]],12),IF(Main[[#This Row],[Class]]="A",WORKDAY(Main[[#This Row],[Tech Start Date]],4),""))))</f>
        <v/>
      </c>
      <c r="O404" s="75" t="str">
        <f>IF(Main[[#This Row],[Tech Start Date]]&lt;1/1/1990,"",IF(Main[[#This Row],[Class]]="C",WORKDAY(Main[[#This Row],[Tech Start Date]],23),IF(Main[[#This Row],[Class]]="B", WORKDAY(Main[[#This Row],[Tech Start Date]],15),IF(Main[[#This Row],[Class]]="A",WORKDAY(Main[[#This Row],[Tech Start Date]],5),""))))</f>
        <v/>
      </c>
      <c r="P404" s="75" t="str">
        <f>IF(Main[[#This Row],[Tech Start Date]]&lt;1/1/1990,"",IF(Main[[#This Row],[Class]]="C",WORKDAY(Main[[#This Row],[Tech Start Date]],28),IF(Main[[#This Row],[Class]]="B", WORKDAY(Main[[#This Row],[Tech Start Date]],19),IF(Main[[#This Row],[Class]]="A",WORKDAY(Main[[#This Row],[Tech Start Date]],9),""))))</f>
        <v/>
      </c>
      <c r="Q404" s="89"/>
      <c r="R404" s="121"/>
      <c r="S404" s="99" t="s">
        <v>11</v>
      </c>
      <c r="T404" s="76" t="s">
        <v>4</v>
      </c>
      <c r="U404" s="99" t="s">
        <v>12</v>
      </c>
      <c r="V404" s="99" t="s">
        <v>1913</v>
      </c>
      <c r="W404" s="99" t="s">
        <v>1927</v>
      </c>
      <c r="X404" s="99" t="s">
        <v>922</v>
      </c>
      <c r="Y404" s="73" t="s">
        <v>2976</v>
      </c>
      <c r="Z404" s="73" t="s">
        <v>4</v>
      </c>
      <c r="AA404" s="99" t="s">
        <v>922</v>
      </c>
    </row>
    <row r="405" spans="1:27" ht="17.25" customHeight="1">
      <c r="A405" s="65" t="str">
        <f>IF(priority(Main[[#This Row],[Comments]])&lt;&gt;0, priority(Main[[#This Row],[Comments]]),"")</f>
        <v/>
      </c>
      <c r="B405" s="60" t="s">
        <v>1262</v>
      </c>
      <c r="C405" s="105" t="s">
        <v>4</v>
      </c>
      <c r="D405" s="74" t="s">
        <v>332</v>
      </c>
      <c r="E405" s="89">
        <v>40322.153738425928</v>
      </c>
      <c r="F405" s="89"/>
      <c r="G405" s="65" t="str">
        <f>IF(stdProdLT(Main[[#This Row],[Comments]])=0.1,"N/A",IF(stdProdLT(Main[[#This Row],[Comments]])=0,"",TRIM(stdProdLT(Main[[#This Row],[Comments]]))))</f>
        <v/>
      </c>
      <c r="H405" s="98" t="str">
        <f>IF(Main[[#This Row],[Std. Prod. Lead Time]]="N/A", "",IF(AND(Main[[#This Row],[In Stock Date]]&lt;&gt;"",Main[[#This Row],[Revised Due Date]]&lt;&gt;"",Main[[#This Row],[In Stock Date]]&lt;&gt;""),Main[[#This Row],[In Stock Date]]-Main[[#This Row],[Revised Due Date]],""))</f>
        <v/>
      </c>
      <c r="I405" s="110" t="s">
        <v>129</v>
      </c>
      <c r="J405" s="99" t="s">
        <v>4</v>
      </c>
      <c r="K405" s="99" t="s">
        <v>4</v>
      </c>
      <c r="L405" s="89"/>
      <c r="M405" s="75" t="str">
        <f>IF(Main[[#This Row],[Tech Start Date]]&lt;1/1/1990,"",IF(Main[[#This Row],[Class]]="C",WORKDAY(Main[[#This Row],[Tech Start Date]],9),IF(Main[[#This Row],[Class]]="B", WORKDAY(Main[[#This Row],[Tech Start Date]],6),IF(Main[[#This Row],[Class]]="A",WORKDAY(Main[[#This Row],[Tech Start Date]],2),""))))</f>
        <v/>
      </c>
      <c r="N405" s="75" t="str">
        <f>IF(Main[[#This Row],[Tech Start Date]]&lt;1/1/1990,"",IF(Main[[#This Row],[Class]]="C",WORKDAY(Main[[#This Row],[Tech Start Date]],19),IF(Main[[#This Row],[Class]]="B", WORKDAY(Main[[#This Row],[Tech Start Date]],12),IF(Main[[#This Row],[Class]]="A",WORKDAY(Main[[#This Row],[Tech Start Date]],4),""))))</f>
        <v/>
      </c>
      <c r="O405" s="75" t="str">
        <f>IF(Main[[#This Row],[Tech Start Date]]&lt;1/1/1990,"",IF(Main[[#This Row],[Class]]="C",WORKDAY(Main[[#This Row],[Tech Start Date]],23),IF(Main[[#This Row],[Class]]="B", WORKDAY(Main[[#This Row],[Tech Start Date]],15),IF(Main[[#This Row],[Class]]="A",WORKDAY(Main[[#This Row],[Tech Start Date]],5),""))))</f>
        <v/>
      </c>
      <c r="P405" s="75" t="str">
        <f>IF(Main[[#This Row],[Tech Start Date]]&lt;1/1/1990,"",IF(Main[[#This Row],[Class]]="C",WORKDAY(Main[[#This Row],[Tech Start Date]],28),IF(Main[[#This Row],[Class]]="B", WORKDAY(Main[[#This Row],[Tech Start Date]],19),IF(Main[[#This Row],[Class]]="A",WORKDAY(Main[[#This Row],[Tech Start Date]],9),""))))</f>
        <v/>
      </c>
      <c r="Q405" s="89">
        <v>40353</v>
      </c>
      <c r="R405" s="121"/>
      <c r="S405" s="99" t="s">
        <v>6</v>
      </c>
      <c r="T405" s="76" t="s">
        <v>4</v>
      </c>
      <c r="U405" s="99" t="s">
        <v>7</v>
      </c>
      <c r="V405" s="99" t="s">
        <v>1913</v>
      </c>
      <c r="W405" s="99" t="s">
        <v>1915</v>
      </c>
      <c r="X405" s="99" t="s">
        <v>2816</v>
      </c>
      <c r="Y405" s="73" t="s">
        <v>2932</v>
      </c>
      <c r="Z405" s="73" t="s">
        <v>4</v>
      </c>
      <c r="AA405" s="99" t="s">
        <v>2816</v>
      </c>
    </row>
    <row r="406" spans="1:27" ht="17.25" customHeight="1">
      <c r="A406" s="65" t="str">
        <f>IF(priority(Main[[#This Row],[Comments]])&lt;&gt;0, priority(Main[[#This Row],[Comments]]),"")</f>
        <v/>
      </c>
      <c r="B406" s="60" t="s">
        <v>1263</v>
      </c>
      <c r="C406" s="105" t="s">
        <v>169</v>
      </c>
      <c r="D406" s="74" t="s">
        <v>333</v>
      </c>
      <c r="E406" s="89"/>
      <c r="F406" s="89">
        <v>40237</v>
      </c>
      <c r="G406" s="65" t="str">
        <f>IF(stdProdLT(Main[[#This Row],[Comments]])=0.1,"N/A",IF(stdProdLT(Main[[#This Row],[Comments]])=0,"",TRIM(stdProdLT(Main[[#This Row],[Comments]]))))</f>
        <v/>
      </c>
      <c r="H406" s="98" t="str">
        <f>IF(Main[[#This Row],[Std. Prod. Lead Time]]="N/A", "",IF(AND(Main[[#This Row],[In Stock Date]]&lt;&gt;"",Main[[#This Row],[Revised Due Date]]&lt;&gt;"",Main[[#This Row],[In Stock Date]]&lt;&gt;""),Main[[#This Row],[In Stock Date]]-Main[[#This Row],[Revised Due Date]],""))</f>
        <v/>
      </c>
      <c r="I406" s="110" t="s">
        <v>4</v>
      </c>
      <c r="J406" s="99" t="s">
        <v>4</v>
      </c>
      <c r="K406" s="99" t="s">
        <v>4</v>
      </c>
      <c r="L406" s="89"/>
      <c r="M406" s="75" t="str">
        <f>IF(Main[[#This Row],[Tech Start Date]]&lt;1/1/1990,"",IF(Main[[#This Row],[Class]]="C",WORKDAY(Main[[#This Row],[Tech Start Date]],9),IF(Main[[#This Row],[Class]]="B", WORKDAY(Main[[#This Row],[Tech Start Date]],6),IF(Main[[#This Row],[Class]]="A",WORKDAY(Main[[#This Row],[Tech Start Date]],2),""))))</f>
        <v/>
      </c>
      <c r="N406" s="75" t="str">
        <f>IF(Main[[#This Row],[Tech Start Date]]&lt;1/1/1990,"",IF(Main[[#This Row],[Class]]="C",WORKDAY(Main[[#This Row],[Tech Start Date]],19),IF(Main[[#This Row],[Class]]="B", WORKDAY(Main[[#This Row],[Tech Start Date]],12),IF(Main[[#This Row],[Class]]="A",WORKDAY(Main[[#This Row],[Tech Start Date]],4),""))))</f>
        <v/>
      </c>
      <c r="O406" s="75" t="str">
        <f>IF(Main[[#This Row],[Tech Start Date]]&lt;1/1/1990,"",IF(Main[[#This Row],[Class]]="C",WORKDAY(Main[[#This Row],[Tech Start Date]],23),IF(Main[[#This Row],[Class]]="B", WORKDAY(Main[[#This Row],[Tech Start Date]],15),IF(Main[[#This Row],[Class]]="A",WORKDAY(Main[[#This Row],[Tech Start Date]],5),""))))</f>
        <v/>
      </c>
      <c r="P406" s="75" t="str">
        <f>IF(Main[[#This Row],[Tech Start Date]]&lt;1/1/1990,"",IF(Main[[#This Row],[Class]]="C",WORKDAY(Main[[#This Row],[Tech Start Date]],28),IF(Main[[#This Row],[Class]]="B", WORKDAY(Main[[#This Row],[Tech Start Date]],19),IF(Main[[#This Row],[Class]]="A",WORKDAY(Main[[#This Row],[Tech Start Date]],9),""))))</f>
        <v/>
      </c>
      <c r="Q406" s="89">
        <v>40132</v>
      </c>
      <c r="R406" s="121"/>
      <c r="S406" s="99" t="s">
        <v>11</v>
      </c>
      <c r="T406" s="76" t="s">
        <v>4</v>
      </c>
      <c r="U406" s="99" t="s">
        <v>14</v>
      </c>
      <c r="V406" s="99" t="s">
        <v>1913</v>
      </c>
      <c r="W406" s="99" t="s">
        <v>1918</v>
      </c>
      <c r="X406" s="99" t="s">
        <v>2852</v>
      </c>
      <c r="Y406" s="73" t="s">
        <v>4</v>
      </c>
      <c r="Z406" s="73" t="s">
        <v>4</v>
      </c>
      <c r="AA406" s="99" t="s">
        <v>2852</v>
      </c>
    </row>
    <row r="407" spans="1:27" ht="17.25" customHeight="1">
      <c r="A407" s="65" t="str">
        <f>IF(priority(Main[[#This Row],[Comments]])&lt;&gt;0, priority(Main[[#This Row],[Comments]]),"")</f>
        <v/>
      </c>
      <c r="B407" s="60" t="s">
        <v>1264</v>
      </c>
      <c r="C407" s="105" t="s">
        <v>4</v>
      </c>
      <c r="D407" s="74" t="s">
        <v>341</v>
      </c>
      <c r="E407" s="89"/>
      <c r="F407" s="89"/>
      <c r="G407" s="65" t="str">
        <f>IF(stdProdLT(Main[[#This Row],[Comments]])=0.1,"N/A",IF(stdProdLT(Main[[#This Row],[Comments]])=0,"",TRIM(stdProdLT(Main[[#This Row],[Comments]]))))</f>
        <v/>
      </c>
      <c r="H407" s="98" t="str">
        <f>IF(Main[[#This Row],[Std. Prod. Lead Time]]="N/A", "",IF(AND(Main[[#This Row],[In Stock Date]]&lt;&gt;"",Main[[#This Row],[Revised Due Date]]&lt;&gt;"",Main[[#This Row],[In Stock Date]]&lt;&gt;""),Main[[#This Row],[In Stock Date]]-Main[[#This Row],[Revised Due Date]],""))</f>
        <v/>
      </c>
      <c r="I407" s="110" t="s">
        <v>4</v>
      </c>
      <c r="J407" s="99" t="s">
        <v>4</v>
      </c>
      <c r="K407" s="99" t="s">
        <v>4</v>
      </c>
      <c r="L407" s="89"/>
      <c r="M407" s="75" t="str">
        <f>IF(Main[[#This Row],[Tech Start Date]]&lt;1/1/1990,"",IF(Main[[#This Row],[Class]]="C",WORKDAY(Main[[#This Row],[Tech Start Date]],9),IF(Main[[#This Row],[Class]]="B", WORKDAY(Main[[#This Row],[Tech Start Date]],6),IF(Main[[#This Row],[Class]]="A",WORKDAY(Main[[#This Row],[Tech Start Date]],2),""))))</f>
        <v/>
      </c>
      <c r="N407" s="75" t="str">
        <f>IF(Main[[#This Row],[Tech Start Date]]&lt;1/1/1990,"",IF(Main[[#This Row],[Class]]="C",WORKDAY(Main[[#This Row],[Tech Start Date]],19),IF(Main[[#This Row],[Class]]="B", WORKDAY(Main[[#This Row],[Tech Start Date]],12),IF(Main[[#This Row],[Class]]="A",WORKDAY(Main[[#This Row],[Tech Start Date]],4),""))))</f>
        <v/>
      </c>
      <c r="O407" s="75" t="str">
        <f>IF(Main[[#This Row],[Tech Start Date]]&lt;1/1/1990,"",IF(Main[[#This Row],[Class]]="C",WORKDAY(Main[[#This Row],[Tech Start Date]],23),IF(Main[[#This Row],[Class]]="B", WORKDAY(Main[[#This Row],[Tech Start Date]],15),IF(Main[[#This Row],[Class]]="A",WORKDAY(Main[[#This Row],[Tech Start Date]],5),""))))</f>
        <v/>
      </c>
      <c r="P407" s="75" t="str">
        <f>IF(Main[[#This Row],[Tech Start Date]]&lt;1/1/1990,"",IF(Main[[#This Row],[Class]]="C",WORKDAY(Main[[#This Row],[Tech Start Date]],28),IF(Main[[#This Row],[Class]]="B", WORKDAY(Main[[#This Row],[Tech Start Date]],19),IF(Main[[#This Row],[Class]]="A",WORKDAY(Main[[#This Row],[Tech Start Date]],9),""))))</f>
        <v/>
      </c>
      <c r="Q407" s="89"/>
      <c r="R407" s="121"/>
      <c r="S407" s="99" t="s">
        <v>11</v>
      </c>
      <c r="T407" s="76" t="s">
        <v>4</v>
      </c>
      <c r="U407" s="99" t="s">
        <v>14</v>
      </c>
      <c r="V407" s="99" t="s">
        <v>1914</v>
      </c>
      <c r="W407" s="99" t="s">
        <v>1921</v>
      </c>
      <c r="X407" s="99" t="s">
        <v>2856</v>
      </c>
      <c r="Y407" s="73" t="s">
        <v>3000</v>
      </c>
      <c r="Z407" s="73" t="s">
        <v>4</v>
      </c>
      <c r="AA407" s="99" t="s">
        <v>2856</v>
      </c>
    </row>
    <row r="408" spans="1:27" ht="17.25" customHeight="1">
      <c r="A408" s="65" t="str">
        <f>IF(priority(Main[[#This Row],[Comments]])&lt;&gt;0, priority(Main[[#This Row],[Comments]]),"")</f>
        <v/>
      </c>
      <c r="B408" s="60" t="s">
        <v>1203</v>
      </c>
      <c r="C408" s="105" t="s">
        <v>4</v>
      </c>
      <c r="D408" s="74" t="s">
        <v>261</v>
      </c>
      <c r="E408" s="89"/>
      <c r="F408" s="89"/>
      <c r="G408" s="65" t="str">
        <f>IF(stdProdLT(Main[[#This Row],[Comments]])=0.1,"N/A",IF(stdProdLT(Main[[#This Row],[Comments]])=0,"",TRIM(stdProdLT(Main[[#This Row],[Comments]]))))</f>
        <v/>
      </c>
      <c r="H408" s="98" t="str">
        <f>IF(Main[[#This Row],[Std. Prod. Lead Time]]="N/A", "",IF(AND(Main[[#This Row],[In Stock Date]]&lt;&gt;"",Main[[#This Row],[Revised Due Date]]&lt;&gt;"",Main[[#This Row],[In Stock Date]]&lt;&gt;""),Main[[#This Row],[In Stock Date]]-Main[[#This Row],[Revised Due Date]],""))</f>
        <v/>
      </c>
      <c r="I408" s="110" t="s">
        <v>4</v>
      </c>
      <c r="J408" s="99" t="s">
        <v>4</v>
      </c>
      <c r="K408" s="99" t="s">
        <v>4</v>
      </c>
      <c r="L408" s="89"/>
      <c r="M408" s="75" t="str">
        <f>IF(Main[[#This Row],[Tech Start Date]]&lt;1/1/1990,"",IF(Main[[#This Row],[Class]]="C",WORKDAY(Main[[#This Row],[Tech Start Date]],9),IF(Main[[#This Row],[Class]]="B", WORKDAY(Main[[#This Row],[Tech Start Date]],6),IF(Main[[#This Row],[Class]]="A",WORKDAY(Main[[#This Row],[Tech Start Date]],2),""))))</f>
        <v/>
      </c>
      <c r="N408" s="75" t="str">
        <f>IF(Main[[#This Row],[Tech Start Date]]&lt;1/1/1990,"",IF(Main[[#This Row],[Class]]="C",WORKDAY(Main[[#This Row],[Tech Start Date]],19),IF(Main[[#This Row],[Class]]="B", WORKDAY(Main[[#This Row],[Tech Start Date]],12),IF(Main[[#This Row],[Class]]="A",WORKDAY(Main[[#This Row],[Tech Start Date]],4),""))))</f>
        <v/>
      </c>
      <c r="O408" s="75" t="str">
        <f>IF(Main[[#This Row],[Tech Start Date]]&lt;1/1/1990,"",IF(Main[[#This Row],[Class]]="C",WORKDAY(Main[[#This Row],[Tech Start Date]],23),IF(Main[[#This Row],[Class]]="B", WORKDAY(Main[[#This Row],[Tech Start Date]],15),IF(Main[[#This Row],[Class]]="A",WORKDAY(Main[[#This Row],[Tech Start Date]],5),""))))</f>
        <v/>
      </c>
      <c r="P408" s="75" t="str">
        <f>IF(Main[[#This Row],[Tech Start Date]]&lt;1/1/1990,"",IF(Main[[#This Row],[Class]]="C",WORKDAY(Main[[#This Row],[Tech Start Date]],28),IF(Main[[#This Row],[Class]]="B", WORKDAY(Main[[#This Row],[Tech Start Date]],19),IF(Main[[#This Row],[Class]]="A",WORKDAY(Main[[#This Row],[Tech Start Date]],9),""))))</f>
        <v/>
      </c>
      <c r="Q408" s="89">
        <v>40313</v>
      </c>
      <c r="R408" s="121"/>
      <c r="S408" s="99" t="s">
        <v>11</v>
      </c>
      <c r="T408" s="76" t="s">
        <v>4</v>
      </c>
      <c r="U408" s="99" t="s">
        <v>14</v>
      </c>
      <c r="V408" s="99" t="s">
        <v>1913</v>
      </c>
      <c r="W408" s="99" t="s">
        <v>1921</v>
      </c>
      <c r="X408" s="99" t="s">
        <v>129</v>
      </c>
      <c r="Y408" s="73" t="s">
        <v>2927</v>
      </c>
      <c r="Z408" s="73" t="s">
        <v>4</v>
      </c>
      <c r="AA408" s="99" t="s">
        <v>129</v>
      </c>
    </row>
    <row r="409" spans="1:27" ht="17.25" customHeight="1">
      <c r="A409" s="65" t="str">
        <f>IF(priority(Main[[#This Row],[Comments]])&lt;&gt;0, priority(Main[[#This Row],[Comments]]),"")</f>
        <v/>
      </c>
      <c r="B409" s="60" t="s">
        <v>1204</v>
      </c>
      <c r="C409" s="105" t="s">
        <v>4</v>
      </c>
      <c r="D409" s="74" t="s">
        <v>262</v>
      </c>
      <c r="E409" s="89"/>
      <c r="F409" s="89"/>
      <c r="G409" s="65" t="str">
        <f>IF(stdProdLT(Main[[#This Row],[Comments]])=0.1,"N/A",IF(stdProdLT(Main[[#This Row],[Comments]])=0,"",TRIM(stdProdLT(Main[[#This Row],[Comments]]))))</f>
        <v/>
      </c>
      <c r="H409" s="98" t="str">
        <f>IF(Main[[#This Row],[Std. Prod. Lead Time]]="N/A", "",IF(AND(Main[[#This Row],[In Stock Date]]&lt;&gt;"",Main[[#This Row],[Revised Due Date]]&lt;&gt;"",Main[[#This Row],[In Stock Date]]&lt;&gt;""),Main[[#This Row],[In Stock Date]]-Main[[#This Row],[Revised Due Date]],""))</f>
        <v/>
      </c>
      <c r="I409" s="110" t="s">
        <v>4</v>
      </c>
      <c r="J409" s="99" t="s">
        <v>4</v>
      </c>
      <c r="K409" s="99" t="s">
        <v>4</v>
      </c>
      <c r="L409" s="89"/>
      <c r="M409" s="75" t="str">
        <f>IF(Main[[#This Row],[Tech Start Date]]&lt;1/1/1990,"",IF(Main[[#This Row],[Class]]="C",WORKDAY(Main[[#This Row],[Tech Start Date]],9),IF(Main[[#This Row],[Class]]="B", WORKDAY(Main[[#This Row],[Tech Start Date]],6),IF(Main[[#This Row],[Class]]="A",WORKDAY(Main[[#This Row],[Tech Start Date]],2),""))))</f>
        <v/>
      </c>
      <c r="N409" s="75" t="str">
        <f>IF(Main[[#This Row],[Tech Start Date]]&lt;1/1/1990,"",IF(Main[[#This Row],[Class]]="C",WORKDAY(Main[[#This Row],[Tech Start Date]],19),IF(Main[[#This Row],[Class]]="B", WORKDAY(Main[[#This Row],[Tech Start Date]],12),IF(Main[[#This Row],[Class]]="A",WORKDAY(Main[[#This Row],[Tech Start Date]],4),""))))</f>
        <v/>
      </c>
      <c r="O409" s="75" t="str">
        <f>IF(Main[[#This Row],[Tech Start Date]]&lt;1/1/1990,"",IF(Main[[#This Row],[Class]]="C",WORKDAY(Main[[#This Row],[Tech Start Date]],23),IF(Main[[#This Row],[Class]]="B", WORKDAY(Main[[#This Row],[Tech Start Date]],15),IF(Main[[#This Row],[Class]]="A",WORKDAY(Main[[#This Row],[Tech Start Date]],5),""))))</f>
        <v/>
      </c>
      <c r="P409" s="75" t="str">
        <f>IF(Main[[#This Row],[Tech Start Date]]&lt;1/1/1990,"",IF(Main[[#This Row],[Class]]="C",WORKDAY(Main[[#This Row],[Tech Start Date]],28),IF(Main[[#This Row],[Class]]="B", WORKDAY(Main[[#This Row],[Tech Start Date]],19),IF(Main[[#This Row],[Class]]="A",WORKDAY(Main[[#This Row],[Tech Start Date]],9),""))))</f>
        <v/>
      </c>
      <c r="Q409" s="89"/>
      <c r="R409" s="121"/>
      <c r="S409" s="99" t="s">
        <v>11</v>
      </c>
      <c r="T409" s="76" t="s">
        <v>4</v>
      </c>
      <c r="U409" s="99" t="s">
        <v>12</v>
      </c>
      <c r="V409" s="99" t="s">
        <v>1914</v>
      </c>
      <c r="W409" s="99" t="s">
        <v>1917</v>
      </c>
      <c r="X409" s="99" t="s">
        <v>922</v>
      </c>
      <c r="Y409" s="73" t="s">
        <v>2976</v>
      </c>
      <c r="Z409" s="73" t="s">
        <v>4</v>
      </c>
      <c r="AA409" s="99" t="s">
        <v>922</v>
      </c>
    </row>
    <row r="410" spans="1:27" ht="17.25" customHeight="1">
      <c r="A410" s="65" t="str">
        <f>IF(priority(Main[[#This Row],[Comments]])&lt;&gt;0, priority(Main[[#This Row],[Comments]]),"")</f>
        <v/>
      </c>
      <c r="B410" s="60" t="s">
        <v>1969</v>
      </c>
      <c r="C410" s="105" t="s">
        <v>4</v>
      </c>
      <c r="D410" s="74" t="s">
        <v>1970</v>
      </c>
      <c r="E410" s="89">
        <v>40732.708599537036</v>
      </c>
      <c r="F410" s="89"/>
      <c r="G410" s="65" t="str">
        <f>IF(stdProdLT(Main[[#This Row],[Comments]])=0.1,"N/A",IF(stdProdLT(Main[[#This Row],[Comments]])=0,"",TRIM(stdProdLT(Main[[#This Row],[Comments]]))))</f>
        <v/>
      </c>
      <c r="H410" s="98" t="str">
        <f>IF(Main[[#This Row],[Std. Prod. Lead Time]]="N/A", "",IF(AND(Main[[#This Row],[In Stock Date]]&lt;&gt;"",Main[[#This Row],[Revised Due Date]]&lt;&gt;"",Main[[#This Row],[In Stock Date]]&lt;&gt;""),Main[[#This Row],[In Stock Date]]-Main[[#This Row],[Revised Due Date]],""))</f>
        <v/>
      </c>
      <c r="I410" s="110" t="s">
        <v>4</v>
      </c>
      <c r="J410" s="99" t="s">
        <v>4</v>
      </c>
      <c r="K410" s="99" t="s">
        <v>4</v>
      </c>
      <c r="L410" s="89"/>
      <c r="M410" s="75" t="str">
        <f>IF(Main[[#This Row],[Tech Start Date]]&lt;1/1/1990,"",IF(Main[[#This Row],[Class]]="C",WORKDAY(Main[[#This Row],[Tech Start Date]],9),IF(Main[[#This Row],[Class]]="B", WORKDAY(Main[[#This Row],[Tech Start Date]],6),IF(Main[[#This Row],[Class]]="A",WORKDAY(Main[[#This Row],[Tech Start Date]],2),""))))</f>
        <v/>
      </c>
      <c r="N410" s="75" t="str">
        <f>IF(Main[[#This Row],[Tech Start Date]]&lt;1/1/1990,"",IF(Main[[#This Row],[Class]]="C",WORKDAY(Main[[#This Row],[Tech Start Date]],19),IF(Main[[#This Row],[Class]]="B", WORKDAY(Main[[#This Row],[Tech Start Date]],12),IF(Main[[#This Row],[Class]]="A",WORKDAY(Main[[#This Row],[Tech Start Date]],4),""))))</f>
        <v/>
      </c>
      <c r="O410" s="75" t="str">
        <f>IF(Main[[#This Row],[Tech Start Date]]&lt;1/1/1990,"",IF(Main[[#This Row],[Class]]="C",WORKDAY(Main[[#This Row],[Tech Start Date]],23),IF(Main[[#This Row],[Class]]="B", WORKDAY(Main[[#This Row],[Tech Start Date]],15),IF(Main[[#This Row],[Class]]="A",WORKDAY(Main[[#This Row],[Tech Start Date]],5),""))))</f>
        <v/>
      </c>
      <c r="P410" s="75" t="str">
        <f>IF(Main[[#This Row],[Tech Start Date]]&lt;1/1/1990,"",IF(Main[[#This Row],[Class]]="C",WORKDAY(Main[[#This Row],[Tech Start Date]],28),IF(Main[[#This Row],[Class]]="B", WORKDAY(Main[[#This Row],[Tech Start Date]],19),IF(Main[[#This Row],[Class]]="A",WORKDAY(Main[[#This Row],[Tech Start Date]],9),""))))</f>
        <v/>
      </c>
      <c r="Q410" s="89">
        <v>40908</v>
      </c>
      <c r="R410" s="121"/>
      <c r="S410" s="99" t="s">
        <v>17</v>
      </c>
      <c r="T410" s="76" t="s">
        <v>4</v>
      </c>
      <c r="U410" s="99" t="s">
        <v>7</v>
      </c>
      <c r="V410" s="99" t="s">
        <v>1916</v>
      </c>
      <c r="W410" s="99" t="s">
        <v>1927</v>
      </c>
      <c r="X410" s="99" t="s">
        <v>553</v>
      </c>
      <c r="Y410" s="73" t="s">
        <v>2946</v>
      </c>
      <c r="Z410" s="73" t="s">
        <v>4</v>
      </c>
      <c r="AA410" s="99" t="s">
        <v>553</v>
      </c>
    </row>
    <row r="411" spans="1:27" ht="17.25" customHeight="1">
      <c r="A411" s="65" t="str">
        <f>IF(priority(Main[[#This Row],[Comments]])&lt;&gt;0, priority(Main[[#This Row],[Comments]]),"")</f>
        <v/>
      </c>
      <c r="B411" s="60" t="s">
        <v>1206</v>
      </c>
      <c r="C411" s="105" t="s">
        <v>4</v>
      </c>
      <c r="D411" s="74" t="s">
        <v>264</v>
      </c>
      <c r="E411" s="89">
        <v>40609.588946759257</v>
      </c>
      <c r="F411" s="89"/>
      <c r="G411" s="65" t="str">
        <f>IF(stdProdLT(Main[[#This Row],[Comments]])=0.1,"N/A",IF(stdProdLT(Main[[#This Row],[Comments]])=0,"",TRIM(stdProdLT(Main[[#This Row],[Comments]]))))</f>
        <v/>
      </c>
      <c r="H411" s="98" t="str">
        <f>IF(Main[[#This Row],[Std. Prod. Lead Time]]="N/A", "",IF(AND(Main[[#This Row],[In Stock Date]]&lt;&gt;"",Main[[#This Row],[Revised Due Date]]&lt;&gt;"",Main[[#This Row],[In Stock Date]]&lt;&gt;""),Main[[#This Row],[In Stock Date]]-Main[[#This Row],[Revised Due Date]],""))</f>
        <v/>
      </c>
      <c r="I411" s="110" t="s">
        <v>4</v>
      </c>
      <c r="J411" s="99" t="s">
        <v>28</v>
      </c>
      <c r="K411" s="99" t="s">
        <v>1922</v>
      </c>
      <c r="L411" s="89"/>
      <c r="M411" s="75" t="str">
        <f>IF(Main[[#This Row],[Tech Start Date]]&lt;1/1/1990,"",IF(Main[[#This Row],[Class]]="C",WORKDAY(Main[[#This Row],[Tech Start Date]],9),IF(Main[[#This Row],[Class]]="B", WORKDAY(Main[[#This Row],[Tech Start Date]],6),IF(Main[[#This Row],[Class]]="A",WORKDAY(Main[[#This Row],[Tech Start Date]],2),""))))</f>
        <v/>
      </c>
      <c r="N411" s="75" t="str">
        <f>IF(Main[[#This Row],[Tech Start Date]]&lt;1/1/1990,"",IF(Main[[#This Row],[Class]]="C",WORKDAY(Main[[#This Row],[Tech Start Date]],19),IF(Main[[#This Row],[Class]]="B", WORKDAY(Main[[#This Row],[Tech Start Date]],12),IF(Main[[#This Row],[Class]]="A",WORKDAY(Main[[#This Row],[Tech Start Date]],4),""))))</f>
        <v/>
      </c>
      <c r="O411" s="75" t="str">
        <f>IF(Main[[#This Row],[Tech Start Date]]&lt;1/1/1990,"",IF(Main[[#This Row],[Class]]="C",WORKDAY(Main[[#This Row],[Tech Start Date]],23),IF(Main[[#This Row],[Class]]="B", WORKDAY(Main[[#This Row],[Tech Start Date]],15),IF(Main[[#This Row],[Class]]="A",WORKDAY(Main[[#This Row],[Tech Start Date]],5),""))))</f>
        <v/>
      </c>
      <c r="P411" s="75" t="str">
        <f>IF(Main[[#This Row],[Tech Start Date]]&lt;1/1/1990,"",IF(Main[[#This Row],[Class]]="C",WORKDAY(Main[[#This Row],[Tech Start Date]],28),IF(Main[[#This Row],[Class]]="B", WORKDAY(Main[[#This Row],[Tech Start Date]],19),IF(Main[[#This Row],[Class]]="A",WORKDAY(Main[[#This Row],[Tech Start Date]],9),""))))</f>
        <v/>
      </c>
      <c r="Q411" s="89">
        <v>40640</v>
      </c>
      <c r="R411" s="121"/>
      <c r="S411" s="99" t="s">
        <v>6</v>
      </c>
      <c r="T411" s="76" t="s">
        <v>4</v>
      </c>
      <c r="U411" s="99" t="s">
        <v>7</v>
      </c>
      <c r="V411" s="99" t="s">
        <v>1913</v>
      </c>
      <c r="W411" s="99" t="s">
        <v>1915</v>
      </c>
      <c r="X411" s="99" t="s">
        <v>2813</v>
      </c>
      <c r="Y411" s="73" t="s">
        <v>2926</v>
      </c>
      <c r="Z411" s="73" t="s">
        <v>129</v>
      </c>
      <c r="AA411" s="99" t="s">
        <v>2813</v>
      </c>
    </row>
    <row r="412" spans="1:27" ht="17.25" customHeight="1">
      <c r="A412" s="65" t="str">
        <f>IF(priority(Main[[#This Row],[Comments]])&lt;&gt;0, priority(Main[[#This Row],[Comments]]),"")</f>
        <v/>
      </c>
      <c r="B412" s="60" t="s">
        <v>1207</v>
      </c>
      <c r="C412" s="105" t="s">
        <v>265</v>
      </c>
      <c r="D412" s="74" t="s">
        <v>266</v>
      </c>
      <c r="E412" s="89"/>
      <c r="F412" s="89"/>
      <c r="G412" s="65" t="str">
        <f>IF(stdProdLT(Main[[#This Row],[Comments]])=0.1,"N/A",IF(stdProdLT(Main[[#This Row],[Comments]])=0,"",TRIM(stdProdLT(Main[[#This Row],[Comments]]))))</f>
        <v/>
      </c>
      <c r="H412" s="98" t="str">
        <f>IF(Main[[#This Row],[Std. Prod. Lead Time]]="N/A", "",IF(AND(Main[[#This Row],[In Stock Date]]&lt;&gt;"",Main[[#This Row],[Revised Due Date]]&lt;&gt;"",Main[[#This Row],[In Stock Date]]&lt;&gt;""),Main[[#This Row],[In Stock Date]]-Main[[#This Row],[Revised Due Date]],""))</f>
        <v/>
      </c>
      <c r="I412" s="110" t="s">
        <v>4</v>
      </c>
      <c r="J412" s="99" t="s">
        <v>4</v>
      </c>
      <c r="K412" s="99" t="s">
        <v>4</v>
      </c>
      <c r="L412" s="89"/>
      <c r="M412" s="75" t="str">
        <f>IF(Main[[#This Row],[Tech Start Date]]&lt;1/1/1990,"",IF(Main[[#This Row],[Class]]="C",WORKDAY(Main[[#This Row],[Tech Start Date]],9),IF(Main[[#This Row],[Class]]="B", WORKDAY(Main[[#This Row],[Tech Start Date]],6),IF(Main[[#This Row],[Class]]="A",WORKDAY(Main[[#This Row],[Tech Start Date]],2),""))))</f>
        <v/>
      </c>
      <c r="N412" s="75" t="str">
        <f>IF(Main[[#This Row],[Tech Start Date]]&lt;1/1/1990,"",IF(Main[[#This Row],[Class]]="C",WORKDAY(Main[[#This Row],[Tech Start Date]],19),IF(Main[[#This Row],[Class]]="B", WORKDAY(Main[[#This Row],[Tech Start Date]],12),IF(Main[[#This Row],[Class]]="A",WORKDAY(Main[[#This Row],[Tech Start Date]],4),""))))</f>
        <v/>
      </c>
      <c r="O412" s="75" t="str">
        <f>IF(Main[[#This Row],[Tech Start Date]]&lt;1/1/1990,"",IF(Main[[#This Row],[Class]]="C",WORKDAY(Main[[#This Row],[Tech Start Date]],23),IF(Main[[#This Row],[Class]]="B", WORKDAY(Main[[#This Row],[Tech Start Date]],15),IF(Main[[#This Row],[Class]]="A",WORKDAY(Main[[#This Row],[Tech Start Date]],5),""))))</f>
        <v/>
      </c>
      <c r="P412" s="75" t="str">
        <f>IF(Main[[#This Row],[Tech Start Date]]&lt;1/1/1990,"",IF(Main[[#This Row],[Class]]="C",WORKDAY(Main[[#This Row],[Tech Start Date]],28),IF(Main[[#This Row],[Class]]="B", WORKDAY(Main[[#This Row],[Tech Start Date]],19),IF(Main[[#This Row],[Class]]="A",WORKDAY(Main[[#This Row],[Tech Start Date]],9),""))))</f>
        <v/>
      </c>
      <c r="Q412" s="89">
        <v>40497</v>
      </c>
      <c r="R412" s="121"/>
      <c r="S412" s="99" t="s">
        <v>11</v>
      </c>
      <c r="T412" s="76" t="s">
        <v>4</v>
      </c>
      <c r="U412" s="99" t="s">
        <v>12</v>
      </c>
      <c r="V412" s="99" t="s">
        <v>1913</v>
      </c>
      <c r="W412" s="99" t="s">
        <v>1915</v>
      </c>
      <c r="X412" s="99" t="s">
        <v>2849</v>
      </c>
      <c r="Y412" s="73" t="s">
        <v>4</v>
      </c>
      <c r="Z412" s="73" t="s">
        <v>4</v>
      </c>
      <c r="AA412" s="99" t="s">
        <v>2849</v>
      </c>
    </row>
    <row r="413" spans="1:27" ht="17.25" customHeight="1">
      <c r="A413" s="65" t="str">
        <f>IF(priority(Main[[#This Row],[Comments]])&lt;&gt;0, priority(Main[[#This Row],[Comments]]),"")</f>
        <v/>
      </c>
      <c r="B413" s="60" t="s">
        <v>1209</v>
      </c>
      <c r="C413" s="105" t="s">
        <v>268</v>
      </c>
      <c r="D413" s="74" t="s">
        <v>269</v>
      </c>
      <c r="E413" s="89"/>
      <c r="F413" s="89">
        <v>40399</v>
      </c>
      <c r="G413" s="65" t="str">
        <f>IF(stdProdLT(Main[[#This Row],[Comments]])=0.1,"N/A",IF(stdProdLT(Main[[#This Row],[Comments]])=0,"",TRIM(stdProdLT(Main[[#This Row],[Comments]]))))</f>
        <v/>
      </c>
      <c r="H413" s="98" t="str">
        <f>IF(Main[[#This Row],[Std. Prod. Lead Time]]="N/A", "",IF(AND(Main[[#This Row],[In Stock Date]]&lt;&gt;"",Main[[#This Row],[Revised Due Date]]&lt;&gt;"",Main[[#This Row],[In Stock Date]]&lt;&gt;""),Main[[#This Row],[In Stock Date]]-Main[[#This Row],[Revised Due Date]],""))</f>
        <v/>
      </c>
      <c r="I413" s="110" t="s">
        <v>129</v>
      </c>
      <c r="J413" s="99" t="s">
        <v>4</v>
      </c>
      <c r="K413" s="99" t="s">
        <v>4</v>
      </c>
      <c r="L413" s="89"/>
      <c r="M413" s="75" t="str">
        <f>IF(Main[[#This Row],[Tech Start Date]]&lt;1/1/1990,"",IF(Main[[#This Row],[Class]]="C",WORKDAY(Main[[#This Row],[Tech Start Date]],9),IF(Main[[#This Row],[Class]]="B", WORKDAY(Main[[#This Row],[Tech Start Date]],6),IF(Main[[#This Row],[Class]]="A",WORKDAY(Main[[#This Row],[Tech Start Date]],2),""))))</f>
        <v/>
      </c>
      <c r="N413" s="75" t="str">
        <f>IF(Main[[#This Row],[Tech Start Date]]&lt;1/1/1990,"",IF(Main[[#This Row],[Class]]="C",WORKDAY(Main[[#This Row],[Tech Start Date]],19),IF(Main[[#This Row],[Class]]="B", WORKDAY(Main[[#This Row],[Tech Start Date]],12),IF(Main[[#This Row],[Class]]="A",WORKDAY(Main[[#This Row],[Tech Start Date]],4),""))))</f>
        <v/>
      </c>
      <c r="O413" s="75" t="str">
        <f>IF(Main[[#This Row],[Tech Start Date]]&lt;1/1/1990,"",IF(Main[[#This Row],[Class]]="C",WORKDAY(Main[[#This Row],[Tech Start Date]],23),IF(Main[[#This Row],[Class]]="B", WORKDAY(Main[[#This Row],[Tech Start Date]],15),IF(Main[[#This Row],[Class]]="A",WORKDAY(Main[[#This Row],[Tech Start Date]],5),""))))</f>
        <v/>
      </c>
      <c r="P413" s="75" t="str">
        <f>IF(Main[[#This Row],[Tech Start Date]]&lt;1/1/1990,"",IF(Main[[#This Row],[Class]]="C",WORKDAY(Main[[#This Row],[Tech Start Date]],28),IF(Main[[#This Row],[Class]]="B", WORKDAY(Main[[#This Row],[Tech Start Date]],19),IF(Main[[#This Row],[Class]]="A",WORKDAY(Main[[#This Row],[Tech Start Date]],9),""))))</f>
        <v/>
      </c>
      <c r="Q413" s="89">
        <v>40344</v>
      </c>
      <c r="R413" s="121"/>
      <c r="S413" s="99" t="s">
        <v>11</v>
      </c>
      <c r="T413" s="76" t="s">
        <v>4</v>
      </c>
      <c r="U413" s="99" t="s">
        <v>14</v>
      </c>
      <c r="V413" s="99" t="s">
        <v>1913</v>
      </c>
      <c r="W413" s="99" t="s">
        <v>1918</v>
      </c>
      <c r="X413" s="99" t="s">
        <v>2848</v>
      </c>
      <c r="Y413" s="73" t="s">
        <v>4</v>
      </c>
      <c r="Z413" s="73" t="s">
        <v>4</v>
      </c>
      <c r="AA413" s="99" t="s">
        <v>2848</v>
      </c>
    </row>
    <row r="414" spans="1:27" ht="17.25" customHeight="1">
      <c r="A414" s="65" t="str">
        <f>IF(priority(Main[[#This Row],[Comments]])&lt;&gt;0, priority(Main[[#This Row],[Comments]]),"")</f>
        <v/>
      </c>
      <c r="B414" s="60" t="s">
        <v>1385</v>
      </c>
      <c r="C414" s="105" t="s">
        <v>4</v>
      </c>
      <c r="D414" s="74" t="s">
        <v>2355</v>
      </c>
      <c r="E414" s="89">
        <v>40407.653564814813</v>
      </c>
      <c r="F414" s="89"/>
      <c r="G414" s="65" t="str">
        <f>IF(stdProdLT(Main[[#This Row],[Comments]])=0.1,"N/A",IF(stdProdLT(Main[[#This Row],[Comments]])=0,"",TRIM(stdProdLT(Main[[#This Row],[Comments]]))))</f>
        <v/>
      </c>
      <c r="H414" s="98" t="str">
        <f>IF(Main[[#This Row],[Std. Prod. Lead Time]]="N/A", "",IF(AND(Main[[#This Row],[In Stock Date]]&lt;&gt;"",Main[[#This Row],[Revised Due Date]]&lt;&gt;"",Main[[#This Row],[In Stock Date]]&lt;&gt;""),Main[[#This Row],[In Stock Date]]-Main[[#This Row],[Revised Due Date]],""))</f>
        <v/>
      </c>
      <c r="I414" s="110" t="s">
        <v>4</v>
      </c>
      <c r="J414" s="99" t="s">
        <v>28</v>
      </c>
      <c r="K414" s="99" t="s">
        <v>4</v>
      </c>
      <c r="L414" s="89"/>
      <c r="M414" s="75" t="str">
        <f>IF(Main[[#This Row],[Tech Start Date]]&lt;1/1/1990,"",IF(Main[[#This Row],[Class]]="C",WORKDAY(Main[[#This Row],[Tech Start Date]],9),IF(Main[[#This Row],[Class]]="B", WORKDAY(Main[[#This Row],[Tech Start Date]],6),IF(Main[[#This Row],[Class]]="A",WORKDAY(Main[[#This Row],[Tech Start Date]],2),""))))</f>
        <v/>
      </c>
      <c r="N414" s="75" t="str">
        <f>IF(Main[[#This Row],[Tech Start Date]]&lt;1/1/1990,"",IF(Main[[#This Row],[Class]]="C",WORKDAY(Main[[#This Row],[Tech Start Date]],19),IF(Main[[#This Row],[Class]]="B", WORKDAY(Main[[#This Row],[Tech Start Date]],12),IF(Main[[#This Row],[Class]]="A",WORKDAY(Main[[#This Row],[Tech Start Date]],4),""))))</f>
        <v/>
      </c>
      <c r="O414" s="75" t="str">
        <f>IF(Main[[#This Row],[Tech Start Date]]&lt;1/1/1990,"",IF(Main[[#This Row],[Class]]="C",WORKDAY(Main[[#This Row],[Tech Start Date]],23),IF(Main[[#This Row],[Class]]="B", WORKDAY(Main[[#This Row],[Tech Start Date]],15),IF(Main[[#This Row],[Class]]="A",WORKDAY(Main[[#This Row],[Tech Start Date]],5),""))))</f>
        <v/>
      </c>
      <c r="P414" s="75" t="str">
        <f>IF(Main[[#This Row],[Tech Start Date]]&lt;1/1/1990,"",IF(Main[[#This Row],[Class]]="C",WORKDAY(Main[[#This Row],[Tech Start Date]],28),IF(Main[[#This Row],[Class]]="B", WORKDAY(Main[[#This Row],[Tech Start Date]],19),IF(Main[[#This Row],[Class]]="A",WORKDAY(Main[[#This Row],[Tech Start Date]],9),""))))</f>
        <v/>
      </c>
      <c r="Q414" s="89"/>
      <c r="R414" s="121"/>
      <c r="S414" s="99" t="s">
        <v>6</v>
      </c>
      <c r="T414" s="76" t="s">
        <v>4</v>
      </c>
      <c r="U414" s="99" t="s">
        <v>7</v>
      </c>
      <c r="V414" s="99" t="s">
        <v>1913</v>
      </c>
      <c r="W414" s="99" t="s">
        <v>1915</v>
      </c>
      <c r="X414" s="99" t="s">
        <v>877</v>
      </c>
      <c r="Y414" s="73" t="s">
        <v>3012</v>
      </c>
      <c r="Z414" s="73" t="s">
        <v>129</v>
      </c>
      <c r="AA414" s="99" t="s">
        <v>3395</v>
      </c>
    </row>
    <row r="415" spans="1:27" ht="17.25" customHeight="1">
      <c r="A415" s="65" t="str">
        <f>IF(priority(Main[[#This Row],[Comments]])&lt;&gt;0, priority(Main[[#This Row],[Comments]]),"")</f>
        <v/>
      </c>
      <c r="B415" s="60" t="s">
        <v>1210</v>
      </c>
      <c r="C415" s="105" t="s">
        <v>180</v>
      </c>
      <c r="D415" s="74" t="s">
        <v>270</v>
      </c>
      <c r="E415" s="89"/>
      <c r="F415" s="89">
        <v>40389</v>
      </c>
      <c r="G415" s="65" t="str">
        <f>IF(stdProdLT(Main[[#This Row],[Comments]])=0.1,"N/A",IF(stdProdLT(Main[[#This Row],[Comments]])=0,"",TRIM(stdProdLT(Main[[#This Row],[Comments]]))))</f>
        <v/>
      </c>
      <c r="H415" s="98" t="str">
        <f>IF(Main[[#This Row],[Std. Prod. Lead Time]]="N/A", "",IF(AND(Main[[#This Row],[In Stock Date]]&lt;&gt;"",Main[[#This Row],[Revised Due Date]]&lt;&gt;"",Main[[#This Row],[In Stock Date]]&lt;&gt;""),Main[[#This Row],[In Stock Date]]-Main[[#This Row],[Revised Due Date]],""))</f>
        <v/>
      </c>
      <c r="I415" s="110" t="s">
        <v>4</v>
      </c>
      <c r="J415" s="99" t="s">
        <v>4</v>
      </c>
      <c r="K415" s="99" t="s">
        <v>4</v>
      </c>
      <c r="L415" s="89"/>
      <c r="M415" s="75" t="str">
        <f>IF(Main[[#This Row],[Tech Start Date]]&lt;1/1/1990,"",IF(Main[[#This Row],[Class]]="C",WORKDAY(Main[[#This Row],[Tech Start Date]],9),IF(Main[[#This Row],[Class]]="B", WORKDAY(Main[[#This Row],[Tech Start Date]],6),IF(Main[[#This Row],[Class]]="A",WORKDAY(Main[[#This Row],[Tech Start Date]],2),""))))</f>
        <v/>
      </c>
      <c r="N415" s="75" t="str">
        <f>IF(Main[[#This Row],[Tech Start Date]]&lt;1/1/1990,"",IF(Main[[#This Row],[Class]]="C",WORKDAY(Main[[#This Row],[Tech Start Date]],19),IF(Main[[#This Row],[Class]]="B", WORKDAY(Main[[#This Row],[Tech Start Date]],12),IF(Main[[#This Row],[Class]]="A",WORKDAY(Main[[#This Row],[Tech Start Date]],4),""))))</f>
        <v/>
      </c>
      <c r="O415" s="75" t="str">
        <f>IF(Main[[#This Row],[Tech Start Date]]&lt;1/1/1990,"",IF(Main[[#This Row],[Class]]="C",WORKDAY(Main[[#This Row],[Tech Start Date]],23),IF(Main[[#This Row],[Class]]="B", WORKDAY(Main[[#This Row],[Tech Start Date]],15),IF(Main[[#This Row],[Class]]="A",WORKDAY(Main[[#This Row],[Tech Start Date]],5),""))))</f>
        <v/>
      </c>
      <c r="P415" s="75" t="str">
        <f>IF(Main[[#This Row],[Tech Start Date]]&lt;1/1/1990,"",IF(Main[[#This Row],[Class]]="C",WORKDAY(Main[[#This Row],[Tech Start Date]],28),IF(Main[[#This Row],[Class]]="B", WORKDAY(Main[[#This Row],[Tech Start Date]],19),IF(Main[[#This Row],[Class]]="A",WORKDAY(Main[[#This Row],[Tech Start Date]],9),""))))</f>
        <v/>
      </c>
      <c r="Q415" s="89">
        <v>40298</v>
      </c>
      <c r="R415" s="121"/>
      <c r="S415" s="99" t="s">
        <v>11</v>
      </c>
      <c r="T415" s="76" t="s">
        <v>4</v>
      </c>
      <c r="U415" s="99" t="s">
        <v>14</v>
      </c>
      <c r="V415" s="99" t="s">
        <v>1913</v>
      </c>
      <c r="W415" s="99" t="s">
        <v>1919</v>
      </c>
      <c r="X415" s="99" t="s">
        <v>2818</v>
      </c>
      <c r="Y415" s="73" t="s">
        <v>2937</v>
      </c>
      <c r="Z415" s="73" t="s">
        <v>4</v>
      </c>
      <c r="AA415" s="99" t="s">
        <v>2818</v>
      </c>
    </row>
    <row r="416" spans="1:27" ht="17.25" customHeight="1">
      <c r="A416" s="65" t="str">
        <f>IF(priority(Main[[#This Row],[Comments]])&lt;&gt;0, priority(Main[[#This Row],[Comments]]),"")</f>
        <v/>
      </c>
      <c r="B416" s="60" t="s">
        <v>1212</v>
      </c>
      <c r="C416" s="105" t="s">
        <v>273</v>
      </c>
      <c r="D416" s="74" t="s">
        <v>274</v>
      </c>
      <c r="E416" s="89"/>
      <c r="F416" s="89">
        <v>40262</v>
      </c>
      <c r="G416" s="65" t="str">
        <f>IF(stdProdLT(Main[[#This Row],[Comments]])=0.1,"N/A",IF(stdProdLT(Main[[#This Row],[Comments]])=0,"",TRIM(stdProdLT(Main[[#This Row],[Comments]]))))</f>
        <v/>
      </c>
      <c r="H416" s="98" t="str">
        <f>IF(Main[[#This Row],[Std. Prod. Lead Time]]="N/A", "",IF(AND(Main[[#This Row],[In Stock Date]]&lt;&gt;"",Main[[#This Row],[Revised Due Date]]&lt;&gt;"",Main[[#This Row],[In Stock Date]]&lt;&gt;""),Main[[#This Row],[In Stock Date]]-Main[[#This Row],[Revised Due Date]],""))</f>
        <v/>
      </c>
      <c r="I416" s="110" t="s">
        <v>4</v>
      </c>
      <c r="J416" s="99" t="s">
        <v>4</v>
      </c>
      <c r="K416" s="99" t="s">
        <v>4</v>
      </c>
      <c r="L416" s="89"/>
      <c r="M416" s="75" t="str">
        <f>IF(Main[[#This Row],[Tech Start Date]]&lt;1/1/1990,"",IF(Main[[#This Row],[Class]]="C",WORKDAY(Main[[#This Row],[Tech Start Date]],9),IF(Main[[#This Row],[Class]]="B", WORKDAY(Main[[#This Row],[Tech Start Date]],6),IF(Main[[#This Row],[Class]]="A",WORKDAY(Main[[#This Row],[Tech Start Date]],2),""))))</f>
        <v/>
      </c>
      <c r="N416" s="75" t="str">
        <f>IF(Main[[#This Row],[Tech Start Date]]&lt;1/1/1990,"",IF(Main[[#This Row],[Class]]="C",WORKDAY(Main[[#This Row],[Tech Start Date]],19),IF(Main[[#This Row],[Class]]="B", WORKDAY(Main[[#This Row],[Tech Start Date]],12),IF(Main[[#This Row],[Class]]="A",WORKDAY(Main[[#This Row],[Tech Start Date]],4),""))))</f>
        <v/>
      </c>
      <c r="O416" s="75" t="str">
        <f>IF(Main[[#This Row],[Tech Start Date]]&lt;1/1/1990,"",IF(Main[[#This Row],[Class]]="C",WORKDAY(Main[[#This Row],[Tech Start Date]],23),IF(Main[[#This Row],[Class]]="B", WORKDAY(Main[[#This Row],[Tech Start Date]],15),IF(Main[[#This Row],[Class]]="A",WORKDAY(Main[[#This Row],[Tech Start Date]],5),""))))</f>
        <v/>
      </c>
      <c r="P416" s="75" t="str">
        <f>IF(Main[[#This Row],[Tech Start Date]]&lt;1/1/1990,"",IF(Main[[#This Row],[Class]]="C",WORKDAY(Main[[#This Row],[Tech Start Date]],28),IF(Main[[#This Row],[Class]]="B", WORKDAY(Main[[#This Row],[Tech Start Date]],19),IF(Main[[#This Row],[Class]]="A",WORKDAY(Main[[#This Row],[Tech Start Date]],9),""))))</f>
        <v/>
      </c>
      <c r="Q416" s="89">
        <v>40242</v>
      </c>
      <c r="R416" s="121"/>
      <c r="S416" s="99" t="s">
        <v>11</v>
      </c>
      <c r="T416" s="76" t="s">
        <v>4</v>
      </c>
      <c r="U416" s="99" t="s">
        <v>14</v>
      </c>
      <c r="V416" s="99" t="s">
        <v>1923</v>
      </c>
      <c r="W416" s="99" t="s">
        <v>1917</v>
      </c>
      <c r="X416" s="99" t="s">
        <v>2862</v>
      </c>
      <c r="Y416" s="73" t="s">
        <v>3006</v>
      </c>
      <c r="Z416" s="73" t="s">
        <v>4</v>
      </c>
      <c r="AA416" s="99" t="s">
        <v>2862</v>
      </c>
    </row>
    <row r="417" spans="1:27" ht="17.25" customHeight="1">
      <c r="A417" s="65" t="str">
        <f>IF(priority(Main[[#This Row],[Comments]])&lt;&gt;0, priority(Main[[#This Row],[Comments]]),"")</f>
        <v/>
      </c>
      <c r="B417" s="60" t="s">
        <v>1213</v>
      </c>
      <c r="C417" s="105" t="s">
        <v>275</v>
      </c>
      <c r="D417" s="74" t="s">
        <v>276</v>
      </c>
      <c r="E417" s="89"/>
      <c r="F417" s="89">
        <v>40186</v>
      </c>
      <c r="G417" s="65" t="str">
        <f>IF(stdProdLT(Main[[#This Row],[Comments]])=0.1,"N/A",IF(stdProdLT(Main[[#This Row],[Comments]])=0,"",TRIM(stdProdLT(Main[[#This Row],[Comments]]))))</f>
        <v/>
      </c>
      <c r="H417" s="98" t="str">
        <f>IF(Main[[#This Row],[Std. Prod. Lead Time]]="N/A", "",IF(AND(Main[[#This Row],[In Stock Date]]&lt;&gt;"",Main[[#This Row],[Revised Due Date]]&lt;&gt;"",Main[[#This Row],[In Stock Date]]&lt;&gt;""),Main[[#This Row],[In Stock Date]]-Main[[#This Row],[Revised Due Date]],""))</f>
        <v/>
      </c>
      <c r="I417" s="110" t="s">
        <v>4</v>
      </c>
      <c r="J417" s="99" t="s">
        <v>4</v>
      </c>
      <c r="K417" s="99" t="s">
        <v>4</v>
      </c>
      <c r="L417" s="89"/>
      <c r="M417" s="75" t="str">
        <f>IF(Main[[#This Row],[Tech Start Date]]&lt;1/1/1990,"",IF(Main[[#This Row],[Class]]="C",WORKDAY(Main[[#This Row],[Tech Start Date]],9),IF(Main[[#This Row],[Class]]="B", WORKDAY(Main[[#This Row],[Tech Start Date]],6),IF(Main[[#This Row],[Class]]="A",WORKDAY(Main[[#This Row],[Tech Start Date]],2),""))))</f>
        <v/>
      </c>
      <c r="N417" s="75" t="str">
        <f>IF(Main[[#This Row],[Tech Start Date]]&lt;1/1/1990,"",IF(Main[[#This Row],[Class]]="C",WORKDAY(Main[[#This Row],[Tech Start Date]],19),IF(Main[[#This Row],[Class]]="B", WORKDAY(Main[[#This Row],[Tech Start Date]],12),IF(Main[[#This Row],[Class]]="A",WORKDAY(Main[[#This Row],[Tech Start Date]],4),""))))</f>
        <v/>
      </c>
      <c r="O417" s="75" t="str">
        <f>IF(Main[[#This Row],[Tech Start Date]]&lt;1/1/1990,"",IF(Main[[#This Row],[Class]]="C",WORKDAY(Main[[#This Row],[Tech Start Date]],23),IF(Main[[#This Row],[Class]]="B", WORKDAY(Main[[#This Row],[Tech Start Date]],15),IF(Main[[#This Row],[Class]]="A",WORKDAY(Main[[#This Row],[Tech Start Date]],5),""))))</f>
        <v/>
      </c>
      <c r="P417" s="75" t="str">
        <f>IF(Main[[#This Row],[Tech Start Date]]&lt;1/1/1990,"",IF(Main[[#This Row],[Class]]="C",WORKDAY(Main[[#This Row],[Tech Start Date]],28),IF(Main[[#This Row],[Class]]="B", WORKDAY(Main[[#This Row],[Tech Start Date]],19),IF(Main[[#This Row],[Class]]="A",WORKDAY(Main[[#This Row],[Tech Start Date]],9),""))))</f>
        <v/>
      </c>
      <c r="Q417" s="89">
        <v>40196</v>
      </c>
      <c r="R417" s="121"/>
      <c r="S417" s="99" t="s">
        <v>11</v>
      </c>
      <c r="T417" s="76" t="s">
        <v>4</v>
      </c>
      <c r="U417" s="99" t="s">
        <v>14</v>
      </c>
      <c r="V417" s="99" t="s">
        <v>1916</v>
      </c>
      <c r="W417" s="99" t="s">
        <v>1921</v>
      </c>
      <c r="X417" s="99" t="s">
        <v>2836</v>
      </c>
      <c r="Y417" s="73" t="s">
        <v>4</v>
      </c>
      <c r="Z417" s="73" t="s">
        <v>4</v>
      </c>
      <c r="AA417" s="99" t="s">
        <v>2836</v>
      </c>
    </row>
    <row r="418" spans="1:27" ht="17.25" customHeight="1">
      <c r="A418" s="65" t="str">
        <f>IF(priority(Main[[#This Row],[Comments]])&lt;&gt;0, priority(Main[[#This Row],[Comments]]),"")</f>
        <v/>
      </c>
      <c r="B418" s="60" t="s">
        <v>2217</v>
      </c>
      <c r="C418" s="105" t="s">
        <v>4</v>
      </c>
      <c r="D418" s="74" t="s">
        <v>2218</v>
      </c>
      <c r="E418" s="89"/>
      <c r="F418" s="89"/>
      <c r="G418" s="65" t="str">
        <f>IF(stdProdLT(Main[[#This Row],[Comments]])=0.1,"N/A",IF(stdProdLT(Main[[#This Row],[Comments]])=0,"",TRIM(stdProdLT(Main[[#This Row],[Comments]]))))</f>
        <v/>
      </c>
      <c r="H418" s="98" t="str">
        <f>IF(Main[[#This Row],[Std. Prod. Lead Time]]="N/A", "",IF(AND(Main[[#This Row],[In Stock Date]]&lt;&gt;"",Main[[#This Row],[Revised Due Date]]&lt;&gt;"",Main[[#This Row],[In Stock Date]]&lt;&gt;""),Main[[#This Row],[In Stock Date]]-Main[[#This Row],[Revised Due Date]],""))</f>
        <v/>
      </c>
      <c r="I418" s="110" t="s">
        <v>4</v>
      </c>
      <c r="J418" s="99" t="s">
        <v>4</v>
      </c>
      <c r="K418" s="99" t="s">
        <v>4</v>
      </c>
      <c r="L418" s="89"/>
      <c r="M418" s="75" t="str">
        <f>IF(Main[[#This Row],[Tech Start Date]]&lt;1/1/1990,"",IF(Main[[#This Row],[Class]]="C",WORKDAY(Main[[#This Row],[Tech Start Date]],9),IF(Main[[#This Row],[Class]]="B", WORKDAY(Main[[#This Row],[Tech Start Date]],6),IF(Main[[#This Row],[Class]]="A",WORKDAY(Main[[#This Row],[Tech Start Date]],2),""))))</f>
        <v/>
      </c>
      <c r="N418" s="75" t="str">
        <f>IF(Main[[#This Row],[Tech Start Date]]&lt;1/1/1990,"",IF(Main[[#This Row],[Class]]="C",WORKDAY(Main[[#This Row],[Tech Start Date]],19),IF(Main[[#This Row],[Class]]="B", WORKDAY(Main[[#This Row],[Tech Start Date]],12),IF(Main[[#This Row],[Class]]="A",WORKDAY(Main[[#This Row],[Tech Start Date]],4),""))))</f>
        <v/>
      </c>
      <c r="O418" s="75" t="str">
        <f>IF(Main[[#This Row],[Tech Start Date]]&lt;1/1/1990,"",IF(Main[[#This Row],[Class]]="C",WORKDAY(Main[[#This Row],[Tech Start Date]],23),IF(Main[[#This Row],[Class]]="B", WORKDAY(Main[[#This Row],[Tech Start Date]],15),IF(Main[[#This Row],[Class]]="A",WORKDAY(Main[[#This Row],[Tech Start Date]],5),""))))</f>
        <v/>
      </c>
      <c r="P418" s="75" t="str">
        <f>IF(Main[[#This Row],[Tech Start Date]]&lt;1/1/1990,"",IF(Main[[#This Row],[Class]]="C",WORKDAY(Main[[#This Row],[Tech Start Date]],28),IF(Main[[#This Row],[Class]]="B", WORKDAY(Main[[#This Row],[Tech Start Date]],19),IF(Main[[#This Row],[Class]]="A",WORKDAY(Main[[#This Row],[Tech Start Date]],9),""))))</f>
        <v/>
      </c>
      <c r="Q418" s="89">
        <v>40837</v>
      </c>
      <c r="R418" s="121"/>
      <c r="S418" s="99" t="s">
        <v>6</v>
      </c>
      <c r="T418" s="76" t="s">
        <v>4</v>
      </c>
      <c r="U418" s="99" t="s">
        <v>14</v>
      </c>
      <c r="V418" s="99" t="s">
        <v>1916</v>
      </c>
      <c r="W418" s="99" t="s">
        <v>4</v>
      </c>
      <c r="X418" s="99" t="s">
        <v>2812</v>
      </c>
      <c r="Y418" s="73" t="s">
        <v>2923</v>
      </c>
      <c r="Z418" s="73" t="s">
        <v>4</v>
      </c>
      <c r="AA418" s="99" t="s">
        <v>2812</v>
      </c>
    </row>
    <row r="419" spans="1:27" ht="17.25" customHeight="1">
      <c r="A419" s="65" t="str">
        <f>IF(priority(Main[[#This Row],[Comments]])&lt;&gt;0, priority(Main[[#This Row],[Comments]]),"")</f>
        <v/>
      </c>
      <c r="B419" s="60" t="s">
        <v>1405</v>
      </c>
      <c r="C419" s="105" t="s">
        <v>4</v>
      </c>
      <c r="D419" s="74" t="s">
        <v>487</v>
      </c>
      <c r="E419" s="89">
        <v>40704.65116898148</v>
      </c>
      <c r="F419" s="89"/>
      <c r="G419" s="65" t="str">
        <f>IF(stdProdLT(Main[[#This Row],[Comments]])=0.1,"N/A",IF(stdProdLT(Main[[#This Row],[Comments]])=0,"",TRIM(stdProdLT(Main[[#This Row],[Comments]]))))</f>
        <v/>
      </c>
      <c r="H419" s="98" t="str">
        <f>IF(Main[[#This Row],[Std. Prod. Lead Time]]="N/A", "",IF(AND(Main[[#This Row],[In Stock Date]]&lt;&gt;"",Main[[#This Row],[Revised Due Date]]&lt;&gt;"",Main[[#This Row],[In Stock Date]]&lt;&gt;""),Main[[#This Row],[In Stock Date]]-Main[[#This Row],[Revised Due Date]],""))</f>
        <v/>
      </c>
      <c r="I419" s="110" t="s">
        <v>4</v>
      </c>
      <c r="J419" s="99" t="s">
        <v>4</v>
      </c>
      <c r="K419" s="99" t="s">
        <v>4</v>
      </c>
      <c r="L419" s="89"/>
      <c r="M419" s="75" t="str">
        <f>IF(Main[[#This Row],[Tech Start Date]]&lt;1/1/1990,"",IF(Main[[#This Row],[Class]]="C",WORKDAY(Main[[#This Row],[Tech Start Date]],9),IF(Main[[#This Row],[Class]]="B", WORKDAY(Main[[#This Row],[Tech Start Date]],6),IF(Main[[#This Row],[Class]]="A",WORKDAY(Main[[#This Row],[Tech Start Date]],2),""))))</f>
        <v/>
      </c>
      <c r="N419" s="75" t="str">
        <f>IF(Main[[#This Row],[Tech Start Date]]&lt;1/1/1990,"",IF(Main[[#This Row],[Class]]="C",WORKDAY(Main[[#This Row],[Tech Start Date]],19),IF(Main[[#This Row],[Class]]="B", WORKDAY(Main[[#This Row],[Tech Start Date]],12),IF(Main[[#This Row],[Class]]="A",WORKDAY(Main[[#This Row],[Tech Start Date]],4),""))))</f>
        <v/>
      </c>
      <c r="O419" s="75" t="str">
        <f>IF(Main[[#This Row],[Tech Start Date]]&lt;1/1/1990,"",IF(Main[[#This Row],[Class]]="C",WORKDAY(Main[[#This Row],[Tech Start Date]],23),IF(Main[[#This Row],[Class]]="B", WORKDAY(Main[[#This Row],[Tech Start Date]],15),IF(Main[[#This Row],[Class]]="A",WORKDAY(Main[[#This Row],[Tech Start Date]],5),""))))</f>
        <v/>
      </c>
      <c r="P419" s="75" t="str">
        <f>IF(Main[[#This Row],[Tech Start Date]]&lt;1/1/1990,"",IF(Main[[#This Row],[Class]]="C",WORKDAY(Main[[#This Row],[Tech Start Date]],28),IF(Main[[#This Row],[Class]]="B", WORKDAY(Main[[#This Row],[Tech Start Date]],19),IF(Main[[#This Row],[Class]]="A",WORKDAY(Main[[#This Row],[Tech Start Date]],9),""))))</f>
        <v/>
      </c>
      <c r="Q419" s="89"/>
      <c r="R419" s="121"/>
      <c r="S419" s="99" t="s">
        <v>6</v>
      </c>
      <c r="T419" s="76" t="s">
        <v>4</v>
      </c>
      <c r="U419" s="99" t="s">
        <v>29</v>
      </c>
      <c r="V419" s="99" t="s">
        <v>1913</v>
      </c>
      <c r="W419" s="99" t="s">
        <v>1917</v>
      </c>
      <c r="X419" s="99" t="s">
        <v>399</v>
      </c>
      <c r="Y419" s="73" t="s">
        <v>4</v>
      </c>
      <c r="Z419" s="73" t="s">
        <v>4</v>
      </c>
      <c r="AA419" s="99" t="s">
        <v>3371</v>
      </c>
    </row>
    <row r="420" spans="1:27" ht="17.25" customHeight="1">
      <c r="A420" s="65" t="str">
        <f>IF(priority(Main[[#This Row],[Comments]])&lt;&gt;0, priority(Main[[#This Row],[Comments]]),"")</f>
        <v/>
      </c>
      <c r="B420" s="60" t="s">
        <v>1214</v>
      </c>
      <c r="C420" s="105" t="s">
        <v>4</v>
      </c>
      <c r="D420" s="74" t="s">
        <v>281</v>
      </c>
      <c r="E420" s="89">
        <v>40297.413148148145</v>
      </c>
      <c r="F420" s="89"/>
      <c r="G420" s="65" t="str">
        <f>IF(stdProdLT(Main[[#This Row],[Comments]])=0.1,"N/A",IF(stdProdLT(Main[[#This Row],[Comments]])=0,"",TRIM(stdProdLT(Main[[#This Row],[Comments]]))))</f>
        <v/>
      </c>
      <c r="H420" s="98" t="str">
        <f>IF(Main[[#This Row],[Std. Prod. Lead Time]]="N/A", "",IF(AND(Main[[#This Row],[In Stock Date]]&lt;&gt;"",Main[[#This Row],[Revised Due Date]]&lt;&gt;"",Main[[#This Row],[In Stock Date]]&lt;&gt;""),Main[[#This Row],[In Stock Date]]-Main[[#This Row],[Revised Due Date]],""))</f>
        <v/>
      </c>
      <c r="I420" s="110" t="s">
        <v>4</v>
      </c>
      <c r="J420" s="99" t="s">
        <v>4</v>
      </c>
      <c r="K420" s="99" t="s">
        <v>4</v>
      </c>
      <c r="L420" s="89"/>
      <c r="M420" s="75" t="str">
        <f>IF(Main[[#This Row],[Tech Start Date]]&lt;1/1/1990,"",IF(Main[[#This Row],[Class]]="C",WORKDAY(Main[[#This Row],[Tech Start Date]],9),IF(Main[[#This Row],[Class]]="B", WORKDAY(Main[[#This Row],[Tech Start Date]],6),IF(Main[[#This Row],[Class]]="A",WORKDAY(Main[[#This Row],[Tech Start Date]],2),""))))</f>
        <v/>
      </c>
      <c r="N420" s="75" t="str">
        <f>IF(Main[[#This Row],[Tech Start Date]]&lt;1/1/1990,"",IF(Main[[#This Row],[Class]]="C",WORKDAY(Main[[#This Row],[Tech Start Date]],19),IF(Main[[#This Row],[Class]]="B", WORKDAY(Main[[#This Row],[Tech Start Date]],12),IF(Main[[#This Row],[Class]]="A",WORKDAY(Main[[#This Row],[Tech Start Date]],4),""))))</f>
        <v/>
      </c>
      <c r="O420" s="75" t="str">
        <f>IF(Main[[#This Row],[Tech Start Date]]&lt;1/1/1990,"",IF(Main[[#This Row],[Class]]="C",WORKDAY(Main[[#This Row],[Tech Start Date]],23),IF(Main[[#This Row],[Class]]="B", WORKDAY(Main[[#This Row],[Tech Start Date]],15),IF(Main[[#This Row],[Class]]="A",WORKDAY(Main[[#This Row],[Tech Start Date]],5),""))))</f>
        <v/>
      </c>
      <c r="P420" s="75" t="str">
        <f>IF(Main[[#This Row],[Tech Start Date]]&lt;1/1/1990,"",IF(Main[[#This Row],[Class]]="C",WORKDAY(Main[[#This Row],[Tech Start Date]],28),IF(Main[[#This Row],[Class]]="B", WORKDAY(Main[[#This Row],[Tech Start Date]],19),IF(Main[[#This Row],[Class]]="A",WORKDAY(Main[[#This Row],[Tech Start Date]],9),""))))</f>
        <v/>
      </c>
      <c r="Q420" s="89">
        <v>40319</v>
      </c>
      <c r="R420" s="121"/>
      <c r="S420" s="99" t="s">
        <v>17</v>
      </c>
      <c r="T420" s="76" t="s">
        <v>4</v>
      </c>
      <c r="U420" s="99" t="s">
        <v>29</v>
      </c>
      <c r="V420" s="99" t="s">
        <v>1914</v>
      </c>
      <c r="W420" s="99" t="s">
        <v>1917</v>
      </c>
      <c r="X420" s="99" t="s">
        <v>2856</v>
      </c>
      <c r="Y420" s="73" t="s">
        <v>4</v>
      </c>
      <c r="Z420" s="73" t="s">
        <v>4</v>
      </c>
      <c r="AA420" s="99" t="s">
        <v>2829</v>
      </c>
    </row>
    <row r="421" spans="1:27" ht="17.25" customHeight="1">
      <c r="A421" s="65" t="str">
        <f>IF(priority(Main[[#This Row],[Comments]])&lt;&gt;0, priority(Main[[#This Row],[Comments]]),"")</f>
        <v/>
      </c>
      <c r="B421" s="60" t="s">
        <v>1215</v>
      </c>
      <c r="C421" s="105" t="s">
        <v>282</v>
      </c>
      <c r="D421" s="74" t="s">
        <v>283</v>
      </c>
      <c r="E421" s="89"/>
      <c r="F421" s="89">
        <v>40391</v>
      </c>
      <c r="G421" s="65" t="str">
        <f>IF(stdProdLT(Main[[#This Row],[Comments]])=0.1,"N/A",IF(stdProdLT(Main[[#This Row],[Comments]])=0,"",TRIM(stdProdLT(Main[[#This Row],[Comments]]))))</f>
        <v/>
      </c>
      <c r="H421" s="98" t="str">
        <f>IF(Main[[#This Row],[Std. Prod. Lead Time]]="N/A", "",IF(AND(Main[[#This Row],[In Stock Date]]&lt;&gt;"",Main[[#This Row],[Revised Due Date]]&lt;&gt;"",Main[[#This Row],[In Stock Date]]&lt;&gt;""),Main[[#This Row],[In Stock Date]]-Main[[#This Row],[Revised Due Date]],""))</f>
        <v/>
      </c>
      <c r="I421" s="110" t="s">
        <v>4</v>
      </c>
      <c r="J421" s="99" t="s">
        <v>4</v>
      </c>
      <c r="K421" s="99" t="s">
        <v>4</v>
      </c>
      <c r="L421" s="89"/>
      <c r="M421" s="75" t="str">
        <f>IF(Main[[#This Row],[Tech Start Date]]&lt;1/1/1990,"",IF(Main[[#This Row],[Class]]="C",WORKDAY(Main[[#This Row],[Tech Start Date]],9),IF(Main[[#This Row],[Class]]="B", WORKDAY(Main[[#This Row],[Tech Start Date]],6),IF(Main[[#This Row],[Class]]="A",WORKDAY(Main[[#This Row],[Tech Start Date]],2),""))))</f>
        <v/>
      </c>
      <c r="N421" s="75" t="str">
        <f>IF(Main[[#This Row],[Tech Start Date]]&lt;1/1/1990,"",IF(Main[[#This Row],[Class]]="C",WORKDAY(Main[[#This Row],[Tech Start Date]],19),IF(Main[[#This Row],[Class]]="B", WORKDAY(Main[[#This Row],[Tech Start Date]],12),IF(Main[[#This Row],[Class]]="A",WORKDAY(Main[[#This Row],[Tech Start Date]],4),""))))</f>
        <v/>
      </c>
      <c r="O421" s="75" t="str">
        <f>IF(Main[[#This Row],[Tech Start Date]]&lt;1/1/1990,"",IF(Main[[#This Row],[Class]]="C",WORKDAY(Main[[#This Row],[Tech Start Date]],23),IF(Main[[#This Row],[Class]]="B", WORKDAY(Main[[#This Row],[Tech Start Date]],15),IF(Main[[#This Row],[Class]]="A",WORKDAY(Main[[#This Row],[Tech Start Date]],5),""))))</f>
        <v/>
      </c>
      <c r="P421" s="75" t="str">
        <f>IF(Main[[#This Row],[Tech Start Date]]&lt;1/1/1990,"",IF(Main[[#This Row],[Class]]="C",WORKDAY(Main[[#This Row],[Tech Start Date]],28),IF(Main[[#This Row],[Class]]="B", WORKDAY(Main[[#This Row],[Tech Start Date]],19),IF(Main[[#This Row],[Class]]="A",WORKDAY(Main[[#This Row],[Tech Start Date]],9),""))))</f>
        <v/>
      </c>
      <c r="Q421" s="89">
        <v>40314</v>
      </c>
      <c r="R421" s="121"/>
      <c r="S421" s="99" t="s">
        <v>11</v>
      </c>
      <c r="T421" s="76" t="s">
        <v>4</v>
      </c>
      <c r="U421" s="99" t="s">
        <v>14</v>
      </c>
      <c r="V421" s="99" t="s">
        <v>1916</v>
      </c>
      <c r="W421" s="99" t="s">
        <v>1919</v>
      </c>
      <c r="X421" s="99" t="s">
        <v>2852</v>
      </c>
      <c r="Y421" s="73" t="s">
        <v>4</v>
      </c>
      <c r="Z421" s="73" t="s">
        <v>4</v>
      </c>
      <c r="AA421" s="99" t="s">
        <v>2852</v>
      </c>
    </row>
    <row r="422" spans="1:27" ht="17.25" customHeight="1">
      <c r="A422" s="65" t="str">
        <f>IF(priority(Main[[#This Row],[Comments]])&lt;&gt;0, priority(Main[[#This Row],[Comments]]),"")</f>
        <v/>
      </c>
      <c r="B422" s="60" t="s">
        <v>1216</v>
      </c>
      <c r="C422" s="105" t="s">
        <v>284</v>
      </c>
      <c r="D422" s="74" t="s">
        <v>285</v>
      </c>
      <c r="E422" s="89"/>
      <c r="F422" s="89"/>
      <c r="G422" s="65" t="str">
        <f>IF(stdProdLT(Main[[#This Row],[Comments]])=0.1,"N/A",IF(stdProdLT(Main[[#This Row],[Comments]])=0,"",TRIM(stdProdLT(Main[[#This Row],[Comments]]))))</f>
        <v/>
      </c>
      <c r="H422" s="98" t="str">
        <f>IF(Main[[#This Row],[Std. Prod. Lead Time]]="N/A", "",IF(AND(Main[[#This Row],[In Stock Date]]&lt;&gt;"",Main[[#This Row],[Revised Due Date]]&lt;&gt;"",Main[[#This Row],[In Stock Date]]&lt;&gt;""),Main[[#This Row],[In Stock Date]]-Main[[#This Row],[Revised Due Date]],""))</f>
        <v/>
      </c>
      <c r="I422" s="110" t="s">
        <v>4</v>
      </c>
      <c r="J422" s="99" t="s">
        <v>4</v>
      </c>
      <c r="K422" s="100" t="s">
        <v>4</v>
      </c>
      <c r="L422" s="89"/>
      <c r="M422" s="75" t="str">
        <f>IF(Main[[#This Row],[Tech Start Date]]&lt;1/1/1990,"",IF(Main[[#This Row],[Class]]="C",WORKDAY(Main[[#This Row],[Tech Start Date]],9),IF(Main[[#This Row],[Class]]="B", WORKDAY(Main[[#This Row],[Tech Start Date]],6),IF(Main[[#This Row],[Class]]="A",WORKDAY(Main[[#This Row],[Tech Start Date]],2),""))))</f>
        <v/>
      </c>
      <c r="N422" s="75" t="str">
        <f>IF(Main[[#This Row],[Tech Start Date]]&lt;1/1/1990,"",IF(Main[[#This Row],[Class]]="C",WORKDAY(Main[[#This Row],[Tech Start Date]],19),IF(Main[[#This Row],[Class]]="B", WORKDAY(Main[[#This Row],[Tech Start Date]],12),IF(Main[[#This Row],[Class]]="A",WORKDAY(Main[[#This Row],[Tech Start Date]],4),""))))</f>
        <v/>
      </c>
      <c r="O422" s="75" t="str">
        <f>IF(Main[[#This Row],[Tech Start Date]]&lt;1/1/1990,"",IF(Main[[#This Row],[Class]]="C",WORKDAY(Main[[#This Row],[Tech Start Date]],23),IF(Main[[#This Row],[Class]]="B", WORKDAY(Main[[#This Row],[Tech Start Date]],15),IF(Main[[#This Row],[Class]]="A",WORKDAY(Main[[#This Row],[Tech Start Date]],5),""))))</f>
        <v/>
      </c>
      <c r="P422" s="75" t="str">
        <f>IF(Main[[#This Row],[Tech Start Date]]&lt;1/1/1990,"",IF(Main[[#This Row],[Class]]="C",WORKDAY(Main[[#This Row],[Tech Start Date]],28),IF(Main[[#This Row],[Class]]="B", WORKDAY(Main[[#This Row],[Tech Start Date]],19),IF(Main[[#This Row],[Class]]="A",WORKDAY(Main[[#This Row],[Tech Start Date]],9),""))))</f>
        <v/>
      </c>
      <c r="Q422" s="89">
        <v>40147</v>
      </c>
      <c r="R422" s="121"/>
      <c r="S422" s="99" t="s">
        <v>11</v>
      </c>
      <c r="T422" s="76" t="s">
        <v>4</v>
      </c>
      <c r="U422" s="99" t="s">
        <v>14</v>
      </c>
      <c r="V422" s="99" t="s">
        <v>1923</v>
      </c>
      <c r="W422" s="99" t="s">
        <v>1921</v>
      </c>
      <c r="X422" s="99" t="s">
        <v>2811</v>
      </c>
      <c r="Y422" s="73" t="s">
        <v>4</v>
      </c>
      <c r="Z422" s="73" t="s">
        <v>4</v>
      </c>
      <c r="AA422" s="99" t="s">
        <v>2811</v>
      </c>
    </row>
    <row r="423" spans="1:27" ht="17.25" customHeight="1">
      <c r="A423" s="65" t="str">
        <f>IF(priority(Main[[#This Row],[Comments]])&lt;&gt;0, priority(Main[[#This Row],[Comments]]),"")</f>
        <v/>
      </c>
      <c r="B423" s="60" t="s">
        <v>2071</v>
      </c>
      <c r="C423" s="105" t="s">
        <v>4</v>
      </c>
      <c r="D423" s="74" t="s">
        <v>2061</v>
      </c>
      <c r="E423" s="89"/>
      <c r="F423" s="89"/>
      <c r="G423" s="65" t="str">
        <f>IF(stdProdLT(Main[[#This Row],[Comments]])=0.1,"N/A",IF(stdProdLT(Main[[#This Row],[Comments]])=0,"",TRIM(stdProdLT(Main[[#This Row],[Comments]]))))</f>
        <v/>
      </c>
      <c r="H423" s="98" t="str">
        <f>IF(Main[[#This Row],[Std. Prod. Lead Time]]="N/A", "",IF(AND(Main[[#This Row],[In Stock Date]]&lt;&gt;"",Main[[#This Row],[Revised Due Date]]&lt;&gt;"",Main[[#This Row],[In Stock Date]]&lt;&gt;""),Main[[#This Row],[In Stock Date]]-Main[[#This Row],[Revised Due Date]],""))</f>
        <v/>
      </c>
      <c r="I423" s="110" t="s">
        <v>4</v>
      </c>
      <c r="J423" s="99" t="s">
        <v>4</v>
      </c>
      <c r="K423" s="100" t="s">
        <v>4</v>
      </c>
      <c r="L423" s="89"/>
      <c r="M423" s="75" t="str">
        <f>IF(Main[[#This Row],[Tech Start Date]]&lt;1/1/1990,"",IF(Main[[#This Row],[Class]]="C",WORKDAY(Main[[#This Row],[Tech Start Date]],9),IF(Main[[#This Row],[Class]]="B", WORKDAY(Main[[#This Row],[Tech Start Date]],6),IF(Main[[#This Row],[Class]]="A",WORKDAY(Main[[#This Row],[Tech Start Date]],2),""))))</f>
        <v/>
      </c>
      <c r="N423" s="75" t="str">
        <f>IF(Main[[#This Row],[Tech Start Date]]&lt;1/1/1990,"",IF(Main[[#This Row],[Class]]="C",WORKDAY(Main[[#This Row],[Tech Start Date]],19),IF(Main[[#This Row],[Class]]="B", WORKDAY(Main[[#This Row],[Tech Start Date]],12),IF(Main[[#This Row],[Class]]="A",WORKDAY(Main[[#This Row],[Tech Start Date]],4),""))))</f>
        <v/>
      </c>
      <c r="O423" s="75" t="str">
        <f>IF(Main[[#This Row],[Tech Start Date]]&lt;1/1/1990,"",IF(Main[[#This Row],[Class]]="C",WORKDAY(Main[[#This Row],[Tech Start Date]],23),IF(Main[[#This Row],[Class]]="B", WORKDAY(Main[[#This Row],[Tech Start Date]],15),IF(Main[[#This Row],[Class]]="A",WORKDAY(Main[[#This Row],[Tech Start Date]],5),""))))</f>
        <v/>
      </c>
      <c r="P423" s="75" t="str">
        <f>IF(Main[[#This Row],[Tech Start Date]]&lt;1/1/1990,"",IF(Main[[#This Row],[Class]]="C",WORKDAY(Main[[#This Row],[Tech Start Date]],28),IF(Main[[#This Row],[Class]]="B", WORKDAY(Main[[#This Row],[Tech Start Date]],19),IF(Main[[#This Row],[Class]]="A",WORKDAY(Main[[#This Row],[Tech Start Date]],9),""))))</f>
        <v/>
      </c>
      <c r="Q423" s="89">
        <v>40798</v>
      </c>
      <c r="R423" s="121"/>
      <c r="S423" s="99" t="s">
        <v>6</v>
      </c>
      <c r="T423" s="76" t="s">
        <v>4</v>
      </c>
      <c r="U423" s="99" t="s">
        <v>12</v>
      </c>
      <c r="V423" s="99" t="s">
        <v>1916</v>
      </c>
      <c r="W423" s="99" t="s">
        <v>4</v>
      </c>
      <c r="X423" s="99" t="s">
        <v>2813</v>
      </c>
      <c r="Y423" s="73" t="s">
        <v>2926</v>
      </c>
      <c r="Z423" s="73" t="s">
        <v>4</v>
      </c>
      <c r="AA423" s="99" t="s">
        <v>2813</v>
      </c>
    </row>
    <row r="424" spans="1:27" ht="17.25" customHeight="1">
      <c r="A424" s="65" t="str">
        <f>IF(priority(Main[[#This Row],[Comments]])&lt;&gt;0, priority(Main[[#This Row],[Comments]]),"")</f>
        <v/>
      </c>
      <c r="B424" s="60" t="s">
        <v>1217</v>
      </c>
      <c r="C424" s="105" t="s">
        <v>286</v>
      </c>
      <c r="D424" s="74" t="s">
        <v>287</v>
      </c>
      <c r="E424" s="89"/>
      <c r="F424" s="89">
        <v>40421</v>
      </c>
      <c r="G424" s="65" t="str">
        <f>IF(stdProdLT(Main[[#This Row],[Comments]])=0.1,"N/A",IF(stdProdLT(Main[[#This Row],[Comments]])=0,"",TRIM(stdProdLT(Main[[#This Row],[Comments]]))))</f>
        <v/>
      </c>
      <c r="H424" s="98" t="str">
        <f>IF(Main[[#This Row],[Std. Prod. Lead Time]]="N/A", "",IF(AND(Main[[#This Row],[In Stock Date]]&lt;&gt;"",Main[[#This Row],[Revised Due Date]]&lt;&gt;"",Main[[#This Row],[In Stock Date]]&lt;&gt;""),Main[[#This Row],[In Stock Date]]-Main[[#This Row],[Revised Due Date]],""))</f>
        <v/>
      </c>
      <c r="I424" s="110" t="s">
        <v>4</v>
      </c>
      <c r="J424" s="99" t="s">
        <v>4</v>
      </c>
      <c r="K424" s="99" t="s">
        <v>4</v>
      </c>
      <c r="L424" s="89"/>
      <c r="M424" s="75" t="str">
        <f>IF(Main[[#This Row],[Tech Start Date]]&lt;1/1/1990,"",IF(Main[[#This Row],[Class]]="C",WORKDAY(Main[[#This Row],[Tech Start Date]],9),IF(Main[[#This Row],[Class]]="B", WORKDAY(Main[[#This Row],[Tech Start Date]],6),IF(Main[[#This Row],[Class]]="A",WORKDAY(Main[[#This Row],[Tech Start Date]],2),""))))</f>
        <v/>
      </c>
      <c r="N424" s="75" t="str">
        <f>IF(Main[[#This Row],[Tech Start Date]]&lt;1/1/1990,"",IF(Main[[#This Row],[Class]]="C",WORKDAY(Main[[#This Row],[Tech Start Date]],19),IF(Main[[#This Row],[Class]]="B", WORKDAY(Main[[#This Row],[Tech Start Date]],12),IF(Main[[#This Row],[Class]]="A",WORKDAY(Main[[#This Row],[Tech Start Date]],4),""))))</f>
        <v/>
      </c>
      <c r="O424" s="75" t="str">
        <f>IF(Main[[#This Row],[Tech Start Date]]&lt;1/1/1990,"",IF(Main[[#This Row],[Class]]="C",WORKDAY(Main[[#This Row],[Tech Start Date]],23),IF(Main[[#This Row],[Class]]="B", WORKDAY(Main[[#This Row],[Tech Start Date]],15),IF(Main[[#This Row],[Class]]="A",WORKDAY(Main[[#This Row],[Tech Start Date]],5),""))))</f>
        <v/>
      </c>
      <c r="P424" s="75" t="str">
        <f>IF(Main[[#This Row],[Tech Start Date]]&lt;1/1/1990,"",IF(Main[[#This Row],[Class]]="C",WORKDAY(Main[[#This Row],[Tech Start Date]],28),IF(Main[[#This Row],[Class]]="B", WORKDAY(Main[[#This Row],[Tech Start Date]],19),IF(Main[[#This Row],[Class]]="A",WORKDAY(Main[[#This Row],[Tech Start Date]],9),""))))</f>
        <v/>
      </c>
      <c r="Q424" s="89">
        <v>40360</v>
      </c>
      <c r="R424" s="121"/>
      <c r="S424" s="99" t="s">
        <v>11</v>
      </c>
      <c r="T424" s="76" t="s">
        <v>4</v>
      </c>
      <c r="U424" s="99" t="s">
        <v>12</v>
      </c>
      <c r="V424" s="99" t="s">
        <v>1914</v>
      </c>
      <c r="W424" s="99" t="s">
        <v>1918</v>
      </c>
      <c r="X424" s="99" t="s">
        <v>2868</v>
      </c>
      <c r="Y424" s="73" t="s">
        <v>3013</v>
      </c>
      <c r="Z424" s="73" t="s">
        <v>4</v>
      </c>
      <c r="AA424" s="99" t="s">
        <v>2868</v>
      </c>
    </row>
    <row r="425" spans="1:27" ht="17.25" customHeight="1">
      <c r="A425" s="65" t="str">
        <f>IF(priority(Main[[#This Row],[Comments]])&lt;&gt;0, priority(Main[[#This Row],[Comments]]),"")</f>
        <v/>
      </c>
      <c r="B425" s="60" t="s">
        <v>1424</v>
      </c>
      <c r="C425" s="105" t="s">
        <v>4</v>
      </c>
      <c r="D425" s="74" t="s">
        <v>1950</v>
      </c>
      <c r="E425" s="89"/>
      <c r="F425" s="89"/>
      <c r="G425" s="65" t="str">
        <f>IF(stdProdLT(Main[[#This Row],[Comments]])=0.1,"N/A",IF(stdProdLT(Main[[#This Row],[Comments]])=0,"",TRIM(stdProdLT(Main[[#This Row],[Comments]]))))</f>
        <v/>
      </c>
      <c r="H425" s="98" t="str">
        <f>IF(Main[[#This Row],[Std. Prod. Lead Time]]="N/A", "",IF(AND(Main[[#This Row],[In Stock Date]]&lt;&gt;"",Main[[#This Row],[Revised Due Date]]&lt;&gt;"",Main[[#This Row],[In Stock Date]]&lt;&gt;""),Main[[#This Row],[In Stock Date]]-Main[[#This Row],[Revised Due Date]],""))</f>
        <v/>
      </c>
      <c r="I425" s="110" t="s">
        <v>4</v>
      </c>
      <c r="J425" s="99" t="s">
        <v>4</v>
      </c>
      <c r="K425" s="99" t="s">
        <v>4</v>
      </c>
      <c r="L425" s="89"/>
      <c r="M425" s="75" t="str">
        <f>IF(Main[[#This Row],[Tech Start Date]]&lt;1/1/1990,"",IF(Main[[#This Row],[Class]]="C",WORKDAY(Main[[#This Row],[Tech Start Date]],9),IF(Main[[#This Row],[Class]]="B", WORKDAY(Main[[#This Row],[Tech Start Date]],6),IF(Main[[#This Row],[Class]]="A",WORKDAY(Main[[#This Row],[Tech Start Date]],2),""))))</f>
        <v/>
      </c>
      <c r="N425" s="75" t="str">
        <f>IF(Main[[#This Row],[Tech Start Date]]&lt;1/1/1990,"",IF(Main[[#This Row],[Class]]="C",WORKDAY(Main[[#This Row],[Tech Start Date]],19),IF(Main[[#This Row],[Class]]="B", WORKDAY(Main[[#This Row],[Tech Start Date]],12),IF(Main[[#This Row],[Class]]="A",WORKDAY(Main[[#This Row],[Tech Start Date]],4),""))))</f>
        <v/>
      </c>
      <c r="O425" s="75" t="str">
        <f>IF(Main[[#This Row],[Tech Start Date]]&lt;1/1/1990,"",IF(Main[[#This Row],[Class]]="C",WORKDAY(Main[[#This Row],[Tech Start Date]],23),IF(Main[[#This Row],[Class]]="B", WORKDAY(Main[[#This Row],[Tech Start Date]],15),IF(Main[[#This Row],[Class]]="A",WORKDAY(Main[[#This Row],[Tech Start Date]],5),""))))</f>
        <v/>
      </c>
      <c r="P425" s="75" t="str">
        <f>IF(Main[[#This Row],[Tech Start Date]]&lt;1/1/1990,"",IF(Main[[#This Row],[Class]]="C",WORKDAY(Main[[#This Row],[Tech Start Date]],28),IF(Main[[#This Row],[Class]]="B", WORKDAY(Main[[#This Row],[Tech Start Date]],19),IF(Main[[#This Row],[Class]]="A",WORKDAY(Main[[#This Row],[Tech Start Date]],9),""))))</f>
        <v/>
      </c>
      <c r="Q425" s="89"/>
      <c r="R425" s="121"/>
      <c r="S425" s="99" t="s">
        <v>6</v>
      </c>
      <c r="T425" s="76" t="s">
        <v>4</v>
      </c>
      <c r="U425" s="99" t="s">
        <v>14</v>
      </c>
      <c r="V425" s="99" t="s">
        <v>1914</v>
      </c>
      <c r="W425" s="99" t="s">
        <v>1915</v>
      </c>
      <c r="X425" s="99" t="s">
        <v>922</v>
      </c>
      <c r="Y425" s="73" t="s">
        <v>3014</v>
      </c>
      <c r="Z425" s="73" t="s">
        <v>4</v>
      </c>
      <c r="AA425" s="99" t="s">
        <v>3396</v>
      </c>
    </row>
    <row r="426" spans="1:27" ht="17.25" customHeight="1">
      <c r="A426" s="65" t="str">
        <f>IF(priority(Main[[#This Row],[Comments]])&lt;&gt;0, priority(Main[[#This Row],[Comments]]),"")</f>
        <v/>
      </c>
      <c r="B426" s="60" t="s">
        <v>1129</v>
      </c>
      <c r="C426" s="105" t="s">
        <v>4</v>
      </c>
      <c r="D426" s="74" t="s">
        <v>2356</v>
      </c>
      <c r="E426" s="89">
        <v>40574.415509259263</v>
      </c>
      <c r="F426" s="89">
        <v>40613</v>
      </c>
      <c r="G426" s="65" t="str">
        <f>IF(stdProdLT(Main[[#This Row],[Comments]])=0.1,"N/A",IF(stdProdLT(Main[[#This Row],[Comments]])=0,"",TRIM(stdProdLT(Main[[#This Row],[Comments]]))))</f>
        <v/>
      </c>
      <c r="H426" s="98" t="str">
        <f>IF(Main[[#This Row],[Std. Prod. Lead Time]]="N/A", "",IF(AND(Main[[#This Row],[In Stock Date]]&lt;&gt;"",Main[[#This Row],[Revised Due Date]]&lt;&gt;"",Main[[#This Row],[In Stock Date]]&lt;&gt;""),Main[[#This Row],[In Stock Date]]-Main[[#This Row],[Revised Due Date]],""))</f>
        <v/>
      </c>
      <c r="I426" s="110" t="s">
        <v>912</v>
      </c>
      <c r="J426" s="99" t="s">
        <v>52</v>
      </c>
      <c r="K426" s="99" t="s">
        <v>1922</v>
      </c>
      <c r="L426" s="89"/>
      <c r="M426" s="75" t="str">
        <f>IF(Main[[#This Row],[Tech Start Date]]&lt;1/1/1990,"",IF(Main[[#This Row],[Class]]="C",WORKDAY(Main[[#This Row],[Tech Start Date]],9),IF(Main[[#This Row],[Class]]="B", WORKDAY(Main[[#This Row],[Tech Start Date]],6),IF(Main[[#This Row],[Class]]="A",WORKDAY(Main[[#This Row],[Tech Start Date]],2),""))))</f>
        <v/>
      </c>
      <c r="N426" s="75" t="str">
        <f>IF(Main[[#This Row],[Tech Start Date]]&lt;1/1/1990,"",IF(Main[[#This Row],[Class]]="C",WORKDAY(Main[[#This Row],[Tech Start Date]],19),IF(Main[[#This Row],[Class]]="B", WORKDAY(Main[[#This Row],[Tech Start Date]],12),IF(Main[[#This Row],[Class]]="A",WORKDAY(Main[[#This Row],[Tech Start Date]],4),""))))</f>
        <v/>
      </c>
      <c r="O426" s="75" t="str">
        <f>IF(Main[[#This Row],[Tech Start Date]]&lt;1/1/1990,"",IF(Main[[#This Row],[Class]]="C",WORKDAY(Main[[#This Row],[Tech Start Date]],23),IF(Main[[#This Row],[Class]]="B", WORKDAY(Main[[#This Row],[Tech Start Date]],15),IF(Main[[#This Row],[Class]]="A",WORKDAY(Main[[#This Row],[Tech Start Date]],5),""))))</f>
        <v/>
      </c>
      <c r="P426" s="75" t="str">
        <f>IF(Main[[#This Row],[Tech Start Date]]&lt;1/1/1990,"",IF(Main[[#This Row],[Class]]="C",WORKDAY(Main[[#This Row],[Tech Start Date]],28),IF(Main[[#This Row],[Class]]="B", WORKDAY(Main[[#This Row],[Tech Start Date]],19),IF(Main[[#This Row],[Class]]="A",WORKDAY(Main[[#This Row],[Tech Start Date]],9),""))))</f>
        <v/>
      </c>
      <c r="Q426" s="89">
        <v>40613</v>
      </c>
      <c r="R426" s="121"/>
      <c r="S426" s="99" t="s">
        <v>6</v>
      </c>
      <c r="T426" s="76" t="s">
        <v>4</v>
      </c>
      <c r="U426" s="99" t="s">
        <v>29</v>
      </c>
      <c r="V426" s="99" t="s">
        <v>1913</v>
      </c>
      <c r="W426" s="99" t="s">
        <v>1915</v>
      </c>
      <c r="X426" s="99" t="s">
        <v>2812</v>
      </c>
      <c r="Y426" s="73" t="s">
        <v>2923</v>
      </c>
      <c r="Z426" s="73" t="s">
        <v>129</v>
      </c>
      <c r="AA426" s="99" t="s">
        <v>2812</v>
      </c>
    </row>
    <row r="427" spans="1:27" ht="17.25" customHeight="1">
      <c r="A427" s="65" t="str">
        <f>IF(priority(Main[[#This Row],[Comments]])&lt;&gt;0, priority(Main[[#This Row],[Comments]]),"")</f>
        <v/>
      </c>
      <c r="B427" s="60" t="s">
        <v>2284</v>
      </c>
      <c r="C427" s="105" t="s">
        <v>4</v>
      </c>
      <c r="D427" s="74" t="s">
        <v>2361</v>
      </c>
      <c r="E427" s="89">
        <v>40813.664259259262</v>
      </c>
      <c r="F427" s="89"/>
      <c r="G427" s="65" t="str">
        <f>IF(stdProdLT(Main[[#This Row],[Comments]])=0.1,"N/A",IF(stdProdLT(Main[[#This Row],[Comments]])=0,"",TRIM(stdProdLT(Main[[#This Row],[Comments]]))))</f>
        <v/>
      </c>
      <c r="H427" s="98" t="str">
        <f>IF(Main[[#This Row],[Std. Prod. Lead Time]]="N/A", "",IF(AND(Main[[#This Row],[In Stock Date]]&lt;&gt;"",Main[[#This Row],[Revised Due Date]]&lt;&gt;"",Main[[#This Row],[In Stock Date]]&lt;&gt;""),Main[[#This Row],[In Stock Date]]-Main[[#This Row],[Revised Due Date]],""))</f>
        <v/>
      </c>
      <c r="I427" s="110" t="s">
        <v>937</v>
      </c>
      <c r="J427" s="99" t="s">
        <v>4</v>
      </c>
      <c r="K427" s="99" t="s">
        <v>4</v>
      </c>
      <c r="L427" s="89"/>
      <c r="M427" s="75" t="str">
        <f>IF(Main[[#This Row],[Tech Start Date]]&lt;1/1/1990,"",IF(Main[[#This Row],[Class]]="C",WORKDAY(Main[[#This Row],[Tech Start Date]],9),IF(Main[[#This Row],[Class]]="B", WORKDAY(Main[[#This Row],[Tech Start Date]],6),IF(Main[[#This Row],[Class]]="A",WORKDAY(Main[[#This Row],[Tech Start Date]],2),""))))</f>
        <v/>
      </c>
      <c r="N427" s="75" t="str">
        <f>IF(Main[[#This Row],[Tech Start Date]]&lt;1/1/1990,"",IF(Main[[#This Row],[Class]]="C",WORKDAY(Main[[#This Row],[Tech Start Date]],19),IF(Main[[#This Row],[Class]]="B", WORKDAY(Main[[#This Row],[Tech Start Date]],12),IF(Main[[#This Row],[Class]]="A",WORKDAY(Main[[#This Row],[Tech Start Date]],4),""))))</f>
        <v/>
      </c>
      <c r="O427" s="75" t="str">
        <f>IF(Main[[#This Row],[Tech Start Date]]&lt;1/1/1990,"",IF(Main[[#This Row],[Class]]="C",WORKDAY(Main[[#This Row],[Tech Start Date]],23),IF(Main[[#This Row],[Class]]="B", WORKDAY(Main[[#This Row],[Tech Start Date]],15),IF(Main[[#This Row],[Class]]="A",WORKDAY(Main[[#This Row],[Tech Start Date]],5),""))))</f>
        <v/>
      </c>
      <c r="P427" s="75" t="str">
        <f>IF(Main[[#This Row],[Tech Start Date]]&lt;1/1/1990,"",IF(Main[[#This Row],[Class]]="C",WORKDAY(Main[[#This Row],[Tech Start Date]],28),IF(Main[[#This Row],[Class]]="B", WORKDAY(Main[[#This Row],[Tech Start Date]],19),IF(Main[[#This Row],[Class]]="A",WORKDAY(Main[[#This Row],[Tech Start Date]],9),""))))</f>
        <v/>
      </c>
      <c r="Q427" s="89"/>
      <c r="R427" s="121">
        <v>40840</v>
      </c>
      <c r="S427" s="99" t="s">
        <v>6</v>
      </c>
      <c r="T427" s="76" t="s">
        <v>4</v>
      </c>
      <c r="U427" s="99" t="s">
        <v>7</v>
      </c>
      <c r="V427" s="99" t="s">
        <v>1913</v>
      </c>
      <c r="W427" s="99" t="s">
        <v>1917</v>
      </c>
      <c r="X427" s="99" t="s">
        <v>306</v>
      </c>
      <c r="Y427" s="73" t="s">
        <v>4</v>
      </c>
      <c r="Z427" s="73" t="s">
        <v>4</v>
      </c>
      <c r="AA427" s="99" t="s">
        <v>3397</v>
      </c>
    </row>
    <row r="428" spans="1:27" ht="17.25" customHeight="1">
      <c r="A428" s="65" t="str">
        <f>IF(priority(Main[[#This Row],[Comments]])&lt;&gt;0, priority(Main[[#This Row],[Comments]]),"")</f>
        <v/>
      </c>
      <c r="B428" s="60" t="s">
        <v>1265</v>
      </c>
      <c r="C428" s="105" t="s">
        <v>4</v>
      </c>
      <c r="D428" s="74" t="s">
        <v>334</v>
      </c>
      <c r="E428" s="89"/>
      <c r="F428" s="89"/>
      <c r="G428" s="65" t="str">
        <f>IF(stdProdLT(Main[[#This Row],[Comments]])=0.1,"N/A",IF(stdProdLT(Main[[#This Row],[Comments]])=0,"",TRIM(stdProdLT(Main[[#This Row],[Comments]]))))</f>
        <v/>
      </c>
      <c r="H428" s="98" t="str">
        <f>IF(Main[[#This Row],[Std. Prod. Lead Time]]="N/A", "",IF(AND(Main[[#This Row],[In Stock Date]]&lt;&gt;"",Main[[#This Row],[Revised Due Date]]&lt;&gt;"",Main[[#This Row],[In Stock Date]]&lt;&gt;""),Main[[#This Row],[In Stock Date]]-Main[[#This Row],[Revised Due Date]],""))</f>
        <v/>
      </c>
      <c r="I428" s="110" t="s">
        <v>4</v>
      </c>
      <c r="J428" s="99" t="s">
        <v>4</v>
      </c>
      <c r="K428" s="99" t="s">
        <v>4</v>
      </c>
      <c r="L428" s="89"/>
      <c r="M428" s="75" t="str">
        <f>IF(Main[[#This Row],[Tech Start Date]]&lt;1/1/1990,"",IF(Main[[#This Row],[Class]]="C",WORKDAY(Main[[#This Row],[Tech Start Date]],9),IF(Main[[#This Row],[Class]]="B", WORKDAY(Main[[#This Row],[Tech Start Date]],6),IF(Main[[#This Row],[Class]]="A",WORKDAY(Main[[#This Row],[Tech Start Date]],2),""))))</f>
        <v/>
      </c>
      <c r="N428" s="75" t="str">
        <f>IF(Main[[#This Row],[Tech Start Date]]&lt;1/1/1990,"",IF(Main[[#This Row],[Class]]="C",WORKDAY(Main[[#This Row],[Tech Start Date]],19),IF(Main[[#This Row],[Class]]="B", WORKDAY(Main[[#This Row],[Tech Start Date]],12),IF(Main[[#This Row],[Class]]="A",WORKDAY(Main[[#This Row],[Tech Start Date]],4),""))))</f>
        <v/>
      </c>
      <c r="O428" s="75" t="str">
        <f>IF(Main[[#This Row],[Tech Start Date]]&lt;1/1/1990,"",IF(Main[[#This Row],[Class]]="C",WORKDAY(Main[[#This Row],[Tech Start Date]],23),IF(Main[[#This Row],[Class]]="B", WORKDAY(Main[[#This Row],[Tech Start Date]],15),IF(Main[[#This Row],[Class]]="A",WORKDAY(Main[[#This Row],[Tech Start Date]],5),""))))</f>
        <v/>
      </c>
      <c r="P428" s="75" t="str">
        <f>IF(Main[[#This Row],[Tech Start Date]]&lt;1/1/1990,"",IF(Main[[#This Row],[Class]]="C",WORKDAY(Main[[#This Row],[Tech Start Date]],28),IF(Main[[#This Row],[Class]]="B", WORKDAY(Main[[#This Row],[Tech Start Date]],19),IF(Main[[#This Row],[Class]]="A",WORKDAY(Main[[#This Row],[Tech Start Date]],9),""))))</f>
        <v/>
      </c>
      <c r="Q428" s="89"/>
      <c r="R428" s="121"/>
      <c r="S428" s="99" t="s">
        <v>23</v>
      </c>
      <c r="T428" s="76" t="s">
        <v>4</v>
      </c>
      <c r="U428" s="99" t="s">
        <v>14</v>
      </c>
      <c r="V428" s="99" t="s">
        <v>1916</v>
      </c>
      <c r="W428" s="99" t="s">
        <v>1917</v>
      </c>
      <c r="X428" s="99" t="s">
        <v>399</v>
      </c>
      <c r="Y428" s="73" t="s">
        <v>4</v>
      </c>
      <c r="Z428" s="73" t="s">
        <v>4</v>
      </c>
      <c r="AA428" s="99" t="s">
        <v>3398</v>
      </c>
    </row>
    <row r="429" spans="1:27" ht="17.25" customHeight="1">
      <c r="A429" s="65" t="str">
        <f>IF(priority(Main[[#This Row],[Comments]])&lt;&gt;0, priority(Main[[#This Row],[Comments]]),"")</f>
        <v/>
      </c>
      <c r="B429" s="60" t="s">
        <v>1266</v>
      </c>
      <c r="C429" s="105" t="s">
        <v>31</v>
      </c>
      <c r="D429" s="74" t="s">
        <v>335</v>
      </c>
      <c r="E429" s="89"/>
      <c r="F429" s="89"/>
      <c r="G429" s="65" t="str">
        <f>IF(stdProdLT(Main[[#This Row],[Comments]])=0.1,"N/A",IF(stdProdLT(Main[[#This Row],[Comments]])=0,"",TRIM(stdProdLT(Main[[#This Row],[Comments]]))))</f>
        <v/>
      </c>
      <c r="H429" s="98" t="str">
        <f>IF(Main[[#This Row],[Std. Prod. Lead Time]]="N/A", "",IF(AND(Main[[#This Row],[In Stock Date]]&lt;&gt;"",Main[[#This Row],[Revised Due Date]]&lt;&gt;"",Main[[#This Row],[In Stock Date]]&lt;&gt;""),Main[[#This Row],[In Stock Date]]-Main[[#This Row],[Revised Due Date]],""))</f>
        <v/>
      </c>
      <c r="I429" s="110" t="s">
        <v>4</v>
      </c>
      <c r="J429" s="99" t="s">
        <v>4</v>
      </c>
      <c r="K429" s="99" t="s">
        <v>4</v>
      </c>
      <c r="L429" s="89"/>
      <c r="M429" s="75" t="str">
        <f>IF(Main[[#This Row],[Tech Start Date]]&lt;1/1/1990,"",IF(Main[[#This Row],[Class]]="C",WORKDAY(Main[[#This Row],[Tech Start Date]],9),IF(Main[[#This Row],[Class]]="B", WORKDAY(Main[[#This Row],[Tech Start Date]],6),IF(Main[[#This Row],[Class]]="A",WORKDAY(Main[[#This Row],[Tech Start Date]],2),""))))</f>
        <v/>
      </c>
      <c r="N429" s="75" t="str">
        <f>IF(Main[[#This Row],[Tech Start Date]]&lt;1/1/1990,"",IF(Main[[#This Row],[Class]]="C",WORKDAY(Main[[#This Row],[Tech Start Date]],19),IF(Main[[#This Row],[Class]]="B", WORKDAY(Main[[#This Row],[Tech Start Date]],12),IF(Main[[#This Row],[Class]]="A",WORKDAY(Main[[#This Row],[Tech Start Date]],4),""))))</f>
        <v/>
      </c>
      <c r="O429" s="75" t="str">
        <f>IF(Main[[#This Row],[Tech Start Date]]&lt;1/1/1990,"",IF(Main[[#This Row],[Class]]="C",WORKDAY(Main[[#This Row],[Tech Start Date]],23),IF(Main[[#This Row],[Class]]="B", WORKDAY(Main[[#This Row],[Tech Start Date]],15),IF(Main[[#This Row],[Class]]="A",WORKDAY(Main[[#This Row],[Tech Start Date]],5),""))))</f>
        <v/>
      </c>
      <c r="P429" s="75" t="str">
        <f>IF(Main[[#This Row],[Tech Start Date]]&lt;1/1/1990,"",IF(Main[[#This Row],[Class]]="C",WORKDAY(Main[[#This Row],[Tech Start Date]],28),IF(Main[[#This Row],[Class]]="B", WORKDAY(Main[[#This Row],[Tech Start Date]],19),IF(Main[[#This Row],[Class]]="A",WORKDAY(Main[[#This Row],[Tech Start Date]],9),""))))</f>
        <v/>
      </c>
      <c r="Q429" s="89">
        <v>40318</v>
      </c>
      <c r="R429" s="121"/>
      <c r="S429" s="99" t="s">
        <v>11</v>
      </c>
      <c r="T429" s="76" t="s">
        <v>4</v>
      </c>
      <c r="U429" s="99" t="s">
        <v>14</v>
      </c>
      <c r="V429" s="99" t="s">
        <v>1916</v>
      </c>
      <c r="W429" s="99" t="s">
        <v>1915</v>
      </c>
      <c r="X429" s="99" t="s">
        <v>2824</v>
      </c>
      <c r="Y429" s="73" t="s">
        <v>4</v>
      </c>
      <c r="Z429" s="73" t="s">
        <v>4</v>
      </c>
      <c r="AA429" s="99" t="s">
        <v>2824</v>
      </c>
    </row>
    <row r="430" spans="1:27" ht="17.25" customHeight="1">
      <c r="A430" s="65" t="str">
        <f>IF(priority(Main[[#This Row],[Comments]])&lt;&gt;0, priority(Main[[#This Row],[Comments]]),"")</f>
        <v/>
      </c>
      <c r="B430" s="60" t="s">
        <v>1267</v>
      </c>
      <c r="C430" s="105" t="s">
        <v>4</v>
      </c>
      <c r="D430" s="74" t="s">
        <v>336</v>
      </c>
      <c r="E430" s="89">
        <v>40542.302245370367</v>
      </c>
      <c r="F430" s="89"/>
      <c r="G430" s="65" t="str">
        <f>IF(stdProdLT(Main[[#This Row],[Comments]])=0.1,"N/A",IF(stdProdLT(Main[[#This Row],[Comments]])=0,"",TRIM(stdProdLT(Main[[#This Row],[Comments]]))))</f>
        <v/>
      </c>
      <c r="H430" s="98" t="str">
        <f>IF(Main[[#This Row],[Std. Prod. Lead Time]]="N/A", "",IF(AND(Main[[#This Row],[In Stock Date]]&lt;&gt;"",Main[[#This Row],[Revised Due Date]]&lt;&gt;"",Main[[#This Row],[In Stock Date]]&lt;&gt;""),Main[[#This Row],[In Stock Date]]-Main[[#This Row],[Revised Due Date]],""))</f>
        <v/>
      </c>
      <c r="I430" s="110" t="s">
        <v>4</v>
      </c>
      <c r="J430" s="99" t="s">
        <v>4</v>
      </c>
      <c r="K430" s="99" t="s">
        <v>1922</v>
      </c>
      <c r="L430" s="89"/>
      <c r="M430" s="75" t="str">
        <f>IF(Main[[#This Row],[Tech Start Date]]&lt;1/1/1990,"",IF(Main[[#This Row],[Class]]="C",WORKDAY(Main[[#This Row],[Tech Start Date]],9),IF(Main[[#This Row],[Class]]="B", WORKDAY(Main[[#This Row],[Tech Start Date]],6),IF(Main[[#This Row],[Class]]="A",WORKDAY(Main[[#This Row],[Tech Start Date]],2),""))))</f>
        <v/>
      </c>
      <c r="N430" s="75" t="str">
        <f>IF(Main[[#This Row],[Tech Start Date]]&lt;1/1/1990,"",IF(Main[[#This Row],[Class]]="C",WORKDAY(Main[[#This Row],[Tech Start Date]],19),IF(Main[[#This Row],[Class]]="B", WORKDAY(Main[[#This Row],[Tech Start Date]],12),IF(Main[[#This Row],[Class]]="A",WORKDAY(Main[[#This Row],[Tech Start Date]],4),""))))</f>
        <v/>
      </c>
      <c r="O430" s="75" t="str">
        <f>IF(Main[[#This Row],[Tech Start Date]]&lt;1/1/1990,"",IF(Main[[#This Row],[Class]]="C",WORKDAY(Main[[#This Row],[Tech Start Date]],23),IF(Main[[#This Row],[Class]]="B", WORKDAY(Main[[#This Row],[Tech Start Date]],15),IF(Main[[#This Row],[Class]]="A",WORKDAY(Main[[#This Row],[Tech Start Date]],5),""))))</f>
        <v/>
      </c>
      <c r="P430" s="75" t="str">
        <f>IF(Main[[#This Row],[Tech Start Date]]&lt;1/1/1990,"",IF(Main[[#This Row],[Class]]="C",WORKDAY(Main[[#This Row],[Tech Start Date]],28),IF(Main[[#This Row],[Class]]="B", WORKDAY(Main[[#This Row],[Tech Start Date]],19),IF(Main[[#This Row],[Class]]="A",WORKDAY(Main[[#This Row],[Tech Start Date]],9),""))))</f>
        <v/>
      </c>
      <c r="Q430" s="89"/>
      <c r="R430" s="121"/>
      <c r="S430" s="99" t="s">
        <v>6</v>
      </c>
      <c r="T430" s="76" t="s">
        <v>4</v>
      </c>
      <c r="U430" s="99" t="s">
        <v>29</v>
      </c>
      <c r="V430" s="99" t="s">
        <v>1913</v>
      </c>
      <c r="W430" s="99" t="s">
        <v>1917</v>
      </c>
      <c r="X430" s="99" t="s">
        <v>306</v>
      </c>
      <c r="Y430" s="73" t="s">
        <v>4</v>
      </c>
      <c r="Z430" s="73" t="s">
        <v>4</v>
      </c>
      <c r="AA430" s="99" t="s">
        <v>2862</v>
      </c>
    </row>
    <row r="431" spans="1:27" ht="17.25" customHeight="1">
      <c r="A431" s="65" t="str">
        <f>IF(priority(Main[[#This Row],[Comments]])&lt;&gt;0, priority(Main[[#This Row],[Comments]]),"")</f>
        <v/>
      </c>
      <c r="B431" s="60" t="s">
        <v>1268</v>
      </c>
      <c r="C431" s="105" t="s">
        <v>93</v>
      </c>
      <c r="D431" s="74" t="s">
        <v>337</v>
      </c>
      <c r="E431" s="89"/>
      <c r="F431" s="89">
        <v>40132</v>
      </c>
      <c r="G431" s="65" t="str">
        <f>IF(stdProdLT(Main[[#This Row],[Comments]])=0.1,"N/A",IF(stdProdLT(Main[[#This Row],[Comments]])=0,"",TRIM(stdProdLT(Main[[#This Row],[Comments]]))))</f>
        <v/>
      </c>
      <c r="H431" s="98" t="str">
        <f>IF(Main[[#This Row],[Std. Prod. Lead Time]]="N/A", "",IF(AND(Main[[#This Row],[In Stock Date]]&lt;&gt;"",Main[[#This Row],[Revised Due Date]]&lt;&gt;"",Main[[#This Row],[In Stock Date]]&lt;&gt;""),Main[[#This Row],[In Stock Date]]-Main[[#This Row],[Revised Due Date]],""))</f>
        <v/>
      </c>
      <c r="I431" s="110" t="s">
        <v>4</v>
      </c>
      <c r="J431" s="99" t="s">
        <v>4</v>
      </c>
      <c r="K431" s="99" t="s">
        <v>4</v>
      </c>
      <c r="L431" s="89"/>
      <c r="M431" s="75" t="str">
        <f>IF(Main[[#This Row],[Tech Start Date]]&lt;1/1/1990,"",IF(Main[[#This Row],[Class]]="C",WORKDAY(Main[[#This Row],[Tech Start Date]],9),IF(Main[[#This Row],[Class]]="B", WORKDAY(Main[[#This Row],[Tech Start Date]],6),IF(Main[[#This Row],[Class]]="A",WORKDAY(Main[[#This Row],[Tech Start Date]],2),""))))</f>
        <v/>
      </c>
      <c r="N431" s="75" t="str">
        <f>IF(Main[[#This Row],[Tech Start Date]]&lt;1/1/1990,"",IF(Main[[#This Row],[Class]]="C",WORKDAY(Main[[#This Row],[Tech Start Date]],19),IF(Main[[#This Row],[Class]]="B", WORKDAY(Main[[#This Row],[Tech Start Date]],12),IF(Main[[#This Row],[Class]]="A",WORKDAY(Main[[#This Row],[Tech Start Date]],4),""))))</f>
        <v/>
      </c>
      <c r="O431" s="75" t="str">
        <f>IF(Main[[#This Row],[Tech Start Date]]&lt;1/1/1990,"",IF(Main[[#This Row],[Class]]="C",WORKDAY(Main[[#This Row],[Tech Start Date]],23),IF(Main[[#This Row],[Class]]="B", WORKDAY(Main[[#This Row],[Tech Start Date]],15),IF(Main[[#This Row],[Class]]="A",WORKDAY(Main[[#This Row],[Tech Start Date]],5),""))))</f>
        <v/>
      </c>
      <c r="P431" s="75" t="str">
        <f>IF(Main[[#This Row],[Tech Start Date]]&lt;1/1/1990,"",IF(Main[[#This Row],[Class]]="C",WORKDAY(Main[[#This Row],[Tech Start Date]],28),IF(Main[[#This Row],[Class]]="B", WORKDAY(Main[[#This Row],[Tech Start Date]],19),IF(Main[[#This Row],[Class]]="A",WORKDAY(Main[[#This Row],[Tech Start Date]],9),""))))</f>
        <v/>
      </c>
      <c r="Q431" s="89">
        <v>40132</v>
      </c>
      <c r="R431" s="121"/>
      <c r="S431" s="99" t="s">
        <v>11</v>
      </c>
      <c r="T431" s="76" t="s">
        <v>4</v>
      </c>
      <c r="U431" s="99" t="s">
        <v>14</v>
      </c>
      <c r="V431" s="99" t="s">
        <v>1923</v>
      </c>
      <c r="W431" s="99" t="s">
        <v>1919</v>
      </c>
      <c r="X431" s="99" t="s">
        <v>2850</v>
      </c>
      <c r="Y431" s="73" t="s">
        <v>4</v>
      </c>
      <c r="Z431" s="73" t="s">
        <v>4</v>
      </c>
      <c r="AA431" s="99" t="s">
        <v>2850</v>
      </c>
    </row>
    <row r="432" spans="1:27" ht="17.25" customHeight="1">
      <c r="A432" s="65" t="str">
        <f>IF(priority(Main[[#This Row],[Comments]])&lt;&gt;0, priority(Main[[#This Row],[Comments]]),"")</f>
        <v/>
      </c>
      <c r="B432" s="60" t="s">
        <v>1269</v>
      </c>
      <c r="C432" s="105" t="s">
        <v>4</v>
      </c>
      <c r="D432" s="74" t="s">
        <v>338</v>
      </c>
      <c r="E432" s="89"/>
      <c r="F432" s="89"/>
      <c r="G432" s="65" t="str">
        <f>IF(stdProdLT(Main[[#This Row],[Comments]])=0.1,"N/A",IF(stdProdLT(Main[[#This Row],[Comments]])=0,"",TRIM(stdProdLT(Main[[#This Row],[Comments]]))))</f>
        <v/>
      </c>
      <c r="H432" s="98" t="str">
        <f>IF(Main[[#This Row],[Std. Prod. Lead Time]]="N/A", "",IF(AND(Main[[#This Row],[In Stock Date]]&lt;&gt;"",Main[[#This Row],[Revised Due Date]]&lt;&gt;"",Main[[#This Row],[In Stock Date]]&lt;&gt;""),Main[[#This Row],[In Stock Date]]-Main[[#This Row],[Revised Due Date]],""))</f>
        <v/>
      </c>
      <c r="I432" s="110" t="s">
        <v>4</v>
      </c>
      <c r="J432" s="99" t="s">
        <v>4</v>
      </c>
      <c r="K432" s="99" t="s">
        <v>4</v>
      </c>
      <c r="L432" s="89"/>
      <c r="M432" s="75" t="str">
        <f>IF(Main[[#This Row],[Tech Start Date]]&lt;1/1/1990,"",IF(Main[[#This Row],[Class]]="C",WORKDAY(Main[[#This Row],[Tech Start Date]],9),IF(Main[[#This Row],[Class]]="B", WORKDAY(Main[[#This Row],[Tech Start Date]],6),IF(Main[[#This Row],[Class]]="A",WORKDAY(Main[[#This Row],[Tech Start Date]],2),""))))</f>
        <v/>
      </c>
      <c r="N432" s="75" t="str">
        <f>IF(Main[[#This Row],[Tech Start Date]]&lt;1/1/1990,"",IF(Main[[#This Row],[Class]]="C",WORKDAY(Main[[#This Row],[Tech Start Date]],19),IF(Main[[#This Row],[Class]]="B", WORKDAY(Main[[#This Row],[Tech Start Date]],12),IF(Main[[#This Row],[Class]]="A",WORKDAY(Main[[#This Row],[Tech Start Date]],4),""))))</f>
        <v/>
      </c>
      <c r="O432" s="75" t="str">
        <f>IF(Main[[#This Row],[Tech Start Date]]&lt;1/1/1990,"",IF(Main[[#This Row],[Class]]="C",WORKDAY(Main[[#This Row],[Tech Start Date]],23),IF(Main[[#This Row],[Class]]="B", WORKDAY(Main[[#This Row],[Tech Start Date]],15),IF(Main[[#This Row],[Class]]="A",WORKDAY(Main[[#This Row],[Tech Start Date]],5),""))))</f>
        <v/>
      </c>
      <c r="P432" s="75" t="str">
        <f>IF(Main[[#This Row],[Tech Start Date]]&lt;1/1/1990,"",IF(Main[[#This Row],[Class]]="C",WORKDAY(Main[[#This Row],[Tech Start Date]],28),IF(Main[[#This Row],[Class]]="B", WORKDAY(Main[[#This Row],[Tech Start Date]],19),IF(Main[[#This Row],[Class]]="A",WORKDAY(Main[[#This Row],[Tech Start Date]],9),""))))</f>
        <v/>
      </c>
      <c r="Q432" s="89"/>
      <c r="R432" s="121"/>
      <c r="S432" s="99" t="s">
        <v>23</v>
      </c>
      <c r="T432" s="76" t="s">
        <v>4</v>
      </c>
      <c r="U432" s="99" t="s">
        <v>14</v>
      </c>
      <c r="V432" s="99" t="s">
        <v>1913</v>
      </c>
      <c r="W432" s="99" t="s">
        <v>1915</v>
      </c>
      <c r="X432" s="99" t="s">
        <v>102</v>
      </c>
      <c r="Y432" s="73" t="s">
        <v>4</v>
      </c>
      <c r="Z432" s="73" t="s">
        <v>4</v>
      </c>
      <c r="AA432" s="99" t="s">
        <v>4</v>
      </c>
    </row>
    <row r="433" spans="1:27" ht="17.25" customHeight="1">
      <c r="A433" s="65" t="str">
        <f>IF(priority(Main[[#This Row],[Comments]])&lt;&gt;0, priority(Main[[#This Row],[Comments]]),"")</f>
        <v/>
      </c>
      <c r="B433" s="60" t="s">
        <v>1270</v>
      </c>
      <c r="C433" s="105" t="s">
        <v>47</v>
      </c>
      <c r="D433" s="74" t="s">
        <v>339</v>
      </c>
      <c r="E433" s="89">
        <v>39937.597743055558</v>
      </c>
      <c r="F433" s="89"/>
      <c r="G433" s="65" t="str">
        <f>IF(stdProdLT(Main[[#This Row],[Comments]])=0.1,"N/A",IF(stdProdLT(Main[[#This Row],[Comments]])=0,"",TRIM(stdProdLT(Main[[#This Row],[Comments]]))))</f>
        <v/>
      </c>
      <c r="H433" s="98" t="str">
        <f>IF(Main[[#This Row],[Std. Prod. Lead Time]]="N/A", "",IF(AND(Main[[#This Row],[In Stock Date]]&lt;&gt;"",Main[[#This Row],[Revised Due Date]]&lt;&gt;"",Main[[#This Row],[In Stock Date]]&lt;&gt;""),Main[[#This Row],[In Stock Date]]-Main[[#This Row],[Revised Due Date]],""))</f>
        <v/>
      </c>
      <c r="I433" s="110" t="s">
        <v>4</v>
      </c>
      <c r="J433" s="99" t="s">
        <v>4</v>
      </c>
      <c r="K433" s="99" t="s">
        <v>4</v>
      </c>
      <c r="L433" s="89"/>
      <c r="M433" s="75" t="str">
        <f>IF(Main[[#This Row],[Tech Start Date]]&lt;1/1/1990,"",IF(Main[[#This Row],[Class]]="C",WORKDAY(Main[[#This Row],[Tech Start Date]],9),IF(Main[[#This Row],[Class]]="B", WORKDAY(Main[[#This Row],[Tech Start Date]],6),IF(Main[[#This Row],[Class]]="A",WORKDAY(Main[[#This Row],[Tech Start Date]],2),""))))</f>
        <v/>
      </c>
      <c r="N433" s="75" t="str">
        <f>IF(Main[[#This Row],[Tech Start Date]]&lt;1/1/1990,"",IF(Main[[#This Row],[Class]]="C",WORKDAY(Main[[#This Row],[Tech Start Date]],19),IF(Main[[#This Row],[Class]]="B", WORKDAY(Main[[#This Row],[Tech Start Date]],12),IF(Main[[#This Row],[Class]]="A",WORKDAY(Main[[#This Row],[Tech Start Date]],4),""))))</f>
        <v/>
      </c>
      <c r="O433" s="75" t="str">
        <f>IF(Main[[#This Row],[Tech Start Date]]&lt;1/1/1990,"",IF(Main[[#This Row],[Class]]="C",WORKDAY(Main[[#This Row],[Tech Start Date]],23),IF(Main[[#This Row],[Class]]="B", WORKDAY(Main[[#This Row],[Tech Start Date]],15),IF(Main[[#This Row],[Class]]="A",WORKDAY(Main[[#This Row],[Tech Start Date]],5),""))))</f>
        <v/>
      </c>
      <c r="P433" s="75" t="str">
        <f>IF(Main[[#This Row],[Tech Start Date]]&lt;1/1/1990,"",IF(Main[[#This Row],[Class]]="C",WORKDAY(Main[[#This Row],[Tech Start Date]],28),IF(Main[[#This Row],[Class]]="B", WORKDAY(Main[[#This Row],[Tech Start Date]],19),IF(Main[[#This Row],[Class]]="A",WORKDAY(Main[[#This Row],[Tech Start Date]],9),""))))</f>
        <v/>
      </c>
      <c r="Q433" s="89"/>
      <c r="R433" s="121"/>
      <c r="S433" s="99" t="s">
        <v>17</v>
      </c>
      <c r="T433" s="76" t="s">
        <v>4</v>
      </c>
      <c r="U433" s="99" t="s">
        <v>7</v>
      </c>
      <c r="V433" s="99" t="s">
        <v>1916</v>
      </c>
      <c r="W433" s="99" t="s">
        <v>4</v>
      </c>
      <c r="X433" s="99" t="s">
        <v>2821</v>
      </c>
      <c r="Y433" s="73" t="s">
        <v>2942</v>
      </c>
      <c r="Z433" s="73" t="s">
        <v>4</v>
      </c>
      <c r="AA433" s="99" t="s">
        <v>2821</v>
      </c>
    </row>
    <row r="434" spans="1:27" ht="17.25" customHeight="1">
      <c r="A434" s="65" t="str">
        <f>IF(priority(Main[[#This Row],[Comments]])&lt;&gt;0, priority(Main[[#This Row],[Comments]]),"")</f>
        <v/>
      </c>
      <c r="B434" s="60" t="s">
        <v>1271</v>
      </c>
      <c r="C434" s="105" t="s">
        <v>95</v>
      </c>
      <c r="D434" s="74" t="s">
        <v>340</v>
      </c>
      <c r="E434" s="89"/>
      <c r="F434" s="89">
        <v>40195</v>
      </c>
      <c r="G434" s="65" t="str">
        <f>IF(stdProdLT(Main[[#This Row],[Comments]])=0.1,"N/A",IF(stdProdLT(Main[[#This Row],[Comments]])=0,"",TRIM(stdProdLT(Main[[#This Row],[Comments]]))))</f>
        <v/>
      </c>
      <c r="H434" s="98" t="str">
        <f>IF(Main[[#This Row],[Std. Prod. Lead Time]]="N/A", "",IF(AND(Main[[#This Row],[In Stock Date]]&lt;&gt;"",Main[[#This Row],[Revised Due Date]]&lt;&gt;"",Main[[#This Row],[In Stock Date]]&lt;&gt;""),Main[[#This Row],[In Stock Date]]-Main[[#This Row],[Revised Due Date]],""))</f>
        <v/>
      </c>
      <c r="I434" s="110" t="s">
        <v>4</v>
      </c>
      <c r="J434" s="99" t="s">
        <v>4</v>
      </c>
      <c r="K434" s="99" t="s">
        <v>4</v>
      </c>
      <c r="L434" s="89"/>
      <c r="M434" s="75" t="str">
        <f>IF(Main[[#This Row],[Tech Start Date]]&lt;1/1/1990,"",IF(Main[[#This Row],[Class]]="C",WORKDAY(Main[[#This Row],[Tech Start Date]],9),IF(Main[[#This Row],[Class]]="B", WORKDAY(Main[[#This Row],[Tech Start Date]],6),IF(Main[[#This Row],[Class]]="A",WORKDAY(Main[[#This Row],[Tech Start Date]],2),""))))</f>
        <v/>
      </c>
      <c r="N434" s="75" t="str">
        <f>IF(Main[[#This Row],[Tech Start Date]]&lt;1/1/1990,"",IF(Main[[#This Row],[Class]]="C",WORKDAY(Main[[#This Row],[Tech Start Date]],19),IF(Main[[#This Row],[Class]]="B", WORKDAY(Main[[#This Row],[Tech Start Date]],12),IF(Main[[#This Row],[Class]]="A",WORKDAY(Main[[#This Row],[Tech Start Date]],4),""))))</f>
        <v/>
      </c>
      <c r="O434" s="75" t="str">
        <f>IF(Main[[#This Row],[Tech Start Date]]&lt;1/1/1990,"",IF(Main[[#This Row],[Class]]="C",WORKDAY(Main[[#This Row],[Tech Start Date]],23),IF(Main[[#This Row],[Class]]="B", WORKDAY(Main[[#This Row],[Tech Start Date]],15),IF(Main[[#This Row],[Class]]="A",WORKDAY(Main[[#This Row],[Tech Start Date]],5),""))))</f>
        <v/>
      </c>
      <c r="P434" s="75" t="str">
        <f>IF(Main[[#This Row],[Tech Start Date]]&lt;1/1/1990,"",IF(Main[[#This Row],[Class]]="C",WORKDAY(Main[[#This Row],[Tech Start Date]],28),IF(Main[[#This Row],[Class]]="B", WORKDAY(Main[[#This Row],[Tech Start Date]],19),IF(Main[[#This Row],[Class]]="A",WORKDAY(Main[[#This Row],[Tech Start Date]],9),""))))</f>
        <v/>
      </c>
      <c r="Q434" s="89">
        <v>40070</v>
      </c>
      <c r="R434" s="121"/>
      <c r="S434" s="99" t="s">
        <v>11</v>
      </c>
      <c r="T434" s="76" t="s">
        <v>4</v>
      </c>
      <c r="U434" s="99" t="s">
        <v>14</v>
      </c>
      <c r="V434" s="99" t="s">
        <v>1916</v>
      </c>
      <c r="W434" s="99" t="s">
        <v>1919</v>
      </c>
      <c r="X434" s="99" t="s">
        <v>2870</v>
      </c>
      <c r="Y434" s="73" t="s">
        <v>4</v>
      </c>
      <c r="Z434" s="73" t="s">
        <v>4</v>
      </c>
      <c r="AA434" s="99" t="s">
        <v>3399</v>
      </c>
    </row>
    <row r="435" spans="1:27" ht="17.25" customHeight="1">
      <c r="A435" s="65" t="str">
        <f>IF(priority(Main[[#This Row],[Comments]])&lt;&gt;0, priority(Main[[#This Row],[Comments]]),"")</f>
        <v/>
      </c>
      <c r="B435" s="60" t="s">
        <v>1291</v>
      </c>
      <c r="C435" s="105" t="s">
        <v>4</v>
      </c>
      <c r="D435" s="74" t="s">
        <v>342</v>
      </c>
      <c r="E435" s="89">
        <v>40704.346435185187</v>
      </c>
      <c r="F435" s="89"/>
      <c r="G435" s="65" t="str">
        <f>IF(stdProdLT(Main[[#This Row],[Comments]])=0.1,"N/A",IF(stdProdLT(Main[[#This Row],[Comments]])=0,"",TRIM(stdProdLT(Main[[#This Row],[Comments]]))))</f>
        <v/>
      </c>
      <c r="H435" s="98" t="str">
        <f>IF(Main[[#This Row],[Std. Prod. Lead Time]]="N/A", "",IF(AND(Main[[#This Row],[In Stock Date]]&lt;&gt;"",Main[[#This Row],[Revised Due Date]]&lt;&gt;"",Main[[#This Row],[In Stock Date]]&lt;&gt;""),Main[[#This Row],[In Stock Date]]-Main[[#This Row],[Revised Due Date]],""))</f>
        <v/>
      </c>
      <c r="I435" s="110" t="s">
        <v>922</v>
      </c>
      <c r="J435" s="99" t="s">
        <v>28</v>
      </c>
      <c r="K435" s="99" t="s">
        <v>4</v>
      </c>
      <c r="L435" s="89"/>
      <c r="M435" s="75" t="str">
        <f>IF(Main[[#This Row],[Tech Start Date]]&lt;1/1/1990,"",IF(Main[[#This Row],[Class]]="C",WORKDAY(Main[[#This Row],[Tech Start Date]],9),IF(Main[[#This Row],[Class]]="B", WORKDAY(Main[[#This Row],[Tech Start Date]],6),IF(Main[[#This Row],[Class]]="A",WORKDAY(Main[[#This Row],[Tech Start Date]],2),""))))</f>
        <v/>
      </c>
      <c r="N435" s="75" t="str">
        <f>IF(Main[[#This Row],[Tech Start Date]]&lt;1/1/1990,"",IF(Main[[#This Row],[Class]]="C",WORKDAY(Main[[#This Row],[Tech Start Date]],19),IF(Main[[#This Row],[Class]]="B", WORKDAY(Main[[#This Row],[Tech Start Date]],12),IF(Main[[#This Row],[Class]]="A",WORKDAY(Main[[#This Row],[Tech Start Date]],4),""))))</f>
        <v/>
      </c>
      <c r="O435" s="75" t="str">
        <f>IF(Main[[#This Row],[Tech Start Date]]&lt;1/1/1990,"",IF(Main[[#This Row],[Class]]="C",WORKDAY(Main[[#This Row],[Tech Start Date]],23),IF(Main[[#This Row],[Class]]="B", WORKDAY(Main[[#This Row],[Tech Start Date]],15),IF(Main[[#This Row],[Class]]="A",WORKDAY(Main[[#This Row],[Tech Start Date]],5),""))))</f>
        <v/>
      </c>
      <c r="P435" s="75" t="str">
        <f>IF(Main[[#This Row],[Tech Start Date]]&lt;1/1/1990,"",IF(Main[[#This Row],[Class]]="C",WORKDAY(Main[[#This Row],[Tech Start Date]],28),IF(Main[[#This Row],[Class]]="B", WORKDAY(Main[[#This Row],[Tech Start Date]],19),IF(Main[[#This Row],[Class]]="A",WORKDAY(Main[[#This Row],[Tech Start Date]],9),""))))</f>
        <v/>
      </c>
      <c r="Q435" s="89"/>
      <c r="R435" s="121">
        <v>40908</v>
      </c>
      <c r="S435" s="99" t="s">
        <v>49</v>
      </c>
      <c r="T435" s="76" t="s">
        <v>4</v>
      </c>
      <c r="U435" s="99" t="s">
        <v>7</v>
      </c>
      <c r="V435" s="99" t="s">
        <v>1928</v>
      </c>
      <c r="W435" s="99" t="s">
        <v>1915</v>
      </c>
      <c r="X435" s="99" t="s">
        <v>922</v>
      </c>
      <c r="Y435" s="73" t="s">
        <v>2976</v>
      </c>
      <c r="Z435" s="73" t="s">
        <v>2207</v>
      </c>
      <c r="AA435" s="99" t="s">
        <v>922</v>
      </c>
    </row>
    <row r="436" spans="1:27" ht="17.25" customHeight="1">
      <c r="A436" s="65" t="str">
        <f>IF(priority(Main[[#This Row],[Comments]])&lt;&gt;0, priority(Main[[#This Row],[Comments]]),"")</f>
        <v/>
      </c>
      <c r="B436" s="60" t="s">
        <v>1292</v>
      </c>
      <c r="C436" s="105" t="s">
        <v>72</v>
      </c>
      <c r="D436" s="74" t="s">
        <v>343</v>
      </c>
      <c r="E436" s="89"/>
      <c r="F436" s="89">
        <v>40106</v>
      </c>
      <c r="G436" s="65" t="str">
        <f>IF(stdProdLT(Main[[#This Row],[Comments]])=0.1,"N/A",IF(stdProdLT(Main[[#This Row],[Comments]])=0,"",TRIM(stdProdLT(Main[[#This Row],[Comments]]))))</f>
        <v/>
      </c>
      <c r="H436" s="98" t="str">
        <f>IF(Main[[#This Row],[Std. Prod. Lead Time]]="N/A", "",IF(AND(Main[[#This Row],[In Stock Date]]&lt;&gt;"",Main[[#This Row],[Revised Due Date]]&lt;&gt;"",Main[[#This Row],[In Stock Date]]&lt;&gt;""),Main[[#This Row],[In Stock Date]]-Main[[#This Row],[Revised Due Date]],""))</f>
        <v/>
      </c>
      <c r="I436" s="110" t="s">
        <v>4</v>
      </c>
      <c r="J436" s="99" t="s">
        <v>4</v>
      </c>
      <c r="K436" s="99" t="s">
        <v>4</v>
      </c>
      <c r="L436" s="89"/>
      <c r="M436" s="75" t="str">
        <f>IF(Main[[#This Row],[Tech Start Date]]&lt;1/1/1990,"",IF(Main[[#This Row],[Class]]="C",WORKDAY(Main[[#This Row],[Tech Start Date]],9),IF(Main[[#This Row],[Class]]="B", WORKDAY(Main[[#This Row],[Tech Start Date]],6),IF(Main[[#This Row],[Class]]="A",WORKDAY(Main[[#This Row],[Tech Start Date]],2),""))))</f>
        <v/>
      </c>
      <c r="N436" s="75" t="str">
        <f>IF(Main[[#This Row],[Tech Start Date]]&lt;1/1/1990,"",IF(Main[[#This Row],[Class]]="C",WORKDAY(Main[[#This Row],[Tech Start Date]],19),IF(Main[[#This Row],[Class]]="B", WORKDAY(Main[[#This Row],[Tech Start Date]],12),IF(Main[[#This Row],[Class]]="A",WORKDAY(Main[[#This Row],[Tech Start Date]],4),""))))</f>
        <v/>
      </c>
      <c r="O436" s="75" t="str">
        <f>IF(Main[[#This Row],[Tech Start Date]]&lt;1/1/1990,"",IF(Main[[#This Row],[Class]]="C",WORKDAY(Main[[#This Row],[Tech Start Date]],23),IF(Main[[#This Row],[Class]]="B", WORKDAY(Main[[#This Row],[Tech Start Date]],15),IF(Main[[#This Row],[Class]]="A",WORKDAY(Main[[#This Row],[Tech Start Date]],5),""))))</f>
        <v/>
      </c>
      <c r="P436" s="75" t="str">
        <f>IF(Main[[#This Row],[Tech Start Date]]&lt;1/1/1990,"",IF(Main[[#This Row],[Class]]="C",WORKDAY(Main[[#This Row],[Tech Start Date]],28),IF(Main[[#This Row],[Class]]="B", WORKDAY(Main[[#This Row],[Tech Start Date]],19),IF(Main[[#This Row],[Class]]="A",WORKDAY(Main[[#This Row],[Tech Start Date]],9),""))))</f>
        <v/>
      </c>
      <c r="Q436" s="89">
        <v>39986</v>
      </c>
      <c r="R436" s="121"/>
      <c r="S436" s="99" t="s">
        <v>11</v>
      </c>
      <c r="T436" s="76" t="s">
        <v>4</v>
      </c>
      <c r="U436" s="99" t="s">
        <v>14</v>
      </c>
      <c r="V436" s="99" t="s">
        <v>1914</v>
      </c>
      <c r="W436" s="99" t="s">
        <v>1918</v>
      </c>
      <c r="X436" s="99" t="s">
        <v>2818</v>
      </c>
      <c r="Y436" s="73" t="s">
        <v>2937</v>
      </c>
      <c r="Z436" s="73" t="s">
        <v>4</v>
      </c>
      <c r="AA436" s="99" t="s">
        <v>2818</v>
      </c>
    </row>
    <row r="437" spans="1:27" ht="17.25" customHeight="1">
      <c r="A437" s="65" t="str">
        <f>IF(priority(Main[[#This Row],[Comments]])&lt;&gt;0, priority(Main[[#This Row],[Comments]]),"")</f>
        <v/>
      </c>
      <c r="B437" s="60" t="s">
        <v>1293</v>
      </c>
      <c r="C437" s="105" t="s">
        <v>4</v>
      </c>
      <c r="D437" s="74" t="s">
        <v>344</v>
      </c>
      <c r="E437" s="89"/>
      <c r="F437" s="89"/>
      <c r="G437" s="65" t="str">
        <f>IF(stdProdLT(Main[[#This Row],[Comments]])=0.1,"N/A",IF(stdProdLT(Main[[#This Row],[Comments]])=0,"",TRIM(stdProdLT(Main[[#This Row],[Comments]]))))</f>
        <v/>
      </c>
      <c r="H437" s="98" t="str">
        <f>IF(Main[[#This Row],[Std. Prod. Lead Time]]="N/A", "",IF(AND(Main[[#This Row],[In Stock Date]]&lt;&gt;"",Main[[#This Row],[Revised Due Date]]&lt;&gt;"",Main[[#This Row],[In Stock Date]]&lt;&gt;""),Main[[#This Row],[In Stock Date]]-Main[[#This Row],[Revised Due Date]],""))</f>
        <v/>
      </c>
      <c r="I437" s="110" t="s">
        <v>4</v>
      </c>
      <c r="J437" s="99" t="s">
        <v>4</v>
      </c>
      <c r="K437" s="99" t="s">
        <v>4</v>
      </c>
      <c r="L437" s="89"/>
      <c r="M437" s="75" t="str">
        <f>IF(Main[[#This Row],[Tech Start Date]]&lt;1/1/1990,"",IF(Main[[#This Row],[Class]]="C",WORKDAY(Main[[#This Row],[Tech Start Date]],9),IF(Main[[#This Row],[Class]]="B", WORKDAY(Main[[#This Row],[Tech Start Date]],6),IF(Main[[#This Row],[Class]]="A",WORKDAY(Main[[#This Row],[Tech Start Date]],2),""))))</f>
        <v/>
      </c>
      <c r="N437" s="75" t="str">
        <f>IF(Main[[#This Row],[Tech Start Date]]&lt;1/1/1990,"",IF(Main[[#This Row],[Class]]="C",WORKDAY(Main[[#This Row],[Tech Start Date]],19),IF(Main[[#This Row],[Class]]="B", WORKDAY(Main[[#This Row],[Tech Start Date]],12),IF(Main[[#This Row],[Class]]="A",WORKDAY(Main[[#This Row],[Tech Start Date]],4),""))))</f>
        <v/>
      </c>
      <c r="O437" s="75" t="str">
        <f>IF(Main[[#This Row],[Tech Start Date]]&lt;1/1/1990,"",IF(Main[[#This Row],[Class]]="C",WORKDAY(Main[[#This Row],[Tech Start Date]],23),IF(Main[[#This Row],[Class]]="B", WORKDAY(Main[[#This Row],[Tech Start Date]],15),IF(Main[[#This Row],[Class]]="A",WORKDAY(Main[[#This Row],[Tech Start Date]],5),""))))</f>
        <v/>
      </c>
      <c r="P437" s="75" t="str">
        <f>IF(Main[[#This Row],[Tech Start Date]]&lt;1/1/1990,"",IF(Main[[#This Row],[Class]]="C",WORKDAY(Main[[#This Row],[Tech Start Date]],28),IF(Main[[#This Row],[Class]]="B", WORKDAY(Main[[#This Row],[Tech Start Date]],19),IF(Main[[#This Row],[Class]]="A",WORKDAY(Main[[#This Row],[Tech Start Date]],9),""))))</f>
        <v/>
      </c>
      <c r="Q437" s="89"/>
      <c r="R437" s="121"/>
      <c r="S437" s="99" t="s">
        <v>6</v>
      </c>
      <c r="T437" s="76" t="s">
        <v>4</v>
      </c>
      <c r="U437" s="99" t="s">
        <v>12</v>
      </c>
      <c r="V437" s="99" t="s">
        <v>1913</v>
      </c>
      <c r="W437" s="99" t="s">
        <v>1917</v>
      </c>
      <c r="X437" s="99" t="s">
        <v>708</v>
      </c>
      <c r="Y437" s="73" t="s">
        <v>3016</v>
      </c>
      <c r="Z437" s="73" t="s">
        <v>4</v>
      </c>
      <c r="AA437" s="99" t="s">
        <v>3394</v>
      </c>
    </row>
    <row r="438" spans="1:27" ht="17.25" customHeight="1">
      <c r="A438" s="65" t="str">
        <f>IF(priority(Main[[#This Row],[Comments]])&lt;&gt;0, priority(Main[[#This Row],[Comments]]),"")</f>
        <v/>
      </c>
      <c r="B438" s="60" t="s">
        <v>1272</v>
      </c>
      <c r="C438" s="105" t="s">
        <v>79</v>
      </c>
      <c r="D438" s="74" t="s">
        <v>345</v>
      </c>
      <c r="E438" s="89">
        <v>40072.642395833333</v>
      </c>
      <c r="F438" s="89">
        <v>40116</v>
      </c>
      <c r="G438" s="65" t="str">
        <f>IF(stdProdLT(Main[[#This Row],[Comments]])=0.1,"N/A",IF(stdProdLT(Main[[#This Row],[Comments]])=0,"",TRIM(stdProdLT(Main[[#This Row],[Comments]]))))</f>
        <v/>
      </c>
      <c r="H438" s="98" t="str">
        <f>IF(Main[[#This Row],[Std. Prod. Lead Time]]="N/A", "",IF(AND(Main[[#This Row],[In Stock Date]]&lt;&gt;"",Main[[#This Row],[Revised Due Date]]&lt;&gt;"",Main[[#This Row],[In Stock Date]]&lt;&gt;""),Main[[#This Row],[In Stock Date]]-Main[[#This Row],[Revised Due Date]],""))</f>
        <v/>
      </c>
      <c r="I438" s="110" t="s">
        <v>4</v>
      </c>
      <c r="J438" s="99" t="s">
        <v>4</v>
      </c>
      <c r="K438" s="100" t="s">
        <v>4</v>
      </c>
      <c r="L438" s="89"/>
      <c r="M438" s="75" t="str">
        <f>IF(Main[[#This Row],[Tech Start Date]]&lt;1/1/1990,"",IF(Main[[#This Row],[Class]]="C",WORKDAY(Main[[#This Row],[Tech Start Date]],9),IF(Main[[#This Row],[Class]]="B", WORKDAY(Main[[#This Row],[Tech Start Date]],6),IF(Main[[#This Row],[Class]]="A",WORKDAY(Main[[#This Row],[Tech Start Date]],2),""))))</f>
        <v/>
      </c>
      <c r="N438" s="75" t="str">
        <f>IF(Main[[#This Row],[Tech Start Date]]&lt;1/1/1990,"",IF(Main[[#This Row],[Class]]="C",WORKDAY(Main[[#This Row],[Tech Start Date]],19),IF(Main[[#This Row],[Class]]="B", WORKDAY(Main[[#This Row],[Tech Start Date]],12),IF(Main[[#This Row],[Class]]="A",WORKDAY(Main[[#This Row],[Tech Start Date]],4),""))))</f>
        <v/>
      </c>
      <c r="O438" s="75" t="str">
        <f>IF(Main[[#This Row],[Tech Start Date]]&lt;1/1/1990,"",IF(Main[[#This Row],[Class]]="C",WORKDAY(Main[[#This Row],[Tech Start Date]],23),IF(Main[[#This Row],[Class]]="B", WORKDAY(Main[[#This Row],[Tech Start Date]],15),IF(Main[[#This Row],[Class]]="A",WORKDAY(Main[[#This Row],[Tech Start Date]],5),""))))</f>
        <v/>
      </c>
      <c r="P438" s="75" t="str">
        <f>IF(Main[[#This Row],[Tech Start Date]]&lt;1/1/1990,"",IF(Main[[#This Row],[Class]]="C",WORKDAY(Main[[#This Row],[Tech Start Date]],28),IF(Main[[#This Row],[Class]]="B", WORKDAY(Main[[#This Row],[Tech Start Date]],19),IF(Main[[#This Row],[Class]]="A",WORKDAY(Main[[#This Row],[Tech Start Date]],9),""))))</f>
        <v/>
      </c>
      <c r="Q438" s="89"/>
      <c r="R438" s="121"/>
      <c r="S438" s="99" t="s">
        <v>17</v>
      </c>
      <c r="T438" s="76" t="s">
        <v>4</v>
      </c>
      <c r="U438" s="99" t="s">
        <v>7</v>
      </c>
      <c r="V438" s="99" t="s">
        <v>1913</v>
      </c>
      <c r="W438" s="99" t="s">
        <v>1917</v>
      </c>
      <c r="X438" s="99" t="s">
        <v>2855</v>
      </c>
      <c r="Y438" s="73" t="s">
        <v>2950</v>
      </c>
      <c r="Z438" s="73" t="s">
        <v>4</v>
      </c>
      <c r="AA438" s="99" t="s">
        <v>2855</v>
      </c>
    </row>
    <row r="439" spans="1:27" ht="17.25" customHeight="1">
      <c r="A439" s="65" t="str">
        <f>IF(priority(Main[[#This Row],[Comments]])&lt;&gt;0, priority(Main[[#This Row],[Comments]]),"")</f>
        <v/>
      </c>
      <c r="B439" s="60" t="s">
        <v>1273</v>
      </c>
      <c r="C439" s="105" t="s">
        <v>4</v>
      </c>
      <c r="D439" s="74" t="s">
        <v>346</v>
      </c>
      <c r="E439" s="89">
        <v>40422.66909722222</v>
      </c>
      <c r="F439" s="89"/>
      <c r="G439" s="65" t="str">
        <f>IF(stdProdLT(Main[[#This Row],[Comments]])=0.1,"N/A",IF(stdProdLT(Main[[#This Row],[Comments]])=0,"",TRIM(stdProdLT(Main[[#This Row],[Comments]]))))</f>
        <v/>
      </c>
      <c r="H439" s="98" t="str">
        <f>IF(Main[[#This Row],[Std. Prod. Lead Time]]="N/A", "",IF(AND(Main[[#This Row],[In Stock Date]]&lt;&gt;"",Main[[#This Row],[Revised Due Date]]&lt;&gt;"",Main[[#This Row],[In Stock Date]]&lt;&gt;""),Main[[#This Row],[In Stock Date]]-Main[[#This Row],[Revised Due Date]],""))</f>
        <v/>
      </c>
      <c r="I439" s="110" t="s">
        <v>4</v>
      </c>
      <c r="J439" s="99" t="s">
        <v>28</v>
      </c>
      <c r="K439" s="99" t="s">
        <v>4</v>
      </c>
      <c r="L439" s="89"/>
      <c r="M439" s="75" t="str">
        <f>IF(Main[[#This Row],[Tech Start Date]]&lt;1/1/1990,"",IF(Main[[#This Row],[Class]]="C",WORKDAY(Main[[#This Row],[Tech Start Date]],9),IF(Main[[#This Row],[Class]]="B", WORKDAY(Main[[#This Row],[Tech Start Date]],6),IF(Main[[#This Row],[Class]]="A",WORKDAY(Main[[#This Row],[Tech Start Date]],2),""))))</f>
        <v/>
      </c>
      <c r="N439" s="75" t="str">
        <f>IF(Main[[#This Row],[Tech Start Date]]&lt;1/1/1990,"",IF(Main[[#This Row],[Class]]="C",WORKDAY(Main[[#This Row],[Tech Start Date]],19),IF(Main[[#This Row],[Class]]="B", WORKDAY(Main[[#This Row],[Tech Start Date]],12),IF(Main[[#This Row],[Class]]="A",WORKDAY(Main[[#This Row],[Tech Start Date]],4),""))))</f>
        <v/>
      </c>
      <c r="O439" s="75" t="str">
        <f>IF(Main[[#This Row],[Tech Start Date]]&lt;1/1/1990,"",IF(Main[[#This Row],[Class]]="C",WORKDAY(Main[[#This Row],[Tech Start Date]],23),IF(Main[[#This Row],[Class]]="B", WORKDAY(Main[[#This Row],[Tech Start Date]],15),IF(Main[[#This Row],[Class]]="A",WORKDAY(Main[[#This Row],[Tech Start Date]],5),""))))</f>
        <v/>
      </c>
      <c r="P439" s="75" t="str">
        <f>IF(Main[[#This Row],[Tech Start Date]]&lt;1/1/1990,"",IF(Main[[#This Row],[Class]]="C",WORKDAY(Main[[#This Row],[Tech Start Date]],28),IF(Main[[#This Row],[Class]]="B", WORKDAY(Main[[#This Row],[Tech Start Date]],19),IF(Main[[#This Row],[Class]]="A",WORKDAY(Main[[#This Row],[Tech Start Date]],9),""))))</f>
        <v/>
      </c>
      <c r="Q439" s="89"/>
      <c r="R439" s="121"/>
      <c r="S439" s="99" t="s">
        <v>6</v>
      </c>
      <c r="T439" s="76" t="s">
        <v>4</v>
      </c>
      <c r="U439" s="99" t="s">
        <v>29</v>
      </c>
      <c r="V439" s="99" t="s">
        <v>1913</v>
      </c>
      <c r="W439" s="99" t="s">
        <v>1917</v>
      </c>
      <c r="X439" s="99" t="s">
        <v>399</v>
      </c>
      <c r="Y439" s="73" t="s">
        <v>3017</v>
      </c>
      <c r="Z439" s="73" t="s">
        <v>129</v>
      </c>
      <c r="AA439" s="99" t="s">
        <v>3371</v>
      </c>
    </row>
    <row r="440" spans="1:27" ht="17.25" customHeight="1">
      <c r="A440" s="65" t="str">
        <f>IF(priority(Main[[#This Row],[Comments]])&lt;&gt;0, priority(Main[[#This Row],[Comments]]),"")</f>
        <v/>
      </c>
      <c r="B440" s="60" t="s">
        <v>1274</v>
      </c>
      <c r="C440" s="105" t="s">
        <v>347</v>
      </c>
      <c r="D440" s="74" t="s">
        <v>348</v>
      </c>
      <c r="E440" s="89"/>
      <c r="F440" s="89"/>
      <c r="G440" s="65" t="str">
        <f>IF(stdProdLT(Main[[#This Row],[Comments]])=0.1,"N/A",IF(stdProdLT(Main[[#This Row],[Comments]])=0,"",TRIM(stdProdLT(Main[[#This Row],[Comments]]))))</f>
        <v/>
      </c>
      <c r="H440" s="98" t="str">
        <f>IF(Main[[#This Row],[Std. Prod. Lead Time]]="N/A", "",IF(AND(Main[[#This Row],[In Stock Date]]&lt;&gt;"",Main[[#This Row],[Revised Due Date]]&lt;&gt;"",Main[[#This Row],[In Stock Date]]&lt;&gt;""),Main[[#This Row],[In Stock Date]]-Main[[#This Row],[Revised Due Date]],""))</f>
        <v/>
      </c>
      <c r="I440" s="110" t="s">
        <v>4</v>
      </c>
      <c r="J440" s="99" t="s">
        <v>4</v>
      </c>
      <c r="K440" s="99" t="s">
        <v>4</v>
      </c>
      <c r="L440" s="89"/>
      <c r="M440" s="75" t="str">
        <f>IF(Main[[#This Row],[Tech Start Date]]&lt;1/1/1990,"",IF(Main[[#This Row],[Class]]="C",WORKDAY(Main[[#This Row],[Tech Start Date]],9),IF(Main[[#This Row],[Class]]="B", WORKDAY(Main[[#This Row],[Tech Start Date]],6),IF(Main[[#This Row],[Class]]="A",WORKDAY(Main[[#This Row],[Tech Start Date]],2),""))))</f>
        <v/>
      </c>
      <c r="N440" s="75" t="str">
        <f>IF(Main[[#This Row],[Tech Start Date]]&lt;1/1/1990,"",IF(Main[[#This Row],[Class]]="C",WORKDAY(Main[[#This Row],[Tech Start Date]],19),IF(Main[[#This Row],[Class]]="B", WORKDAY(Main[[#This Row],[Tech Start Date]],12),IF(Main[[#This Row],[Class]]="A",WORKDAY(Main[[#This Row],[Tech Start Date]],4),""))))</f>
        <v/>
      </c>
      <c r="O440" s="75" t="str">
        <f>IF(Main[[#This Row],[Tech Start Date]]&lt;1/1/1990,"",IF(Main[[#This Row],[Class]]="C",WORKDAY(Main[[#This Row],[Tech Start Date]],23),IF(Main[[#This Row],[Class]]="B", WORKDAY(Main[[#This Row],[Tech Start Date]],15),IF(Main[[#This Row],[Class]]="A",WORKDAY(Main[[#This Row],[Tech Start Date]],5),""))))</f>
        <v/>
      </c>
      <c r="P440" s="75" t="str">
        <f>IF(Main[[#This Row],[Tech Start Date]]&lt;1/1/1990,"",IF(Main[[#This Row],[Class]]="C",WORKDAY(Main[[#This Row],[Tech Start Date]],28),IF(Main[[#This Row],[Class]]="B", WORKDAY(Main[[#This Row],[Tech Start Date]],19),IF(Main[[#This Row],[Class]]="A",WORKDAY(Main[[#This Row],[Tech Start Date]],9),""))))</f>
        <v/>
      </c>
      <c r="Q440" s="89"/>
      <c r="R440" s="121"/>
      <c r="S440" s="99" t="s">
        <v>11</v>
      </c>
      <c r="T440" s="76" t="s">
        <v>4</v>
      </c>
      <c r="U440" s="99" t="s">
        <v>14</v>
      </c>
      <c r="V440" s="99" t="s">
        <v>1914</v>
      </c>
      <c r="W440" s="99" t="s">
        <v>1918</v>
      </c>
      <c r="X440" s="99" t="s">
        <v>306</v>
      </c>
      <c r="Y440" s="73" t="s">
        <v>2935</v>
      </c>
      <c r="Z440" s="73" t="s">
        <v>4</v>
      </c>
      <c r="AA440" s="99" t="s">
        <v>306</v>
      </c>
    </row>
    <row r="441" spans="1:27" ht="17.25" customHeight="1">
      <c r="A441" s="65" t="str">
        <f>IF(priority(Main[[#This Row],[Comments]])&lt;&gt;0, priority(Main[[#This Row],[Comments]]),"")</f>
        <v/>
      </c>
      <c r="B441" s="60" t="s">
        <v>2367</v>
      </c>
      <c r="C441" s="105" t="s">
        <v>4</v>
      </c>
      <c r="D441" s="74" t="s">
        <v>2368</v>
      </c>
      <c r="E441" s="89">
        <v>40869.35837962963</v>
      </c>
      <c r="F441" s="89"/>
      <c r="G441" s="65" t="str">
        <f>IF(stdProdLT(Main[[#This Row],[Comments]])=0.1,"N/A",IF(stdProdLT(Main[[#This Row],[Comments]])=0,"",TRIM(stdProdLT(Main[[#This Row],[Comments]]))))</f>
        <v/>
      </c>
      <c r="H441" s="98" t="str">
        <f>IF(Main[[#This Row],[Std. Prod. Lead Time]]="N/A", "",IF(AND(Main[[#This Row],[In Stock Date]]&lt;&gt;"",Main[[#This Row],[Revised Due Date]]&lt;&gt;"",Main[[#This Row],[In Stock Date]]&lt;&gt;""),Main[[#This Row],[In Stock Date]]-Main[[#This Row],[Revised Due Date]],""))</f>
        <v/>
      </c>
      <c r="I441" s="110" t="s">
        <v>4</v>
      </c>
      <c r="J441" s="99" t="s">
        <v>4</v>
      </c>
      <c r="K441" s="99" t="s">
        <v>4</v>
      </c>
      <c r="L441" s="89"/>
      <c r="M441" s="75" t="str">
        <f>IF(Main[[#This Row],[Tech Start Date]]&lt;1/1/1990,"",IF(Main[[#This Row],[Class]]="C",WORKDAY(Main[[#This Row],[Tech Start Date]],9),IF(Main[[#This Row],[Class]]="B", WORKDAY(Main[[#This Row],[Tech Start Date]],6),IF(Main[[#This Row],[Class]]="A",WORKDAY(Main[[#This Row],[Tech Start Date]],2),""))))</f>
        <v/>
      </c>
      <c r="N441" s="75" t="str">
        <f>IF(Main[[#This Row],[Tech Start Date]]&lt;1/1/1990,"",IF(Main[[#This Row],[Class]]="C",WORKDAY(Main[[#This Row],[Tech Start Date]],19),IF(Main[[#This Row],[Class]]="B", WORKDAY(Main[[#This Row],[Tech Start Date]],12),IF(Main[[#This Row],[Class]]="A",WORKDAY(Main[[#This Row],[Tech Start Date]],4),""))))</f>
        <v/>
      </c>
      <c r="O441" s="75" t="str">
        <f>IF(Main[[#This Row],[Tech Start Date]]&lt;1/1/1990,"",IF(Main[[#This Row],[Class]]="C",WORKDAY(Main[[#This Row],[Tech Start Date]],23),IF(Main[[#This Row],[Class]]="B", WORKDAY(Main[[#This Row],[Tech Start Date]],15),IF(Main[[#This Row],[Class]]="A",WORKDAY(Main[[#This Row],[Tech Start Date]],5),""))))</f>
        <v/>
      </c>
      <c r="P441" s="75" t="str">
        <f>IF(Main[[#This Row],[Tech Start Date]]&lt;1/1/1990,"",IF(Main[[#This Row],[Class]]="C",WORKDAY(Main[[#This Row],[Tech Start Date]],28),IF(Main[[#This Row],[Class]]="B", WORKDAY(Main[[#This Row],[Tech Start Date]],19),IF(Main[[#This Row],[Class]]="A",WORKDAY(Main[[#This Row],[Tech Start Date]],9),""))))</f>
        <v/>
      </c>
      <c r="Q441" s="89"/>
      <c r="R441" s="121"/>
      <c r="S441" s="99" t="s">
        <v>6</v>
      </c>
      <c r="T441" s="76" t="s">
        <v>4</v>
      </c>
      <c r="U441" s="99" t="s">
        <v>29</v>
      </c>
      <c r="V441" s="99" t="s">
        <v>1914</v>
      </c>
      <c r="W441" s="99" t="s">
        <v>1915</v>
      </c>
      <c r="X441" s="99" t="s">
        <v>102</v>
      </c>
      <c r="Y441" s="73" t="s">
        <v>3018</v>
      </c>
      <c r="Z441" s="73" t="s">
        <v>4</v>
      </c>
      <c r="AA441" s="99" t="s">
        <v>3400</v>
      </c>
    </row>
    <row r="442" spans="1:27" ht="17.25" customHeight="1">
      <c r="A442" s="65" t="str">
        <f>IF(priority(Main[[#This Row],[Comments]])&lt;&gt;0, priority(Main[[#This Row],[Comments]]),"")</f>
        <v/>
      </c>
      <c r="B442" s="60" t="s">
        <v>1275</v>
      </c>
      <c r="C442" s="105" t="s">
        <v>93</v>
      </c>
      <c r="D442" s="74" t="s">
        <v>349</v>
      </c>
      <c r="E442" s="89"/>
      <c r="F442" s="89"/>
      <c r="G442" s="65" t="str">
        <f>IF(stdProdLT(Main[[#This Row],[Comments]])=0.1,"N/A",IF(stdProdLT(Main[[#This Row],[Comments]])=0,"",TRIM(stdProdLT(Main[[#This Row],[Comments]]))))</f>
        <v/>
      </c>
      <c r="H442" s="98" t="str">
        <f>IF(Main[[#This Row],[Std. Prod. Lead Time]]="N/A", "",IF(AND(Main[[#This Row],[In Stock Date]]&lt;&gt;"",Main[[#This Row],[Revised Due Date]]&lt;&gt;"",Main[[#This Row],[In Stock Date]]&lt;&gt;""),Main[[#This Row],[In Stock Date]]-Main[[#This Row],[Revised Due Date]],""))</f>
        <v/>
      </c>
      <c r="I442" s="110" t="s">
        <v>4</v>
      </c>
      <c r="J442" s="99" t="s">
        <v>4</v>
      </c>
      <c r="K442" s="99" t="s">
        <v>4</v>
      </c>
      <c r="L442" s="89"/>
      <c r="M442" s="75" t="str">
        <f>IF(Main[[#This Row],[Tech Start Date]]&lt;1/1/1990,"",IF(Main[[#This Row],[Class]]="C",WORKDAY(Main[[#This Row],[Tech Start Date]],9),IF(Main[[#This Row],[Class]]="B", WORKDAY(Main[[#This Row],[Tech Start Date]],6),IF(Main[[#This Row],[Class]]="A",WORKDAY(Main[[#This Row],[Tech Start Date]],2),""))))</f>
        <v/>
      </c>
      <c r="N442" s="75" t="str">
        <f>IF(Main[[#This Row],[Tech Start Date]]&lt;1/1/1990,"",IF(Main[[#This Row],[Class]]="C",WORKDAY(Main[[#This Row],[Tech Start Date]],19),IF(Main[[#This Row],[Class]]="B", WORKDAY(Main[[#This Row],[Tech Start Date]],12),IF(Main[[#This Row],[Class]]="A",WORKDAY(Main[[#This Row],[Tech Start Date]],4),""))))</f>
        <v/>
      </c>
      <c r="O442" s="75" t="str">
        <f>IF(Main[[#This Row],[Tech Start Date]]&lt;1/1/1990,"",IF(Main[[#This Row],[Class]]="C",WORKDAY(Main[[#This Row],[Tech Start Date]],23),IF(Main[[#This Row],[Class]]="B", WORKDAY(Main[[#This Row],[Tech Start Date]],15),IF(Main[[#This Row],[Class]]="A",WORKDAY(Main[[#This Row],[Tech Start Date]],5),""))))</f>
        <v/>
      </c>
      <c r="P442" s="75" t="str">
        <f>IF(Main[[#This Row],[Tech Start Date]]&lt;1/1/1990,"",IF(Main[[#This Row],[Class]]="C",WORKDAY(Main[[#This Row],[Tech Start Date]],28),IF(Main[[#This Row],[Class]]="B", WORKDAY(Main[[#This Row],[Tech Start Date]],19),IF(Main[[#This Row],[Class]]="A",WORKDAY(Main[[#This Row],[Tech Start Date]],9),""))))</f>
        <v/>
      </c>
      <c r="Q442" s="89"/>
      <c r="R442" s="121"/>
      <c r="S442" s="99" t="s">
        <v>11</v>
      </c>
      <c r="T442" s="76" t="s">
        <v>4</v>
      </c>
      <c r="U442" s="99" t="s">
        <v>14</v>
      </c>
      <c r="V442" s="99" t="s">
        <v>1916</v>
      </c>
      <c r="W442" s="99" t="s">
        <v>1919</v>
      </c>
      <c r="X442" s="99" t="s">
        <v>2847</v>
      </c>
      <c r="Y442" s="73" t="s">
        <v>2985</v>
      </c>
      <c r="Z442" s="73" t="s">
        <v>4</v>
      </c>
      <c r="AA442" s="99" t="s">
        <v>2847</v>
      </c>
    </row>
    <row r="443" spans="1:27" ht="17.25" customHeight="1">
      <c r="A443" s="65" t="str">
        <f>IF(priority(Main[[#This Row],[Comments]])&lt;&gt;0, priority(Main[[#This Row],[Comments]]),"")</f>
        <v/>
      </c>
      <c r="B443" s="60" t="s">
        <v>1277</v>
      </c>
      <c r="C443" s="105" t="s">
        <v>4</v>
      </c>
      <c r="D443" s="74" t="s">
        <v>350</v>
      </c>
      <c r="E443" s="89"/>
      <c r="F443" s="89"/>
      <c r="G443" s="65" t="str">
        <f>IF(stdProdLT(Main[[#This Row],[Comments]])=0.1,"N/A",IF(stdProdLT(Main[[#This Row],[Comments]])=0,"",TRIM(stdProdLT(Main[[#This Row],[Comments]]))))</f>
        <v/>
      </c>
      <c r="H443" s="98" t="str">
        <f>IF(Main[[#This Row],[Std. Prod. Lead Time]]="N/A", "",IF(AND(Main[[#This Row],[In Stock Date]]&lt;&gt;"",Main[[#This Row],[Revised Due Date]]&lt;&gt;"",Main[[#This Row],[In Stock Date]]&lt;&gt;""),Main[[#This Row],[In Stock Date]]-Main[[#This Row],[Revised Due Date]],""))</f>
        <v/>
      </c>
      <c r="I443" s="110" t="s">
        <v>4</v>
      </c>
      <c r="J443" s="99" t="s">
        <v>4</v>
      </c>
      <c r="K443" s="99" t="s">
        <v>4</v>
      </c>
      <c r="L443" s="89"/>
      <c r="M443" s="75" t="str">
        <f>IF(Main[[#This Row],[Tech Start Date]]&lt;1/1/1990,"",IF(Main[[#This Row],[Class]]="C",WORKDAY(Main[[#This Row],[Tech Start Date]],9),IF(Main[[#This Row],[Class]]="B", WORKDAY(Main[[#This Row],[Tech Start Date]],6),IF(Main[[#This Row],[Class]]="A",WORKDAY(Main[[#This Row],[Tech Start Date]],2),""))))</f>
        <v/>
      </c>
      <c r="N443" s="75" t="str">
        <f>IF(Main[[#This Row],[Tech Start Date]]&lt;1/1/1990,"",IF(Main[[#This Row],[Class]]="C",WORKDAY(Main[[#This Row],[Tech Start Date]],19),IF(Main[[#This Row],[Class]]="B", WORKDAY(Main[[#This Row],[Tech Start Date]],12),IF(Main[[#This Row],[Class]]="A",WORKDAY(Main[[#This Row],[Tech Start Date]],4),""))))</f>
        <v/>
      </c>
      <c r="O443" s="75" t="str">
        <f>IF(Main[[#This Row],[Tech Start Date]]&lt;1/1/1990,"",IF(Main[[#This Row],[Class]]="C",WORKDAY(Main[[#This Row],[Tech Start Date]],23),IF(Main[[#This Row],[Class]]="B", WORKDAY(Main[[#This Row],[Tech Start Date]],15),IF(Main[[#This Row],[Class]]="A",WORKDAY(Main[[#This Row],[Tech Start Date]],5),""))))</f>
        <v/>
      </c>
      <c r="P443" s="75" t="str">
        <f>IF(Main[[#This Row],[Tech Start Date]]&lt;1/1/1990,"",IF(Main[[#This Row],[Class]]="C",WORKDAY(Main[[#This Row],[Tech Start Date]],28),IF(Main[[#This Row],[Class]]="B", WORKDAY(Main[[#This Row],[Tech Start Date]],19),IF(Main[[#This Row],[Class]]="A",WORKDAY(Main[[#This Row],[Tech Start Date]],9),""))))</f>
        <v/>
      </c>
      <c r="Q443" s="89"/>
      <c r="R443" s="121"/>
      <c r="S443" s="99" t="s">
        <v>11</v>
      </c>
      <c r="T443" s="76" t="s">
        <v>4</v>
      </c>
      <c r="U443" s="99" t="s">
        <v>14</v>
      </c>
      <c r="V443" s="99" t="s">
        <v>1916</v>
      </c>
      <c r="W443" s="99" t="s">
        <v>1915</v>
      </c>
      <c r="X443" s="99" t="s">
        <v>2871</v>
      </c>
      <c r="Y443" s="73" t="s">
        <v>3019</v>
      </c>
      <c r="Z443" s="73" t="s">
        <v>4</v>
      </c>
      <c r="AA443" s="99" t="s">
        <v>2871</v>
      </c>
    </row>
    <row r="444" spans="1:27" ht="17.25" customHeight="1">
      <c r="A444" s="65" t="str">
        <f>IF(priority(Main[[#This Row],[Comments]])&lt;&gt;0, priority(Main[[#This Row],[Comments]]),"")</f>
        <v/>
      </c>
      <c r="B444" s="60" t="s">
        <v>1278</v>
      </c>
      <c r="C444" s="105" t="s">
        <v>351</v>
      </c>
      <c r="D444" s="74" t="s">
        <v>352</v>
      </c>
      <c r="E444" s="89"/>
      <c r="F444" s="89">
        <v>40452</v>
      </c>
      <c r="G444" s="65" t="str">
        <f>IF(stdProdLT(Main[[#This Row],[Comments]])=0.1,"N/A",IF(stdProdLT(Main[[#This Row],[Comments]])=0,"",TRIM(stdProdLT(Main[[#This Row],[Comments]]))))</f>
        <v/>
      </c>
      <c r="H444" s="98" t="str">
        <f>IF(Main[[#This Row],[Std. Prod. Lead Time]]="N/A", "",IF(AND(Main[[#This Row],[In Stock Date]]&lt;&gt;"",Main[[#This Row],[Revised Due Date]]&lt;&gt;"",Main[[#This Row],[In Stock Date]]&lt;&gt;""),Main[[#This Row],[In Stock Date]]-Main[[#This Row],[Revised Due Date]],""))</f>
        <v/>
      </c>
      <c r="I444" s="110" t="s">
        <v>4</v>
      </c>
      <c r="J444" s="99" t="s">
        <v>4</v>
      </c>
      <c r="K444" s="99" t="s">
        <v>4</v>
      </c>
      <c r="L444" s="89"/>
      <c r="M444" s="75" t="str">
        <f>IF(Main[[#This Row],[Tech Start Date]]&lt;1/1/1990,"",IF(Main[[#This Row],[Class]]="C",WORKDAY(Main[[#This Row],[Tech Start Date]],9),IF(Main[[#This Row],[Class]]="B", WORKDAY(Main[[#This Row],[Tech Start Date]],6),IF(Main[[#This Row],[Class]]="A",WORKDAY(Main[[#This Row],[Tech Start Date]],2),""))))</f>
        <v/>
      </c>
      <c r="N444" s="75" t="str">
        <f>IF(Main[[#This Row],[Tech Start Date]]&lt;1/1/1990,"",IF(Main[[#This Row],[Class]]="C",WORKDAY(Main[[#This Row],[Tech Start Date]],19),IF(Main[[#This Row],[Class]]="B", WORKDAY(Main[[#This Row],[Tech Start Date]],12),IF(Main[[#This Row],[Class]]="A",WORKDAY(Main[[#This Row],[Tech Start Date]],4),""))))</f>
        <v/>
      </c>
      <c r="O444" s="75" t="str">
        <f>IF(Main[[#This Row],[Tech Start Date]]&lt;1/1/1990,"",IF(Main[[#This Row],[Class]]="C",WORKDAY(Main[[#This Row],[Tech Start Date]],23),IF(Main[[#This Row],[Class]]="B", WORKDAY(Main[[#This Row],[Tech Start Date]],15),IF(Main[[#This Row],[Class]]="A",WORKDAY(Main[[#This Row],[Tech Start Date]],5),""))))</f>
        <v/>
      </c>
      <c r="P444" s="75" t="str">
        <f>IF(Main[[#This Row],[Tech Start Date]]&lt;1/1/1990,"",IF(Main[[#This Row],[Class]]="C",WORKDAY(Main[[#This Row],[Tech Start Date]],28),IF(Main[[#This Row],[Class]]="B", WORKDAY(Main[[#This Row],[Tech Start Date]],19),IF(Main[[#This Row],[Class]]="A",WORKDAY(Main[[#This Row],[Tech Start Date]],9),""))))</f>
        <v/>
      </c>
      <c r="Q444" s="89">
        <v>40344</v>
      </c>
      <c r="R444" s="121"/>
      <c r="S444" s="99" t="s">
        <v>11</v>
      </c>
      <c r="T444" s="76" t="s">
        <v>4</v>
      </c>
      <c r="U444" s="99" t="s">
        <v>14</v>
      </c>
      <c r="V444" s="99" t="s">
        <v>1916</v>
      </c>
      <c r="W444" s="99" t="s">
        <v>1919</v>
      </c>
      <c r="X444" s="99" t="s">
        <v>2866</v>
      </c>
      <c r="Y444" s="73" t="s">
        <v>2990</v>
      </c>
      <c r="Z444" s="73" t="s">
        <v>530</v>
      </c>
      <c r="AA444" s="99" t="s">
        <v>2866</v>
      </c>
    </row>
    <row r="445" spans="1:27" ht="17.25" customHeight="1">
      <c r="A445" s="65" t="str">
        <f>IF(priority(Main[[#This Row],[Comments]])&lt;&gt;0, priority(Main[[#This Row],[Comments]]),"")</f>
        <v/>
      </c>
      <c r="B445" s="60" t="s">
        <v>1279</v>
      </c>
      <c r="C445" s="105" t="s">
        <v>4</v>
      </c>
      <c r="D445" s="74" t="s">
        <v>353</v>
      </c>
      <c r="E445" s="89"/>
      <c r="F445" s="89"/>
      <c r="G445" s="65" t="str">
        <f>IF(stdProdLT(Main[[#This Row],[Comments]])=0.1,"N/A",IF(stdProdLT(Main[[#This Row],[Comments]])=0,"",TRIM(stdProdLT(Main[[#This Row],[Comments]]))))</f>
        <v/>
      </c>
      <c r="H445" s="98" t="str">
        <f>IF(Main[[#This Row],[Std. Prod. Lead Time]]="N/A", "",IF(AND(Main[[#This Row],[In Stock Date]]&lt;&gt;"",Main[[#This Row],[Revised Due Date]]&lt;&gt;"",Main[[#This Row],[In Stock Date]]&lt;&gt;""),Main[[#This Row],[In Stock Date]]-Main[[#This Row],[Revised Due Date]],""))</f>
        <v/>
      </c>
      <c r="I445" s="110" t="s">
        <v>4</v>
      </c>
      <c r="J445" s="99" t="s">
        <v>4</v>
      </c>
      <c r="K445" s="99" t="s">
        <v>4</v>
      </c>
      <c r="L445" s="89"/>
      <c r="M445" s="75" t="str">
        <f>IF(Main[[#This Row],[Tech Start Date]]&lt;1/1/1990,"",IF(Main[[#This Row],[Class]]="C",WORKDAY(Main[[#This Row],[Tech Start Date]],9),IF(Main[[#This Row],[Class]]="B", WORKDAY(Main[[#This Row],[Tech Start Date]],6),IF(Main[[#This Row],[Class]]="A",WORKDAY(Main[[#This Row],[Tech Start Date]],2),""))))</f>
        <v/>
      </c>
      <c r="N445" s="75" t="str">
        <f>IF(Main[[#This Row],[Tech Start Date]]&lt;1/1/1990,"",IF(Main[[#This Row],[Class]]="C",WORKDAY(Main[[#This Row],[Tech Start Date]],19),IF(Main[[#This Row],[Class]]="B", WORKDAY(Main[[#This Row],[Tech Start Date]],12),IF(Main[[#This Row],[Class]]="A",WORKDAY(Main[[#This Row],[Tech Start Date]],4),""))))</f>
        <v/>
      </c>
      <c r="O445" s="75" t="str">
        <f>IF(Main[[#This Row],[Tech Start Date]]&lt;1/1/1990,"",IF(Main[[#This Row],[Class]]="C",WORKDAY(Main[[#This Row],[Tech Start Date]],23),IF(Main[[#This Row],[Class]]="B", WORKDAY(Main[[#This Row],[Tech Start Date]],15),IF(Main[[#This Row],[Class]]="A",WORKDAY(Main[[#This Row],[Tech Start Date]],5),""))))</f>
        <v/>
      </c>
      <c r="P445" s="75" t="str">
        <f>IF(Main[[#This Row],[Tech Start Date]]&lt;1/1/1990,"",IF(Main[[#This Row],[Class]]="C",WORKDAY(Main[[#This Row],[Tech Start Date]],28),IF(Main[[#This Row],[Class]]="B", WORKDAY(Main[[#This Row],[Tech Start Date]],19),IF(Main[[#This Row],[Class]]="A",WORKDAY(Main[[#This Row],[Tech Start Date]],9),""))))</f>
        <v/>
      </c>
      <c r="Q445" s="89"/>
      <c r="R445" s="121"/>
      <c r="S445" s="99" t="s">
        <v>4</v>
      </c>
      <c r="T445" s="76" t="s">
        <v>4</v>
      </c>
      <c r="U445" s="99" t="s">
        <v>14</v>
      </c>
      <c r="V445" s="99" t="s">
        <v>1913</v>
      </c>
      <c r="W445" s="99" t="s">
        <v>4</v>
      </c>
      <c r="X445" s="99" t="s">
        <v>2872</v>
      </c>
      <c r="Y445" s="73" t="s">
        <v>3020</v>
      </c>
      <c r="Z445" s="73" t="s">
        <v>4</v>
      </c>
      <c r="AA445" s="99" t="s">
        <v>2872</v>
      </c>
    </row>
    <row r="446" spans="1:27" ht="17.25" customHeight="1">
      <c r="A446" s="65" t="str">
        <f>IF(priority(Main[[#This Row],[Comments]])&lt;&gt;0, priority(Main[[#This Row],[Comments]]),"")</f>
        <v/>
      </c>
      <c r="B446" s="60" t="s">
        <v>1280</v>
      </c>
      <c r="C446" s="105" t="s">
        <v>33</v>
      </c>
      <c r="D446" s="74" t="s">
        <v>354</v>
      </c>
      <c r="E446" s="89"/>
      <c r="F446" s="89"/>
      <c r="G446" s="65" t="str">
        <f>IF(stdProdLT(Main[[#This Row],[Comments]])=0.1,"N/A",IF(stdProdLT(Main[[#This Row],[Comments]])=0,"",TRIM(stdProdLT(Main[[#This Row],[Comments]]))))</f>
        <v/>
      </c>
      <c r="H446" s="98" t="str">
        <f>IF(Main[[#This Row],[Std. Prod. Lead Time]]="N/A", "",IF(AND(Main[[#This Row],[In Stock Date]]&lt;&gt;"",Main[[#This Row],[Revised Due Date]]&lt;&gt;"",Main[[#This Row],[In Stock Date]]&lt;&gt;""),Main[[#This Row],[In Stock Date]]-Main[[#This Row],[Revised Due Date]],""))</f>
        <v/>
      </c>
      <c r="I446" s="110" t="s">
        <v>4</v>
      </c>
      <c r="J446" s="99" t="s">
        <v>4</v>
      </c>
      <c r="K446" s="99" t="s">
        <v>4</v>
      </c>
      <c r="L446" s="89"/>
      <c r="M446" s="75" t="str">
        <f>IF(Main[[#This Row],[Tech Start Date]]&lt;1/1/1990,"",IF(Main[[#This Row],[Class]]="C",WORKDAY(Main[[#This Row],[Tech Start Date]],9),IF(Main[[#This Row],[Class]]="B", WORKDAY(Main[[#This Row],[Tech Start Date]],6),IF(Main[[#This Row],[Class]]="A",WORKDAY(Main[[#This Row],[Tech Start Date]],2),""))))</f>
        <v/>
      </c>
      <c r="N446" s="75" t="str">
        <f>IF(Main[[#This Row],[Tech Start Date]]&lt;1/1/1990,"",IF(Main[[#This Row],[Class]]="C",WORKDAY(Main[[#This Row],[Tech Start Date]],19),IF(Main[[#This Row],[Class]]="B", WORKDAY(Main[[#This Row],[Tech Start Date]],12),IF(Main[[#This Row],[Class]]="A",WORKDAY(Main[[#This Row],[Tech Start Date]],4),""))))</f>
        <v/>
      </c>
      <c r="O446" s="75" t="str">
        <f>IF(Main[[#This Row],[Tech Start Date]]&lt;1/1/1990,"",IF(Main[[#This Row],[Class]]="C",WORKDAY(Main[[#This Row],[Tech Start Date]],23),IF(Main[[#This Row],[Class]]="B", WORKDAY(Main[[#This Row],[Tech Start Date]],15),IF(Main[[#This Row],[Class]]="A",WORKDAY(Main[[#This Row],[Tech Start Date]],5),""))))</f>
        <v/>
      </c>
      <c r="P446" s="75" t="str">
        <f>IF(Main[[#This Row],[Tech Start Date]]&lt;1/1/1990,"",IF(Main[[#This Row],[Class]]="C",WORKDAY(Main[[#This Row],[Tech Start Date]],28),IF(Main[[#This Row],[Class]]="B", WORKDAY(Main[[#This Row],[Tech Start Date]],19),IF(Main[[#This Row],[Class]]="A",WORKDAY(Main[[#This Row],[Tech Start Date]],9),""))))</f>
        <v/>
      </c>
      <c r="Q446" s="89"/>
      <c r="R446" s="121"/>
      <c r="S446" s="99" t="s">
        <v>11</v>
      </c>
      <c r="T446" s="76" t="s">
        <v>4</v>
      </c>
      <c r="U446" s="99" t="s">
        <v>14</v>
      </c>
      <c r="V446" s="99" t="s">
        <v>1914</v>
      </c>
      <c r="W446" s="99" t="s">
        <v>1921</v>
      </c>
      <c r="X446" s="99" t="s">
        <v>2821</v>
      </c>
      <c r="Y446" s="73" t="s">
        <v>2942</v>
      </c>
      <c r="Z446" s="73" t="s">
        <v>4</v>
      </c>
      <c r="AA446" s="99" t="s">
        <v>2821</v>
      </c>
    </row>
    <row r="447" spans="1:27" ht="17.25" customHeight="1">
      <c r="A447" s="65" t="str">
        <f>IF(priority(Main[[#This Row],[Comments]])&lt;&gt;0, priority(Main[[#This Row],[Comments]]),"")</f>
        <v/>
      </c>
      <c r="B447" s="60" t="s">
        <v>1282</v>
      </c>
      <c r="C447" s="105" t="s">
        <v>211</v>
      </c>
      <c r="D447" s="74" t="s">
        <v>356</v>
      </c>
      <c r="E447" s="89"/>
      <c r="F447" s="89">
        <v>40087</v>
      </c>
      <c r="G447" s="65" t="str">
        <f>IF(stdProdLT(Main[[#This Row],[Comments]])=0.1,"N/A",IF(stdProdLT(Main[[#This Row],[Comments]])=0,"",TRIM(stdProdLT(Main[[#This Row],[Comments]]))))</f>
        <v/>
      </c>
      <c r="H447" s="98" t="str">
        <f>IF(Main[[#This Row],[Std. Prod. Lead Time]]="N/A", "",IF(AND(Main[[#This Row],[In Stock Date]]&lt;&gt;"",Main[[#This Row],[Revised Due Date]]&lt;&gt;"",Main[[#This Row],[In Stock Date]]&lt;&gt;""),Main[[#This Row],[In Stock Date]]-Main[[#This Row],[Revised Due Date]],""))</f>
        <v/>
      </c>
      <c r="I447" s="110" t="s">
        <v>4</v>
      </c>
      <c r="J447" s="99" t="s">
        <v>4</v>
      </c>
      <c r="K447" s="99" t="s">
        <v>4</v>
      </c>
      <c r="L447" s="89"/>
      <c r="M447" s="75" t="str">
        <f>IF(Main[[#This Row],[Tech Start Date]]&lt;1/1/1990,"",IF(Main[[#This Row],[Class]]="C",WORKDAY(Main[[#This Row],[Tech Start Date]],9),IF(Main[[#This Row],[Class]]="B", WORKDAY(Main[[#This Row],[Tech Start Date]],6),IF(Main[[#This Row],[Class]]="A",WORKDAY(Main[[#This Row],[Tech Start Date]],2),""))))</f>
        <v/>
      </c>
      <c r="N447" s="75" t="str">
        <f>IF(Main[[#This Row],[Tech Start Date]]&lt;1/1/1990,"",IF(Main[[#This Row],[Class]]="C",WORKDAY(Main[[#This Row],[Tech Start Date]],19),IF(Main[[#This Row],[Class]]="B", WORKDAY(Main[[#This Row],[Tech Start Date]],12),IF(Main[[#This Row],[Class]]="A",WORKDAY(Main[[#This Row],[Tech Start Date]],4),""))))</f>
        <v/>
      </c>
      <c r="O447" s="75" t="str">
        <f>IF(Main[[#This Row],[Tech Start Date]]&lt;1/1/1990,"",IF(Main[[#This Row],[Class]]="C",WORKDAY(Main[[#This Row],[Tech Start Date]],23),IF(Main[[#This Row],[Class]]="B", WORKDAY(Main[[#This Row],[Tech Start Date]],15),IF(Main[[#This Row],[Class]]="A",WORKDAY(Main[[#This Row],[Tech Start Date]],5),""))))</f>
        <v/>
      </c>
      <c r="P447" s="75" t="str">
        <f>IF(Main[[#This Row],[Tech Start Date]]&lt;1/1/1990,"",IF(Main[[#This Row],[Class]]="C",WORKDAY(Main[[#This Row],[Tech Start Date]],28),IF(Main[[#This Row],[Class]]="B", WORKDAY(Main[[#This Row],[Tech Start Date]],19),IF(Main[[#This Row],[Class]]="A",WORKDAY(Main[[#This Row],[Tech Start Date]],9),""))))</f>
        <v/>
      </c>
      <c r="Q447" s="89">
        <v>39891</v>
      </c>
      <c r="R447" s="121"/>
      <c r="S447" s="99" t="s">
        <v>11</v>
      </c>
      <c r="T447" s="76" t="s">
        <v>4</v>
      </c>
      <c r="U447" s="99" t="s">
        <v>12</v>
      </c>
      <c r="V447" s="99" t="s">
        <v>1913</v>
      </c>
      <c r="W447" s="99" t="s">
        <v>1918</v>
      </c>
      <c r="X447" s="99" t="s">
        <v>2827</v>
      </c>
      <c r="Y447" s="73" t="s">
        <v>4</v>
      </c>
      <c r="Z447" s="73" t="s">
        <v>4</v>
      </c>
      <c r="AA447" s="99" t="s">
        <v>2827</v>
      </c>
    </row>
    <row r="448" spans="1:27" ht="17.25" customHeight="1">
      <c r="A448" s="65" t="str">
        <f>IF(priority(Main[[#This Row],[Comments]])&lt;&gt;0, priority(Main[[#This Row],[Comments]]),"")</f>
        <v/>
      </c>
      <c r="B448" s="60" t="s">
        <v>1284</v>
      </c>
      <c r="C448" s="105" t="s">
        <v>211</v>
      </c>
      <c r="D448" s="74" t="s">
        <v>357</v>
      </c>
      <c r="E448" s="89"/>
      <c r="F448" s="89">
        <v>40087</v>
      </c>
      <c r="G448" s="65" t="str">
        <f>IF(stdProdLT(Main[[#This Row],[Comments]])=0.1,"N/A",IF(stdProdLT(Main[[#This Row],[Comments]])=0,"",TRIM(stdProdLT(Main[[#This Row],[Comments]]))))</f>
        <v/>
      </c>
      <c r="H448" s="98" t="str">
        <f>IF(Main[[#This Row],[Std. Prod. Lead Time]]="N/A", "",IF(AND(Main[[#This Row],[In Stock Date]]&lt;&gt;"",Main[[#This Row],[Revised Due Date]]&lt;&gt;"",Main[[#This Row],[In Stock Date]]&lt;&gt;""),Main[[#This Row],[In Stock Date]]-Main[[#This Row],[Revised Due Date]],""))</f>
        <v/>
      </c>
      <c r="I448" s="110" t="s">
        <v>4</v>
      </c>
      <c r="J448" s="99" t="s">
        <v>4</v>
      </c>
      <c r="K448" s="99" t="s">
        <v>4</v>
      </c>
      <c r="L448" s="89"/>
      <c r="M448" s="75" t="str">
        <f>IF(Main[[#This Row],[Tech Start Date]]&lt;1/1/1990,"",IF(Main[[#This Row],[Class]]="C",WORKDAY(Main[[#This Row],[Tech Start Date]],9),IF(Main[[#This Row],[Class]]="B", WORKDAY(Main[[#This Row],[Tech Start Date]],6),IF(Main[[#This Row],[Class]]="A",WORKDAY(Main[[#This Row],[Tech Start Date]],2),""))))</f>
        <v/>
      </c>
      <c r="N448" s="75" t="str">
        <f>IF(Main[[#This Row],[Tech Start Date]]&lt;1/1/1990,"",IF(Main[[#This Row],[Class]]="C",WORKDAY(Main[[#This Row],[Tech Start Date]],19),IF(Main[[#This Row],[Class]]="B", WORKDAY(Main[[#This Row],[Tech Start Date]],12),IF(Main[[#This Row],[Class]]="A",WORKDAY(Main[[#This Row],[Tech Start Date]],4),""))))</f>
        <v/>
      </c>
      <c r="O448" s="75" t="str">
        <f>IF(Main[[#This Row],[Tech Start Date]]&lt;1/1/1990,"",IF(Main[[#This Row],[Class]]="C",WORKDAY(Main[[#This Row],[Tech Start Date]],23),IF(Main[[#This Row],[Class]]="B", WORKDAY(Main[[#This Row],[Tech Start Date]],15),IF(Main[[#This Row],[Class]]="A",WORKDAY(Main[[#This Row],[Tech Start Date]],5),""))))</f>
        <v/>
      </c>
      <c r="P448" s="75" t="str">
        <f>IF(Main[[#This Row],[Tech Start Date]]&lt;1/1/1990,"",IF(Main[[#This Row],[Class]]="C",WORKDAY(Main[[#This Row],[Tech Start Date]],28),IF(Main[[#This Row],[Class]]="B", WORKDAY(Main[[#This Row],[Tech Start Date]],19),IF(Main[[#This Row],[Class]]="A",WORKDAY(Main[[#This Row],[Tech Start Date]],9),""))))</f>
        <v/>
      </c>
      <c r="Q448" s="89">
        <v>39891</v>
      </c>
      <c r="R448" s="121"/>
      <c r="S448" s="99" t="s">
        <v>11</v>
      </c>
      <c r="T448" s="76" t="s">
        <v>4</v>
      </c>
      <c r="U448" s="99" t="s">
        <v>12</v>
      </c>
      <c r="V448" s="99" t="s">
        <v>1913</v>
      </c>
      <c r="W448" s="99" t="s">
        <v>1918</v>
      </c>
      <c r="X448" s="99" t="s">
        <v>2827</v>
      </c>
      <c r="Y448" s="73" t="s">
        <v>4</v>
      </c>
      <c r="Z448" s="73" t="s">
        <v>4</v>
      </c>
      <c r="AA448" s="99" t="s">
        <v>2827</v>
      </c>
    </row>
    <row r="449" spans="1:27" ht="17.25" customHeight="1">
      <c r="A449" s="65" t="str">
        <f>IF(priority(Main[[#This Row],[Comments]])&lt;&gt;0, priority(Main[[#This Row],[Comments]]),"")</f>
        <v/>
      </c>
      <c r="B449" s="60" t="s">
        <v>2707</v>
      </c>
      <c r="C449" s="105" t="s">
        <v>4</v>
      </c>
      <c r="D449" s="74" t="s">
        <v>2708</v>
      </c>
      <c r="E449" s="89"/>
      <c r="F449" s="89"/>
      <c r="G449" s="65" t="str">
        <f>IF(stdProdLT(Main[[#This Row],[Comments]])=0.1,"N/A",IF(stdProdLT(Main[[#This Row],[Comments]])=0,"",TRIM(stdProdLT(Main[[#This Row],[Comments]]))))</f>
        <v/>
      </c>
      <c r="H449" s="98" t="str">
        <f>IF(Main[[#This Row],[Std. Prod. Lead Time]]="N/A", "",IF(AND(Main[[#This Row],[In Stock Date]]&lt;&gt;"",Main[[#This Row],[Revised Due Date]]&lt;&gt;"",Main[[#This Row],[In Stock Date]]&lt;&gt;""),Main[[#This Row],[In Stock Date]]-Main[[#This Row],[Revised Due Date]],""))</f>
        <v/>
      </c>
      <c r="I449" s="110" t="s">
        <v>4</v>
      </c>
      <c r="J449" s="99" t="s">
        <v>4</v>
      </c>
      <c r="K449" s="100" t="s">
        <v>4</v>
      </c>
      <c r="L449" s="89"/>
      <c r="M449" s="75" t="str">
        <f>IF(Main[[#This Row],[Tech Start Date]]&lt;1/1/1990,"",IF(Main[[#This Row],[Class]]="C",WORKDAY(Main[[#This Row],[Tech Start Date]],9),IF(Main[[#This Row],[Class]]="B", WORKDAY(Main[[#This Row],[Tech Start Date]],6),IF(Main[[#This Row],[Class]]="A",WORKDAY(Main[[#This Row],[Tech Start Date]],2),""))))</f>
        <v/>
      </c>
      <c r="N449" s="75" t="str">
        <f>IF(Main[[#This Row],[Tech Start Date]]&lt;1/1/1990,"",IF(Main[[#This Row],[Class]]="C",WORKDAY(Main[[#This Row],[Tech Start Date]],19),IF(Main[[#This Row],[Class]]="B", WORKDAY(Main[[#This Row],[Tech Start Date]],12),IF(Main[[#This Row],[Class]]="A",WORKDAY(Main[[#This Row],[Tech Start Date]],4),""))))</f>
        <v/>
      </c>
      <c r="O449" s="75" t="str">
        <f>IF(Main[[#This Row],[Tech Start Date]]&lt;1/1/1990,"",IF(Main[[#This Row],[Class]]="C",WORKDAY(Main[[#This Row],[Tech Start Date]],23),IF(Main[[#This Row],[Class]]="B", WORKDAY(Main[[#This Row],[Tech Start Date]],15),IF(Main[[#This Row],[Class]]="A",WORKDAY(Main[[#This Row],[Tech Start Date]],5),""))))</f>
        <v/>
      </c>
      <c r="P449" s="75" t="str">
        <f>IF(Main[[#This Row],[Tech Start Date]]&lt;1/1/1990,"",IF(Main[[#This Row],[Class]]="C",WORKDAY(Main[[#This Row],[Tech Start Date]],28),IF(Main[[#This Row],[Class]]="B", WORKDAY(Main[[#This Row],[Tech Start Date]],19),IF(Main[[#This Row],[Class]]="A",WORKDAY(Main[[#This Row],[Tech Start Date]],9),""))))</f>
        <v/>
      </c>
      <c r="Q449" s="89">
        <v>40896</v>
      </c>
      <c r="R449" s="121"/>
      <c r="S449" s="99" t="s">
        <v>17</v>
      </c>
      <c r="T449" s="76" t="s">
        <v>4</v>
      </c>
      <c r="U449" s="99" t="s">
        <v>14</v>
      </c>
      <c r="V449" s="99" t="s">
        <v>1916</v>
      </c>
      <c r="W449" s="99" t="s">
        <v>1921</v>
      </c>
      <c r="X449" s="99" t="s">
        <v>2873</v>
      </c>
      <c r="Y449" s="73" t="s">
        <v>3021</v>
      </c>
      <c r="Z449" s="73" t="s">
        <v>4</v>
      </c>
      <c r="AA449" s="99" t="s">
        <v>2873</v>
      </c>
    </row>
    <row r="450" spans="1:27" ht="17.25" customHeight="1">
      <c r="A450" s="65" t="str">
        <f>IF(priority(Main[[#This Row],[Comments]])&lt;&gt;0, priority(Main[[#This Row],[Comments]]),"")</f>
        <v/>
      </c>
      <c r="B450" s="60" t="s">
        <v>1285</v>
      </c>
      <c r="C450" s="105" t="s">
        <v>33</v>
      </c>
      <c r="D450" s="74" t="s">
        <v>359</v>
      </c>
      <c r="E450" s="89"/>
      <c r="F450" s="89"/>
      <c r="G450" s="65" t="str">
        <f>IF(stdProdLT(Main[[#This Row],[Comments]])=0.1,"N/A",IF(stdProdLT(Main[[#This Row],[Comments]])=0,"",TRIM(stdProdLT(Main[[#This Row],[Comments]]))))</f>
        <v/>
      </c>
      <c r="H450" s="98" t="str">
        <f>IF(Main[[#This Row],[Std. Prod. Lead Time]]="N/A", "",IF(AND(Main[[#This Row],[In Stock Date]]&lt;&gt;"",Main[[#This Row],[Revised Due Date]]&lt;&gt;"",Main[[#This Row],[In Stock Date]]&lt;&gt;""),Main[[#This Row],[In Stock Date]]-Main[[#This Row],[Revised Due Date]],""))</f>
        <v/>
      </c>
      <c r="I450" s="110" t="s">
        <v>4</v>
      </c>
      <c r="J450" s="99" t="s">
        <v>4</v>
      </c>
      <c r="K450" s="100" t="s">
        <v>4</v>
      </c>
      <c r="L450" s="89"/>
      <c r="M450" s="75" t="str">
        <f>IF(Main[[#This Row],[Tech Start Date]]&lt;1/1/1990,"",IF(Main[[#This Row],[Class]]="C",WORKDAY(Main[[#This Row],[Tech Start Date]],9),IF(Main[[#This Row],[Class]]="B", WORKDAY(Main[[#This Row],[Tech Start Date]],6),IF(Main[[#This Row],[Class]]="A",WORKDAY(Main[[#This Row],[Tech Start Date]],2),""))))</f>
        <v/>
      </c>
      <c r="N450" s="75" t="str">
        <f>IF(Main[[#This Row],[Tech Start Date]]&lt;1/1/1990,"",IF(Main[[#This Row],[Class]]="C",WORKDAY(Main[[#This Row],[Tech Start Date]],19),IF(Main[[#This Row],[Class]]="B", WORKDAY(Main[[#This Row],[Tech Start Date]],12),IF(Main[[#This Row],[Class]]="A",WORKDAY(Main[[#This Row],[Tech Start Date]],4),""))))</f>
        <v/>
      </c>
      <c r="O450" s="75" t="str">
        <f>IF(Main[[#This Row],[Tech Start Date]]&lt;1/1/1990,"",IF(Main[[#This Row],[Class]]="C",WORKDAY(Main[[#This Row],[Tech Start Date]],23),IF(Main[[#This Row],[Class]]="B", WORKDAY(Main[[#This Row],[Tech Start Date]],15),IF(Main[[#This Row],[Class]]="A",WORKDAY(Main[[#This Row],[Tech Start Date]],5),""))))</f>
        <v/>
      </c>
      <c r="P450" s="75" t="str">
        <f>IF(Main[[#This Row],[Tech Start Date]]&lt;1/1/1990,"",IF(Main[[#This Row],[Class]]="C",WORKDAY(Main[[#This Row],[Tech Start Date]],28),IF(Main[[#This Row],[Class]]="B", WORKDAY(Main[[#This Row],[Tech Start Date]],19),IF(Main[[#This Row],[Class]]="A",WORKDAY(Main[[#This Row],[Tech Start Date]],9),""))))</f>
        <v/>
      </c>
      <c r="Q450" s="89"/>
      <c r="R450" s="121"/>
      <c r="S450" s="99" t="s">
        <v>11</v>
      </c>
      <c r="T450" s="76" t="s">
        <v>4</v>
      </c>
      <c r="U450" s="99" t="s">
        <v>14</v>
      </c>
      <c r="V450" s="99" t="s">
        <v>1914</v>
      </c>
      <c r="W450" s="99" t="s">
        <v>1921</v>
      </c>
      <c r="X450" s="99" t="s">
        <v>2821</v>
      </c>
      <c r="Y450" s="73" t="s">
        <v>2942</v>
      </c>
      <c r="Z450" s="73" t="s">
        <v>4</v>
      </c>
      <c r="AA450" s="99" t="s">
        <v>2821</v>
      </c>
    </row>
    <row r="451" spans="1:27" ht="17.25" customHeight="1">
      <c r="A451" s="65" t="str">
        <f>IF(priority(Main[[#This Row],[Comments]])&lt;&gt;0, priority(Main[[#This Row],[Comments]]),"")</f>
        <v/>
      </c>
      <c r="B451" s="60" t="s">
        <v>1286</v>
      </c>
      <c r="C451" s="105" t="s">
        <v>33</v>
      </c>
      <c r="D451" s="74" t="s">
        <v>360</v>
      </c>
      <c r="E451" s="89"/>
      <c r="F451" s="89"/>
      <c r="G451" s="65" t="str">
        <f>IF(stdProdLT(Main[[#This Row],[Comments]])=0.1,"N/A",IF(stdProdLT(Main[[#This Row],[Comments]])=0,"",TRIM(stdProdLT(Main[[#This Row],[Comments]]))))</f>
        <v/>
      </c>
      <c r="H451" s="98" t="str">
        <f>IF(Main[[#This Row],[Std. Prod. Lead Time]]="N/A", "",IF(AND(Main[[#This Row],[In Stock Date]]&lt;&gt;"",Main[[#This Row],[Revised Due Date]]&lt;&gt;"",Main[[#This Row],[In Stock Date]]&lt;&gt;""),Main[[#This Row],[In Stock Date]]-Main[[#This Row],[Revised Due Date]],""))</f>
        <v/>
      </c>
      <c r="I451" s="110" t="s">
        <v>4</v>
      </c>
      <c r="J451" s="99" t="s">
        <v>4</v>
      </c>
      <c r="K451" s="99" t="s">
        <v>4</v>
      </c>
      <c r="L451" s="89"/>
      <c r="M451" s="75" t="str">
        <f>IF(Main[[#This Row],[Tech Start Date]]&lt;1/1/1990,"",IF(Main[[#This Row],[Class]]="C",WORKDAY(Main[[#This Row],[Tech Start Date]],9),IF(Main[[#This Row],[Class]]="B", WORKDAY(Main[[#This Row],[Tech Start Date]],6),IF(Main[[#This Row],[Class]]="A",WORKDAY(Main[[#This Row],[Tech Start Date]],2),""))))</f>
        <v/>
      </c>
      <c r="N451" s="75" t="str">
        <f>IF(Main[[#This Row],[Tech Start Date]]&lt;1/1/1990,"",IF(Main[[#This Row],[Class]]="C",WORKDAY(Main[[#This Row],[Tech Start Date]],19),IF(Main[[#This Row],[Class]]="B", WORKDAY(Main[[#This Row],[Tech Start Date]],12),IF(Main[[#This Row],[Class]]="A",WORKDAY(Main[[#This Row],[Tech Start Date]],4),""))))</f>
        <v/>
      </c>
      <c r="O451" s="75" t="str">
        <f>IF(Main[[#This Row],[Tech Start Date]]&lt;1/1/1990,"",IF(Main[[#This Row],[Class]]="C",WORKDAY(Main[[#This Row],[Tech Start Date]],23),IF(Main[[#This Row],[Class]]="B", WORKDAY(Main[[#This Row],[Tech Start Date]],15),IF(Main[[#This Row],[Class]]="A",WORKDAY(Main[[#This Row],[Tech Start Date]],5),""))))</f>
        <v/>
      </c>
      <c r="P451" s="75" t="str">
        <f>IF(Main[[#This Row],[Tech Start Date]]&lt;1/1/1990,"",IF(Main[[#This Row],[Class]]="C",WORKDAY(Main[[#This Row],[Tech Start Date]],28),IF(Main[[#This Row],[Class]]="B", WORKDAY(Main[[#This Row],[Tech Start Date]],19),IF(Main[[#This Row],[Class]]="A",WORKDAY(Main[[#This Row],[Tech Start Date]],9),""))))</f>
        <v/>
      </c>
      <c r="Q451" s="89"/>
      <c r="R451" s="121"/>
      <c r="S451" s="99" t="s">
        <v>11</v>
      </c>
      <c r="T451" s="76" t="s">
        <v>4</v>
      </c>
      <c r="U451" s="99" t="s">
        <v>14</v>
      </c>
      <c r="V451" s="99" t="s">
        <v>1914</v>
      </c>
      <c r="W451" s="99" t="s">
        <v>1921</v>
      </c>
      <c r="X451" s="99" t="s">
        <v>2821</v>
      </c>
      <c r="Y451" s="73" t="s">
        <v>2942</v>
      </c>
      <c r="Z451" s="73" t="s">
        <v>4</v>
      </c>
      <c r="AA451" s="99" t="s">
        <v>2821</v>
      </c>
    </row>
    <row r="452" spans="1:27" ht="17.25" customHeight="1">
      <c r="A452" s="65" t="str">
        <f>IF(priority(Main[[#This Row],[Comments]])&lt;&gt;0, priority(Main[[#This Row],[Comments]]),"")</f>
        <v/>
      </c>
      <c r="B452" s="60" t="s">
        <v>1287</v>
      </c>
      <c r="C452" s="105" t="s">
        <v>361</v>
      </c>
      <c r="D452" s="74" t="s">
        <v>362</v>
      </c>
      <c r="E452" s="89"/>
      <c r="F452" s="89"/>
      <c r="G452" s="65" t="str">
        <f>IF(stdProdLT(Main[[#This Row],[Comments]])=0.1,"N/A",IF(stdProdLT(Main[[#This Row],[Comments]])=0,"",TRIM(stdProdLT(Main[[#This Row],[Comments]]))))</f>
        <v/>
      </c>
      <c r="H452" s="98" t="str">
        <f>IF(Main[[#This Row],[Std. Prod. Lead Time]]="N/A", "",IF(AND(Main[[#This Row],[In Stock Date]]&lt;&gt;"",Main[[#This Row],[Revised Due Date]]&lt;&gt;"",Main[[#This Row],[In Stock Date]]&lt;&gt;""),Main[[#This Row],[In Stock Date]]-Main[[#This Row],[Revised Due Date]],""))</f>
        <v/>
      </c>
      <c r="I452" s="110" t="s">
        <v>4</v>
      </c>
      <c r="J452" s="99" t="s">
        <v>4</v>
      </c>
      <c r="K452" s="100" t="s">
        <v>4</v>
      </c>
      <c r="L452" s="89"/>
      <c r="M452" s="75" t="str">
        <f>IF(Main[[#This Row],[Tech Start Date]]&lt;1/1/1990,"",IF(Main[[#This Row],[Class]]="C",WORKDAY(Main[[#This Row],[Tech Start Date]],9),IF(Main[[#This Row],[Class]]="B", WORKDAY(Main[[#This Row],[Tech Start Date]],6),IF(Main[[#This Row],[Class]]="A",WORKDAY(Main[[#This Row],[Tech Start Date]],2),""))))</f>
        <v/>
      </c>
      <c r="N452" s="75" t="str">
        <f>IF(Main[[#This Row],[Tech Start Date]]&lt;1/1/1990,"",IF(Main[[#This Row],[Class]]="C",WORKDAY(Main[[#This Row],[Tech Start Date]],19),IF(Main[[#This Row],[Class]]="B", WORKDAY(Main[[#This Row],[Tech Start Date]],12),IF(Main[[#This Row],[Class]]="A",WORKDAY(Main[[#This Row],[Tech Start Date]],4),""))))</f>
        <v/>
      </c>
      <c r="O452" s="75" t="str">
        <f>IF(Main[[#This Row],[Tech Start Date]]&lt;1/1/1990,"",IF(Main[[#This Row],[Class]]="C",WORKDAY(Main[[#This Row],[Tech Start Date]],23),IF(Main[[#This Row],[Class]]="B", WORKDAY(Main[[#This Row],[Tech Start Date]],15),IF(Main[[#This Row],[Class]]="A",WORKDAY(Main[[#This Row],[Tech Start Date]],5),""))))</f>
        <v/>
      </c>
      <c r="P452" s="75" t="str">
        <f>IF(Main[[#This Row],[Tech Start Date]]&lt;1/1/1990,"",IF(Main[[#This Row],[Class]]="C",WORKDAY(Main[[#This Row],[Tech Start Date]],28),IF(Main[[#This Row],[Class]]="B", WORKDAY(Main[[#This Row],[Tech Start Date]],19),IF(Main[[#This Row],[Class]]="A",WORKDAY(Main[[#This Row],[Tech Start Date]],9),""))))</f>
        <v/>
      </c>
      <c r="Q452" s="89"/>
      <c r="R452" s="121"/>
      <c r="S452" s="99" t="s">
        <v>11</v>
      </c>
      <c r="T452" s="76" t="s">
        <v>4</v>
      </c>
      <c r="U452" s="99" t="s">
        <v>14</v>
      </c>
      <c r="V452" s="99" t="s">
        <v>1914</v>
      </c>
      <c r="W452" s="99" t="s">
        <v>1921</v>
      </c>
      <c r="X452" s="99" t="s">
        <v>2821</v>
      </c>
      <c r="Y452" s="73" t="s">
        <v>2942</v>
      </c>
      <c r="Z452" s="73" t="s">
        <v>4</v>
      </c>
      <c r="AA452" s="99" t="s">
        <v>2821</v>
      </c>
    </row>
    <row r="453" spans="1:27" ht="17.25" customHeight="1">
      <c r="A453" s="65" t="str">
        <f>IF(priority(Main[[#This Row],[Comments]])&lt;&gt;0, priority(Main[[#This Row],[Comments]]),"")</f>
        <v/>
      </c>
      <c r="B453" s="60" t="s">
        <v>1288</v>
      </c>
      <c r="C453" s="105" t="s">
        <v>363</v>
      </c>
      <c r="D453" s="74" t="s">
        <v>364</v>
      </c>
      <c r="E453" s="89"/>
      <c r="F453" s="89"/>
      <c r="G453" s="65" t="str">
        <f>IF(stdProdLT(Main[[#This Row],[Comments]])=0.1,"N/A",IF(stdProdLT(Main[[#This Row],[Comments]])=0,"",TRIM(stdProdLT(Main[[#This Row],[Comments]]))))</f>
        <v/>
      </c>
      <c r="H453" s="98" t="str">
        <f>IF(Main[[#This Row],[Std. Prod. Lead Time]]="N/A", "",IF(AND(Main[[#This Row],[In Stock Date]]&lt;&gt;"",Main[[#This Row],[Revised Due Date]]&lt;&gt;"",Main[[#This Row],[In Stock Date]]&lt;&gt;""),Main[[#This Row],[In Stock Date]]-Main[[#This Row],[Revised Due Date]],""))</f>
        <v/>
      </c>
      <c r="I453" s="110" t="s">
        <v>4</v>
      </c>
      <c r="J453" s="99" t="s">
        <v>4</v>
      </c>
      <c r="K453" s="99" t="s">
        <v>4</v>
      </c>
      <c r="L453" s="89"/>
      <c r="M453" s="75" t="str">
        <f>IF(Main[[#This Row],[Tech Start Date]]&lt;1/1/1990,"",IF(Main[[#This Row],[Class]]="C",WORKDAY(Main[[#This Row],[Tech Start Date]],9),IF(Main[[#This Row],[Class]]="B", WORKDAY(Main[[#This Row],[Tech Start Date]],6),IF(Main[[#This Row],[Class]]="A",WORKDAY(Main[[#This Row],[Tech Start Date]],2),""))))</f>
        <v/>
      </c>
      <c r="N453" s="75" t="str">
        <f>IF(Main[[#This Row],[Tech Start Date]]&lt;1/1/1990,"",IF(Main[[#This Row],[Class]]="C",WORKDAY(Main[[#This Row],[Tech Start Date]],19),IF(Main[[#This Row],[Class]]="B", WORKDAY(Main[[#This Row],[Tech Start Date]],12),IF(Main[[#This Row],[Class]]="A",WORKDAY(Main[[#This Row],[Tech Start Date]],4),""))))</f>
        <v/>
      </c>
      <c r="O453" s="75" t="str">
        <f>IF(Main[[#This Row],[Tech Start Date]]&lt;1/1/1990,"",IF(Main[[#This Row],[Class]]="C",WORKDAY(Main[[#This Row],[Tech Start Date]],23),IF(Main[[#This Row],[Class]]="B", WORKDAY(Main[[#This Row],[Tech Start Date]],15),IF(Main[[#This Row],[Class]]="A",WORKDAY(Main[[#This Row],[Tech Start Date]],5),""))))</f>
        <v/>
      </c>
      <c r="P453" s="75" t="str">
        <f>IF(Main[[#This Row],[Tech Start Date]]&lt;1/1/1990,"",IF(Main[[#This Row],[Class]]="C",WORKDAY(Main[[#This Row],[Tech Start Date]],28),IF(Main[[#This Row],[Class]]="B", WORKDAY(Main[[#This Row],[Tech Start Date]],19),IF(Main[[#This Row],[Class]]="A",WORKDAY(Main[[#This Row],[Tech Start Date]],9),""))))</f>
        <v/>
      </c>
      <c r="Q453" s="89"/>
      <c r="R453" s="121"/>
      <c r="S453" s="99" t="s">
        <v>11</v>
      </c>
      <c r="T453" s="76" t="s">
        <v>4</v>
      </c>
      <c r="U453" s="99" t="s">
        <v>14</v>
      </c>
      <c r="V453" s="99" t="s">
        <v>1914</v>
      </c>
      <c r="W453" s="99" t="s">
        <v>1921</v>
      </c>
      <c r="X453" s="99" t="s">
        <v>2821</v>
      </c>
      <c r="Y453" s="73" t="s">
        <v>2942</v>
      </c>
      <c r="Z453" s="73" t="s">
        <v>4</v>
      </c>
      <c r="AA453" s="99" t="s">
        <v>2821</v>
      </c>
    </row>
    <row r="454" spans="1:27" ht="17.25" customHeight="1">
      <c r="A454" s="65" t="str">
        <f>IF(priority(Main[[#This Row],[Comments]])&lt;&gt;0, priority(Main[[#This Row],[Comments]]),"")</f>
        <v/>
      </c>
      <c r="B454" s="60" t="s">
        <v>1289</v>
      </c>
      <c r="C454" s="105" t="s">
        <v>365</v>
      </c>
      <c r="D454" s="74" t="s">
        <v>366</v>
      </c>
      <c r="E454" s="89"/>
      <c r="F454" s="89"/>
      <c r="G454" s="65" t="str">
        <f>IF(stdProdLT(Main[[#This Row],[Comments]])=0.1,"N/A",IF(stdProdLT(Main[[#This Row],[Comments]])=0,"",TRIM(stdProdLT(Main[[#This Row],[Comments]]))))</f>
        <v/>
      </c>
      <c r="H454" s="98" t="str">
        <f>IF(Main[[#This Row],[Std. Prod. Lead Time]]="N/A", "",IF(AND(Main[[#This Row],[In Stock Date]]&lt;&gt;"",Main[[#This Row],[Revised Due Date]]&lt;&gt;"",Main[[#This Row],[In Stock Date]]&lt;&gt;""),Main[[#This Row],[In Stock Date]]-Main[[#This Row],[Revised Due Date]],""))</f>
        <v/>
      </c>
      <c r="I454" s="110" t="s">
        <v>4</v>
      </c>
      <c r="J454" s="99" t="s">
        <v>4</v>
      </c>
      <c r="K454" s="100" t="s">
        <v>4</v>
      </c>
      <c r="L454" s="89"/>
      <c r="M454" s="75" t="str">
        <f>IF(Main[[#This Row],[Tech Start Date]]&lt;1/1/1990,"",IF(Main[[#This Row],[Class]]="C",WORKDAY(Main[[#This Row],[Tech Start Date]],9),IF(Main[[#This Row],[Class]]="B", WORKDAY(Main[[#This Row],[Tech Start Date]],6),IF(Main[[#This Row],[Class]]="A",WORKDAY(Main[[#This Row],[Tech Start Date]],2),""))))</f>
        <v/>
      </c>
      <c r="N454" s="75" t="str">
        <f>IF(Main[[#This Row],[Tech Start Date]]&lt;1/1/1990,"",IF(Main[[#This Row],[Class]]="C",WORKDAY(Main[[#This Row],[Tech Start Date]],19),IF(Main[[#This Row],[Class]]="B", WORKDAY(Main[[#This Row],[Tech Start Date]],12),IF(Main[[#This Row],[Class]]="A",WORKDAY(Main[[#This Row],[Tech Start Date]],4),""))))</f>
        <v/>
      </c>
      <c r="O454" s="75" t="str">
        <f>IF(Main[[#This Row],[Tech Start Date]]&lt;1/1/1990,"",IF(Main[[#This Row],[Class]]="C",WORKDAY(Main[[#This Row],[Tech Start Date]],23),IF(Main[[#This Row],[Class]]="B", WORKDAY(Main[[#This Row],[Tech Start Date]],15),IF(Main[[#This Row],[Class]]="A",WORKDAY(Main[[#This Row],[Tech Start Date]],5),""))))</f>
        <v/>
      </c>
      <c r="P454" s="75" t="str">
        <f>IF(Main[[#This Row],[Tech Start Date]]&lt;1/1/1990,"",IF(Main[[#This Row],[Class]]="C",WORKDAY(Main[[#This Row],[Tech Start Date]],28),IF(Main[[#This Row],[Class]]="B", WORKDAY(Main[[#This Row],[Tech Start Date]],19),IF(Main[[#This Row],[Class]]="A",WORKDAY(Main[[#This Row],[Tech Start Date]],9),""))))</f>
        <v/>
      </c>
      <c r="Q454" s="89"/>
      <c r="R454" s="121"/>
      <c r="S454" s="99" t="s">
        <v>11</v>
      </c>
      <c r="T454" s="76" t="s">
        <v>4</v>
      </c>
      <c r="U454" s="99" t="s">
        <v>14</v>
      </c>
      <c r="V454" s="99" t="s">
        <v>1914</v>
      </c>
      <c r="W454" s="99" t="s">
        <v>1921</v>
      </c>
      <c r="X454" s="99" t="s">
        <v>2821</v>
      </c>
      <c r="Y454" s="73" t="s">
        <v>2942</v>
      </c>
      <c r="Z454" s="73" t="s">
        <v>4</v>
      </c>
      <c r="AA454" s="99" t="s">
        <v>2821</v>
      </c>
    </row>
    <row r="455" spans="1:27" ht="17.25" customHeight="1">
      <c r="A455" s="65" t="str">
        <f>IF(priority(Main[[#This Row],[Comments]])&lt;&gt;0, priority(Main[[#This Row],[Comments]]),"")</f>
        <v/>
      </c>
      <c r="B455" s="60" t="s">
        <v>1290</v>
      </c>
      <c r="C455" s="105" t="s">
        <v>367</v>
      </c>
      <c r="D455" s="74" t="s">
        <v>368</v>
      </c>
      <c r="E455" s="89">
        <v>40210.419814814813</v>
      </c>
      <c r="F455" s="89">
        <v>40405</v>
      </c>
      <c r="G455" s="65" t="str">
        <f>IF(stdProdLT(Main[[#This Row],[Comments]])=0.1,"N/A",IF(stdProdLT(Main[[#This Row],[Comments]])=0,"",TRIM(stdProdLT(Main[[#This Row],[Comments]]))))</f>
        <v/>
      </c>
      <c r="H455" s="98" t="str">
        <f>IF(Main[[#This Row],[Std. Prod. Lead Time]]="N/A", "",IF(AND(Main[[#This Row],[In Stock Date]]&lt;&gt;"",Main[[#This Row],[Revised Due Date]]&lt;&gt;"",Main[[#This Row],[In Stock Date]]&lt;&gt;""),Main[[#This Row],[In Stock Date]]-Main[[#This Row],[Revised Due Date]],""))</f>
        <v/>
      </c>
      <c r="I455" s="110" t="s">
        <v>163</v>
      </c>
      <c r="J455" s="99" t="s">
        <v>4</v>
      </c>
      <c r="K455" s="99" t="s">
        <v>1925</v>
      </c>
      <c r="L455" s="89"/>
      <c r="M455" s="75" t="str">
        <f>IF(Main[[#This Row],[Tech Start Date]]&lt;1/1/1990,"",IF(Main[[#This Row],[Class]]="C",WORKDAY(Main[[#This Row],[Tech Start Date]],9),IF(Main[[#This Row],[Class]]="B", WORKDAY(Main[[#This Row],[Tech Start Date]],6),IF(Main[[#This Row],[Class]]="A",WORKDAY(Main[[#This Row],[Tech Start Date]],2),""))))</f>
        <v/>
      </c>
      <c r="N455" s="75" t="str">
        <f>IF(Main[[#This Row],[Tech Start Date]]&lt;1/1/1990,"",IF(Main[[#This Row],[Class]]="C",WORKDAY(Main[[#This Row],[Tech Start Date]],19),IF(Main[[#This Row],[Class]]="B", WORKDAY(Main[[#This Row],[Tech Start Date]],12),IF(Main[[#This Row],[Class]]="A",WORKDAY(Main[[#This Row],[Tech Start Date]],4),""))))</f>
        <v/>
      </c>
      <c r="O455" s="75" t="str">
        <f>IF(Main[[#This Row],[Tech Start Date]]&lt;1/1/1990,"",IF(Main[[#This Row],[Class]]="C",WORKDAY(Main[[#This Row],[Tech Start Date]],23),IF(Main[[#This Row],[Class]]="B", WORKDAY(Main[[#This Row],[Tech Start Date]],15),IF(Main[[#This Row],[Class]]="A",WORKDAY(Main[[#This Row],[Tech Start Date]],5),""))))</f>
        <v/>
      </c>
      <c r="P455" s="75" t="str">
        <f>IF(Main[[#This Row],[Tech Start Date]]&lt;1/1/1990,"",IF(Main[[#This Row],[Class]]="C",WORKDAY(Main[[#This Row],[Tech Start Date]],28),IF(Main[[#This Row],[Class]]="B", WORKDAY(Main[[#This Row],[Tech Start Date]],19),IF(Main[[#This Row],[Class]]="A",WORKDAY(Main[[#This Row],[Tech Start Date]],9),""))))</f>
        <v/>
      </c>
      <c r="Q455" s="89">
        <v>40223</v>
      </c>
      <c r="R455" s="121"/>
      <c r="S455" s="99" t="s">
        <v>17</v>
      </c>
      <c r="T455" s="76" t="s">
        <v>4</v>
      </c>
      <c r="U455" s="99" t="s">
        <v>29</v>
      </c>
      <c r="V455" s="99" t="s">
        <v>1916</v>
      </c>
      <c r="W455" s="99" t="s">
        <v>1918</v>
      </c>
      <c r="X455" s="99" t="s">
        <v>553</v>
      </c>
      <c r="Y455" s="73" t="s">
        <v>4</v>
      </c>
      <c r="Z455" s="73" t="s">
        <v>4</v>
      </c>
      <c r="AA455" s="99" t="s">
        <v>553</v>
      </c>
    </row>
    <row r="456" spans="1:27" ht="17.25" customHeight="1">
      <c r="A456" s="65" t="str">
        <f>IF(priority(Main[[#This Row],[Comments]])&lt;&gt;0, priority(Main[[#This Row],[Comments]]),"")</f>
        <v/>
      </c>
      <c r="B456" s="60" t="s">
        <v>1294</v>
      </c>
      <c r="C456" s="105" t="s">
        <v>4</v>
      </c>
      <c r="D456" s="74" t="s">
        <v>412</v>
      </c>
      <c r="E456" s="89"/>
      <c r="F456" s="89"/>
      <c r="G456" s="65" t="str">
        <f>IF(stdProdLT(Main[[#This Row],[Comments]])=0.1,"N/A",IF(stdProdLT(Main[[#This Row],[Comments]])=0,"",TRIM(stdProdLT(Main[[#This Row],[Comments]]))))</f>
        <v/>
      </c>
      <c r="H456" s="98" t="str">
        <f>IF(Main[[#This Row],[Std. Prod. Lead Time]]="N/A", "",IF(AND(Main[[#This Row],[In Stock Date]]&lt;&gt;"",Main[[#This Row],[Revised Due Date]]&lt;&gt;"",Main[[#This Row],[In Stock Date]]&lt;&gt;""),Main[[#This Row],[In Stock Date]]-Main[[#This Row],[Revised Due Date]],""))</f>
        <v/>
      </c>
      <c r="I456" s="110" t="s">
        <v>306</v>
      </c>
      <c r="J456" s="99" t="s">
        <v>75</v>
      </c>
      <c r="K456" s="99" t="s">
        <v>1922</v>
      </c>
      <c r="L456" s="89"/>
      <c r="M456" s="75" t="str">
        <f>IF(Main[[#This Row],[Tech Start Date]]&lt;1/1/1990,"",IF(Main[[#This Row],[Class]]="C",WORKDAY(Main[[#This Row],[Tech Start Date]],9),IF(Main[[#This Row],[Class]]="B", WORKDAY(Main[[#This Row],[Tech Start Date]],6),IF(Main[[#This Row],[Class]]="A",WORKDAY(Main[[#This Row],[Tech Start Date]],2),""))))</f>
        <v/>
      </c>
      <c r="N456" s="75" t="str">
        <f>IF(Main[[#This Row],[Tech Start Date]]&lt;1/1/1990,"",IF(Main[[#This Row],[Class]]="C",WORKDAY(Main[[#This Row],[Tech Start Date]],19),IF(Main[[#This Row],[Class]]="B", WORKDAY(Main[[#This Row],[Tech Start Date]],12),IF(Main[[#This Row],[Class]]="A",WORKDAY(Main[[#This Row],[Tech Start Date]],4),""))))</f>
        <v/>
      </c>
      <c r="O456" s="75" t="str">
        <f>IF(Main[[#This Row],[Tech Start Date]]&lt;1/1/1990,"",IF(Main[[#This Row],[Class]]="C",WORKDAY(Main[[#This Row],[Tech Start Date]],23),IF(Main[[#This Row],[Class]]="B", WORKDAY(Main[[#This Row],[Tech Start Date]],15),IF(Main[[#This Row],[Class]]="A",WORKDAY(Main[[#This Row],[Tech Start Date]],5),""))))</f>
        <v/>
      </c>
      <c r="P456" s="75" t="str">
        <f>IF(Main[[#This Row],[Tech Start Date]]&lt;1/1/1990,"",IF(Main[[#This Row],[Class]]="C",WORKDAY(Main[[#This Row],[Tech Start Date]],28),IF(Main[[#This Row],[Class]]="B", WORKDAY(Main[[#This Row],[Tech Start Date]],19),IF(Main[[#This Row],[Class]]="A",WORKDAY(Main[[#This Row],[Tech Start Date]],9),""))))</f>
        <v/>
      </c>
      <c r="Q456" s="89">
        <v>40655</v>
      </c>
      <c r="R456" s="121"/>
      <c r="S456" s="99" t="s">
        <v>6</v>
      </c>
      <c r="T456" s="76" t="s">
        <v>4</v>
      </c>
      <c r="U456" s="99" t="s">
        <v>14</v>
      </c>
      <c r="V456" s="99" t="s">
        <v>1916</v>
      </c>
      <c r="W456" s="99" t="s">
        <v>1915</v>
      </c>
      <c r="X456" s="99" t="s">
        <v>2813</v>
      </c>
      <c r="Y456" s="73" t="s">
        <v>2926</v>
      </c>
      <c r="Z456" s="73" t="s">
        <v>44</v>
      </c>
      <c r="AA456" s="99" t="s">
        <v>2813</v>
      </c>
    </row>
    <row r="457" spans="1:27" ht="17.25" customHeight="1">
      <c r="A457" s="65" t="str">
        <f>IF(priority(Main[[#This Row],[Comments]])&lt;&gt;0, priority(Main[[#This Row],[Comments]]),"")</f>
        <v/>
      </c>
      <c r="B457" s="60" t="s">
        <v>1295</v>
      </c>
      <c r="C457" s="105" t="s">
        <v>211</v>
      </c>
      <c r="D457" s="74" t="s">
        <v>413</v>
      </c>
      <c r="E457" s="89"/>
      <c r="F457" s="89">
        <v>40452</v>
      </c>
      <c r="G457" s="65" t="str">
        <f>IF(stdProdLT(Main[[#This Row],[Comments]])=0.1,"N/A",IF(stdProdLT(Main[[#This Row],[Comments]])=0,"",TRIM(stdProdLT(Main[[#This Row],[Comments]]))))</f>
        <v/>
      </c>
      <c r="H457" s="98" t="str">
        <f>IF(Main[[#This Row],[Std. Prod. Lead Time]]="N/A", "",IF(AND(Main[[#This Row],[In Stock Date]]&lt;&gt;"",Main[[#This Row],[Revised Due Date]]&lt;&gt;"",Main[[#This Row],[In Stock Date]]&lt;&gt;""),Main[[#This Row],[In Stock Date]]-Main[[#This Row],[Revised Due Date]],""))</f>
        <v/>
      </c>
      <c r="I457" s="110" t="s">
        <v>4</v>
      </c>
      <c r="J457" s="99" t="s">
        <v>4</v>
      </c>
      <c r="K457" s="99" t="s">
        <v>4</v>
      </c>
      <c r="L457" s="89"/>
      <c r="M457" s="75" t="str">
        <f>IF(Main[[#This Row],[Tech Start Date]]&lt;1/1/1990,"",IF(Main[[#This Row],[Class]]="C",WORKDAY(Main[[#This Row],[Tech Start Date]],9),IF(Main[[#This Row],[Class]]="B", WORKDAY(Main[[#This Row],[Tech Start Date]],6),IF(Main[[#This Row],[Class]]="A",WORKDAY(Main[[#This Row],[Tech Start Date]],2),""))))</f>
        <v/>
      </c>
      <c r="N457" s="75" t="str">
        <f>IF(Main[[#This Row],[Tech Start Date]]&lt;1/1/1990,"",IF(Main[[#This Row],[Class]]="C",WORKDAY(Main[[#This Row],[Tech Start Date]],19),IF(Main[[#This Row],[Class]]="B", WORKDAY(Main[[#This Row],[Tech Start Date]],12),IF(Main[[#This Row],[Class]]="A",WORKDAY(Main[[#This Row],[Tech Start Date]],4),""))))</f>
        <v/>
      </c>
      <c r="O457" s="75" t="str">
        <f>IF(Main[[#This Row],[Tech Start Date]]&lt;1/1/1990,"",IF(Main[[#This Row],[Class]]="C",WORKDAY(Main[[#This Row],[Tech Start Date]],23),IF(Main[[#This Row],[Class]]="B", WORKDAY(Main[[#This Row],[Tech Start Date]],15),IF(Main[[#This Row],[Class]]="A",WORKDAY(Main[[#This Row],[Tech Start Date]],5),""))))</f>
        <v/>
      </c>
      <c r="P457" s="75" t="str">
        <f>IF(Main[[#This Row],[Tech Start Date]]&lt;1/1/1990,"",IF(Main[[#This Row],[Class]]="C",WORKDAY(Main[[#This Row],[Tech Start Date]],28),IF(Main[[#This Row],[Class]]="B", WORKDAY(Main[[#This Row],[Tech Start Date]],19),IF(Main[[#This Row],[Class]]="A",WORKDAY(Main[[#This Row],[Tech Start Date]],9),""))))</f>
        <v/>
      </c>
      <c r="Q457" s="89">
        <v>40357</v>
      </c>
      <c r="R457" s="121"/>
      <c r="S457" s="99" t="s">
        <v>11</v>
      </c>
      <c r="T457" s="76" t="s">
        <v>4</v>
      </c>
      <c r="U457" s="99" t="s">
        <v>12</v>
      </c>
      <c r="V457" s="99" t="s">
        <v>1913</v>
      </c>
      <c r="W457" s="99" t="s">
        <v>1921</v>
      </c>
      <c r="X457" s="99" t="s">
        <v>2827</v>
      </c>
      <c r="Y457" s="73" t="s">
        <v>4</v>
      </c>
      <c r="Z457" s="73" t="s">
        <v>4</v>
      </c>
      <c r="AA457" s="99" t="s">
        <v>2827</v>
      </c>
    </row>
    <row r="458" spans="1:27" ht="17.25" customHeight="1">
      <c r="A458" s="65" t="str">
        <f>IF(priority(Main[[#This Row],[Comments]])&lt;&gt;0, priority(Main[[#This Row],[Comments]]),"")</f>
        <v/>
      </c>
      <c r="B458" s="60" t="s">
        <v>1334</v>
      </c>
      <c r="C458" s="105" t="s">
        <v>4</v>
      </c>
      <c r="D458" s="74" t="s">
        <v>414</v>
      </c>
      <c r="E458" s="89"/>
      <c r="F458" s="89">
        <v>40633</v>
      </c>
      <c r="G458" s="65" t="str">
        <f>IF(stdProdLT(Main[[#This Row],[Comments]])=0.1,"N/A",IF(stdProdLT(Main[[#This Row],[Comments]])=0,"",TRIM(stdProdLT(Main[[#This Row],[Comments]]))))</f>
        <v/>
      </c>
      <c r="H458" s="98" t="str">
        <f>IF(Main[[#This Row],[Std. Prod. Lead Time]]="N/A", "",IF(AND(Main[[#This Row],[In Stock Date]]&lt;&gt;"",Main[[#This Row],[Revised Due Date]]&lt;&gt;"",Main[[#This Row],[In Stock Date]]&lt;&gt;""),Main[[#This Row],[In Stock Date]]-Main[[#This Row],[Revised Due Date]],""))</f>
        <v/>
      </c>
      <c r="I458" s="110" t="s">
        <v>415</v>
      </c>
      <c r="J458" s="99" t="s">
        <v>28</v>
      </c>
      <c r="K458" s="100" t="s">
        <v>1922</v>
      </c>
      <c r="L458" s="89"/>
      <c r="M458" s="75" t="str">
        <f>IF(Main[[#This Row],[Tech Start Date]]&lt;1/1/1990,"",IF(Main[[#This Row],[Class]]="C",WORKDAY(Main[[#This Row],[Tech Start Date]],9),IF(Main[[#This Row],[Class]]="B", WORKDAY(Main[[#This Row],[Tech Start Date]],6),IF(Main[[#This Row],[Class]]="A",WORKDAY(Main[[#This Row],[Tech Start Date]],2),""))))</f>
        <v/>
      </c>
      <c r="N458" s="75" t="str">
        <f>IF(Main[[#This Row],[Tech Start Date]]&lt;1/1/1990,"",IF(Main[[#This Row],[Class]]="C",WORKDAY(Main[[#This Row],[Tech Start Date]],19),IF(Main[[#This Row],[Class]]="B", WORKDAY(Main[[#This Row],[Tech Start Date]],12),IF(Main[[#This Row],[Class]]="A",WORKDAY(Main[[#This Row],[Tech Start Date]],4),""))))</f>
        <v/>
      </c>
      <c r="O458" s="75" t="str">
        <f>IF(Main[[#This Row],[Tech Start Date]]&lt;1/1/1990,"",IF(Main[[#This Row],[Class]]="C",WORKDAY(Main[[#This Row],[Tech Start Date]],23),IF(Main[[#This Row],[Class]]="B", WORKDAY(Main[[#This Row],[Tech Start Date]],15),IF(Main[[#This Row],[Class]]="A",WORKDAY(Main[[#This Row],[Tech Start Date]],5),""))))</f>
        <v/>
      </c>
      <c r="P458" s="75" t="str">
        <f>IF(Main[[#This Row],[Tech Start Date]]&lt;1/1/1990,"",IF(Main[[#This Row],[Class]]="C",WORKDAY(Main[[#This Row],[Tech Start Date]],28),IF(Main[[#This Row],[Class]]="B", WORKDAY(Main[[#This Row],[Tech Start Date]],19),IF(Main[[#This Row],[Class]]="A",WORKDAY(Main[[#This Row],[Tech Start Date]],9),""))))</f>
        <v/>
      </c>
      <c r="Q458" s="89">
        <v>40633</v>
      </c>
      <c r="R458" s="121"/>
      <c r="S458" s="99" t="s">
        <v>6</v>
      </c>
      <c r="T458" s="76" t="s">
        <v>4</v>
      </c>
      <c r="U458" s="99" t="s">
        <v>14</v>
      </c>
      <c r="V458" s="99" t="s">
        <v>1916</v>
      </c>
      <c r="W458" s="99" t="s">
        <v>1915</v>
      </c>
      <c r="X458" s="99" t="s">
        <v>2813</v>
      </c>
      <c r="Y458" s="73" t="s">
        <v>2926</v>
      </c>
      <c r="Z458" s="73" t="s">
        <v>30</v>
      </c>
      <c r="AA458" s="99" t="s">
        <v>2813</v>
      </c>
    </row>
    <row r="459" spans="1:27" ht="17.25" customHeight="1">
      <c r="A459" s="65" t="str">
        <f>IF(priority(Main[[#This Row],[Comments]])&lt;&gt;0, priority(Main[[#This Row],[Comments]]),"")</f>
        <v/>
      </c>
      <c r="B459" s="60" t="s">
        <v>1833</v>
      </c>
      <c r="C459" s="105" t="s">
        <v>4</v>
      </c>
      <c r="D459" s="74" t="s">
        <v>888</v>
      </c>
      <c r="E459" s="89">
        <v>40365.442546296297</v>
      </c>
      <c r="F459" s="89"/>
      <c r="G459" s="65" t="str">
        <f>IF(stdProdLT(Main[[#This Row],[Comments]])=0.1,"N/A",IF(stdProdLT(Main[[#This Row],[Comments]])=0,"",TRIM(stdProdLT(Main[[#This Row],[Comments]]))))</f>
        <v/>
      </c>
      <c r="H459" s="98" t="str">
        <f>IF(Main[[#This Row],[Std. Prod. Lead Time]]="N/A", "",IF(AND(Main[[#This Row],[In Stock Date]]&lt;&gt;"",Main[[#This Row],[Revised Due Date]]&lt;&gt;"",Main[[#This Row],[In Stock Date]]&lt;&gt;""),Main[[#This Row],[In Stock Date]]-Main[[#This Row],[Revised Due Date]],""))</f>
        <v/>
      </c>
      <c r="I459" s="110" t="s">
        <v>889</v>
      </c>
      <c r="J459" s="99" t="s">
        <v>28</v>
      </c>
      <c r="K459" s="99" t="s">
        <v>1925</v>
      </c>
      <c r="L459" s="89"/>
      <c r="M459" s="75" t="str">
        <f>IF(Main[[#This Row],[Tech Start Date]]&lt;1/1/1990,"",IF(Main[[#This Row],[Class]]="C",WORKDAY(Main[[#This Row],[Tech Start Date]],9),IF(Main[[#This Row],[Class]]="B", WORKDAY(Main[[#This Row],[Tech Start Date]],6),IF(Main[[#This Row],[Class]]="A",WORKDAY(Main[[#This Row],[Tech Start Date]],2),""))))</f>
        <v/>
      </c>
      <c r="N459" s="75" t="str">
        <f>IF(Main[[#This Row],[Tech Start Date]]&lt;1/1/1990,"",IF(Main[[#This Row],[Class]]="C",WORKDAY(Main[[#This Row],[Tech Start Date]],19),IF(Main[[#This Row],[Class]]="B", WORKDAY(Main[[#This Row],[Tech Start Date]],12),IF(Main[[#This Row],[Class]]="A",WORKDAY(Main[[#This Row],[Tech Start Date]],4),""))))</f>
        <v/>
      </c>
      <c r="O459" s="75" t="str">
        <f>IF(Main[[#This Row],[Tech Start Date]]&lt;1/1/1990,"",IF(Main[[#This Row],[Class]]="C",WORKDAY(Main[[#This Row],[Tech Start Date]],23),IF(Main[[#This Row],[Class]]="B", WORKDAY(Main[[#This Row],[Tech Start Date]],15),IF(Main[[#This Row],[Class]]="A",WORKDAY(Main[[#This Row],[Tech Start Date]],5),""))))</f>
        <v/>
      </c>
      <c r="P459" s="75" t="str">
        <f>IF(Main[[#This Row],[Tech Start Date]]&lt;1/1/1990,"",IF(Main[[#This Row],[Class]]="C",WORKDAY(Main[[#This Row],[Tech Start Date]],28),IF(Main[[#This Row],[Class]]="B", WORKDAY(Main[[#This Row],[Tech Start Date]],19),IF(Main[[#This Row],[Class]]="A",WORKDAY(Main[[#This Row],[Tech Start Date]],9),""))))</f>
        <v/>
      </c>
      <c r="Q459" s="89">
        <v>40420</v>
      </c>
      <c r="R459" s="121">
        <v>40420</v>
      </c>
      <c r="S459" s="99" t="s">
        <v>318</v>
      </c>
      <c r="T459" s="76" t="s">
        <v>4</v>
      </c>
      <c r="U459" s="99" t="s">
        <v>29</v>
      </c>
      <c r="V459" s="99" t="s">
        <v>1913</v>
      </c>
      <c r="W459" s="99" t="s">
        <v>1917</v>
      </c>
      <c r="X459" s="99" t="s">
        <v>129</v>
      </c>
      <c r="Y459" s="73" t="s">
        <v>2927</v>
      </c>
      <c r="Z459" s="73" t="s">
        <v>129</v>
      </c>
      <c r="AA459" s="99" t="s">
        <v>129</v>
      </c>
    </row>
    <row r="460" spans="1:27" ht="17.25" customHeight="1">
      <c r="A460" s="65" t="str">
        <f>IF(priority(Main[[#This Row],[Comments]])&lt;&gt;0, priority(Main[[#This Row],[Comments]]),"")</f>
        <v/>
      </c>
      <c r="B460" s="60" t="s">
        <v>1335</v>
      </c>
      <c r="C460" s="105" t="s">
        <v>31</v>
      </c>
      <c r="D460" s="74" t="s">
        <v>416</v>
      </c>
      <c r="E460" s="89"/>
      <c r="F460" s="89">
        <v>40330</v>
      </c>
      <c r="G460" s="65" t="str">
        <f>IF(stdProdLT(Main[[#This Row],[Comments]])=0.1,"N/A",IF(stdProdLT(Main[[#This Row],[Comments]])=0,"",TRIM(stdProdLT(Main[[#This Row],[Comments]]))))</f>
        <v/>
      </c>
      <c r="H460" s="98" t="str">
        <f>IF(Main[[#This Row],[Std. Prod. Lead Time]]="N/A", "",IF(AND(Main[[#This Row],[In Stock Date]]&lt;&gt;"",Main[[#This Row],[Revised Due Date]]&lt;&gt;"",Main[[#This Row],[In Stock Date]]&lt;&gt;""),Main[[#This Row],[In Stock Date]]-Main[[#This Row],[Revised Due Date]],""))</f>
        <v/>
      </c>
      <c r="I460" s="110" t="s">
        <v>417</v>
      </c>
      <c r="J460" s="99" t="s">
        <v>4</v>
      </c>
      <c r="K460" s="99" t="s">
        <v>4</v>
      </c>
      <c r="L460" s="89"/>
      <c r="M460" s="75" t="str">
        <f>IF(Main[[#This Row],[Tech Start Date]]&lt;1/1/1990,"",IF(Main[[#This Row],[Class]]="C",WORKDAY(Main[[#This Row],[Tech Start Date]],9),IF(Main[[#This Row],[Class]]="B", WORKDAY(Main[[#This Row],[Tech Start Date]],6),IF(Main[[#This Row],[Class]]="A",WORKDAY(Main[[#This Row],[Tech Start Date]],2),""))))</f>
        <v/>
      </c>
      <c r="N460" s="75" t="str">
        <f>IF(Main[[#This Row],[Tech Start Date]]&lt;1/1/1990,"",IF(Main[[#This Row],[Class]]="C",WORKDAY(Main[[#This Row],[Tech Start Date]],19),IF(Main[[#This Row],[Class]]="B", WORKDAY(Main[[#This Row],[Tech Start Date]],12),IF(Main[[#This Row],[Class]]="A",WORKDAY(Main[[#This Row],[Tech Start Date]],4),""))))</f>
        <v/>
      </c>
      <c r="O460" s="75" t="str">
        <f>IF(Main[[#This Row],[Tech Start Date]]&lt;1/1/1990,"",IF(Main[[#This Row],[Class]]="C",WORKDAY(Main[[#This Row],[Tech Start Date]],23),IF(Main[[#This Row],[Class]]="B", WORKDAY(Main[[#This Row],[Tech Start Date]],15),IF(Main[[#This Row],[Class]]="A",WORKDAY(Main[[#This Row],[Tech Start Date]],5),""))))</f>
        <v/>
      </c>
      <c r="P460" s="75" t="str">
        <f>IF(Main[[#This Row],[Tech Start Date]]&lt;1/1/1990,"",IF(Main[[#This Row],[Class]]="C",WORKDAY(Main[[#This Row],[Tech Start Date]],28),IF(Main[[#This Row],[Class]]="B", WORKDAY(Main[[#This Row],[Tech Start Date]],19),IF(Main[[#This Row],[Class]]="A",WORKDAY(Main[[#This Row],[Tech Start Date]],9),""))))</f>
        <v/>
      </c>
      <c r="Q460" s="89">
        <v>40210</v>
      </c>
      <c r="R460" s="121"/>
      <c r="S460" s="99" t="s">
        <v>11</v>
      </c>
      <c r="T460" s="76" t="s">
        <v>4</v>
      </c>
      <c r="U460" s="99" t="s">
        <v>14</v>
      </c>
      <c r="V460" s="99" t="s">
        <v>1916</v>
      </c>
      <c r="W460" s="99" t="s">
        <v>1919</v>
      </c>
      <c r="X460" s="99" t="s">
        <v>2818</v>
      </c>
      <c r="Y460" s="73" t="s">
        <v>2937</v>
      </c>
      <c r="Z460" s="73" t="s">
        <v>4</v>
      </c>
      <c r="AA460" s="99" t="s">
        <v>2818</v>
      </c>
    </row>
    <row r="461" spans="1:27" ht="17.25" customHeight="1">
      <c r="A461" s="65" t="str">
        <f>IF(priority(Main[[#This Row],[Comments]])&lt;&gt;0, priority(Main[[#This Row],[Comments]]),"")</f>
        <v/>
      </c>
      <c r="B461" s="60" t="s">
        <v>1336</v>
      </c>
      <c r="C461" s="105" t="s">
        <v>4</v>
      </c>
      <c r="D461" s="74" t="s">
        <v>418</v>
      </c>
      <c r="E461" s="89">
        <v>40305.512083333335</v>
      </c>
      <c r="F461" s="89"/>
      <c r="G461" s="65" t="str">
        <f>IF(stdProdLT(Main[[#This Row],[Comments]])=0.1,"N/A",IF(stdProdLT(Main[[#This Row],[Comments]])=0,"",TRIM(stdProdLT(Main[[#This Row],[Comments]]))))</f>
        <v/>
      </c>
      <c r="H461" s="98" t="str">
        <f>IF(Main[[#This Row],[Std. Prod. Lead Time]]="N/A", "",IF(AND(Main[[#This Row],[In Stock Date]]&lt;&gt;"",Main[[#This Row],[Revised Due Date]]&lt;&gt;"",Main[[#This Row],[In Stock Date]]&lt;&gt;""),Main[[#This Row],[In Stock Date]]-Main[[#This Row],[Revised Due Date]],""))</f>
        <v/>
      </c>
      <c r="I461" s="110" t="s">
        <v>4</v>
      </c>
      <c r="J461" s="99" t="s">
        <v>4</v>
      </c>
      <c r="K461" s="99" t="s">
        <v>4</v>
      </c>
      <c r="L461" s="89"/>
      <c r="M461" s="75" t="str">
        <f>IF(Main[[#This Row],[Tech Start Date]]&lt;1/1/1990,"",IF(Main[[#This Row],[Class]]="C",WORKDAY(Main[[#This Row],[Tech Start Date]],9),IF(Main[[#This Row],[Class]]="B", WORKDAY(Main[[#This Row],[Tech Start Date]],6),IF(Main[[#This Row],[Class]]="A",WORKDAY(Main[[#This Row],[Tech Start Date]],2),""))))</f>
        <v/>
      </c>
      <c r="N461" s="75" t="str">
        <f>IF(Main[[#This Row],[Tech Start Date]]&lt;1/1/1990,"",IF(Main[[#This Row],[Class]]="C",WORKDAY(Main[[#This Row],[Tech Start Date]],19),IF(Main[[#This Row],[Class]]="B", WORKDAY(Main[[#This Row],[Tech Start Date]],12),IF(Main[[#This Row],[Class]]="A",WORKDAY(Main[[#This Row],[Tech Start Date]],4),""))))</f>
        <v/>
      </c>
      <c r="O461" s="75" t="str">
        <f>IF(Main[[#This Row],[Tech Start Date]]&lt;1/1/1990,"",IF(Main[[#This Row],[Class]]="C",WORKDAY(Main[[#This Row],[Tech Start Date]],23),IF(Main[[#This Row],[Class]]="B", WORKDAY(Main[[#This Row],[Tech Start Date]],15),IF(Main[[#This Row],[Class]]="A",WORKDAY(Main[[#This Row],[Tech Start Date]],5),""))))</f>
        <v/>
      </c>
      <c r="P461" s="75" t="str">
        <f>IF(Main[[#This Row],[Tech Start Date]]&lt;1/1/1990,"",IF(Main[[#This Row],[Class]]="C",WORKDAY(Main[[#This Row],[Tech Start Date]],28),IF(Main[[#This Row],[Class]]="B", WORKDAY(Main[[#This Row],[Tech Start Date]],19),IF(Main[[#This Row],[Class]]="A",WORKDAY(Main[[#This Row],[Tech Start Date]],9),""))))</f>
        <v/>
      </c>
      <c r="Q461" s="89">
        <v>40312</v>
      </c>
      <c r="R461" s="121"/>
      <c r="S461" s="99" t="s">
        <v>6</v>
      </c>
      <c r="T461" s="76" t="s">
        <v>4</v>
      </c>
      <c r="U461" s="99" t="s">
        <v>7</v>
      </c>
      <c r="V461" s="99" t="s">
        <v>1913</v>
      </c>
      <c r="W461" s="99" t="s">
        <v>4</v>
      </c>
      <c r="X461" s="99" t="s">
        <v>102</v>
      </c>
      <c r="Y461" s="73" t="s">
        <v>3005</v>
      </c>
      <c r="Z461" s="73" t="s">
        <v>4</v>
      </c>
      <c r="AA461" s="99" t="s">
        <v>3401</v>
      </c>
    </row>
    <row r="462" spans="1:27" ht="17.25" customHeight="1">
      <c r="A462" s="65" t="str">
        <f>IF(priority(Main[[#This Row],[Comments]])&lt;&gt;0, priority(Main[[#This Row],[Comments]]),"")</f>
        <v/>
      </c>
      <c r="B462" s="60" t="s">
        <v>1297</v>
      </c>
      <c r="C462" s="105" t="s">
        <v>31</v>
      </c>
      <c r="D462" s="74" t="s">
        <v>371</v>
      </c>
      <c r="E462" s="89"/>
      <c r="F462" s="89"/>
      <c r="G462" s="65" t="str">
        <f>IF(stdProdLT(Main[[#This Row],[Comments]])=0.1,"N/A",IF(stdProdLT(Main[[#This Row],[Comments]])=0,"",TRIM(stdProdLT(Main[[#This Row],[Comments]]))))</f>
        <v/>
      </c>
      <c r="H462" s="98" t="str">
        <f>IF(Main[[#This Row],[Std. Prod. Lead Time]]="N/A", "",IF(AND(Main[[#This Row],[In Stock Date]]&lt;&gt;"",Main[[#This Row],[Revised Due Date]]&lt;&gt;"",Main[[#This Row],[In Stock Date]]&lt;&gt;""),Main[[#This Row],[In Stock Date]]-Main[[#This Row],[Revised Due Date]],""))</f>
        <v/>
      </c>
      <c r="I462" s="110" t="s">
        <v>4</v>
      </c>
      <c r="J462" s="99" t="s">
        <v>4</v>
      </c>
      <c r="K462" s="99" t="s">
        <v>4</v>
      </c>
      <c r="L462" s="89"/>
      <c r="M462" s="75" t="str">
        <f>IF(Main[[#This Row],[Tech Start Date]]&lt;1/1/1990,"",IF(Main[[#This Row],[Class]]="C",WORKDAY(Main[[#This Row],[Tech Start Date]],9),IF(Main[[#This Row],[Class]]="B", WORKDAY(Main[[#This Row],[Tech Start Date]],6),IF(Main[[#This Row],[Class]]="A",WORKDAY(Main[[#This Row],[Tech Start Date]],2),""))))</f>
        <v/>
      </c>
      <c r="N462" s="75" t="str">
        <f>IF(Main[[#This Row],[Tech Start Date]]&lt;1/1/1990,"",IF(Main[[#This Row],[Class]]="C",WORKDAY(Main[[#This Row],[Tech Start Date]],19),IF(Main[[#This Row],[Class]]="B", WORKDAY(Main[[#This Row],[Tech Start Date]],12),IF(Main[[#This Row],[Class]]="A",WORKDAY(Main[[#This Row],[Tech Start Date]],4),""))))</f>
        <v/>
      </c>
      <c r="O462" s="75" t="str">
        <f>IF(Main[[#This Row],[Tech Start Date]]&lt;1/1/1990,"",IF(Main[[#This Row],[Class]]="C",WORKDAY(Main[[#This Row],[Tech Start Date]],23),IF(Main[[#This Row],[Class]]="B", WORKDAY(Main[[#This Row],[Tech Start Date]],15),IF(Main[[#This Row],[Class]]="A",WORKDAY(Main[[#This Row],[Tech Start Date]],5),""))))</f>
        <v/>
      </c>
      <c r="P462" s="75" t="str">
        <f>IF(Main[[#This Row],[Tech Start Date]]&lt;1/1/1990,"",IF(Main[[#This Row],[Class]]="C",WORKDAY(Main[[#This Row],[Tech Start Date]],28),IF(Main[[#This Row],[Class]]="B", WORKDAY(Main[[#This Row],[Tech Start Date]],19),IF(Main[[#This Row],[Class]]="A",WORKDAY(Main[[#This Row],[Tech Start Date]],9),""))))</f>
        <v/>
      </c>
      <c r="Q462" s="89">
        <v>40318</v>
      </c>
      <c r="R462" s="121"/>
      <c r="S462" s="99" t="s">
        <v>11</v>
      </c>
      <c r="T462" s="76" t="s">
        <v>4</v>
      </c>
      <c r="U462" s="99" t="s">
        <v>14</v>
      </c>
      <c r="V462" s="99" t="s">
        <v>1916</v>
      </c>
      <c r="W462" s="99" t="s">
        <v>1915</v>
      </c>
      <c r="X462" s="99" t="s">
        <v>2824</v>
      </c>
      <c r="Y462" s="73" t="s">
        <v>4</v>
      </c>
      <c r="Z462" s="73" t="s">
        <v>4</v>
      </c>
      <c r="AA462" s="99" t="s">
        <v>2824</v>
      </c>
    </row>
    <row r="463" spans="1:27" ht="17.25" customHeight="1">
      <c r="A463" s="65" t="str">
        <f>IF(priority(Main[[#This Row],[Comments]])&lt;&gt;0, priority(Main[[#This Row],[Comments]]),"")</f>
        <v/>
      </c>
      <c r="B463" s="60" t="s">
        <v>1298</v>
      </c>
      <c r="C463" s="105" t="s">
        <v>4</v>
      </c>
      <c r="D463" s="74" t="s">
        <v>372</v>
      </c>
      <c r="E463" s="89">
        <v>40679.255486111113</v>
      </c>
      <c r="F463" s="89"/>
      <c r="G463" s="65" t="str">
        <f>IF(stdProdLT(Main[[#This Row],[Comments]])=0.1,"N/A",IF(stdProdLT(Main[[#This Row],[Comments]])=0,"",TRIM(stdProdLT(Main[[#This Row],[Comments]]))))</f>
        <v/>
      </c>
      <c r="H463" s="98" t="str">
        <f>IF(Main[[#This Row],[Std. Prod. Lead Time]]="N/A", "",IF(AND(Main[[#This Row],[In Stock Date]]&lt;&gt;"",Main[[#This Row],[Revised Due Date]]&lt;&gt;"",Main[[#This Row],[In Stock Date]]&lt;&gt;""),Main[[#This Row],[In Stock Date]]-Main[[#This Row],[Revised Due Date]],""))</f>
        <v/>
      </c>
      <c r="I463" s="110" t="s">
        <v>4</v>
      </c>
      <c r="J463" s="99" t="s">
        <v>4</v>
      </c>
      <c r="K463" s="99" t="s">
        <v>4</v>
      </c>
      <c r="L463" s="89"/>
      <c r="M463" s="75" t="str">
        <f>IF(Main[[#This Row],[Tech Start Date]]&lt;1/1/1990,"",IF(Main[[#This Row],[Class]]="C",WORKDAY(Main[[#This Row],[Tech Start Date]],9),IF(Main[[#This Row],[Class]]="B", WORKDAY(Main[[#This Row],[Tech Start Date]],6),IF(Main[[#This Row],[Class]]="A",WORKDAY(Main[[#This Row],[Tech Start Date]],2),""))))</f>
        <v/>
      </c>
      <c r="N463" s="75" t="str">
        <f>IF(Main[[#This Row],[Tech Start Date]]&lt;1/1/1990,"",IF(Main[[#This Row],[Class]]="C",WORKDAY(Main[[#This Row],[Tech Start Date]],19),IF(Main[[#This Row],[Class]]="B", WORKDAY(Main[[#This Row],[Tech Start Date]],12),IF(Main[[#This Row],[Class]]="A",WORKDAY(Main[[#This Row],[Tech Start Date]],4),""))))</f>
        <v/>
      </c>
      <c r="O463" s="75" t="str">
        <f>IF(Main[[#This Row],[Tech Start Date]]&lt;1/1/1990,"",IF(Main[[#This Row],[Class]]="C",WORKDAY(Main[[#This Row],[Tech Start Date]],23),IF(Main[[#This Row],[Class]]="B", WORKDAY(Main[[#This Row],[Tech Start Date]],15),IF(Main[[#This Row],[Class]]="A",WORKDAY(Main[[#This Row],[Tech Start Date]],5),""))))</f>
        <v/>
      </c>
      <c r="P463" s="75" t="str">
        <f>IF(Main[[#This Row],[Tech Start Date]]&lt;1/1/1990,"",IF(Main[[#This Row],[Class]]="C",WORKDAY(Main[[#This Row],[Tech Start Date]],28),IF(Main[[#This Row],[Class]]="B", WORKDAY(Main[[#This Row],[Tech Start Date]],19),IF(Main[[#This Row],[Class]]="A",WORKDAY(Main[[#This Row],[Tech Start Date]],9),""))))</f>
        <v/>
      </c>
      <c r="Q463" s="89">
        <v>40724</v>
      </c>
      <c r="R463" s="121"/>
      <c r="S463" s="99" t="s">
        <v>6</v>
      </c>
      <c r="T463" s="76" t="s">
        <v>4</v>
      </c>
      <c r="U463" s="99" t="s">
        <v>7</v>
      </c>
      <c r="V463" s="99" t="s">
        <v>1913</v>
      </c>
      <c r="W463" s="99" t="s">
        <v>4</v>
      </c>
      <c r="X463" s="99" t="s">
        <v>2816</v>
      </c>
      <c r="Y463" s="73" t="s">
        <v>2932</v>
      </c>
      <c r="Z463" s="73" t="s">
        <v>4</v>
      </c>
      <c r="AA463" s="99" t="s">
        <v>2816</v>
      </c>
    </row>
    <row r="464" spans="1:27" ht="17.25" customHeight="1">
      <c r="A464" s="65" t="str">
        <f>IF(priority(Main[[#This Row],[Comments]])&lt;&gt;0, priority(Main[[#This Row],[Comments]]),"")</f>
        <v/>
      </c>
      <c r="B464" s="60" t="s">
        <v>1299</v>
      </c>
      <c r="C464" s="105" t="s">
        <v>4</v>
      </c>
      <c r="D464" s="74" t="s">
        <v>373</v>
      </c>
      <c r="E464" s="89"/>
      <c r="F464" s="89"/>
      <c r="G464" s="65" t="str">
        <f>IF(stdProdLT(Main[[#This Row],[Comments]])=0.1,"N/A",IF(stdProdLT(Main[[#This Row],[Comments]])=0,"",TRIM(stdProdLT(Main[[#This Row],[Comments]]))))</f>
        <v/>
      </c>
      <c r="H464" s="98" t="str">
        <f>IF(Main[[#This Row],[Std. Prod. Lead Time]]="N/A", "",IF(AND(Main[[#This Row],[In Stock Date]]&lt;&gt;"",Main[[#This Row],[Revised Due Date]]&lt;&gt;"",Main[[#This Row],[In Stock Date]]&lt;&gt;""),Main[[#This Row],[In Stock Date]]-Main[[#This Row],[Revised Due Date]],""))</f>
        <v/>
      </c>
      <c r="I464" s="110" t="s">
        <v>4</v>
      </c>
      <c r="J464" s="99" t="s">
        <v>4</v>
      </c>
      <c r="K464" s="99" t="s">
        <v>4</v>
      </c>
      <c r="L464" s="89"/>
      <c r="M464" s="75" t="str">
        <f>IF(Main[[#This Row],[Tech Start Date]]&lt;1/1/1990,"",IF(Main[[#This Row],[Class]]="C",WORKDAY(Main[[#This Row],[Tech Start Date]],9),IF(Main[[#This Row],[Class]]="B", WORKDAY(Main[[#This Row],[Tech Start Date]],6),IF(Main[[#This Row],[Class]]="A",WORKDAY(Main[[#This Row],[Tech Start Date]],2),""))))</f>
        <v/>
      </c>
      <c r="N464" s="75" t="str">
        <f>IF(Main[[#This Row],[Tech Start Date]]&lt;1/1/1990,"",IF(Main[[#This Row],[Class]]="C",WORKDAY(Main[[#This Row],[Tech Start Date]],19),IF(Main[[#This Row],[Class]]="B", WORKDAY(Main[[#This Row],[Tech Start Date]],12),IF(Main[[#This Row],[Class]]="A",WORKDAY(Main[[#This Row],[Tech Start Date]],4),""))))</f>
        <v/>
      </c>
      <c r="O464" s="75" t="str">
        <f>IF(Main[[#This Row],[Tech Start Date]]&lt;1/1/1990,"",IF(Main[[#This Row],[Class]]="C",WORKDAY(Main[[#This Row],[Tech Start Date]],23),IF(Main[[#This Row],[Class]]="B", WORKDAY(Main[[#This Row],[Tech Start Date]],15),IF(Main[[#This Row],[Class]]="A",WORKDAY(Main[[#This Row],[Tech Start Date]],5),""))))</f>
        <v/>
      </c>
      <c r="P464" s="75" t="str">
        <f>IF(Main[[#This Row],[Tech Start Date]]&lt;1/1/1990,"",IF(Main[[#This Row],[Class]]="C",WORKDAY(Main[[#This Row],[Tech Start Date]],28),IF(Main[[#This Row],[Class]]="B", WORKDAY(Main[[#This Row],[Tech Start Date]],19),IF(Main[[#This Row],[Class]]="A",WORKDAY(Main[[#This Row],[Tech Start Date]],9),""))))</f>
        <v/>
      </c>
      <c r="Q464" s="89"/>
      <c r="R464" s="121"/>
      <c r="S464" s="99" t="s">
        <v>11</v>
      </c>
      <c r="T464" s="76" t="s">
        <v>4</v>
      </c>
      <c r="U464" s="99" t="s">
        <v>14</v>
      </c>
      <c r="V464" s="99" t="s">
        <v>1916</v>
      </c>
      <c r="W464" s="99" t="s">
        <v>1924</v>
      </c>
      <c r="X464" s="99" t="s">
        <v>306</v>
      </c>
      <c r="Y464" s="73" t="s">
        <v>4</v>
      </c>
      <c r="Z464" s="73" t="s">
        <v>4</v>
      </c>
      <c r="AA464" s="99" t="s">
        <v>3389</v>
      </c>
    </row>
    <row r="465" spans="1:27" ht="17.25" customHeight="1">
      <c r="A465" s="65" t="str">
        <f>IF(priority(Main[[#This Row],[Comments]])&lt;&gt;0, priority(Main[[#This Row],[Comments]]),"")</f>
        <v/>
      </c>
      <c r="B465" s="60" t="s">
        <v>1979</v>
      </c>
      <c r="C465" s="105" t="s">
        <v>4</v>
      </c>
      <c r="D465" s="74" t="s">
        <v>1980</v>
      </c>
      <c r="E465" s="89"/>
      <c r="F465" s="89"/>
      <c r="G465" s="65" t="str">
        <f>IF(stdProdLT(Main[[#This Row],[Comments]])=0.1,"N/A",IF(stdProdLT(Main[[#This Row],[Comments]])=0,"",TRIM(stdProdLT(Main[[#This Row],[Comments]]))))</f>
        <v/>
      </c>
      <c r="H465" s="98" t="str">
        <f>IF(Main[[#This Row],[Std. Prod. Lead Time]]="N/A", "",IF(AND(Main[[#This Row],[In Stock Date]]&lt;&gt;"",Main[[#This Row],[Revised Due Date]]&lt;&gt;"",Main[[#This Row],[In Stock Date]]&lt;&gt;""),Main[[#This Row],[In Stock Date]]-Main[[#This Row],[Revised Due Date]],""))</f>
        <v/>
      </c>
      <c r="I465" s="110" t="s">
        <v>4</v>
      </c>
      <c r="J465" s="99" t="s">
        <v>4</v>
      </c>
      <c r="K465" s="99" t="s">
        <v>4</v>
      </c>
      <c r="L465" s="89"/>
      <c r="M465" s="75" t="str">
        <f>IF(Main[[#This Row],[Tech Start Date]]&lt;1/1/1990,"",IF(Main[[#This Row],[Class]]="C",WORKDAY(Main[[#This Row],[Tech Start Date]],9),IF(Main[[#This Row],[Class]]="B", WORKDAY(Main[[#This Row],[Tech Start Date]],6),IF(Main[[#This Row],[Class]]="A",WORKDAY(Main[[#This Row],[Tech Start Date]],2),""))))</f>
        <v/>
      </c>
      <c r="N465" s="75" t="str">
        <f>IF(Main[[#This Row],[Tech Start Date]]&lt;1/1/1990,"",IF(Main[[#This Row],[Class]]="C",WORKDAY(Main[[#This Row],[Tech Start Date]],19),IF(Main[[#This Row],[Class]]="B", WORKDAY(Main[[#This Row],[Tech Start Date]],12),IF(Main[[#This Row],[Class]]="A",WORKDAY(Main[[#This Row],[Tech Start Date]],4),""))))</f>
        <v/>
      </c>
      <c r="O465" s="75" t="str">
        <f>IF(Main[[#This Row],[Tech Start Date]]&lt;1/1/1990,"",IF(Main[[#This Row],[Class]]="C",WORKDAY(Main[[#This Row],[Tech Start Date]],23),IF(Main[[#This Row],[Class]]="B", WORKDAY(Main[[#This Row],[Tech Start Date]],15),IF(Main[[#This Row],[Class]]="A",WORKDAY(Main[[#This Row],[Tech Start Date]],5),""))))</f>
        <v/>
      </c>
      <c r="P465" s="75" t="str">
        <f>IF(Main[[#This Row],[Tech Start Date]]&lt;1/1/1990,"",IF(Main[[#This Row],[Class]]="C",WORKDAY(Main[[#This Row],[Tech Start Date]],28),IF(Main[[#This Row],[Class]]="B", WORKDAY(Main[[#This Row],[Tech Start Date]],19),IF(Main[[#This Row],[Class]]="A",WORKDAY(Main[[#This Row],[Tech Start Date]],9),""))))</f>
        <v/>
      </c>
      <c r="Q465" s="89"/>
      <c r="R465" s="121"/>
      <c r="S465" s="99" t="s">
        <v>11</v>
      </c>
      <c r="T465" s="76" t="s">
        <v>4</v>
      </c>
      <c r="U465" s="99" t="s">
        <v>12</v>
      </c>
      <c r="V465" s="99" t="s">
        <v>1913</v>
      </c>
      <c r="W465" s="99" t="s">
        <v>1917</v>
      </c>
      <c r="X465" s="99" t="s">
        <v>937</v>
      </c>
      <c r="Y465" s="73" t="s">
        <v>2978</v>
      </c>
      <c r="Z465" s="73" t="s">
        <v>4</v>
      </c>
      <c r="AA465" s="99" t="s">
        <v>937</v>
      </c>
    </row>
    <row r="466" spans="1:27" ht="17.25" customHeight="1">
      <c r="A466" s="65" t="str">
        <f>IF(priority(Main[[#This Row],[Comments]])&lt;&gt;0, priority(Main[[#This Row],[Comments]]),"")</f>
        <v/>
      </c>
      <c r="B466" s="60" t="s">
        <v>1301</v>
      </c>
      <c r="C466" s="105" t="s">
        <v>4</v>
      </c>
      <c r="D466" s="74" t="s">
        <v>97</v>
      </c>
      <c r="E466" s="89"/>
      <c r="F466" s="89"/>
      <c r="G466" s="65" t="str">
        <f>IF(stdProdLT(Main[[#This Row],[Comments]])=0.1,"N/A",IF(stdProdLT(Main[[#This Row],[Comments]])=0,"",TRIM(stdProdLT(Main[[#This Row],[Comments]]))))</f>
        <v/>
      </c>
      <c r="H466" s="98" t="str">
        <f>IF(Main[[#This Row],[Std. Prod. Lead Time]]="N/A", "",IF(AND(Main[[#This Row],[In Stock Date]]&lt;&gt;"",Main[[#This Row],[Revised Due Date]]&lt;&gt;"",Main[[#This Row],[In Stock Date]]&lt;&gt;""),Main[[#This Row],[In Stock Date]]-Main[[#This Row],[Revised Due Date]],""))</f>
        <v/>
      </c>
      <c r="I466" s="110" t="s">
        <v>4</v>
      </c>
      <c r="J466" s="99" t="s">
        <v>4</v>
      </c>
      <c r="K466" s="99" t="s">
        <v>4</v>
      </c>
      <c r="L466" s="89"/>
      <c r="M466" s="75" t="str">
        <f>IF(Main[[#This Row],[Tech Start Date]]&lt;1/1/1990,"",IF(Main[[#This Row],[Class]]="C",WORKDAY(Main[[#This Row],[Tech Start Date]],9),IF(Main[[#This Row],[Class]]="B", WORKDAY(Main[[#This Row],[Tech Start Date]],6),IF(Main[[#This Row],[Class]]="A",WORKDAY(Main[[#This Row],[Tech Start Date]],2),""))))</f>
        <v/>
      </c>
      <c r="N466" s="75" t="str">
        <f>IF(Main[[#This Row],[Tech Start Date]]&lt;1/1/1990,"",IF(Main[[#This Row],[Class]]="C",WORKDAY(Main[[#This Row],[Tech Start Date]],19),IF(Main[[#This Row],[Class]]="B", WORKDAY(Main[[#This Row],[Tech Start Date]],12),IF(Main[[#This Row],[Class]]="A",WORKDAY(Main[[#This Row],[Tech Start Date]],4),""))))</f>
        <v/>
      </c>
      <c r="O466" s="75" t="str">
        <f>IF(Main[[#This Row],[Tech Start Date]]&lt;1/1/1990,"",IF(Main[[#This Row],[Class]]="C",WORKDAY(Main[[#This Row],[Tech Start Date]],23),IF(Main[[#This Row],[Class]]="B", WORKDAY(Main[[#This Row],[Tech Start Date]],15),IF(Main[[#This Row],[Class]]="A",WORKDAY(Main[[#This Row],[Tech Start Date]],5),""))))</f>
        <v/>
      </c>
      <c r="P466" s="75" t="str">
        <f>IF(Main[[#This Row],[Tech Start Date]]&lt;1/1/1990,"",IF(Main[[#This Row],[Class]]="C",WORKDAY(Main[[#This Row],[Tech Start Date]],28),IF(Main[[#This Row],[Class]]="B", WORKDAY(Main[[#This Row],[Tech Start Date]],19),IF(Main[[#This Row],[Class]]="A",WORKDAY(Main[[#This Row],[Tech Start Date]],9),""))))</f>
        <v/>
      </c>
      <c r="Q466" s="89">
        <v>40858</v>
      </c>
      <c r="R466" s="121"/>
      <c r="S466" s="99" t="s">
        <v>17</v>
      </c>
      <c r="T466" s="76" t="s">
        <v>4</v>
      </c>
      <c r="U466" s="99" t="s">
        <v>14</v>
      </c>
      <c r="V466" s="99" t="s">
        <v>1913</v>
      </c>
      <c r="W466" s="99" t="s">
        <v>1918</v>
      </c>
      <c r="X466" s="99" t="s">
        <v>50</v>
      </c>
      <c r="Y466" s="73" t="s">
        <v>2953</v>
      </c>
      <c r="Z466" s="73" t="s">
        <v>4</v>
      </c>
      <c r="AA466" s="99" t="s">
        <v>2822</v>
      </c>
    </row>
    <row r="467" spans="1:27" ht="17.25" customHeight="1">
      <c r="A467" s="65" t="str">
        <f>IF(priority(Main[[#This Row],[Comments]])&lt;&gt;0, priority(Main[[#This Row],[Comments]]),"")</f>
        <v/>
      </c>
      <c r="B467" s="60" t="s">
        <v>1302</v>
      </c>
      <c r="C467" s="105" t="s">
        <v>95</v>
      </c>
      <c r="D467" s="74" t="s">
        <v>375</v>
      </c>
      <c r="E467" s="89"/>
      <c r="F467" s="89">
        <v>40195</v>
      </c>
      <c r="G467" s="65" t="str">
        <f>IF(stdProdLT(Main[[#This Row],[Comments]])=0.1,"N/A",IF(stdProdLT(Main[[#This Row],[Comments]])=0,"",TRIM(stdProdLT(Main[[#This Row],[Comments]]))))</f>
        <v/>
      </c>
      <c r="H467" s="98" t="str">
        <f>IF(Main[[#This Row],[Std. Prod. Lead Time]]="N/A", "",IF(AND(Main[[#This Row],[In Stock Date]]&lt;&gt;"",Main[[#This Row],[Revised Due Date]]&lt;&gt;"",Main[[#This Row],[In Stock Date]]&lt;&gt;""),Main[[#This Row],[In Stock Date]]-Main[[#This Row],[Revised Due Date]],""))</f>
        <v/>
      </c>
      <c r="I467" s="110" t="s">
        <v>4</v>
      </c>
      <c r="J467" s="99" t="s">
        <v>4</v>
      </c>
      <c r="K467" s="99" t="s">
        <v>4</v>
      </c>
      <c r="L467" s="89"/>
      <c r="M467" s="75" t="str">
        <f>IF(Main[[#This Row],[Tech Start Date]]&lt;1/1/1990,"",IF(Main[[#This Row],[Class]]="C",WORKDAY(Main[[#This Row],[Tech Start Date]],9),IF(Main[[#This Row],[Class]]="B", WORKDAY(Main[[#This Row],[Tech Start Date]],6),IF(Main[[#This Row],[Class]]="A",WORKDAY(Main[[#This Row],[Tech Start Date]],2),""))))</f>
        <v/>
      </c>
      <c r="N467" s="75" t="str">
        <f>IF(Main[[#This Row],[Tech Start Date]]&lt;1/1/1990,"",IF(Main[[#This Row],[Class]]="C",WORKDAY(Main[[#This Row],[Tech Start Date]],19),IF(Main[[#This Row],[Class]]="B", WORKDAY(Main[[#This Row],[Tech Start Date]],12),IF(Main[[#This Row],[Class]]="A",WORKDAY(Main[[#This Row],[Tech Start Date]],4),""))))</f>
        <v/>
      </c>
      <c r="O467" s="75" t="str">
        <f>IF(Main[[#This Row],[Tech Start Date]]&lt;1/1/1990,"",IF(Main[[#This Row],[Class]]="C",WORKDAY(Main[[#This Row],[Tech Start Date]],23),IF(Main[[#This Row],[Class]]="B", WORKDAY(Main[[#This Row],[Tech Start Date]],15),IF(Main[[#This Row],[Class]]="A",WORKDAY(Main[[#This Row],[Tech Start Date]],5),""))))</f>
        <v/>
      </c>
      <c r="P467" s="75" t="str">
        <f>IF(Main[[#This Row],[Tech Start Date]]&lt;1/1/1990,"",IF(Main[[#This Row],[Class]]="C",WORKDAY(Main[[#This Row],[Tech Start Date]],28),IF(Main[[#This Row],[Class]]="B", WORKDAY(Main[[#This Row],[Tech Start Date]],19),IF(Main[[#This Row],[Class]]="A",WORKDAY(Main[[#This Row],[Tech Start Date]],9),""))))</f>
        <v/>
      </c>
      <c r="Q467" s="89">
        <v>40070</v>
      </c>
      <c r="R467" s="121"/>
      <c r="S467" s="99" t="s">
        <v>11</v>
      </c>
      <c r="T467" s="76" t="s">
        <v>4</v>
      </c>
      <c r="U467" s="99" t="s">
        <v>14</v>
      </c>
      <c r="V467" s="99" t="s">
        <v>1916</v>
      </c>
      <c r="W467" s="99" t="s">
        <v>1919</v>
      </c>
      <c r="X467" s="99" t="s">
        <v>2870</v>
      </c>
      <c r="Y467" s="73" t="s">
        <v>4</v>
      </c>
      <c r="Z467" s="73" t="s">
        <v>4</v>
      </c>
      <c r="AA467" s="99" t="s">
        <v>3399</v>
      </c>
    </row>
    <row r="468" spans="1:27" ht="17.25" customHeight="1">
      <c r="A468" s="65" t="str">
        <f>IF(priority(Main[[#This Row],[Comments]])&lt;&gt;0, priority(Main[[#This Row],[Comments]]),"")</f>
        <v/>
      </c>
      <c r="B468" s="60" t="s">
        <v>1825</v>
      </c>
      <c r="C468" s="105" t="s">
        <v>4</v>
      </c>
      <c r="D468" s="74" t="s">
        <v>878</v>
      </c>
      <c r="E468" s="89">
        <v>40122.528101851851</v>
      </c>
      <c r="F468" s="89"/>
      <c r="G468" s="65" t="str">
        <f>IF(stdProdLT(Main[[#This Row],[Comments]])=0.1,"N/A",IF(stdProdLT(Main[[#This Row],[Comments]])=0,"",TRIM(stdProdLT(Main[[#This Row],[Comments]]))))</f>
        <v/>
      </c>
      <c r="H468" s="98" t="str">
        <f>IF(Main[[#This Row],[Std. Prod. Lead Time]]="N/A", "",IF(AND(Main[[#This Row],[In Stock Date]]&lt;&gt;"",Main[[#This Row],[Revised Due Date]]&lt;&gt;"",Main[[#This Row],[In Stock Date]]&lt;&gt;""),Main[[#This Row],[In Stock Date]]-Main[[#This Row],[Revised Due Date]],""))</f>
        <v/>
      </c>
      <c r="I468" s="110" t="s">
        <v>4</v>
      </c>
      <c r="J468" s="99" t="s">
        <v>4</v>
      </c>
      <c r="K468" s="99" t="s">
        <v>4</v>
      </c>
      <c r="L468" s="89"/>
      <c r="M468" s="75" t="str">
        <f>IF(Main[[#This Row],[Tech Start Date]]&lt;1/1/1990,"",IF(Main[[#This Row],[Class]]="C",WORKDAY(Main[[#This Row],[Tech Start Date]],9),IF(Main[[#This Row],[Class]]="B", WORKDAY(Main[[#This Row],[Tech Start Date]],6),IF(Main[[#This Row],[Class]]="A",WORKDAY(Main[[#This Row],[Tech Start Date]],2),""))))</f>
        <v/>
      </c>
      <c r="N468" s="75" t="str">
        <f>IF(Main[[#This Row],[Tech Start Date]]&lt;1/1/1990,"",IF(Main[[#This Row],[Class]]="C",WORKDAY(Main[[#This Row],[Tech Start Date]],19),IF(Main[[#This Row],[Class]]="B", WORKDAY(Main[[#This Row],[Tech Start Date]],12),IF(Main[[#This Row],[Class]]="A",WORKDAY(Main[[#This Row],[Tech Start Date]],4),""))))</f>
        <v/>
      </c>
      <c r="O468" s="75" t="str">
        <f>IF(Main[[#This Row],[Tech Start Date]]&lt;1/1/1990,"",IF(Main[[#This Row],[Class]]="C",WORKDAY(Main[[#This Row],[Tech Start Date]],23),IF(Main[[#This Row],[Class]]="B", WORKDAY(Main[[#This Row],[Tech Start Date]],15),IF(Main[[#This Row],[Class]]="A",WORKDAY(Main[[#This Row],[Tech Start Date]],5),""))))</f>
        <v/>
      </c>
      <c r="P468" s="75" t="str">
        <f>IF(Main[[#This Row],[Tech Start Date]]&lt;1/1/1990,"",IF(Main[[#This Row],[Class]]="C",WORKDAY(Main[[#This Row],[Tech Start Date]],28),IF(Main[[#This Row],[Class]]="B", WORKDAY(Main[[#This Row],[Tech Start Date]],19),IF(Main[[#This Row],[Class]]="A",WORKDAY(Main[[#This Row],[Tech Start Date]],9),""))))</f>
        <v/>
      </c>
      <c r="Q468" s="89"/>
      <c r="R468" s="121">
        <v>40368</v>
      </c>
      <c r="S468" s="99" t="s">
        <v>17</v>
      </c>
      <c r="T468" s="76" t="s">
        <v>4</v>
      </c>
      <c r="U468" s="99" t="s">
        <v>29</v>
      </c>
      <c r="V468" s="99" t="s">
        <v>1914</v>
      </c>
      <c r="W468" s="99" t="s">
        <v>1918</v>
      </c>
      <c r="X468" s="99" t="s">
        <v>2856</v>
      </c>
      <c r="Y468" s="73" t="s">
        <v>3000</v>
      </c>
      <c r="Z468" s="73" t="s">
        <v>4</v>
      </c>
      <c r="AA468" s="99" t="s">
        <v>2856</v>
      </c>
    </row>
    <row r="469" spans="1:27" ht="17.25" customHeight="1">
      <c r="A469" s="66" t="str">
        <f>IF(priority(Main[[#This Row],[Comments]])&lt;&gt;0, priority(Main[[#This Row],[Comments]]),"")</f>
        <v/>
      </c>
      <c r="B469" s="60" t="s">
        <v>1851</v>
      </c>
      <c r="C469" s="106" t="s">
        <v>67</v>
      </c>
      <c r="D469" s="82" t="s">
        <v>908</v>
      </c>
      <c r="E469" s="91">
        <v>39981.49927083333</v>
      </c>
      <c r="F469" s="91"/>
      <c r="G469" s="66" t="str">
        <f>IF(stdProdLT(Main[[#This Row],[Comments]])=0.1,"N/A",IF(stdProdLT(Main[[#This Row],[Comments]])=0,"",TRIM(stdProdLT(Main[[#This Row],[Comments]]))))</f>
        <v/>
      </c>
      <c r="H469" s="102" t="str">
        <f>IF(Main[[#This Row],[Std. Prod. Lead Time]]="N/A", "",IF(AND(Main[[#This Row],[In Stock Date]]&lt;&gt;"",Main[[#This Row],[Revised Due Date]]&lt;&gt;"",Main[[#This Row],[In Stock Date]]&lt;&gt;""),Main[[#This Row],[In Stock Date]]-Main[[#This Row],[Revised Due Date]],""))</f>
        <v/>
      </c>
      <c r="I469" s="112" t="s">
        <v>974</v>
      </c>
      <c r="J469" s="103" t="s">
        <v>4</v>
      </c>
      <c r="K469" s="103" t="s">
        <v>1925</v>
      </c>
      <c r="L469" s="91"/>
      <c r="M469" s="83" t="str">
        <f>IF(Main[[#This Row],[Tech Start Date]]&lt;1/1/1990,"",IF(Main[[#This Row],[Class]]="C",WORKDAY(Main[[#This Row],[Tech Start Date]],9),IF(Main[[#This Row],[Class]]="B", WORKDAY(Main[[#This Row],[Tech Start Date]],6),IF(Main[[#This Row],[Class]]="A",WORKDAY(Main[[#This Row],[Tech Start Date]],2),""))))</f>
        <v/>
      </c>
      <c r="N469" s="83" t="str">
        <f>IF(Main[[#This Row],[Tech Start Date]]&lt;1/1/1990,"",IF(Main[[#This Row],[Class]]="C",WORKDAY(Main[[#This Row],[Tech Start Date]],19),IF(Main[[#This Row],[Class]]="B", WORKDAY(Main[[#This Row],[Tech Start Date]],12),IF(Main[[#This Row],[Class]]="A",WORKDAY(Main[[#This Row],[Tech Start Date]],4),""))))</f>
        <v/>
      </c>
      <c r="O469" s="83" t="str">
        <f>IF(Main[[#This Row],[Tech Start Date]]&lt;1/1/1990,"",IF(Main[[#This Row],[Class]]="C",WORKDAY(Main[[#This Row],[Tech Start Date]],23),IF(Main[[#This Row],[Class]]="B", WORKDAY(Main[[#This Row],[Tech Start Date]],15),IF(Main[[#This Row],[Class]]="A",WORKDAY(Main[[#This Row],[Tech Start Date]],5),""))))</f>
        <v/>
      </c>
      <c r="P469" s="83" t="str">
        <f>IF(Main[[#This Row],[Tech Start Date]]&lt;1/1/1990,"",IF(Main[[#This Row],[Class]]="C",WORKDAY(Main[[#This Row],[Tech Start Date]],28),IF(Main[[#This Row],[Class]]="B", WORKDAY(Main[[#This Row],[Tech Start Date]],19),IF(Main[[#This Row],[Class]]="A",WORKDAY(Main[[#This Row],[Tech Start Date]],9),""))))</f>
        <v/>
      </c>
      <c r="Q469" s="91">
        <v>40057</v>
      </c>
      <c r="R469" s="123">
        <v>40908</v>
      </c>
      <c r="S469" s="103" t="s">
        <v>17</v>
      </c>
      <c r="T469" s="84" t="s">
        <v>4</v>
      </c>
      <c r="U469" s="103" t="s">
        <v>29</v>
      </c>
      <c r="V469" s="103" t="s">
        <v>1916</v>
      </c>
      <c r="W469" s="103" t="s">
        <v>1918</v>
      </c>
      <c r="X469" s="103" t="s">
        <v>2814</v>
      </c>
      <c r="Y469" s="81" t="s">
        <v>3022</v>
      </c>
      <c r="Z469" s="81" t="s">
        <v>415</v>
      </c>
      <c r="AA469" s="103" t="s">
        <v>3402</v>
      </c>
    </row>
    <row r="470" spans="1:27" ht="17.25" customHeight="1">
      <c r="A470" s="65" t="str">
        <f>IF(priority(Main[[#This Row],[Comments]])&lt;&gt;0, priority(Main[[#This Row],[Comments]]),"")</f>
        <v/>
      </c>
      <c r="B470" s="60" t="s">
        <v>2075</v>
      </c>
      <c r="C470" s="105" t="s">
        <v>951</v>
      </c>
      <c r="D470" s="74" t="s">
        <v>2076</v>
      </c>
      <c r="E470" s="89"/>
      <c r="F470" s="89">
        <v>40871</v>
      </c>
      <c r="G470" s="65" t="str">
        <f>IF(stdProdLT(Main[[#This Row],[Comments]])=0.1,"N/A",IF(stdProdLT(Main[[#This Row],[Comments]])=0,"",TRIM(stdProdLT(Main[[#This Row],[Comments]]))))</f>
        <v/>
      </c>
      <c r="H470" s="98" t="str">
        <f>IF(Main[[#This Row],[Std. Prod. Lead Time]]="N/A", "",IF(AND(Main[[#This Row],[In Stock Date]]&lt;&gt;"",Main[[#This Row],[Revised Due Date]]&lt;&gt;"",Main[[#This Row],[In Stock Date]]&lt;&gt;""),Main[[#This Row],[In Stock Date]]-Main[[#This Row],[Revised Due Date]],""))</f>
        <v/>
      </c>
      <c r="I470" s="110" t="s">
        <v>4</v>
      </c>
      <c r="J470" s="99" t="s">
        <v>4</v>
      </c>
      <c r="K470" s="99" t="s">
        <v>4</v>
      </c>
      <c r="L470" s="89"/>
      <c r="M470" s="75" t="str">
        <f>IF(Main[[#This Row],[Tech Start Date]]&lt;1/1/1990,"",IF(Main[[#This Row],[Class]]="C",WORKDAY(Main[[#This Row],[Tech Start Date]],9),IF(Main[[#This Row],[Class]]="B", WORKDAY(Main[[#This Row],[Tech Start Date]],6),IF(Main[[#This Row],[Class]]="A",WORKDAY(Main[[#This Row],[Tech Start Date]],2),""))))</f>
        <v/>
      </c>
      <c r="N470" s="75" t="str">
        <f>IF(Main[[#This Row],[Tech Start Date]]&lt;1/1/1990,"",IF(Main[[#This Row],[Class]]="C",WORKDAY(Main[[#This Row],[Tech Start Date]],19),IF(Main[[#This Row],[Class]]="B", WORKDAY(Main[[#This Row],[Tech Start Date]],12),IF(Main[[#This Row],[Class]]="A",WORKDAY(Main[[#This Row],[Tech Start Date]],4),""))))</f>
        <v/>
      </c>
      <c r="O470" s="75" t="str">
        <f>IF(Main[[#This Row],[Tech Start Date]]&lt;1/1/1990,"",IF(Main[[#This Row],[Class]]="C",WORKDAY(Main[[#This Row],[Tech Start Date]],23),IF(Main[[#This Row],[Class]]="B", WORKDAY(Main[[#This Row],[Tech Start Date]],15),IF(Main[[#This Row],[Class]]="A",WORKDAY(Main[[#This Row],[Tech Start Date]],5),""))))</f>
        <v/>
      </c>
      <c r="P470" s="75" t="str">
        <f>IF(Main[[#This Row],[Tech Start Date]]&lt;1/1/1990,"",IF(Main[[#This Row],[Class]]="C",WORKDAY(Main[[#This Row],[Tech Start Date]],28),IF(Main[[#This Row],[Class]]="B", WORKDAY(Main[[#This Row],[Tech Start Date]],19),IF(Main[[#This Row],[Class]]="A",WORKDAY(Main[[#This Row],[Tech Start Date]],9),""))))</f>
        <v/>
      </c>
      <c r="Q470" s="89"/>
      <c r="R470" s="121"/>
      <c r="S470" s="99" t="s">
        <v>11</v>
      </c>
      <c r="T470" s="76" t="s">
        <v>4</v>
      </c>
      <c r="U470" s="99" t="s">
        <v>14</v>
      </c>
      <c r="V470" s="99" t="s">
        <v>1916</v>
      </c>
      <c r="W470" s="99" t="s">
        <v>1921</v>
      </c>
      <c r="X470" s="99" t="s">
        <v>50</v>
      </c>
      <c r="Y470" s="73" t="s">
        <v>2955</v>
      </c>
      <c r="Z470" s="73" t="s">
        <v>4</v>
      </c>
      <c r="AA470" s="99" t="s">
        <v>50</v>
      </c>
    </row>
    <row r="471" spans="1:27" ht="17.25" customHeight="1">
      <c r="A471" s="65" t="str">
        <f>IF(priority(Main[[#This Row],[Comments]])&lt;&gt;0, priority(Main[[#This Row],[Comments]]),"")</f>
        <v/>
      </c>
      <c r="B471" s="60" t="s">
        <v>1303</v>
      </c>
      <c r="C471" s="105" t="s">
        <v>376</v>
      </c>
      <c r="D471" s="74" t="s">
        <v>377</v>
      </c>
      <c r="E471" s="89">
        <v>39952.325474537036</v>
      </c>
      <c r="F471" s="89"/>
      <c r="G471" s="65" t="str">
        <f>IF(stdProdLT(Main[[#This Row],[Comments]])=0.1,"N/A",IF(stdProdLT(Main[[#This Row],[Comments]])=0,"",TRIM(stdProdLT(Main[[#This Row],[Comments]]))))</f>
        <v/>
      </c>
      <c r="H471" s="98" t="str">
        <f>IF(Main[[#This Row],[Std. Prod. Lead Time]]="N/A", "",IF(AND(Main[[#This Row],[In Stock Date]]&lt;&gt;"",Main[[#This Row],[Revised Due Date]]&lt;&gt;"",Main[[#This Row],[In Stock Date]]&lt;&gt;""),Main[[#This Row],[In Stock Date]]-Main[[#This Row],[Revised Due Date]],""))</f>
        <v/>
      </c>
      <c r="I471" s="110" t="s">
        <v>4</v>
      </c>
      <c r="J471" s="99" t="s">
        <v>4</v>
      </c>
      <c r="K471" s="99" t="s">
        <v>4</v>
      </c>
      <c r="L471" s="89"/>
      <c r="M471" s="75" t="str">
        <f>IF(Main[[#This Row],[Tech Start Date]]&lt;1/1/1990,"",IF(Main[[#This Row],[Class]]="C",WORKDAY(Main[[#This Row],[Tech Start Date]],9),IF(Main[[#This Row],[Class]]="B", WORKDAY(Main[[#This Row],[Tech Start Date]],6),IF(Main[[#This Row],[Class]]="A",WORKDAY(Main[[#This Row],[Tech Start Date]],2),""))))</f>
        <v/>
      </c>
      <c r="N471" s="75" t="str">
        <f>IF(Main[[#This Row],[Tech Start Date]]&lt;1/1/1990,"",IF(Main[[#This Row],[Class]]="C",WORKDAY(Main[[#This Row],[Tech Start Date]],19),IF(Main[[#This Row],[Class]]="B", WORKDAY(Main[[#This Row],[Tech Start Date]],12),IF(Main[[#This Row],[Class]]="A",WORKDAY(Main[[#This Row],[Tech Start Date]],4),""))))</f>
        <v/>
      </c>
      <c r="O471" s="75" t="str">
        <f>IF(Main[[#This Row],[Tech Start Date]]&lt;1/1/1990,"",IF(Main[[#This Row],[Class]]="C",WORKDAY(Main[[#This Row],[Tech Start Date]],23),IF(Main[[#This Row],[Class]]="B", WORKDAY(Main[[#This Row],[Tech Start Date]],15),IF(Main[[#This Row],[Class]]="A",WORKDAY(Main[[#This Row],[Tech Start Date]],5),""))))</f>
        <v/>
      </c>
      <c r="P471" s="75" t="str">
        <f>IF(Main[[#This Row],[Tech Start Date]]&lt;1/1/1990,"",IF(Main[[#This Row],[Class]]="C",WORKDAY(Main[[#This Row],[Tech Start Date]],28),IF(Main[[#This Row],[Class]]="B", WORKDAY(Main[[#This Row],[Tech Start Date]],19),IF(Main[[#This Row],[Class]]="A",WORKDAY(Main[[#This Row],[Tech Start Date]],9),""))))</f>
        <v/>
      </c>
      <c r="Q471" s="89"/>
      <c r="R471" s="121"/>
      <c r="S471" s="99" t="s">
        <v>17</v>
      </c>
      <c r="T471" s="76" t="s">
        <v>4</v>
      </c>
      <c r="U471" s="99" t="s">
        <v>7</v>
      </c>
      <c r="V471" s="99" t="s">
        <v>1916</v>
      </c>
      <c r="W471" s="99" t="s">
        <v>4</v>
      </c>
      <c r="X471" s="99" t="s">
        <v>2874</v>
      </c>
      <c r="Y471" s="73" t="s">
        <v>4</v>
      </c>
      <c r="Z471" s="73" t="s">
        <v>4</v>
      </c>
      <c r="AA471" s="99" t="s">
        <v>2874</v>
      </c>
    </row>
    <row r="472" spans="1:27" ht="17.25" customHeight="1">
      <c r="A472" s="65" t="str">
        <f>IF(priority(Main[[#This Row],[Comments]])&lt;&gt;0, priority(Main[[#This Row],[Comments]]),"")</f>
        <v/>
      </c>
      <c r="B472" s="60" t="s">
        <v>1304</v>
      </c>
      <c r="C472" s="105" t="s">
        <v>378</v>
      </c>
      <c r="D472" s="74" t="s">
        <v>379</v>
      </c>
      <c r="E472" s="89"/>
      <c r="F472" s="89">
        <v>40228</v>
      </c>
      <c r="G472" s="65" t="str">
        <f>IF(stdProdLT(Main[[#This Row],[Comments]])=0.1,"N/A",IF(stdProdLT(Main[[#This Row],[Comments]])=0,"",TRIM(stdProdLT(Main[[#This Row],[Comments]]))))</f>
        <v/>
      </c>
      <c r="H472" s="98" t="str">
        <f>IF(Main[[#This Row],[Std. Prod. Lead Time]]="N/A", "",IF(AND(Main[[#This Row],[In Stock Date]]&lt;&gt;"",Main[[#This Row],[Revised Due Date]]&lt;&gt;"",Main[[#This Row],[In Stock Date]]&lt;&gt;""),Main[[#This Row],[In Stock Date]]-Main[[#This Row],[Revised Due Date]],""))</f>
        <v/>
      </c>
      <c r="I472" s="110" t="s">
        <v>4</v>
      </c>
      <c r="J472" s="99" t="s">
        <v>4</v>
      </c>
      <c r="K472" s="99" t="s">
        <v>4</v>
      </c>
      <c r="L472" s="89"/>
      <c r="M472" s="75" t="str">
        <f>IF(Main[[#This Row],[Tech Start Date]]&lt;1/1/1990,"",IF(Main[[#This Row],[Class]]="C",WORKDAY(Main[[#This Row],[Tech Start Date]],9),IF(Main[[#This Row],[Class]]="B", WORKDAY(Main[[#This Row],[Tech Start Date]],6),IF(Main[[#This Row],[Class]]="A",WORKDAY(Main[[#This Row],[Tech Start Date]],2),""))))</f>
        <v/>
      </c>
      <c r="N472" s="75" t="str">
        <f>IF(Main[[#This Row],[Tech Start Date]]&lt;1/1/1990,"",IF(Main[[#This Row],[Class]]="C",WORKDAY(Main[[#This Row],[Tech Start Date]],19),IF(Main[[#This Row],[Class]]="B", WORKDAY(Main[[#This Row],[Tech Start Date]],12),IF(Main[[#This Row],[Class]]="A",WORKDAY(Main[[#This Row],[Tech Start Date]],4),""))))</f>
        <v/>
      </c>
      <c r="O472" s="75" t="str">
        <f>IF(Main[[#This Row],[Tech Start Date]]&lt;1/1/1990,"",IF(Main[[#This Row],[Class]]="C",WORKDAY(Main[[#This Row],[Tech Start Date]],23),IF(Main[[#This Row],[Class]]="B", WORKDAY(Main[[#This Row],[Tech Start Date]],15),IF(Main[[#This Row],[Class]]="A",WORKDAY(Main[[#This Row],[Tech Start Date]],5),""))))</f>
        <v/>
      </c>
      <c r="P472" s="75" t="str">
        <f>IF(Main[[#This Row],[Tech Start Date]]&lt;1/1/1990,"",IF(Main[[#This Row],[Class]]="C",WORKDAY(Main[[#This Row],[Tech Start Date]],28),IF(Main[[#This Row],[Class]]="B", WORKDAY(Main[[#This Row],[Tech Start Date]],19),IF(Main[[#This Row],[Class]]="A",WORKDAY(Main[[#This Row],[Tech Start Date]],9),""))))</f>
        <v/>
      </c>
      <c r="Q472" s="89">
        <v>40153</v>
      </c>
      <c r="R472" s="121"/>
      <c r="S472" s="99" t="s">
        <v>11</v>
      </c>
      <c r="T472" s="76" t="s">
        <v>4</v>
      </c>
      <c r="U472" s="99" t="s">
        <v>14</v>
      </c>
      <c r="V472" s="99" t="s">
        <v>1916</v>
      </c>
      <c r="W472" s="99" t="s">
        <v>1921</v>
      </c>
      <c r="X472" s="99" t="s">
        <v>2857</v>
      </c>
      <c r="Y472" s="73" t="s">
        <v>4</v>
      </c>
      <c r="Z472" s="73" t="s">
        <v>4</v>
      </c>
      <c r="AA472" s="99" t="s">
        <v>2857</v>
      </c>
    </row>
    <row r="473" spans="1:27" ht="17.25" customHeight="1">
      <c r="A473" s="65" t="str">
        <f>IF(priority(Main[[#This Row],[Comments]])&lt;&gt;0, priority(Main[[#This Row],[Comments]]),"")</f>
        <v/>
      </c>
      <c r="B473" s="60" t="s">
        <v>1306</v>
      </c>
      <c r="C473" s="105" t="s">
        <v>380</v>
      </c>
      <c r="D473" s="74" t="s">
        <v>381</v>
      </c>
      <c r="E473" s="89"/>
      <c r="F473" s="89"/>
      <c r="G473" s="65" t="str">
        <f>IF(stdProdLT(Main[[#This Row],[Comments]])=0.1,"N/A",IF(stdProdLT(Main[[#This Row],[Comments]])=0,"",TRIM(stdProdLT(Main[[#This Row],[Comments]]))))</f>
        <v/>
      </c>
      <c r="H473" s="98" t="str">
        <f>IF(Main[[#This Row],[Std. Prod. Lead Time]]="N/A", "",IF(AND(Main[[#This Row],[In Stock Date]]&lt;&gt;"",Main[[#This Row],[Revised Due Date]]&lt;&gt;"",Main[[#This Row],[In Stock Date]]&lt;&gt;""),Main[[#This Row],[In Stock Date]]-Main[[#This Row],[Revised Due Date]],""))</f>
        <v/>
      </c>
      <c r="I473" s="110" t="s">
        <v>4</v>
      </c>
      <c r="J473" s="99" t="s">
        <v>4</v>
      </c>
      <c r="K473" s="99" t="s">
        <v>4</v>
      </c>
      <c r="L473" s="89"/>
      <c r="M473" s="75" t="str">
        <f>IF(Main[[#This Row],[Tech Start Date]]&lt;1/1/1990,"",IF(Main[[#This Row],[Class]]="C",WORKDAY(Main[[#This Row],[Tech Start Date]],9),IF(Main[[#This Row],[Class]]="B", WORKDAY(Main[[#This Row],[Tech Start Date]],6),IF(Main[[#This Row],[Class]]="A",WORKDAY(Main[[#This Row],[Tech Start Date]],2),""))))</f>
        <v/>
      </c>
      <c r="N473" s="75" t="str">
        <f>IF(Main[[#This Row],[Tech Start Date]]&lt;1/1/1990,"",IF(Main[[#This Row],[Class]]="C",WORKDAY(Main[[#This Row],[Tech Start Date]],19),IF(Main[[#This Row],[Class]]="B", WORKDAY(Main[[#This Row],[Tech Start Date]],12),IF(Main[[#This Row],[Class]]="A",WORKDAY(Main[[#This Row],[Tech Start Date]],4),""))))</f>
        <v/>
      </c>
      <c r="O473" s="75" t="str">
        <f>IF(Main[[#This Row],[Tech Start Date]]&lt;1/1/1990,"",IF(Main[[#This Row],[Class]]="C",WORKDAY(Main[[#This Row],[Tech Start Date]],23),IF(Main[[#This Row],[Class]]="B", WORKDAY(Main[[#This Row],[Tech Start Date]],15),IF(Main[[#This Row],[Class]]="A",WORKDAY(Main[[#This Row],[Tech Start Date]],5),""))))</f>
        <v/>
      </c>
      <c r="P473" s="75" t="str">
        <f>IF(Main[[#This Row],[Tech Start Date]]&lt;1/1/1990,"",IF(Main[[#This Row],[Class]]="C",WORKDAY(Main[[#This Row],[Tech Start Date]],28),IF(Main[[#This Row],[Class]]="B", WORKDAY(Main[[#This Row],[Tech Start Date]],19),IF(Main[[#This Row],[Class]]="A",WORKDAY(Main[[#This Row],[Tech Start Date]],9),""))))</f>
        <v/>
      </c>
      <c r="Q473" s="89"/>
      <c r="R473" s="121"/>
      <c r="S473" s="99" t="s">
        <v>11</v>
      </c>
      <c r="T473" s="76" t="s">
        <v>4</v>
      </c>
      <c r="U473" s="99" t="s">
        <v>14</v>
      </c>
      <c r="V473" s="99" t="s">
        <v>1914</v>
      </c>
      <c r="W473" s="99" t="s">
        <v>1921</v>
      </c>
      <c r="X473" s="99" t="s">
        <v>2821</v>
      </c>
      <c r="Y473" s="73" t="s">
        <v>2942</v>
      </c>
      <c r="Z473" s="73" t="s">
        <v>4</v>
      </c>
      <c r="AA473" s="99" t="s">
        <v>2821</v>
      </c>
    </row>
    <row r="474" spans="1:27" ht="17.25" customHeight="1">
      <c r="A474" s="65" t="str">
        <f>IF(priority(Main[[#This Row],[Comments]])&lt;&gt;0, priority(Main[[#This Row],[Comments]]),"")</f>
        <v/>
      </c>
      <c r="B474" s="60" t="s">
        <v>1307</v>
      </c>
      <c r="C474" s="105" t="s">
        <v>382</v>
      </c>
      <c r="D474" s="74" t="s">
        <v>383</v>
      </c>
      <c r="E474" s="89"/>
      <c r="F474" s="89"/>
      <c r="G474" s="65" t="str">
        <f>IF(stdProdLT(Main[[#This Row],[Comments]])=0.1,"N/A",IF(stdProdLT(Main[[#This Row],[Comments]])=0,"",TRIM(stdProdLT(Main[[#This Row],[Comments]]))))</f>
        <v/>
      </c>
      <c r="H474" s="98" t="str">
        <f>IF(Main[[#This Row],[Std. Prod. Lead Time]]="N/A", "",IF(AND(Main[[#This Row],[In Stock Date]]&lt;&gt;"",Main[[#This Row],[Revised Due Date]]&lt;&gt;"",Main[[#This Row],[In Stock Date]]&lt;&gt;""),Main[[#This Row],[In Stock Date]]-Main[[#This Row],[Revised Due Date]],""))</f>
        <v/>
      </c>
      <c r="I474" s="110" t="s">
        <v>4</v>
      </c>
      <c r="J474" s="99" t="s">
        <v>4</v>
      </c>
      <c r="K474" s="99" t="s">
        <v>4</v>
      </c>
      <c r="L474" s="89"/>
      <c r="M474" s="75" t="str">
        <f>IF(Main[[#This Row],[Tech Start Date]]&lt;1/1/1990,"",IF(Main[[#This Row],[Class]]="C",WORKDAY(Main[[#This Row],[Tech Start Date]],9),IF(Main[[#This Row],[Class]]="B", WORKDAY(Main[[#This Row],[Tech Start Date]],6),IF(Main[[#This Row],[Class]]="A",WORKDAY(Main[[#This Row],[Tech Start Date]],2),""))))</f>
        <v/>
      </c>
      <c r="N474" s="75" t="str">
        <f>IF(Main[[#This Row],[Tech Start Date]]&lt;1/1/1990,"",IF(Main[[#This Row],[Class]]="C",WORKDAY(Main[[#This Row],[Tech Start Date]],19),IF(Main[[#This Row],[Class]]="B", WORKDAY(Main[[#This Row],[Tech Start Date]],12),IF(Main[[#This Row],[Class]]="A",WORKDAY(Main[[#This Row],[Tech Start Date]],4),""))))</f>
        <v/>
      </c>
      <c r="O474" s="75" t="str">
        <f>IF(Main[[#This Row],[Tech Start Date]]&lt;1/1/1990,"",IF(Main[[#This Row],[Class]]="C",WORKDAY(Main[[#This Row],[Tech Start Date]],23),IF(Main[[#This Row],[Class]]="B", WORKDAY(Main[[#This Row],[Tech Start Date]],15),IF(Main[[#This Row],[Class]]="A",WORKDAY(Main[[#This Row],[Tech Start Date]],5),""))))</f>
        <v/>
      </c>
      <c r="P474" s="75" t="str">
        <f>IF(Main[[#This Row],[Tech Start Date]]&lt;1/1/1990,"",IF(Main[[#This Row],[Class]]="C",WORKDAY(Main[[#This Row],[Tech Start Date]],28),IF(Main[[#This Row],[Class]]="B", WORKDAY(Main[[#This Row],[Tech Start Date]],19),IF(Main[[#This Row],[Class]]="A",WORKDAY(Main[[#This Row],[Tech Start Date]],9),""))))</f>
        <v/>
      </c>
      <c r="Q474" s="89"/>
      <c r="R474" s="121"/>
      <c r="S474" s="99" t="s">
        <v>11</v>
      </c>
      <c r="T474" s="76" t="s">
        <v>4</v>
      </c>
      <c r="U474" s="99" t="s">
        <v>14</v>
      </c>
      <c r="V474" s="99" t="s">
        <v>1914</v>
      </c>
      <c r="W474" s="99" t="s">
        <v>1921</v>
      </c>
      <c r="X474" s="99" t="s">
        <v>2821</v>
      </c>
      <c r="Y474" s="73" t="s">
        <v>2942</v>
      </c>
      <c r="Z474" s="73" t="s">
        <v>4</v>
      </c>
      <c r="AA474" s="99" t="s">
        <v>2821</v>
      </c>
    </row>
    <row r="475" spans="1:27" ht="17.25" customHeight="1">
      <c r="A475" s="65" t="str">
        <f>IF(priority(Main[[#This Row],[Comments]])&lt;&gt;0, priority(Main[[#This Row],[Comments]]),"")</f>
        <v/>
      </c>
      <c r="B475" s="60" t="s">
        <v>1329</v>
      </c>
      <c r="C475" s="105" t="s">
        <v>93</v>
      </c>
      <c r="D475" s="74" t="s">
        <v>384</v>
      </c>
      <c r="E475" s="89"/>
      <c r="F475" s="89">
        <v>40299</v>
      </c>
      <c r="G475" s="65" t="str">
        <f>IF(stdProdLT(Main[[#This Row],[Comments]])=0.1,"N/A",IF(stdProdLT(Main[[#This Row],[Comments]])=0,"",TRIM(stdProdLT(Main[[#This Row],[Comments]]))))</f>
        <v/>
      </c>
      <c r="H475" s="98" t="str">
        <f>IF(Main[[#This Row],[Std. Prod. Lead Time]]="N/A", "",IF(AND(Main[[#This Row],[In Stock Date]]&lt;&gt;"",Main[[#This Row],[Revised Due Date]]&lt;&gt;"",Main[[#This Row],[In Stock Date]]&lt;&gt;""),Main[[#This Row],[In Stock Date]]-Main[[#This Row],[Revised Due Date]],""))</f>
        <v/>
      </c>
      <c r="I475" s="110" t="s">
        <v>4</v>
      </c>
      <c r="J475" s="99" t="s">
        <v>4</v>
      </c>
      <c r="K475" s="99" t="s">
        <v>4</v>
      </c>
      <c r="L475" s="89"/>
      <c r="M475" s="75" t="str">
        <f>IF(Main[[#This Row],[Tech Start Date]]&lt;1/1/1990,"",IF(Main[[#This Row],[Class]]="C",WORKDAY(Main[[#This Row],[Tech Start Date]],9),IF(Main[[#This Row],[Class]]="B", WORKDAY(Main[[#This Row],[Tech Start Date]],6),IF(Main[[#This Row],[Class]]="A",WORKDAY(Main[[#This Row],[Tech Start Date]],2),""))))</f>
        <v/>
      </c>
      <c r="N475" s="75" t="str">
        <f>IF(Main[[#This Row],[Tech Start Date]]&lt;1/1/1990,"",IF(Main[[#This Row],[Class]]="C",WORKDAY(Main[[#This Row],[Tech Start Date]],19),IF(Main[[#This Row],[Class]]="B", WORKDAY(Main[[#This Row],[Tech Start Date]],12),IF(Main[[#This Row],[Class]]="A",WORKDAY(Main[[#This Row],[Tech Start Date]],4),""))))</f>
        <v/>
      </c>
      <c r="O475" s="75" t="str">
        <f>IF(Main[[#This Row],[Tech Start Date]]&lt;1/1/1990,"",IF(Main[[#This Row],[Class]]="C",WORKDAY(Main[[#This Row],[Tech Start Date]],23),IF(Main[[#This Row],[Class]]="B", WORKDAY(Main[[#This Row],[Tech Start Date]],15),IF(Main[[#This Row],[Class]]="A",WORKDAY(Main[[#This Row],[Tech Start Date]],5),""))))</f>
        <v/>
      </c>
      <c r="P475" s="75" t="str">
        <f>IF(Main[[#This Row],[Tech Start Date]]&lt;1/1/1990,"",IF(Main[[#This Row],[Class]]="C",WORKDAY(Main[[#This Row],[Tech Start Date]],28),IF(Main[[#This Row],[Class]]="B", WORKDAY(Main[[#This Row],[Tech Start Date]],19),IF(Main[[#This Row],[Class]]="A",WORKDAY(Main[[#This Row],[Tech Start Date]],9),""))))</f>
        <v/>
      </c>
      <c r="Q475" s="89">
        <v>40209</v>
      </c>
      <c r="R475" s="121"/>
      <c r="S475" s="99" t="s">
        <v>11</v>
      </c>
      <c r="T475" s="76" t="s">
        <v>4</v>
      </c>
      <c r="U475" s="99" t="s">
        <v>14</v>
      </c>
      <c r="V475" s="99" t="s">
        <v>1913</v>
      </c>
      <c r="W475" s="99" t="s">
        <v>1924</v>
      </c>
      <c r="X475" s="99" t="s">
        <v>2839</v>
      </c>
      <c r="Y475" s="73" t="s">
        <v>4</v>
      </c>
      <c r="Z475" s="73" t="s">
        <v>4</v>
      </c>
      <c r="AA475" s="99" t="s">
        <v>2839</v>
      </c>
    </row>
    <row r="476" spans="1:27" ht="17.25" customHeight="1">
      <c r="A476" s="65" t="str">
        <f>IF(priority(Main[[#This Row],[Comments]])&lt;&gt;0, priority(Main[[#This Row],[Comments]]),"")</f>
        <v/>
      </c>
      <c r="B476" s="60" t="s">
        <v>2079</v>
      </c>
      <c r="C476" s="105" t="s">
        <v>4</v>
      </c>
      <c r="D476" s="74" t="s">
        <v>2080</v>
      </c>
      <c r="E476" s="89">
        <v>40763.356041666666</v>
      </c>
      <c r="F476" s="89"/>
      <c r="G476" s="65" t="str">
        <f>IF(stdProdLT(Main[[#This Row],[Comments]])=0.1,"N/A",IF(stdProdLT(Main[[#This Row],[Comments]])=0,"",TRIM(stdProdLT(Main[[#This Row],[Comments]]))))</f>
        <v/>
      </c>
      <c r="H476" s="98" t="str">
        <f>IF(Main[[#This Row],[Std. Prod. Lead Time]]="N/A", "",IF(AND(Main[[#This Row],[In Stock Date]]&lt;&gt;"",Main[[#This Row],[Revised Due Date]]&lt;&gt;"",Main[[#This Row],[In Stock Date]]&lt;&gt;""),Main[[#This Row],[In Stock Date]]-Main[[#This Row],[Revised Due Date]],""))</f>
        <v/>
      </c>
      <c r="I476" s="110" t="s">
        <v>912</v>
      </c>
      <c r="J476" s="99" t="s">
        <v>52</v>
      </c>
      <c r="K476" s="100" t="s">
        <v>4</v>
      </c>
      <c r="L476" s="89"/>
      <c r="M476" s="75" t="str">
        <f>IF(Main[[#This Row],[Tech Start Date]]&lt;1/1/1990,"",IF(Main[[#This Row],[Class]]="C",WORKDAY(Main[[#This Row],[Tech Start Date]],9),IF(Main[[#This Row],[Class]]="B", WORKDAY(Main[[#This Row],[Tech Start Date]],6),IF(Main[[#This Row],[Class]]="A",WORKDAY(Main[[#This Row],[Tech Start Date]],2),""))))</f>
        <v/>
      </c>
      <c r="N476" s="75" t="str">
        <f>IF(Main[[#This Row],[Tech Start Date]]&lt;1/1/1990,"",IF(Main[[#This Row],[Class]]="C",WORKDAY(Main[[#This Row],[Tech Start Date]],19),IF(Main[[#This Row],[Class]]="B", WORKDAY(Main[[#This Row],[Tech Start Date]],12),IF(Main[[#This Row],[Class]]="A",WORKDAY(Main[[#This Row],[Tech Start Date]],4),""))))</f>
        <v/>
      </c>
      <c r="O476" s="75" t="str">
        <f>IF(Main[[#This Row],[Tech Start Date]]&lt;1/1/1990,"",IF(Main[[#This Row],[Class]]="C",WORKDAY(Main[[#This Row],[Tech Start Date]],23),IF(Main[[#This Row],[Class]]="B", WORKDAY(Main[[#This Row],[Tech Start Date]],15),IF(Main[[#This Row],[Class]]="A",WORKDAY(Main[[#This Row],[Tech Start Date]],5),""))))</f>
        <v/>
      </c>
      <c r="P476" s="75" t="str">
        <f>IF(Main[[#This Row],[Tech Start Date]]&lt;1/1/1990,"",IF(Main[[#This Row],[Class]]="C",WORKDAY(Main[[#This Row],[Tech Start Date]],28),IF(Main[[#This Row],[Class]]="B", WORKDAY(Main[[#This Row],[Tech Start Date]],19),IF(Main[[#This Row],[Class]]="A",WORKDAY(Main[[#This Row],[Tech Start Date]],9),""))))</f>
        <v/>
      </c>
      <c r="Q476" s="89">
        <v>40787</v>
      </c>
      <c r="R476" s="121"/>
      <c r="S476" s="99" t="s">
        <v>6</v>
      </c>
      <c r="T476" s="76" t="s">
        <v>4</v>
      </c>
      <c r="U476" s="99" t="s">
        <v>29</v>
      </c>
      <c r="V476" s="99" t="s">
        <v>1913</v>
      </c>
      <c r="W476" s="99" t="s">
        <v>4</v>
      </c>
      <c r="X476" s="99" t="s">
        <v>2816</v>
      </c>
      <c r="Y476" s="73" t="s">
        <v>2932</v>
      </c>
      <c r="Z476" s="73" t="s">
        <v>129</v>
      </c>
      <c r="AA476" s="99" t="s">
        <v>2816</v>
      </c>
    </row>
    <row r="477" spans="1:27" ht="17.25" customHeight="1">
      <c r="A477" s="65" t="str">
        <f>IF(priority(Main[[#This Row],[Comments]])&lt;&gt;0, priority(Main[[#This Row],[Comments]]),"")</f>
        <v/>
      </c>
      <c r="B477" s="60" t="s">
        <v>1662</v>
      </c>
      <c r="C477" s="105" t="s">
        <v>4</v>
      </c>
      <c r="D477" s="74" t="s">
        <v>725</v>
      </c>
      <c r="E477" s="89"/>
      <c r="F477" s="89"/>
      <c r="G477" s="65" t="str">
        <f>IF(stdProdLT(Main[[#This Row],[Comments]])=0.1,"N/A",IF(stdProdLT(Main[[#This Row],[Comments]])=0,"",TRIM(stdProdLT(Main[[#This Row],[Comments]]))))</f>
        <v/>
      </c>
      <c r="H477" s="98" t="str">
        <f>IF(Main[[#This Row],[Std. Prod. Lead Time]]="N/A", "",IF(AND(Main[[#This Row],[In Stock Date]]&lt;&gt;"",Main[[#This Row],[Revised Due Date]]&lt;&gt;"",Main[[#This Row],[In Stock Date]]&lt;&gt;""),Main[[#This Row],[In Stock Date]]-Main[[#This Row],[Revised Due Date]],""))</f>
        <v/>
      </c>
      <c r="I477" s="110" t="s">
        <v>894</v>
      </c>
      <c r="J477" s="99" t="s">
        <v>52</v>
      </c>
      <c r="K477" s="99" t="s">
        <v>1922</v>
      </c>
      <c r="L477" s="89"/>
      <c r="M477" s="75" t="str">
        <f>IF(Main[[#This Row],[Tech Start Date]]&lt;1/1/1990,"",IF(Main[[#This Row],[Class]]="C",WORKDAY(Main[[#This Row],[Tech Start Date]],9),IF(Main[[#This Row],[Class]]="B", WORKDAY(Main[[#This Row],[Tech Start Date]],6),IF(Main[[#This Row],[Class]]="A",WORKDAY(Main[[#This Row],[Tech Start Date]],2),""))))</f>
        <v/>
      </c>
      <c r="N477" s="75" t="str">
        <f>IF(Main[[#This Row],[Tech Start Date]]&lt;1/1/1990,"",IF(Main[[#This Row],[Class]]="C",WORKDAY(Main[[#This Row],[Tech Start Date]],19),IF(Main[[#This Row],[Class]]="B", WORKDAY(Main[[#This Row],[Tech Start Date]],12),IF(Main[[#This Row],[Class]]="A",WORKDAY(Main[[#This Row],[Tech Start Date]],4),""))))</f>
        <v/>
      </c>
      <c r="O477" s="75" t="str">
        <f>IF(Main[[#This Row],[Tech Start Date]]&lt;1/1/1990,"",IF(Main[[#This Row],[Class]]="C",WORKDAY(Main[[#This Row],[Tech Start Date]],23),IF(Main[[#This Row],[Class]]="B", WORKDAY(Main[[#This Row],[Tech Start Date]],15),IF(Main[[#This Row],[Class]]="A",WORKDAY(Main[[#This Row],[Tech Start Date]],5),""))))</f>
        <v/>
      </c>
      <c r="P477" s="75" t="str">
        <f>IF(Main[[#This Row],[Tech Start Date]]&lt;1/1/1990,"",IF(Main[[#This Row],[Class]]="C",WORKDAY(Main[[#This Row],[Tech Start Date]],28),IF(Main[[#This Row],[Class]]="B", WORKDAY(Main[[#This Row],[Tech Start Date]],19),IF(Main[[#This Row],[Class]]="A",WORKDAY(Main[[#This Row],[Tech Start Date]],9),""))))</f>
        <v/>
      </c>
      <c r="Q477" s="89">
        <v>40581</v>
      </c>
      <c r="R477" s="121"/>
      <c r="S477" s="99" t="s">
        <v>6</v>
      </c>
      <c r="T477" s="76" t="s">
        <v>4</v>
      </c>
      <c r="U477" s="99" t="s">
        <v>14</v>
      </c>
      <c r="V477" s="99" t="s">
        <v>1916</v>
      </c>
      <c r="W477" s="99" t="s">
        <v>1917</v>
      </c>
      <c r="X477" s="99" t="s">
        <v>2813</v>
      </c>
      <c r="Y477" s="73" t="s">
        <v>2926</v>
      </c>
      <c r="Z477" s="73" t="s">
        <v>44</v>
      </c>
      <c r="AA477" s="99" t="s">
        <v>2813</v>
      </c>
    </row>
    <row r="478" spans="1:27" ht="17.25" customHeight="1">
      <c r="A478" s="65" t="str">
        <f>IF(priority(Main[[#This Row],[Comments]])&lt;&gt;0, priority(Main[[#This Row],[Comments]]),"")</f>
        <v/>
      </c>
      <c r="B478" s="60" t="s">
        <v>1330</v>
      </c>
      <c r="C478" s="105" t="s">
        <v>31</v>
      </c>
      <c r="D478" s="74" t="s">
        <v>385</v>
      </c>
      <c r="E478" s="89"/>
      <c r="F478" s="89"/>
      <c r="G478" s="65" t="str">
        <f>IF(stdProdLT(Main[[#This Row],[Comments]])=0.1,"N/A",IF(stdProdLT(Main[[#This Row],[Comments]])=0,"",TRIM(stdProdLT(Main[[#This Row],[Comments]]))))</f>
        <v/>
      </c>
      <c r="H478" s="98" t="str">
        <f>IF(Main[[#This Row],[Std. Prod. Lead Time]]="N/A", "",IF(AND(Main[[#This Row],[In Stock Date]]&lt;&gt;"",Main[[#This Row],[Revised Due Date]]&lt;&gt;"",Main[[#This Row],[In Stock Date]]&lt;&gt;""),Main[[#This Row],[In Stock Date]]-Main[[#This Row],[Revised Due Date]],""))</f>
        <v/>
      </c>
      <c r="I478" s="110" t="s">
        <v>4</v>
      </c>
      <c r="J478" s="99" t="s">
        <v>4</v>
      </c>
      <c r="K478" s="99" t="s">
        <v>4</v>
      </c>
      <c r="L478" s="89"/>
      <c r="M478" s="75" t="str">
        <f>IF(Main[[#This Row],[Tech Start Date]]&lt;1/1/1990,"",IF(Main[[#This Row],[Class]]="C",WORKDAY(Main[[#This Row],[Tech Start Date]],9),IF(Main[[#This Row],[Class]]="B", WORKDAY(Main[[#This Row],[Tech Start Date]],6),IF(Main[[#This Row],[Class]]="A",WORKDAY(Main[[#This Row],[Tech Start Date]],2),""))))</f>
        <v/>
      </c>
      <c r="N478" s="75" t="str">
        <f>IF(Main[[#This Row],[Tech Start Date]]&lt;1/1/1990,"",IF(Main[[#This Row],[Class]]="C",WORKDAY(Main[[#This Row],[Tech Start Date]],19),IF(Main[[#This Row],[Class]]="B", WORKDAY(Main[[#This Row],[Tech Start Date]],12),IF(Main[[#This Row],[Class]]="A",WORKDAY(Main[[#This Row],[Tech Start Date]],4),""))))</f>
        <v/>
      </c>
      <c r="O478" s="75" t="str">
        <f>IF(Main[[#This Row],[Tech Start Date]]&lt;1/1/1990,"",IF(Main[[#This Row],[Class]]="C",WORKDAY(Main[[#This Row],[Tech Start Date]],23),IF(Main[[#This Row],[Class]]="B", WORKDAY(Main[[#This Row],[Tech Start Date]],15),IF(Main[[#This Row],[Class]]="A",WORKDAY(Main[[#This Row],[Tech Start Date]],5),""))))</f>
        <v/>
      </c>
      <c r="P478" s="75" t="str">
        <f>IF(Main[[#This Row],[Tech Start Date]]&lt;1/1/1990,"",IF(Main[[#This Row],[Class]]="C",WORKDAY(Main[[#This Row],[Tech Start Date]],28),IF(Main[[#This Row],[Class]]="B", WORKDAY(Main[[#This Row],[Tech Start Date]],19),IF(Main[[#This Row],[Class]]="A",WORKDAY(Main[[#This Row],[Tech Start Date]],9),""))))</f>
        <v/>
      </c>
      <c r="Q478" s="89">
        <v>40318</v>
      </c>
      <c r="R478" s="121"/>
      <c r="S478" s="99" t="s">
        <v>11</v>
      </c>
      <c r="T478" s="76" t="s">
        <v>4</v>
      </c>
      <c r="U478" s="99" t="s">
        <v>14</v>
      </c>
      <c r="V478" s="99" t="s">
        <v>1916</v>
      </c>
      <c r="W478" s="99" t="s">
        <v>1915</v>
      </c>
      <c r="X478" s="99" t="s">
        <v>2824</v>
      </c>
      <c r="Y478" s="73" t="s">
        <v>4</v>
      </c>
      <c r="Z478" s="73" t="s">
        <v>4</v>
      </c>
      <c r="AA478" s="99" t="s">
        <v>2824</v>
      </c>
    </row>
    <row r="479" spans="1:27" ht="17.25" customHeight="1">
      <c r="A479" s="65" t="str">
        <f>IF(priority(Main[[#This Row],[Comments]])&lt;&gt;0, priority(Main[[#This Row],[Comments]]),"")</f>
        <v/>
      </c>
      <c r="B479" s="60" t="s">
        <v>1331</v>
      </c>
      <c r="C479" s="105" t="s">
        <v>31</v>
      </c>
      <c r="D479" s="74" t="s">
        <v>386</v>
      </c>
      <c r="E479" s="89"/>
      <c r="F479" s="89"/>
      <c r="G479" s="65" t="str">
        <f>IF(stdProdLT(Main[[#This Row],[Comments]])=0.1,"N/A",IF(stdProdLT(Main[[#This Row],[Comments]])=0,"",TRIM(stdProdLT(Main[[#This Row],[Comments]]))))</f>
        <v/>
      </c>
      <c r="H479" s="98" t="str">
        <f>IF(Main[[#This Row],[Std. Prod. Lead Time]]="N/A", "",IF(AND(Main[[#This Row],[In Stock Date]]&lt;&gt;"",Main[[#This Row],[Revised Due Date]]&lt;&gt;"",Main[[#This Row],[In Stock Date]]&lt;&gt;""),Main[[#This Row],[In Stock Date]]-Main[[#This Row],[Revised Due Date]],""))</f>
        <v/>
      </c>
      <c r="I479" s="110" t="s">
        <v>4</v>
      </c>
      <c r="J479" s="99" t="s">
        <v>4</v>
      </c>
      <c r="K479" s="99" t="s">
        <v>4</v>
      </c>
      <c r="L479" s="89"/>
      <c r="M479" s="75" t="str">
        <f>IF(Main[[#This Row],[Tech Start Date]]&lt;1/1/1990,"",IF(Main[[#This Row],[Class]]="C",WORKDAY(Main[[#This Row],[Tech Start Date]],9),IF(Main[[#This Row],[Class]]="B", WORKDAY(Main[[#This Row],[Tech Start Date]],6),IF(Main[[#This Row],[Class]]="A",WORKDAY(Main[[#This Row],[Tech Start Date]],2),""))))</f>
        <v/>
      </c>
      <c r="N479" s="75" t="str">
        <f>IF(Main[[#This Row],[Tech Start Date]]&lt;1/1/1990,"",IF(Main[[#This Row],[Class]]="C",WORKDAY(Main[[#This Row],[Tech Start Date]],19),IF(Main[[#This Row],[Class]]="B", WORKDAY(Main[[#This Row],[Tech Start Date]],12),IF(Main[[#This Row],[Class]]="A",WORKDAY(Main[[#This Row],[Tech Start Date]],4),""))))</f>
        <v/>
      </c>
      <c r="O479" s="75" t="str">
        <f>IF(Main[[#This Row],[Tech Start Date]]&lt;1/1/1990,"",IF(Main[[#This Row],[Class]]="C",WORKDAY(Main[[#This Row],[Tech Start Date]],23),IF(Main[[#This Row],[Class]]="B", WORKDAY(Main[[#This Row],[Tech Start Date]],15),IF(Main[[#This Row],[Class]]="A",WORKDAY(Main[[#This Row],[Tech Start Date]],5),""))))</f>
        <v/>
      </c>
      <c r="P479" s="75" t="str">
        <f>IF(Main[[#This Row],[Tech Start Date]]&lt;1/1/1990,"",IF(Main[[#This Row],[Class]]="C",WORKDAY(Main[[#This Row],[Tech Start Date]],28),IF(Main[[#This Row],[Class]]="B", WORKDAY(Main[[#This Row],[Tech Start Date]],19),IF(Main[[#This Row],[Class]]="A",WORKDAY(Main[[#This Row],[Tech Start Date]],9),""))))</f>
        <v/>
      </c>
      <c r="Q479" s="89">
        <v>40318</v>
      </c>
      <c r="R479" s="121"/>
      <c r="S479" s="99" t="s">
        <v>11</v>
      </c>
      <c r="T479" s="76" t="s">
        <v>4</v>
      </c>
      <c r="U479" s="99" t="s">
        <v>14</v>
      </c>
      <c r="V479" s="99" t="s">
        <v>1923</v>
      </c>
      <c r="W479" s="99" t="s">
        <v>1924</v>
      </c>
      <c r="X479" s="99" t="s">
        <v>2824</v>
      </c>
      <c r="Y479" s="73" t="s">
        <v>4</v>
      </c>
      <c r="Z479" s="73" t="s">
        <v>4</v>
      </c>
      <c r="AA479" s="99" t="s">
        <v>2824</v>
      </c>
    </row>
    <row r="480" spans="1:27" ht="17.25" customHeight="1">
      <c r="A480" s="65" t="str">
        <f>IF(priority(Main[[#This Row],[Comments]])&lt;&gt;0, priority(Main[[#This Row],[Comments]]),"")</f>
        <v/>
      </c>
      <c r="B480" s="60" t="s">
        <v>2365</v>
      </c>
      <c r="C480" s="105" t="s">
        <v>4</v>
      </c>
      <c r="D480" s="74" t="s">
        <v>2366</v>
      </c>
      <c r="E480" s="89"/>
      <c r="F480" s="89"/>
      <c r="G480" s="65" t="str">
        <f>IF(stdProdLT(Main[[#This Row],[Comments]])=0.1,"N/A",IF(stdProdLT(Main[[#This Row],[Comments]])=0,"",TRIM(stdProdLT(Main[[#This Row],[Comments]]))))</f>
        <v/>
      </c>
      <c r="H480" s="98" t="str">
        <f>IF(Main[[#This Row],[Std. Prod. Lead Time]]="N/A", "",IF(AND(Main[[#This Row],[In Stock Date]]&lt;&gt;"",Main[[#This Row],[Revised Due Date]]&lt;&gt;"",Main[[#This Row],[In Stock Date]]&lt;&gt;""),Main[[#This Row],[In Stock Date]]-Main[[#This Row],[Revised Due Date]],""))</f>
        <v/>
      </c>
      <c r="I480" s="110" t="s">
        <v>4</v>
      </c>
      <c r="J480" s="99" t="s">
        <v>4</v>
      </c>
      <c r="K480" s="99" t="s">
        <v>4</v>
      </c>
      <c r="L480" s="89"/>
      <c r="M480" s="75" t="str">
        <f>IF(Main[[#This Row],[Tech Start Date]]&lt;1/1/1990,"",IF(Main[[#This Row],[Class]]="C",WORKDAY(Main[[#This Row],[Tech Start Date]],9),IF(Main[[#This Row],[Class]]="B", WORKDAY(Main[[#This Row],[Tech Start Date]],6),IF(Main[[#This Row],[Class]]="A",WORKDAY(Main[[#This Row],[Tech Start Date]],2),""))))</f>
        <v/>
      </c>
      <c r="N480" s="75" t="str">
        <f>IF(Main[[#This Row],[Tech Start Date]]&lt;1/1/1990,"",IF(Main[[#This Row],[Class]]="C",WORKDAY(Main[[#This Row],[Tech Start Date]],19),IF(Main[[#This Row],[Class]]="B", WORKDAY(Main[[#This Row],[Tech Start Date]],12),IF(Main[[#This Row],[Class]]="A",WORKDAY(Main[[#This Row],[Tech Start Date]],4),""))))</f>
        <v/>
      </c>
      <c r="O480" s="75" t="str">
        <f>IF(Main[[#This Row],[Tech Start Date]]&lt;1/1/1990,"",IF(Main[[#This Row],[Class]]="C",WORKDAY(Main[[#This Row],[Tech Start Date]],23),IF(Main[[#This Row],[Class]]="B", WORKDAY(Main[[#This Row],[Tech Start Date]],15),IF(Main[[#This Row],[Class]]="A",WORKDAY(Main[[#This Row],[Tech Start Date]],5),""))))</f>
        <v/>
      </c>
      <c r="P480" s="75" t="str">
        <f>IF(Main[[#This Row],[Tech Start Date]]&lt;1/1/1990,"",IF(Main[[#This Row],[Class]]="C",WORKDAY(Main[[#This Row],[Tech Start Date]],28),IF(Main[[#This Row],[Class]]="B", WORKDAY(Main[[#This Row],[Tech Start Date]],19),IF(Main[[#This Row],[Class]]="A",WORKDAY(Main[[#This Row],[Tech Start Date]],9),""))))</f>
        <v/>
      </c>
      <c r="Q480" s="89"/>
      <c r="R480" s="121"/>
      <c r="S480" s="99" t="s">
        <v>11</v>
      </c>
      <c r="T480" s="76" t="s">
        <v>4</v>
      </c>
      <c r="U480" s="99" t="s">
        <v>14</v>
      </c>
      <c r="V480" s="99" t="s">
        <v>1914</v>
      </c>
      <c r="W480" s="99" t="s">
        <v>4</v>
      </c>
      <c r="X480" s="99" t="s">
        <v>2245</v>
      </c>
      <c r="Y480" s="73" t="s">
        <v>4</v>
      </c>
      <c r="Z480" s="73" t="s">
        <v>4</v>
      </c>
      <c r="AA480" s="99" t="s">
        <v>4</v>
      </c>
    </row>
    <row r="481" spans="1:27" ht="17.25" customHeight="1">
      <c r="A481" s="65" t="str">
        <f>IF(priority(Main[[#This Row],[Comments]])&lt;&gt;0, priority(Main[[#This Row],[Comments]]),"")</f>
        <v/>
      </c>
      <c r="B481" s="60" t="s">
        <v>1332</v>
      </c>
      <c r="C481" s="105" t="s">
        <v>31</v>
      </c>
      <c r="D481" s="74" t="s">
        <v>387</v>
      </c>
      <c r="E481" s="89"/>
      <c r="F481" s="89"/>
      <c r="G481" s="65" t="str">
        <f>IF(stdProdLT(Main[[#This Row],[Comments]])=0.1,"N/A",IF(stdProdLT(Main[[#This Row],[Comments]])=0,"",TRIM(stdProdLT(Main[[#This Row],[Comments]]))))</f>
        <v/>
      </c>
      <c r="H481" s="98" t="str">
        <f>IF(Main[[#This Row],[Std. Prod. Lead Time]]="N/A", "",IF(AND(Main[[#This Row],[In Stock Date]]&lt;&gt;"",Main[[#This Row],[Revised Due Date]]&lt;&gt;"",Main[[#This Row],[In Stock Date]]&lt;&gt;""),Main[[#This Row],[In Stock Date]]-Main[[#This Row],[Revised Due Date]],""))</f>
        <v/>
      </c>
      <c r="I481" s="110" t="s">
        <v>4</v>
      </c>
      <c r="J481" s="99" t="s">
        <v>4</v>
      </c>
      <c r="K481" s="99" t="s">
        <v>4</v>
      </c>
      <c r="L481" s="89"/>
      <c r="M481" s="75" t="str">
        <f>IF(Main[[#This Row],[Tech Start Date]]&lt;1/1/1990,"",IF(Main[[#This Row],[Class]]="C",WORKDAY(Main[[#This Row],[Tech Start Date]],9),IF(Main[[#This Row],[Class]]="B", WORKDAY(Main[[#This Row],[Tech Start Date]],6),IF(Main[[#This Row],[Class]]="A",WORKDAY(Main[[#This Row],[Tech Start Date]],2),""))))</f>
        <v/>
      </c>
      <c r="N481" s="75" t="str">
        <f>IF(Main[[#This Row],[Tech Start Date]]&lt;1/1/1990,"",IF(Main[[#This Row],[Class]]="C",WORKDAY(Main[[#This Row],[Tech Start Date]],19),IF(Main[[#This Row],[Class]]="B", WORKDAY(Main[[#This Row],[Tech Start Date]],12),IF(Main[[#This Row],[Class]]="A",WORKDAY(Main[[#This Row],[Tech Start Date]],4),""))))</f>
        <v/>
      </c>
      <c r="O481" s="75" t="str">
        <f>IF(Main[[#This Row],[Tech Start Date]]&lt;1/1/1990,"",IF(Main[[#This Row],[Class]]="C",WORKDAY(Main[[#This Row],[Tech Start Date]],23),IF(Main[[#This Row],[Class]]="B", WORKDAY(Main[[#This Row],[Tech Start Date]],15),IF(Main[[#This Row],[Class]]="A",WORKDAY(Main[[#This Row],[Tech Start Date]],5),""))))</f>
        <v/>
      </c>
      <c r="P481" s="75" t="str">
        <f>IF(Main[[#This Row],[Tech Start Date]]&lt;1/1/1990,"",IF(Main[[#This Row],[Class]]="C",WORKDAY(Main[[#This Row],[Tech Start Date]],28),IF(Main[[#This Row],[Class]]="B", WORKDAY(Main[[#This Row],[Tech Start Date]],19),IF(Main[[#This Row],[Class]]="A",WORKDAY(Main[[#This Row],[Tech Start Date]],9),""))))</f>
        <v/>
      </c>
      <c r="Q481" s="89">
        <v>40318</v>
      </c>
      <c r="R481" s="121"/>
      <c r="S481" s="99" t="s">
        <v>11</v>
      </c>
      <c r="T481" s="76" t="s">
        <v>4</v>
      </c>
      <c r="U481" s="99" t="s">
        <v>14</v>
      </c>
      <c r="V481" s="99" t="s">
        <v>1923</v>
      </c>
      <c r="W481" s="99" t="s">
        <v>1915</v>
      </c>
      <c r="X481" s="99" t="s">
        <v>2824</v>
      </c>
      <c r="Y481" s="73" t="s">
        <v>4</v>
      </c>
      <c r="Z481" s="73" t="s">
        <v>4</v>
      </c>
      <c r="AA481" s="99" t="s">
        <v>2824</v>
      </c>
    </row>
    <row r="482" spans="1:27" ht="17.25" customHeight="1">
      <c r="A482" s="65" t="str">
        <f>IF(priority(Main[[#This Row],[Comments]])&lt;&gt;0, priority(Main[[#This Row],[Comments]]),"")</f>
        <v/>
      </c>
      <c r="B482" s="60" t="s">
        <v>1333</v>
      </c>
      <c r="C482" s="105" t="s">
        <v>31</v>
      </c>
      <c r="D482" s="74" t="s">
        <v>388</v>
      </c>
      <c r="E482" s="89"/>
      <c r="F482" s="89">
        <v>40288</v>
      </c>
      <c r="G482" s="65" t="str">
        <f>IF(stdProdLT(Main[[#This Row],[Comments]])=0.1,"N/A",IF(stdProdLT(Main[[#This Row],[Comments]])=0,"",TRIM(stdProdLT(Main[[#This Row],[Comments]]))))</f>
        <v/>
      </c>
      <c r="H482" s="98" t="str">
        <f>IF(Main[[#This Row],[Std. Prod. Lead Time]]="N/A", "",IF(AND(Main[[#This Row],[In Stock Date]]&lt;&gt;"",Main[[#This Row],[Revised Due Date]]&lt;&gt;"",Main[[#This Row],[In Stock Date]]&lt;&gt;""),Main[[#This Row],[In Stock Date]]-Main[[#This Row],[Revised Due Date]],""))</f>
        <v/>
      </c>
      <c r="I482" s="110" t="s">
        <v>4</v>
      </c>
      <c r="J482" s="99" t="s">
        <v>4</v>
      </c>
      <c r="K482" s="100" t="s">
        <v>4</v>
      </c>
      <c r="L482" s="89"/>
      <c r="M482" s="75" t="str">
        <f>IF(Main[[#This Row],[Tech Start Date]]&lt;1/1/1990,"",IF(Main[[#This Row],[Class]]="C",WORKDAY(Main[[#This Row],[Tech Start Date]],9),IF(Main[[#This Row],[Class]]="B", WORKDAY(Main[[#This Row],[Tech Start Date]],6),IF(Main[[#This Row],[Class]]="A",WORKDAY(Main[[#This Row],[Tech Start Date]],2),""))))</f>
        <v/>
      </c>
      <c r="N482" s="75" t="str">
        <f>IF(Main[[#This Row],[Tech Start Date]]&lt;1/1/1990,"",IF(Main[[#This Row],[Class]]="C",WORKDAY(Main[[#This Row],[Tech Start Date]],19),IF(Main[[#This Row],[Class]]="B", WORKDAY(Main[[#This Row],[Tech Start Date]],12),IF(Main[[#This Row],[Class]]="A",WORKDAY(Main[[#This Row],[Tech Start Date]],4),""))))</f>
        <v/>
      </c>
      <c r="O482" s="75" t="str">
        <f>IF(Main[[#This Row],[Tech Start Date]]&lt;1/1/1990,"",IF(Main[[#This Row],[Class]]="C",WORKDAY(Main[[#This Row],[Tech Start Date]],23),IF(Main[[#This Row],[Class]]="B", WORKDAY(Main[[#This Row],[Tech Start Date]],15),IF(Main[[#This Row],[Class]]="A",WORKDAY(Main[[#This Row],[Tech Start Date]],5),""))))</f>
        <v/>
      </c>
      <c r="P482" s="75" t="str">
        <f>IF(Main[[#This Row],[Tech Start Date]]&lt;1/1/1990,"",IF(Main[[#This Row],[Class]]="C",WORKDAY(Main[[#This Row],[Tech Start Date]],28),IF(Main[[#This Row],[Class]]="B", WORKDAY(Main[[#This Row],[Tech Start Date]],19),IF(Main[[#This Row],[Class]]="A",WORKDAY(Main[[#This Row],[Tech Start Date]],9),""))))</f>
        <v/>
      </c>
      <c r="Q482" s="89">
        <v>40106</v>
      </c>
      <c r="R482" s="121"/>
      <c r="S482" s="99" t="s">
        <v>11</v>
      </c>
      <c r="T482" s="76" t="s">
        <v>4</v>
      </c>
      <c r="U482" s="99" t="s">
        <v>14</v>
      </c>
      <c r="V482" s="99" t="s">
        <v>1916</v>
      </c>
      <c r="W482" s="99" t="s">
        <v>1924</v>
      </c>
      <c r="X482" s="99" t="s">
        <v>2824</v>
      </c>
      <c r="Y482" s="73" t="s">
        <v>4</v>
      </c>
      <c r="Z482" s="73" t="s">
        <v>4</v>
      </c>
      <c r="AA482" s="99" t="s">
        <v>2824</v>
      </c>
    </row>
    <row r="483" spans="1:27" ht="17.25" customHeight="1">
      <c r="A483" s="65" t="str">
        <f>IF(priority(Main[[#This Row],[Comments]])&lt;&gt;0, priority(Main[[#This Row],[Comments]]),"")</f>
        <v/>
      </c>
      <c r="B483" s="60" t="s">
        <v>1901</v>
      </c>
      <c r="C483" s="105" t="s">
        <v>277</v>
      </c>
      <c r="D483" s="74" t="s">
        <v>953</v>
      </c>
      <c r="E483" s="89"/>
      <c r="F483" s="89">
        <v>40543</v>
      </c>
      <c r="G483" s="65" t="str">
        <f>IF(stdProdLT(Main[[#This Row],[Comments]])=0.1,"N/A",IF(stdProdLT(Main[[#This Row],[Comments]])=0,"",TRIM(stdProdLT(Main[[#This Row],[Comments]]))))</f>
        <v/>
      </c>
      <c r="H483" s="98">
        <f>IF(Main[[#This Row],[Std. Prod. Lead Time]]="N/A", "",IF(AND(Main[[#This Row],[In Stock Date]]&lt;&gt;"",Main[[#This Row],[Revised Due Date]]&lt;&gt;"",Main[[#This Row],[In Stock Date]]&lt;&gt;""),Main[[#This Row],[In Stock Date]]-Main[[#This Row],[Revised Due Date]],""))</f>
        <v>-200</v>
      </c>
      <c r="I483" s="110" t="s">
        <v>163</v>
      </c>
      <c r="J483" s="99" t="s">
        <v>4</v>
      </c>
      <c r="K483" s="99" t="s">
        <v>1925</v>
      </c>
      <c r="L483" s="89"/>
      <c r="M483" s="75" t="str">
        <f>IF(Main[[#This Row],[Tech Start Date]]&lt;1/1/1990,"",IF(Main[[#This Row],[Class]]="C",WORKDAY(Main[[#This Row],[Tech Start Date]],9),IF(Main[[#This Row],[Class]]="B", WORKDAY(Main[[#This Row],[Tech Start Date]],6),IF(Main[[#This Row],[Class]]="A",WORKDAY(Main[[#This Row],[Tech Start Date]],2),""))))</f>
        <v/>
      </c>
      <c r="N483" s="75" t="str">
        <f>IF(Main[[#This Row],[Tech Start Date]]&lt;1/1/1990,"",IF(Main[[#This Row],[Class]]="C",WORKDAY(Main[[#This Row],[Tech Start Date]],19),IF(Main[[#This Row],[Class]]="B", WORKDAY(Main[[#This Row],[Tech Start Date]],12),IF(Main[[#This Row],[Class]]="A",WORKDAY(Main[[#This Row],[Tech Start Date]],4),""))))</f>
        <v/>
      </c>
      <c r="O483" s="75" t="str">
        <f>IF(Main[[#This Row],[Tech Start Date]]&lt;1/1/1990,"",IF(Main[[#This Row],[Class]]="C",WORKDAY(Main[[#This Row],[Tech Start Date]],23),IF(Main[[#This Row],[Class]]="B", WORKDAY(Main[[#This Row],[Tech Start Date]],15),IF(Main[[#This Row],[Class]]="A",WORKDAY(Main[[#This Row],[Tech Start Date]],5),""))))</f>
        <v/>
      </c>
      <c r="P483" s="75" t="str">
        <f>IF(Main[[#This Row],[Tech Start Date]]&lt;1/1/1990,"",IF(Main[[#This Row],[Class]]="C",WORKDAY(Main[[#This Row],[Tech Start Date]],28),IF(Main[[#This Row],[Class]]="B", WORKDAY(Main[[#This Row],[Tech Start Date]],19),IF(Main[[#This Row],[Class]]="A",WORKDAY(Main[[#This Row],[Tech Start Date]],9),""))))</f>
        <v/>
      </c>
      <c r="Q483" s="89">
        <v>40543</v>
      </c>
      <c r="R483" s="121">
        <v>40743</v>
      </c>
      <c r="S483" s="99" t="s">
        <v>17</v>
      </c>
      <c r="T483" s="76" t="s">
        <v>4</v>
      </c>
      <c r="U483" s="99" t="s">
        <v>14</v>
      </c>
      <c r="V483" s="99" t="s">
        <v>1916</v>
      </c>
      <c r="W483" s="99" t="s">
        <v>1915</v>
      </c>
      <c r="X483" s="99" t="s">
        <v>65</v>
      </c>
      <c r="Y483" s="73" t="s">
        <v>4</v>
      </c>
      <c r="Z483" s="73" t="s">
        <v>415</v>
      </c>
      <c r="AA483" s="99" t="s">
        <v>65</v>
      </c>
    </row>
    <row r="484" spans="1:27" ht="17.25" customHeight="1">
      <c r="A484" s="65" t="str">
        <f>IF(priority(Main[[#This Row],[Comments]])&lt;&gt;0, priority(Main[[#This Row],[Comments]]),"")</f>
        <v/>
      </c>
      <c r="B484" s="60" t="s">
        <v>1308</v>
      </c>
      <c r="C484" s="105" t="s">
        <v>4</v>
      </c>
      <c r="D484" s="74" t="s">
        <v>389</v>
      </c>
      <c r="E484" s="89"/>
      <c r="F484" s="89"/>
      <c r="G484" s="65" t="str">
        <f>IF(stdProdLT(Main[[#This Row],[Comments]])=0.1,"N/A",IF(stdProdLT(Main[[#This Row],[Comments]])=0,"",TRIM(stdProdLT(Main[[#This Row],[Comments]]))))</f>
        <v/>
      </c>
      <c r="H484" s="98" t="str">
        <f>IF(Main[[#This Row],[Std. Prod. Lead Time]]="N/A", "",IF(AND(Main[[#This Row],[In Stock Date]]&lt;&gt;"",Main[[#This Row],[Revised Due Date]]&lt;&gt;"",Main[[#This Row],[In Stock Date]]&lt;&gt;""),Main[[#This Row],[In Stock Date]]-Main[[#This Row],[Revised Due Date]],""))</f>
        <v/>
      </c>
      <c r="I484" s="110" t="s">
        <v>4</v>
      </c>
      <c r="J484" s="99" t="s">
        <v>4</v>
      </c>
      <c r="K484" s="99" t="s">
        <v>4</v>
      </c>
      <c r="L484" s="89"/>
      <c r="M484" s="75" t="str">
        <f>IF(Main[[#This Row],[Tech Start Date]]&lt;1/1/1990,"",IF(Main[[#This Row],[Class]]="C",WORKDAY(Main[[#This Row],[Tech Start Date]],9),IF(Main[[#This Row],[Class]]="B", WORKDAY(Main[[#This Row],[Tech Start Date]],6),IF(Main[[#This Row],[Class]]="A",WORKDAY(Main[[#This Row],[Tech Start Date]],2),""))))</f>
        <v/>
      </c>
      <c r="N484" s="75" t="str">
        <f>IF(Main[[#This Row],[Tech Start Date]]&lt;1/1/1990,"",IF(Main[[#This Row],[Class]]="C",WORKDAY(Main[[#This Row],[Tech Start Date]],19),IF(Main[[#This Row],[Class]]="B", WORKDAY(Main[[#This Row],[Tech Start Date]],12),IF(Main[[#This Row],[Class]]="A",WORKDAY(Main[[#This Row],[Tech Start Date]],4),""))))</f>
        <v/>
      </c>
      <c r="O484" s="75" t="str">
        <f>IF(Main[[#This Row],[Tech Start Date]]&lt;1/1/1990,"",IF(Main[[#This Row],[Class]]="C",WORKDAY(Main[[#This Row],[Tech Start Date]],23),IF(Main[[#This Row],[Class]]="B", WORKDAY(Main[[#This Row],[Tech Start Date]],15),IF(Main[[#This Row],[Class]]="A",WORKDAY(Main[[#This Row],[Tech Start Date]],5),""))))</f>
        <v/>
      </c>
      <c r="P484" s="75" t="str">
        <f>IF(Main[[#This Row],[Tech Start Date]]&lt;1/1/1990,"",IF(Main[[#This Row],[Class]]="C",WORKDAY(Main[[#This Row],[Tech Start Date]],28),IF(Main[[#This Row],[Class]]="B", WORKDAY(Main[[#This Row],[Tech Start Date]],19),IF(Main[[#This Row],[Class]]="A",WORKDAY(Main[[#This Row],[Tech Start Date]],9),""))))</f>
        <v/>
      </c>
      <c r="Q484" s="89"/>
      <c r="R484" s="121"/>
      <c r="S484" s="99" t="s">
        <v>4</v>
      </c>
      <c r="T484" s="76" t="s">
        <v>4</v>
      </c>
      <c r="U484" s="99" t="s">
        <v>14</v>
      </c>
      <c r="V484" s="99" t="s">
        <v>1914</v>
      </c>
      <c r="W484" s="99" t="s">
        <v>4</v>
      </c>
      <c r="X484" s="99" t="s">
        <v>922</v>
      </c>
      <c r="Y484" s="73" t="s">
        <v>4</v>
      </c>
      <c r="Z484" s="73" t="s">
        <v>4</v>
      </c>
      <c r="AA484" s="99" t="s">
        <v>4</v>
      </c>
    </row>
    <row r="485" spans="1:27" ht="17.25" customHeight="1">
      <c r="A485" s="65" t="str">
        <f>IF(priority(Main[[#This Row],[Comments]])&lt;&gt;0, priority(Main[[#This Row],[Comments]]),"")</f>
        <v/>
      </c>
      <c r="B485" s="60" t="s">
        <v>1393</v>
      </c>
      <c r="C485" s="105" t="s">
        <v>93</v>
      </c>
      <c r="D485" s="74" t="s">
        <v>420</v>
      </c>
      <c r="E485" s="89"/>
      <c r="F485" s="89">
        <v>40269</v>
      </c>
      <c r="G485" s="65" t="str">
        <f>IF(stdProdLT(Main[[#This Row],[Comments]])=0.1,"N/A",IF(stdProdLT(Main[[#This Row],[Comments]])=0,"",TRIM(stdProdLT(Main[[#This Row],[Comments]]))))</f>
        <v/>
      </c>
      <c r="H485" s="98" t="str">
        <f>IF(Main[[#This Row],[Std. Prod. Lead Time]]="N/A", "",IF(AND(Main[[#This Row],[In Stock Date]]&lt;&gt;"",Main[[#This Row],[Revised Due Date]]&lt;&gt;"",Main[[#This Row],[In Stock Date]]&lt;&gt;""),Main[[#This Row],[In Stock Date]]-Main[[#This Row],[Revised Due Date]],""))</f>
        <v/>
      </c>
      <c r="I485" s="110" t="s">
        <v>4</v>
      </c>
      <c r="J485" s="99" t="s">
        <v>4</v>
      </c>
      <c r="K485" s="99" t="s">
        <v>4</v>
      </c>
      <c r="L485" s="89"/>
      <c r="M485" s="75" t="str">
        <f>IF(Main[[#This Row],[Tech Start Date]]&lt;1/1/1990,"",IF(Main[[#This Row],[Class]]="C",WORKDAY(Main[[#This Row],[Tech Start Date]],9),IF(Main[[#This Row],[Class]]="B", WORKDAY(Main[[#This Row],[Tech Start Date]],6),IF(Main[[#This Row],[Class]]="A",WORKDAY(Main[[#This Row],[Tech Start Date]],2),""))))</f>
        <v/>
      </c>
      <c r="N485" s="75" t="str">
        <f>IF(Main[[#This Row],[Tech Start Date]]&lt;1/1/1990,"",IF(Main[[#This Row],[Class]]="C",WORKDAY(Main[[#This Row],[Tech Start Date]],19),IF(Main[[#This Row],[Class]]="B", WORKDAY(Main[[#This Row],[Tech Start Date]],12),IF(Main[[#This Row],[Class]]="A",WORKDAY(Main[[#This Row],[Tech Start Date]],4),""))))</f>
        <v/>
      </c>
      <c r="O485" s="75" t="str">
        <f>IF(Main[[#This Row],[Tech Start Date]]&lt;1/1/1990,"",IF(Main[[#This Row],[Class]]="C",WORKDAY(Main[[#This Row],[Tech Start Date]],23),IF(Main[[#This Row],[Class]]="B", WORKDAY(Main[[#This Row],[Tech Start Date]],15),IF(Main[[#This Row],[Class]]="A",WORKDAY(Main[[#This Row],[Tech Start Date]],5),""))))</f>
        <v/>
      </c>
      <c r="P485" s="75" t="str">
        <f>IF(Main[[#This Row],[Tech Start Date]]&lt;1/1/1990,"",IF(Main[[#This Row],[Class]]="C",WORKDAY(Main[[#This Row],[Tech Start Date]],28),IF(Main[[#This Row],[Class]]="B", WORKDAY(Main[[#This Row],[Tech Start Date]],19),IF(Main[[#This Row],[Class]]="A",WORKDAY(Main[[#This Row],[Tech Start Date]],9),""))))</f>
        <v/>
      </c>
      <c r="Q485" s="89">
        <v>40185</v>
      </c>
      <c r="R485" s="121"/>
      <c r="S485" s="99" t="s">
        <v>11</v>
      </c>
      <c r="T485" s="76" t="s">
        <v>4</v>
      </c>
      <c r="U485" s="99" t="s">
        <v>12</v>
      </c>
      <c r="V485" s="99" t="s">
        <v>1923</v>
      </c>
      <c r="W485" s="99" t="s">
        <v>1924</v>
      </c>
      <c r="X485" s="99" t="s">
        <v>2839</v>
      </c>
      <c r="Y485" s="73" t="s">
        <v>4</v>
      </c>
      <c r="Z485" s="73" t="s">
        <v>4</v>
      </c>
      <c r="AA485" s="99" t="s">
        <v>2839</v>
      </c>
    </row>
    <row r="486" spans="1:27" ht="17.25" customHeight="1">
      <c r="A486" s="65" t="str">
        <f>IF(priority(Main[[#This Row],[Comments]])&lt;&gt;0, priority(Main[[#This Row],[Comments]]),"")</f>
        <v/>
      </c>
      <c r="B486" s="60" t="s">
        <v>1394</v>
      </c>
      <c r="C486" s="105" t="s">
        <v>169</v>
      </c>
      <c r="D486" s="74" t="s">
        <v>421</v>
      </c>
      <c r="E486" s="89"/>
      <c r="F486" s="89">
        <v>40237</v>
      </c>
      <c r="G486" s="65" t="str">
        <f>IF(stdProdLT(Main[[#This Row],[Comments]])=0.1,"N/A",IF(stdProdLT(Main[[#This Row],[Comments]])=0,"",TRIM(stdProdLT(Main[[#This Row],[Comments]]))))</f>
        <v/>
      </c>
      <c r="H486" s="98" t="str">
        <f>IF(Main[[#This Row],[Std. Prod. Lead Time]]="N/A", "",IF(AND(Main[[#This Row],[In Stock Date]]&lt;&gt;"",Main[[#This Row],[Revised Due Date]]&lt;&gt;"",Main[[#This Row],[In Stock Date]]&lt;&gt;""),Main[[#This Row],[In Stock Date]]-Main[[#This Row],[Revised Due Date]],""))</f>
        <v/>
      </c>
      <c r="I486" s="110" t="s">
        <v>4</v>
      </c>
      <c r="J486" s="99" t="s">
        <v>4</v>
      </c>
      <c r="K486" s="99" t="s">
        <v>4</v>
      </c>
      <c r="L486" s="89"/>
      <c r="M486" s="75" t="str">
        <f>IF(Main[[#This Row],[Tech Start Date]]&lt;1/1/1990,"",IF(Main[[#This Row],[Class]]="C",WORKDAY(Main[[#This Row],[Tech Start Date]],9),IF(Main[[#This Row],[Class]]="B", WORKDAY(Main[[#This Row],[Tech Start Date]],6),IF(Main[[#This Row],[Class]]="A",WORKDAY(Main[[#This Row],[Tech Start Date]],2),""))))</f>
        <v/>
      </c>
      <c r="N486" s="75" t="str">
        <f>IF(Main[[#This Row],[Tech Start Date]]&lt;1/1/1990,"",IF(Main[[#This Row],[Class]]="C",WORKDAY(Main[[#This Row],[Tech Start Date]],19),IF(Main[[#This Row],[Class]]="B", WORKDAY(Main[[#This Row],[Tech Start Date]],12),IF(Main[[#This Row],[Class]]="A",WORKDAY(Main[[#This Row],[Tech Start Date]],4),""))))</f>
        <v/>
      </c>
      <c r="O486" s="75" t="str">
        <f>IF(Main[[#This Row],[Tech Start Date]]&lt;1/1/1990,"",IF(Main[[#This Row],[Class]]="C",WORKDAY(Main[[#This Row],[Tech Start Date]],23),IF(Main[[#This Row],[Class]]="B", WORKDAY(Main[[#This Row],[Tech Start Date]],15),IF(Main[[#This Row],[Class]]="A",WORKDAY(Main[[#This Row],[Tech Start Date]],5),""))))</f>
        <v/>
      </c>
      <c r="P486" s="75" t="str">
        <f>IF(Main[[#This Row],[Tech Start Date]]&lt;1/1/1990,"",IF(Main[[#This Row],[Class]]="C",WORKDAY(Main[[#This Row],[Tech Start Date]],28),IF(Main[[#This Row],[Class]]="B", WORKDAY(Main[[#This Row],[Tech Start Date]],19),IF(Main[[#This Row],[Class]]="A",WORKDAY(Main[[#This Row],[Tech Start Date]],9),""))))</f>
        <v/>
      </c>
      <c r="Q486" s="89">
        <v>40132</v>
      </c>
      <c r="R486" s="121"/>
      <c r="S486" s="99" t="s">
        <v>11</v>
      </c>
      <c r="T486" s="76" t="s">
        <v>4</v>
      </c>
      <c r="U486" s="99" t="s">
        <v>14</v>
      </c>
      <c r="V486" s="99" t="s">
        <v>1913</v>
      </c>
      <c r="W486" s="99" t="s">
        <v>1918</v>
      </c>
      <c r="X486" s="99" t="s">
        <v>2852</v>
      </c>
      <c r="Y486" s="73" t="s">
        <v>4</v>
      </c>
      <c r="Z486" s="73" t="s">
        <v>4</v>
      </c>
      <c r="AA486" s="99" t="s">
        <v>2852</v>
      </c>
    </row>
    <row r="487" spans="1:27" ht="17.25" customHeight="1">
      <c r="A487" s="65" t="str">
        <f>IF(priority(Main[[#This Row],[Comments]])&lt;&gt;0, priority(Main[[#This Row],[Comments]]),"")</f>
        <v/>
      </c>
      <c r="B487" s="60" t="s">
        <v>1395</v>
      </c>
      <c r="C487" s="105" t="s">
        <v>93</v>
      </c>
      <c r="D487" s="74" t="s">
        <v>422</v>
      </c>
      <c r="E487" s="89"/>
      <c r="F487" s="89">
        <v>40144</v>
      </c>
      <c r="G487" s="65" t="str">
        <f>IF(stdProdLT(Main[[#This Row],[Comments]])=0.1,"N/A",IF(stdProdLT(Main[[#This Row],[Comments]])=0,"",TRIM(stdProdLT(Main[[#This Row],[Comments]]))))</f>
        <v/>
      </c>
      <c r="H487" s="98" t="str">
        <f>IF(Main[[#This Row],[Std. Prod. Lead Time]]="N/A", "",IF(AND(Main[[#This Row],[In Stock Date]]&lt;&gt;"",Main[[#This Row],[Revised Due Date]]&lt;&gt;"",Main[[#This Row],[In Stock Date]]&lt;&gt;""),Main[[#This Row],[In Stock Date]]-Main[[#This Row],[Revised Due Date]],""))</f>
        <v/>
      </c>
      <c r="I487" s="110" t="s">
        <v>4</v>
      </c>
      <c r="J487" s="99" t="s">
        <v>4</v>
      </c>
      <c r="K487" s="99" t="s">
        <v>4</v>
      </c>
      <c r="L487" s="89"/>
      <c r="M487" s="75" t="str">
        <f>IF(Main[[#This Row],[Tech Start Date]]&lt;1/1/1990,"",IF(Main[[#This Row],[Class]]="C",WORKDAY(Main[[#This Row],[Tech Start Date]],9),IF(Main[[#This Row],[Class]]="B", WORKDAY(Main[[#This Row],[Tech Start Date]],6),IF(Main[[#This Row],[Class]]="A",WORKDAY(Main[[#This Row],[Tech Start Date]],2),""))))</f>
        <v/>
      </c>
      <c r="N487" s="75" t="str">
        <f>IF(Main[[#This Row],[Tech Start Date]]&lt;1/1/1990,"",IF(Main[[#This Row],[Class]]="C",WORKDAY(Main[[#This Row],[Tech Start Date]],19),IF(Main[[#This Row],[Class]]="B", WORKDAY(Main[[#This Row],[Tech Start Date]],12),IF(Main[[#This Row],[Class]]="A",WORKDAY(Main[[#This Row],[Tech Start Date]],4),""))))</f>
        <v/>
      </c>
      <c r="O487" s="75" t="str">
        <f>IF(Main[[#This Row],[Tech Start Date]]&lt;1/1/1990,"",IF(Main[[#This Row],[Class]]="C",WORKDAY(Main[[#This Row],[Tech Start Date]],23),IF(Main[[#This Row],[Class]]="B", WORKDAY(Main[[#This Row],[Tech Start Date]],15),IF(Main[[#This Row],[Class]]="A",WORKDAY(Main[[#This Row],[Tech Start Date]],5),""))))</f>
        <v/>
      </c>
      <c r="P487" s="75" t="str">
        <f>IF(Main[[#This Row],[Tech Start Date]]&lt;1/1/1990,"",IF(Main[[#This Row],[Class]]="C",WORKDAY(Main[[#This Row],[Tech Start Date]],28),IF(Main[[#This Row],[Class]]="B", WORKDAY(Main[[#This Row],[Tech Start Date]],19),IF(Main[[#This Row],[Class]]="A",WORKDAY(Main[[#This Row],[Tech Start Date]],9),""))))</f>
        <v/>
      </c>
      <c r="Q487" s="89">
        <v>40144</v>
      </c>
      <c r="R487" s="121"/>
      <c r="S487" s="99" t="s">
        <v>11</v>
      </c>
      <c r="T487" s="76" t="s">
        <v>4</v>
      </c>
      <c r="U487" s="99" t="s">
        <v>14</v>
      </c>
      <c r="V487" s="99" t="s">
        <v>1916</v>
      </c>
      <c r="W487" s="99" t="s">
        <v>1924</v>
      </c>
      <c r="X487" s="99" t="s">
        <v>2850</v>
      </c>
      <c r="Y487" s="73" t="s">
        <v>4</v>
      </c>
      <c r="Z487" s="73" t="s">
        <v>4</v>
      </c>
      <c r="AA487" s="99" t="s">
        <v>2850</v>
      </c>
    </row>
    <row r="488" spans="1:27" ht="17.25" customHeight="1">
      <c r="A488" s="65" t="str">
        <f>IF(priority(Main[[#This Row],[Comments]])&lt;&gt;0, priority(Main[[#This Row],[Comments]]),"")</f>
        <v/>
      </c>
      <c r="B488" s="60" t="s">
        <v>1338</v>
      </c>
      <c r="C488" s="105" t="s">
        <v>93</v>
      </c>
      <c r="D488" s="74" t="s">
        <v>423</v>
      </c>
      <c r="E488" s="89"/>
      <c r="F488" s="89">
        <v>40162</v>
      </c>
      <c r="G488" s="65" t="str">
        <f>IF(stdProdLT(Main[[#This Row],[Comments]])=0.1,"N/A",IF(stdProdLT(Main[[#This Row],[Comments]])=0,"",TRIM(stdProdLT(Main[[#This Row],[Comments]]))))</f>
        <v/>
      </c>
      <c r="H488" s="98" t="str">
        <f>IF(Main[[#This Row],[Std. Prod. Lead Time]]="N/A", "",IF(AND(Main[[#This Row],[In Stock Date]]&lt;&gt;"",Main[[#This Row],[Revised Due Date]]&lt;&gt;"",Main[[#This Row],[In Stock Date]]&lt;&gt;""),Main[[#This Row],[In Stock Date]]-Main[[#This Row],[Revised Due Date]],""))</f>
        <v/>
      </c>
      <c r="I488" s="110" t="s">
        <v>4</v>
      </c>
      <c r="J488" s="99" t="s">
        <v>4</v>
      </c>
      <c r="K488" s="100" t="s">
        <v>4</v>
      </c>
      <c r="L488" s="89"/>
      <c r="M488" s="75" t="str">
        <f>IF(Main[[#This Row],[Tech Start Date]]&lt;1/1/1990,"",IF(Main[[#This Row],[Class]]="C",WORKDAY(Main[[#This Row],[Tech Start Date]],9),IF(Main[[#This Row],[Class]]="B", WORKDAY(Main[[#This Row],[Tech Start Date]],6),IF(Main[[#This Row],[Class]]="A",WORKDAY(Main[[#This Row],[Tech Start Date]],2),""))))</f>
        <v/>
      </c>
      <c r="N488" s="75" t="str">
        <f>IF(Main[[#This Row],[Tech Start Date]]&lt;1/1/1990,"",IF(Main[[#This Row],[Class]]="C",WORKDAY(Main[[#This Row],[Tech Start Date]],19),IF(Main[[#This Row],[Class]]="B", WORKDAY(Main[[#This Row],[Tech Start Date]],12),IF(Main[[#This Row],[Class]]="A",WORKDAY(Main[[#This Row],[Tech Start Date]],4),""))))</f>
        <v/>
      </c>
      <c r="O488" s="75" t="str">
        <f>IF(Main[[#This Row],[Tech Start Date]]&lt;1/1/1990,"",IF(Main[[#This Row],[Class]]="C",WORKDAY(Main[[#This Row],[Tech Start Date]],23),IF(Main[[#This Row],[Class]]="B", WORKDAY(Main[[#This Row],[Tech Start Date]],15),IF(Main[[#This Row],[Class]]="A",WORKDAY(Main[[#This Row],[Tech Start Date]],5),""))))</f>
        <v/>
      </c>
      <c r="P488" s="75" t="str">
        <f>IF(Main[[#This Row],[Tech Start Date]]&lt;1/1/1990,"",IF(Main[[#This Row],[Class]]="C",WORKDAY(Main[[#This Row],[Tech Start Date]],28),IF(Main[[#This Row],[Class]]="B", WORKDAY(Main[[#This Row],[Tech Start Date]],19),IF(Main[[#This Row],[Class]]="A",WORKDAY(Main[[#This Row],[Tech Start Date]],9),""))))</f>
        <v/>
      </c>
      <c r="Q488" s="89">
        <v>40127</v>
      </c>
      <c r="R488" s="121"/>
      <c r="S488" s="99" t="s">
        <v>11</v>
      </c>
      <c r="T488" s="76" t="s">
        <v>4</v>
      </c>
      <c r="U488" s="99" t="s">
        <v>14</v>
      </c>
      <c r="V488" s="99" t="s">
        <v>1923</v>
      </c>
      <c r="W488" s="99" t="s">
        <v>1924</v>
      </c>
      <c r="X488" s="99" t="s">
        <v>2839</v>
      </c>
      <c r="Y488" s="73" t="s">
        <v>4</v>
      </c>
      <c r="Z488" s="73" t="s">
        <v>4</v>
      </c>
      <c r="AA488" s="99" t="s">
        <v>2839</v>
      </c>
    </row>
    <row r="489" spans="1:27" ht="17.25" customHeight="1">
      <c r="A489" s="65" t="str">
        <f>IF(priority(Main[[#This Row],[Comments]])&lt;&gt;0, priority(Main[[#This Row],[Comments]]),"")</f>
        <v/>
      </c>
      <c r="B489" s="60" t="s">
        <v>1339</v>
      </c>
      <c r="C489" s="105" t="s">
        <v>424</v>
      </c>
      <c r="D489" s="74" t="s">
        <v>425</v>
      </c>
      <c r="E489" s="89"/>
      <c r="F489" s="89">
        <v>40179</v>
      </c>
      <c r="G489" s="65" t="str">
        <f>IF(stdProdLT(Main[[#This Row],[Comments]])=0.1,"N/A",IF(stdProdLT(Main[[#This Row],[Comments]])=0,"",TRIM(stdProdLT(Main[[#This Row],[Comments]]))))</f>
        <v/>
      </c>
      <c r="H489" s="98" t="str">
        <f>IF(Main[[#This Row],[Std. Prod. Lead Time]]="N/A", "",IF(AND(Main[[#This Row],[In Stock Date]]&lt;&gt;"",Main[[#This Row],[Revised Due Date]]&lt;&gt;"",Main[[#This Row],[In Stock Date]]&lt;&gt;""),Main[[#This Row],[In Stock Date]]-Main[[#This Row],[Revised Due Date]],""))</f>
        <v/>
      </c>
      <c r="I489" s="110" t="s">
        <v>4</v>
      </c>
      <c r="J489" s="99" t="s">
        <v>4</v>
      </c>
      <c r="K489" s="99" t="s">
        <v>4</v>
      </c>
      <c r="L489" s="89"/>
      <c r="M489" s="75" t="str">
        <f>IF(Main[[#This Row],[Tech Start Date]]&lt;1/1/1990,"",IF(Main[[#This Row],[Class]]="C",WORKDAY(Main[[#This Row],[Tech Start Date]],9),IF(Main[[#This Row],[Class]]="B", WORKDAY(Main[[#This Row],[Tech Start Date]],6),IF(Main[[#This Row],[Class]]="A",WORKDAY(Main[[#This Row],[Tech Start Date]],2),""))))</f>
        <v/>
      </c>
      <c r="N489" s="75" t="str">
        <f>IF(Main[[#This Row],[Tech Start Date]]&lt;1/1/1990,"",IF(Main[[#This Row],[Class]]="C",WORKDAY(Main[[#This Row],[Tech Start Date]],19),IF(Main[[#This Row],[Class]]="B", WORKDAY(Main[[#This Row],[Tech Start Date]],12),IF(Main[[#This Row],[Class]]="A",WORKDAY(Main[[#This Row],[Tech Start Date]],4),""))))</f>
        <v/>
      </c>
      <c r="O489" s="75" t="str">
        <f>IF(Main[[#This Row],[Tech Start Date]]&lt;1/1/1990,"",IF(Main[[#This Row],[Class]]="C",WORKDAY(Main[[#This Row],[Tech Start Date]],23),IF(Main[[#This Row],[Class]]="B", WORKDAY(Main[[#This Row],[Tech Start Date]],15),IF(Main[[#This Row],[Class]]="A",WORKDAY(Main[[#This Row],[Tech Start Date]],5),""))))</f>
        <v/>
      </c>
      <c r="P489" s="75" t="str">
        <f>IF(Main[[#This Row],[Tech Start Date]]&lt;1/1/1990,"",IF(Main[[#This Row],[Class]]="C",WORKDAY(Main[[#This Row],[Tech Start Date]],28),IF(Main[[#This Row],[Class]]="B", WORKDAY(Main[[#This Row],[Tech Start Date]],19),IF(Main[[#This Row],[Class]]="A",WORKDAY(Main[[#This Row],[Tech Start Date]],9),""))))</f>
        <v/>
      </c>
      <c r="Q489" s="89">
        <v>40179</v>
      </c>
      <c r="R489" s="121"/>
      <c r="S489" s="99" t="s">
        <v>11</v>
      </c>
      <c r="T489" s="76" t="s">
        <v>4</v>
      </c>
      <c r="U489" s="99" t="s">
        <v>14</v>
      </c>
      <c r="V489" s="99" t="s">
        <v>1913</v>
      </c>
      <c r="W489" s="99" t="s">
        <v>1918</v>
      </c>
      <c r="X489" s="99" t="s">
        <v>2848</v>
      </c>
      <c r="Y489" s="73" t="s">
        <v>4</v>
      </c>
      <c r="Z489" s="73" t="s">
        <v>4</v>
      </c>
      <c r="AA489" s="99" t="s">
        <v>2848</v>
      </c>
    </row>
    <row r="490" spans="1:27" ht="17.25" customHeight="1">
      <c r="A490" s="65" t="str">
        <f>IF(priority(Main[[#This Row],[Comments]])&lt;&gt;0, priority(Main[[#This Row],[Comments]]),"")</f>
        <v/>
      </c>
      <c r="B490" s="60" t="s">
        <v>1340</v>
      </c>
      <c r="C490" s="105" t="s">
        <v>197</v>
      </c>
      <c r="D490" s="74" t="s">
        <v>426</v>
      </c>
      <c r="E490" s="89"/>
      <c r="F490" s="89"/>
      <c r="G490" s="65" t="str">
        <f>IF(stdProdLT(Main[[#This Row],[Comments]])=0.1,"N/A",IF(stdProdLT(Main[[#This Row],[Comments]])=0,"",TRIM(stdProdLT(Main[[#This Row],[Comments]]))))</f>
        <v/>
      </c>
      <c r="H490" s="98" t="str">
        <f>IF(Main[[#This Row],[Std. Prod. Lead Time]]="N/A", "",IF(AND(Main[[#This Row],[In Stock Date]]&lt;&gt;"",Main[[#This Row],[Revised Due Date]]&lt;&gt;"",Main[[#This Row],[In Stock Date]]&lt;&gt;""),Main[[#This Row],[In Stock Date]]-Main[[#This Row],[Revised Due Date]],""))</f>
        <v/>
      </c>
      <c r="I490" s="110" t="s">
        <v>4</v>
      </c>
      <c r="J490" s="99" t="s">
        <v>4</v>
      </c>
      <c r="K490" s="99" t="s">
        <v>4</v>
      </c>
      <c r="L490" s="89"/>
      <c r="M490" s="75" t="str">
        <f>IF(Main[[#This Row],[Tech Start Date]]&lt;1/1/1990,"",IF(Main[[#This Row],[Class]]="C",WORKDAY(Main[[#This Row],[Tech Start Date]],9),IF(Main[[#This Row],[Class]]="B", WORKDAY(Main[[#This Row],[Tech Start Date]],6),IF(Main[[#This Row],[Class]]="A",WORKDAY(Main[[#This Row],[Tech Start Date]],2),""))))</f>
        <v/>
      </c>
      <c r="N490" s="75" t="str">
        <f>IF(Main[[#This Row],[Tech Start Date]]&lt;1/1/1990,"",IF(Main[[#This Row],[Class]]="C",WORKDAY(Main[[#This Row],[Tech Start Date]],19),IF(Main[[#This Row],[Class]]="B", WORKDAY(Main[[#This Row],[Tech Start Date]],12),IF(Main[[#This Row],[Class]]="A",WORKDAY(Main[[#This Row],[Tech Start Date]],4),""))))</f>
        <v/>
      </c>
      <c r="O490" s="75" t="str">
        <f>IF(Main[[#This Row],[Tech Start Date]]&lt;1/1/1990,"",IF(Main[[#This Row],[Class]]="C",WORKDAY(Main[[#This Row],[Tech Start Date]],23),IF(Main[[#This Row],[Class]]="B", WORKDAY(Main[[#This Row],[Tech Start Date]],15),IF(Main[[#This Row],[Class]]="A",WORKDAY(Main[[#This Row],[Tech Start Date]],5),""))))</f>
        <v/>
      </c>
      <c r="P490" s="75" t="str">
        <f>IF(Main[[#This Row],[Tech Start Date]]&lt;1/1/1990,"",IF(Main[[#This Row],[Class]]="C",WORKDAY(Main[[#This Row],[Tech Start Date]],28),IF(Main[[#This Row],[Class]]="B", WORKDAY(Main[[#This Row],[Tech Start Date]],19),IF(Main[[#This Row],[Class]]="A",WORKDAY(Main[[#This Row],[Tech Start Date]],9),""))))</f>
        <v/>
      </c>
      <c r="Q490" s="89">
        <v>40165</v>
      </c>
      <c r="R490" s="121"/>
      <c r="S490" s="99" t="s">
        <v>11</v>
      </c>
      <c r="T490" s="76" t="s">
        <v>4</v>
      </c>
      <c r="U490" s="99" t="s">
        <v>14</v>
      </c>
      <c r="V490" s="99" t="s">
        <v>1923</v>
      </c>
      <c r="W490" s="99" t="s">
        <v>1919</v>
      </c>
      <c r="X490" s="99" t="s">
        <v>883</v>
      </c>
      <c r="Y490" s="73" t="s">
        <v>2957</v>
      </c>
      <c r="Z490" s="73" t="s">
        <v>4</v>
      </c>
      <c r="AA490" s="99" t="s">
        <v>883</v>
      </c>
    </row>
    <row r="491" spans="1:27" ht="17.25" customHeight="1">
      <c r="A491" s="65" t="str">
        <f>IF(priority(Main[[#This Row],[Comments]])&lt;&gt;0, priority(Main[[#This Row],[Comments]]),"")</f>
        <v/>
      </c>
      <c r="B491" s="60" t="s">
        <v>1341</v>
      </c>
      <c r="C491" s="105" t="s">
        <v>4</v>
      </c>
      <c r="D491" s="74" t="s">
        <v>427</v>
      </c>
      <c r="E491" s="89"/>
      <c r="F491" s="89"/>
      <c r="G491" s="65" t="str">
        <f>IF(stdProdLT(Main[[#This Row],[Comments]])=0.1,"N/A",IF(stdProdLT(Main[[#This Row],[Comments]])=0,"",TRIM(stdProdLT(Main[[#This Row],[Comments]]))))</f>
        <v/>
      </c>
      <c r="H491" s="98" t="str">
        <f>IF(Main[[#This Row],[Std. Prod. Lead Time]]="N/A", "",IF(AND(Main[[#This Row],[In Stock Date]]&lt;&gt;"",Main[[#This Row],[Revised Due Date]]&lt;&gt;"",Main[[#This Row],[In Stock Date]]&lt;&gt;""),Main[[#This Row],[In Stock Date]]-Main[[#This Row],[Revised Due Date]],""))</f>
        <v/>
      </c>
      <c r="I491" s="110" t="s">
        <v>4</v>
      </c>
      <c r="J491" s="99" t="s">
        <v>4</v>
      </c>
      <c r="K491" s="99" t="s">
        <v>4</v>
      </c>
      <c r="L491" s="89"/>
      <c r="M491" s="75" t="str">
        <f>IF(Main[[#This Row],[Tech Start Date]]&lt;1/1/1990,"",IF(Main[[#This Row],[Class]]="C",WORKDAY(Main[[#This Row],[Tech Start Date]],9),IF(Main[[#This Row],[Class]]="B", WORKDAY(Main[[#This Row],[Tech Start Date]],6),IF(Main[[#This Row],[Class]]="A",WORKDAY(Main[[#This Row],[Tech Start Date]],2),""))))</f>
        <v/>
      </c>
      <c r="N491" s="75" t="str">
        <f>IF(Main[[#This Row],[Tech Start Date]]&lt;1/1/1990,"",IF(Main[[#This Row],[Class]]="C",WORKDAY(Main[[#This Row],[Tech Start Date]],19),IF(Main[[#This Row],[Class]]="B", WORKDAY(Main[[#This Row],[Tech Start Date]],12),IF(Main[[#This Row],[Class]]="A",WORKDAY(Main[[#This Row],[Tech Start Date]],4),""))))</f>
        <v/>
      </c>
      <c r="O491" s="75" t="str">
        <f>IF(Main[[#This Row],[Tech Start Date]]&lt;1/1/1990,"",IF(Main[[#This Row],[Class]]="C",WORKDAY(Main[[#This Row],[Tech Start Date]],23),IF(Main[[#This Row],[Class]]="B", WORKDAY(Main[[#This Row],[Tech Start Date]],15),IF(Main[[#This Row],[Class]]="A",WORKDAY(Main[[#This Row],[Tech Start Date]],5),""))))</f>
        <v/>
      </c>
      <c r="P491" s="75" t="str">
        <f>IF(Main[[#This Row],[Tech Start Date]]&lt;1/1/1990,"",IF(Main[[#This Row],[Class]]="C",WORKDAY(Main[[#This Row],[Tech Start Date]],28),IF(Main[[#This Row],[Class]]="B", WORKDAY(Main[[#This Row],[Tech Start Date]],19),IF(Main[[#This Row],[Class]]="A",WORKDAY(Main[[#This Row],[Tech Start Date]],9),""))))</f>
        <v/>
      </c>
      <c r="Q491" s="89"/>
      <c r="R491" s="121"/>
      <c r="S491" s="99" t="s">
        <v>6</v>
      </c>
      <c r="T491" s="76" t="s">
        <v>4</v>
      </c>
      <c r="U491" s="99" t="s">
        <v>12</v>
      </c>
      <c r="V491" s="99" t="s">
        <v>1913</v>
      </c>
      <c r="W491" s="99" t="s">
        <v>4</v>
      </c>
      <c r="X491" s="99" t="s">
        <v>912</v>
      </c>
      <c r="Y491" s="73" t="s">
        <v>4</v>
      </c>
      <c r="Z491" s="73" t="s">
        <v>4</v>
      </c>
      <c r="AA491" s="99" t="s">
        <v>4</v>
      </c>
    </row>
    <row r="492" spans="1:27" ht="17.25" customHeight="1">
      <c r="A492" s="65" t="str">
        <f>IF(priority(Main[[#This Row],[Comments]])&lt;&gt;0, priority(Main[[#This Row],[Comments]]),"")</f>
        <v/>
      </c>
      <c r="B492" s="60" t="s">
        <v>1342</v>
      </c>
      <c r="C492" s="105" t="s">
        <v>4</v>
      </c>
      <c r="D492" s="74" t="s">
        <v>428</v>
      </c>
      <c r="E492" s="89">
        <v>40367.39403935185</v>
      </c>
      <c r="F492" s="89"/>
      <c r="G492" s="65" t="str">
        <f>IF(stdProdLT(Main[[#This Row],[Comments]])=0.1,"N/A",IF(stdProdLT(Main[[#This Row],[Comments]])=0,"",TRIM(stdProdLT(Main[[#This Row],[Comments]]))))</f>
        <v/>
      </c>
      <c r="H492" s="98" t="str">
        <f>IF(Main[[#This Row],[Std. Prod. Lead Time]]="N/A", "",IF(AND(Main[[#This Row],[In Stock Date]]&lt;&gt;"",Main[[#This Row],[Revised Due Date]]&lt;&gt;"",Main[[#This Row],[In Stock Date]]&lt;&gt;""),Main[[#This Row],[In Stock Date]]-Main[[#This Row],[Revised Due Date]],""))</f>
        <v/>
      </c>
      <c r="I492" s="110" t="s">
        <v>126</v>
      </c>
      <c r="J492" s="99" t="s">
        <v>28</v>
      </c>
      <c r="K492" s="99" t="s">
        <v>1922</v>
      </c>
      <c r="L492" s="89"/>
      <c r="M492" s="75" t="str">
        <f>IF(Main[[#This Row],[Tech Start Date]]&lt;1/1/1990,"",IF(Main[[#This Row],[Class]]="C",WORKDAY(Main[[#This Row],[Tech Start Date]],9),IF(Main[[#This Row],[Class]]="B", WORKDAY(Main[[#This Row],[Tech Start Date]],6),IF(Main[[#This Row],[Class]]="A",WORKDAY(Main[[#This Row],[Tech Start Date]],2),""))))</f>
        <v/>
      </c>
      <c r="N492" s="75" t="str">
        <f>IF(Main[[#This Row],[Tech Start Date]]&lt;1/1/1990,"",IF(Main[[#This Row],[Class]]="C",WORKDAY(Main[[#This Row],[Tech Start Date]],19),IF(Main[[#This Row],[Class]]="B", WORKDAY(Main[[#This Row],[Tech Start Date]],12),IF(Main[[#This Row],[Class]]="A",WORKDAY(Main[[#This Row],[Tech Start Date]],4),""))))</f>
        <v/>
      </c>
      <c r="O492" s="75" t="str">
        <f>IF(Main[[#This Row],[Tech Start Date]]&lt;1/1/1990,"",IF(Main[[#This Row],[Class]]="C",WORKDAY(Main[[#This Row],[Tech Start Date]],23),IF(Main[[#This Row],[Class]]="B", WORKDAY(Main[[#This Row],[Tech Start Date]],15),IF(Main[[#This Row],[Class]]="A",WORKDAY(Main[[#This Row],[Tech Start Date]],5),""))))</f>
        <v/>
      </c>
      <c r="P492" s="75" t="str">
        <f>IF(Main[[#This Row],[Tech Start Date]]&lt;1/1/1990,"",IF(Main[[#This Row],[Class]]="C",WORKDAY(Main[[#This Row],[Tech Start Date]],28),IF(Main[[#This Row],[Class]]="B", WORKDAY(Main[[#This Row],[Tech Start Date]],19),IF(Main[[#This Row],[Class]]="A",WORKDAY(Main[[#This Row],[Tech Start Date]],9),""))))</f>
        <v/>
      </c>
      <c r="Q492" s="89">
        <v>40405</v>
      </c>
      <c r="R492" s="121"/>
      <c r="S492" s="99" t="s">
        <v>6</v>
      </c>
      <c r="T492" s="76" t="s">
        <v>4</v>
      </c>
      <c r="U492" s="99" t="s">
        <v>29</v>
      </c>
      <c r="V492" s="99" t="s">
        <v>1913</v>
      </c>
      <c r="W492" s="99" t="s">
        <v>1921</v>
      </c>
      <c r="X492" s="99" t="s">
        <v>2048</v>
      </c>
      <c r="Y492" s="73" t="s">
        <v>2966</v>
      </c>
      <c r="Z492" s="73" t="s">
        <v>129</v>
      </c>
      <c r="AA492" s="99" t="s">
        <v>2048</v>
      </c>
    </row>
    <row r="493" spans="1:27" ht="17.25" customHeight="1">
      <c r="A493" s="65" t="str">
        <f>IF(priority(Main[[#This Row],[Comments]])&lt;&gt;0, priority(Main[[#This Row],[Comments]]),"")</f>
        <v/>
      </c>
      <c r="B493" s="60" t="s">
        <v>1812</v>
      </c>
      <c r="C493" s="105" t="s">
        <v>95</v>
      </c>
      <c r="D493" s="74" t="s">
        <v>864</v>
      </c>
      <c r="E493" s="89"/>
      <c r="F493" s="89"/>
      <c r="G493" s="65" t="str">
        <f>IF(stdProdLT(Main[[#This Row],[Comments]])=0.1,"N/A",IF(stdProdLT(Main[[#This Row],[Comments]])=0,"",TRIM(stdProdLT(Main[[#This Row],[Comments]]))))</f>
        <v/>
      </c>
      <c r="H493" s="98" t="str">
        <f>IF(Main[[#This Row],[Std. Prod. Lead Time]]="N/A", "",IF(AND(Main[[#This Row],[In Stock Date]]&lt;&gt;"",Main[[#This Row],[Revised Due Date]]&lt;&gt;"",Main[[#This Row],[In Stock Date]]&lt;&gt;""),Main[[#This Row],[In Stock Date]]-Main[[#This Row],[Revised Due Date]],""))</f>
        <v/>
      </c>
      <c r="I493" s="110" t="s">
        <v>4</v>
      </c>
      <c r="J493" s="99" t="s">
        <v>4</v>
      </c>
      <c r="K493" s="99" t="s">
        <v>4</v>
      </c>
      <c r="L493" s="89"/>
      <c r="M493" s="75" t="str">
        <f>IF(Main[[#This Row],[Tech Start Date]]&lt;1/1/1990,"",IF(Main[[#This Row],[Class]]="C",WORKDAY(Main[[#This Row],[Tech Start Date]],9),IF(Main[[#This Row],[Class]]="B", WORKDAY(Main[[#This Row],[Tech Start Date]],6),IF(Main[[#This Row],[Class]]="A",WORKDAY(Main[[#This Row],[Tech Start Date]],2),""))))</f>
        <v/>
      </c>
      <c r="N493" s="75" t="str">
        <f>IF(Main[[#This Row],[Tech Start Date]]&lt;1/1/1990,"",IF(Main[[#This Row],[Class]]="C",WORKDAY(Main[[#This Row],[Tech Start Date]],19),IF(Main[[#This Row],[Class]]="B", WORKDAY(Main[[#This Row],[Tech Start Date]],12),IF(Main[[#This Row],[Class]]="A",WORKDAY(Main[[#This Row],[Tech Start Date]],4),""))))</f>
        <v/>
      </c>
      <c r="O493" s="75" t="str">
        <f>IF(Main[[#This Row],[Tech Start Date]]&lt;1/1/1990,"",IF(Main[[#This Row],[Class]]="C",WORKDAY(Main[[#This Row],[Tech Start Date]],23),IF(Main[[#This Row],[Class]]="B", WORKDAY(Main[[#This Row],[Tech Start Date]],15),IF(Main[[#This Row],[Class]]="A",WORKDAY(Main[[#This Row],[Tech Start Date]],5),""))))</f>
        <v/>
      </c>
      <c r="P493" s="75" t="str">
        <f>IF(Main[[#This Row],[Tech Start Date]]&lt;1/1/1990,"",IF(Main[[#This Row],[Class]]="C",WORKDAY(Main[[#This Row],[Tech Start Date]],28),IF(Main[[#This Row],[Class]]="B", WORKDAY(Main[[#This Row],[Tech Start Date]],19),IF(Main[[#This Row],[Class]]="A",WORKDAY(Main[[#This Row],[Tech Start Date]],9),""))))</f>
        <v/>
      </c>
      <c r="Q493" s="89">
        <v>40206</v>
      </c>
      <c r="R493" s="121">
        <v>40284</v>
      </c>
      <c r="S493" s="99" t="s">
        <v>11</v>
      </c>
      <c r="T493" s="76" t="s">
        <v>4</v>
      </c>
      <c r="U493" s="99" t="s">
        <v>14</v>
      </c>
      <c r="V493" s="99" t="s">
        <v>1914</v>
      </c>
      <c r="W493" s="99" t="s">
        <v>1915</v>
      </c>
      <c r="X493" s="99" t="s">
        <v>2831</v>
      </c>
      <c r="Y493" s="73" t="s">
        <v>3029</v>
      </c>
      <c r="Z493" s="73" t="s">
        <v>4</v>
      </c>
      <c r="AA493" s="99" t="s">
        <v>3405</v>
      </c>
    </row>
    <row r="494" spans="1:27" ht="17.25" customHeight="1">
      <c r="A494" s="65" t="str">
        <f>IF(priority(Main[[#This Row],[Comments]])&lt;&gt;0, priority(Main[[#This Row],[Comments]]),"")</f>
        <v/>
      </c>
      <c r="B494" s="60" t="s">
        <v>1603</v>
      </c>
      <c r="C494" s="105" t="s">
        <v>4</v>
      </c>
      <c r="D494" s="74" t="s">
        <v>678</v>
      </c>
      <c r="E494" s="89">
        <v>40619.658206018517</v>
      </c>
      <c r="F494" s="89"/>
      <c r="G494" s="65" t="str">
        <f>IF(stdProdLT(Main[[#This Row],[Comments]])=0.1,"N/A",IF(stdProdLT(Main[[#This Row],[Comments]])=0,"",TRIM(stdProdLT(Main[[#This Row],[Comments]]))))</f>
        <v/>
      </c>
      <c r="H494" s="98" t="str">
        <f>IF(Main[[#This Row],[Std. Prod. Lead Time]]="N/A", "",IF(AND(Main[[#This Row],[In Stock Date]]&lt;&gt;"",Main[[#This Row],[Revised Due Date]]&lt;&gt;"",Main[[#This Row],[In Stock Date]]&lt;&gt;""),Main[[#This Row],[In Stock Date]]-Main[[#This Row],[Revised Due Date]],""))</f>
        <v/>
      </c>
      <c r="I494" s="110" t="s">
        <v>922</v>
      </c>
      <c r="J494" s="99" t="s">
        <v>28</v>
      </c>
      <c r="K494" s="99" t="s">
        <v>1922</v>
      </c>
      <c r="L494" s="89"/>
      <c r="M494" s="75" t="str">
        <f>IF(Main[[#This Row],[Tech Start Date]]&lt;1/1/1990,"",IF(Main[[#This Row],[Class]]="C",WORKDAY(Main[[#This Row],[Tech Start Date]],9),IF(Main[[#This Row],[Class]]="B", WORKDAY(Main[[#This Row],[Tech Start Date]],6),IF(Main[[#This Row],[Class]]="A",WORKDAY(Main[[#This Row],[Tech Start Date]],2),""))))</f>
        <v/>
      </c>
      <c r="N494" s="75" t="str">
        <f>IF(Main[[#This Row],[Tech Start Date]]&lt;1/1/1990,"",IF(Main[[#This Row],[Class]]="C",WORKDAY(Main[[#This Row],[Tech Start Date]],19),IF(Main[[#This Row],[Class]]="B", WORKDAY(Main[[#This Row],[Tech Start Date]],12),IF(Main[[#This Row],[Class]]="A",WORKDAY(Main[[#This Row],[Tech Start Date]],4),""))))</f>
        <v/>
      </c>
      <c r="O494" s="75" t="str">
        <f>IF(Main[[#This Row],[Tech Start Date]]&lt;1/1/1990,"",IF(Main[[#This Row],[Class]]="C",WORKDAY(Main[[#This Row],[Tech Start Date]],23),IF(Main[[#This Row],[Class]]="B", WORKDAY(Main[[#This Row],[Tech Start Date]],15),IF(Main[[#This Row],[Class]]="A",WORKDAY(Main[[#This Row],[Tech Start Date]],5),""))))</f>
        <v/>
      </c>
      <c r="P494" s="75" t="str">
        <f>IF(Main[[#This Row],[Tech Start Date]]&lt;1/1/1990,"",IF(Main[[#This Row],[Class]]="C",WORKDAY(Main[[#This Row],[Tech Start Date]],28),IF(Main[[#This Row],[Class]]="B", WORKDAY(Main[[#This Row],[Tech Start Date]],19),IF(Main[[#This Row],[Class]]="A",WORKDAY(Main[[#This Row],[Tech Start Date]],9),""))))</f>
        <v/>
      </c>
      <c r="Q494" s="89"/>
      <c r="R494" s="121"/>
      <c r="S494" s="99" t="s">
        <v>6</v>
      </c>
      <c r="T494" s="76" t="s">
        <v>4</v>
      </c>
      <c r="U494" s="99" t="s">
        <v>29</v>
      </c>
      <c r="V494" s="99" t="s">
        <v>1928</v>
      </c>
      <c r="W494" s="99" t="s">
        <v>1915</v>
      </c>
      <c r="X494" s="99" t="s">
        <v>922</v>
      </c>
      <c r="Y494" s="73" t="s">
        <v>2976</v>
      </c>
      <c r="Z494" s="73" t="s">
        <v>2207</v>
      </c>
      <c r="AA494" s="99" t="s">
        <v>922</v>
      </c>
    </row>
    <row r="495" spans="1:27" ht="17.25" customHeight="1">
      <c r="A495" s="65" t="str">
        <f>IF(priority(Main[[#This Row],[Comments]])&lt;&gt;0, priority(Main[[#This Row],[Comments]]),"")</f>
        <v/>
      </c>
      <c r="B495" s="60" t="s">
        <v>1344</v>
      </c>
      <c r="C495" s="105" t="s">
        <v>4</v>
      </c>
      <c r="D495" s="74" t="s">
        <v>430</v>
      </c>
      <c r="E495" s="89">
        <v>40585.693101851852</v>
      </c>
      <c r="F495" s="89"/>
      <c r="G495" s="65" t="str">
        <f>IF(stdProdLT(Main[[#This Row],[Comments]])=0.1,"N/A",IF(stdProdLT(Main[[#This Row],[Comments]])=0,"",TRIM(stdProdLT(Main[[#This Row],[Comments]]))))</f>
        <v/>
      </c>
      <c r="H495" s="98" t="str">
        <f>IF(Main[[#This Row],[Std. Prod. Lead Time]]="N/A", "",IF(AND(Main[[#This Row],[In Stock Date]]&lt;&gt;"",Main[[#This Row],[Revised Due Date]]&lt;&gt;"",Main[[#This Row],[In Stock Date]]&lt;&gt;""),Main[[#This Row],[In Stock Date]]-Main[[#This Row],[Revised Due Date]],""))</f>
        <v/>
      </c>
      <c r="I495" s="110" t="s">
        <v>431</v>
      </c>
      <c r="J495" s="99" t="s">
        <v>21</v>
      </c>
      <c r="K495" s="99" t="s">
        <v>4</v>
      </c>
      <c r="L495" s="89"/>
      <c r="M495" s="75" t="str">
        <f>IF(Main[[#This Row],[Tech Start Date]]&lt;1/1/1990,"",IF(Main[[#This Row],[Class]]="C",WORKDAY(Main[[#This Row],[Tech Start Date]],9),IF(Main[[#This Row],[Class]]="B", WORKDAY(Main[[#This Row],[Tech Start Date]],6),IF(Main[[#This Row],[Class]]="A",WORKDAY(Main[[#This Row],[Tech Start Date]],2),""))))</f>
        <v/>
      </c>
      <c r="N495" s="75" t="str">
        <f>IF(Main[[#This Row],[Tech Start Date]]&lt;1/1/1990,"",IF(Main[[#This Row],[Class]]="C",WORKDAY(Main[[#This Row],[Tech Start Date]],19),IF(Main[[#This Row],[Class]]="B", WORKDAY(Main[[#This Row],[Tech Start Date]],12),IF(Main[[#This Row],[Class]]="A",WORKDAY(Main[[#This Row],[Tech Start Date]],4),""))))</f>
        <v/>
      </c>
      <c r="O495" s="75" t="str">
        <f>IF(Main[[#This Row],[Tech Start Date]]&lt;1/1/1990,"",IF(Main[[#This Row],[Class]]="C",WORKDAY(Main[[#This Row],[Tech Start Date]],23),IF(Main[[#This Row],[Class]]="B", WORKDAY(Main[[#This Row],[Tech Start Date]],15),IF(Main[[#This Row],[Class]]="A",WORKDAY(Main[[#This Row],[Tech Start Date]],5),""))))</f>
        <v/>
      </c>
      <c r="P495" s="75" t="str">
        <f>IF(Main[[#This Row],[Tech Start Date]]&lt;1/1/1990,"",IF(Main[[#This Row],[Class]]="C",WORKDAY(Main[[#This Row],[Tech Start Date]],28),IF(Main[[#This Row],[Class]]="B", WORKDAY(Main[[#This Row],[Tech Start Date]],19),IF(Main[[#This Row],[Class]]="A",WORKDAY(Main[[#This Row],[Tech Start Date]],9),""))))</f>
        <v/>
      </c>
      <c r="Q495" s="89">
        <v>40602</v>
      </c>
      <c r="R495" s="121"/>
      <c r="S495" s="99" t="s">
        <v>6</v>
      </c>
      <c r="T495" s="76" t="s">
        <v>4</v>
      </c>
      <c r="U495" s="99" t="s">
        <v>29</v>
      </c>
      <c r="V495" s="99" t="s">
        <v>1916</v>
      </c>
      <c r="W495" s="99" t="s">
        <v>1917</v>
      </c>
      <c r="X495" s="99" t="s">
        <v>30</v>
      </c>
      <c r="Y495" s="73" t="s">
        <v>2951</v>
      </c>
      <c r="Z495" s="73" t="s">
        <v>415</v>
      </c>
      <c r="AA495" s="99" t="s">
        <v>30</v>
      </c>
    </row>
    <row r="496" spans="1:27" ht="17.25" customHeight="1">
      <c r="A496" s="65" t="str">
        <f>IF(priority(Main[[#This Row],[Comments]])&lt;&gt;0, priority(Main[[#This Row],[Comments]]),"")</f>
        <v/>
      </c>
      <c r="B496" s="60" t="s">
        <v>1345</v>
      </c>
      <c r="C496" s="105" t="s">
        <v>4</v>
      </c>
      <c r="D496" s="74" t="s">
        <v>432</v>
      </c>
      <c r="E496" s="89"/>
      <c r="F496" s="89"/>
      <c r="G496" s="65" t="str">
        <f>IF(stdProdLT(Main[[#This Row],[Comments]])=0.1,"N/A",IF(stdProdLT(Main[[#This Row],[Comments]])=0,"",TRIM(stdProdLT(Main[[#This Row],[Comments]]))))</f>
        <v/>
      </c>
      <c r="H496" s="98" t="str">
        <f>IF(Main[[#This Row],[Std. Prod. Lead Time]]="N/A", "",IF(AND(Main[[#This Row],[In Stock Date]]&lt;&gt;"",Main[[#This Row],[Revised Due Date]]&lt;&gt;"",Main[[#This Row],[In Stock Date]]&lt;&gt;""),Main[[#This Row],[In Stock Date]]-Main[[#This Row],[Revised Due Date]],""))</f>
        <v/>
      </c>
      <c r="I496" s="110" t="s">
        <v>4</v>
      </c>
      <c r="J496" s="99" t="s">
        <v>4</v>
      </c>
      <c r="K496" s="99" t="s">
        <v>4</v>
      </c>
      <c r="L496" s="89"/>
      <c r="M496" s="75" t="str">
        <f>IF(Main[[#This Row],[Tech Start Date]]&lt;1/1/1990,"",IF(Main[[#This Row],[Class]]="C",WORKDAY(Main[[#This Row],[Tech Start Date]],9),IF(Main[[#This Row],[Class]]="B", WORKDAY(Main[[#This Row],[Tech Start Date]],6),IF(Main[[#This Row],[Class]]="A",WORKDAY(Main[[#This Row],[Tech Start Date]],2),""))))</f>
        <v/>
      </c>
      <c r="N496" s="75" t="str">
        <f>IF(Main[[#This Row],[Tech Start Date]]&lt;1/1/1990,"",IF(Main[[#This Row],[Class]]="C",WORKDAY(Main[[#This Row],[Tech Start Date]],19),IF(Main[[#This Row],[Class]]="B", WORKDAY(Main[[#This Row],[Tech Start Date]],12),IF(Main[[#This Row],[Class]]="A",WORKDAY(Main[[#This Row],[Tech Start Date]],4),""))))</f>
        <v/>
      </c>
      <c r="O496" s="75" t="str">
        <f>IF(Main[[#This Row],[Tech Start Date]]&lt;1/1/1990,"",IF(Main[[#This Row],[Class]]="C",WORKDAY(Main[[#This Row],[Tech Start Date]],23),IF(Main[[#This Row],[Class]]="B", WORKDAY(Main[[#This Row],[Tech Start Date]],15),IF(Main[[#This Row],[Class]]="A",WORKDAY(Main[[#This Row],[Tech Start Date]],5),""))))</f>
        <v/>
      </c>
      <c r="P496" s="75" t="str">
        <f>IF(Main[[#This Row],[Tech Start Date]]&lt;1/1/1990,"",IF(Main[[#This Row],[Class]]="C",WORKDAY(Main[[#This Row],[Tech Start Date]],28),IF(Main[[#This Row],[Class]]="B", WORKDAY(Main[[#This Row],[Tech Start Date]],19),IF(Main[[#This Row],[Class]]="A",WORKDAY(Main[[#This Row],[Tech Start Date]],9),""))))</f>
        <v/>
      </c>
      <c r="Q496" s="89"/>
      <c r="R496" s="121"/>
      <c r="S496" s="99" t="s">
        <v>4</v>
      </c>
      <c r="T496" s="76" t="s">
        <v>4</v>
      </c>
      <c r="U496" s="99" t="s">
        <v>14</v>
      </c>
      <c r="V496" s="99" t="s">
        <v>1913</v>
      </c>
      <c r="W496" s="99" t="s">
        <v>1927</v>
      </c>
      <c r="X496" s="99" t="s">
        <v>922</v>
      </c>
      <c r="Y496" s="73" t="s">
        <v>4</v>
      </c>
      <c r="Z496" s="73" t="s">
        <v>4</v>
      </c>
      <c r="AA496" s="99" t="s">
        <v>4</v>
      </c>
    </row>
    <row r="497" spans="1:27" ht="17.25" customHeight="1">
      <c r="A497" s="65" t="str">
        <f>IF(priority(Main[[#This Row],[Comments]])&lt;&gt;0, priority(Main[[#This Row],[Comments]]),"")</f>
        <v/>
      </c>
      <c r="B497" s="60" t="s">
        <v>1347</v>
      </c>
      <c r="C497" s="105" t="s">
        <v>31</v>
      </c>
      <c r="D497" s="74" t="s">
        <v>435</v>
      </c>
      <c r="E497" s="89"/>
      <c r="F497" s="89"/>
      <c r="G497" s="65" t="str">
        <f>IF(stdProdLT(Main[[#This Row],[Comments]])=0.1,"N/A",IF(stdProdLT(Main[[#This Row],[Comments]])=0,"",TRIM(stdProdLT(Main[[#This Row],[Comments]]))))</f>
        <v/>
      </c>
      <c r="H497" s="98" t="str">
        <f>IF(Main[[#This Row],[Std. Prod. Lead Time]]="N/A", "",IF(AND(Main[[#This Row],[In Stock Date]]&lt;&gt;"",Main[[#This Row],[Revised Due Date]]&lt;&gt;"",Main[[#This Row],[In Stock Date]]&lt;&gt;""),Main[[#This Row],[In Stock Date]]-Main[[#This Row],[Revised Due Date]],""))</f>
        <v/>
      </c>
      <c r="I497" s="110" t="s">
        <v>4</v>
      </c>
      <c r="J497" s="99" t="s">
        <v>4</v>
      </c>
      <c r="K497" s="99" t="s">
        <v>4</v>
      </c>
      <c r="L497" s="89"/>
      <c r="M497" s="75" t="str">
        <f>IF(Main[[#This Row],[Tech Start Date]]&lt;1/1/1990,"",IF(Main[[#This Row],[Class]]="C",WORKDAY(Main[[#This Row],[Tech Start Date]],9),IF(Main[[#This Row],[Class]]="B", WORKDAY(Main[[#This Row],[Tech Start Date]],6),IF(Main[[#This Row],[Class]]="A",WORKDAY(Main[[#This Row],[Tech Start Date]],2),""))))</f>
        <v/>
      </c>
      <c r="N497" s="75" t="str">
        <f>IF(Main[[#This Row],[Tech Start Date]]&lt;1/1/1990,"",IF(Main[[#This Row],[Class]]="C",WORKDAY(Main[[#This Row],[Tech Start Date]],19),IF(Main[[#This Row],[Class]]="B", WORKDAY(Main[[#This Row],[Tech Start Date]],12),IF(Main[[#This Row],[Class]]="A",WORKDAY(Main[[#This Row],[Tech Start Date]],4),""))))</f>
        <v/>
      </c>
      <c r="O497" s="75" t="str">
        <f>IF(Main[[#This Row],[Tech Start Date]]&lt;1/1/1990,"",IF(Main[[#This Row],[Class]]="C",WORKDAY(Main[[#This Row],[Tech Start Date]],23),IF(Main[[#This Row],[Class]]="B", WORKDAY(Main[[#This Row],[Tech Start Date]],15),IF(Main[[#This Row],[Class]]="A",WORKDAY(Main[[#This Row],[Tech Start Date]],5),""))))</f>
        <v/>
      </c>
      <c r="P497" s="75" t="str">
        <f>IF(Main[[#This Row],[Tech Start Date]]&lt;1/1/1990,"",IF(Main[[#This Row],[Class]]="C",WORKDAY(Main[[#This Row],[Tech Start Date]],28),IF(Main[[#This Row],[Class]]="B", WORKDAY(Main[[#This Row],[Tech Start Date]],19),IF(Main[[#This Row],[Class]]="A",WORKDAY(Main[[#This Row],[Tech Start Date]],9),""))))</f>
        <v/>
      </c>
      <c r="Q497" s="89">
        <v>40318</v>
      </c>
      <c r="R497" s="121"/>
      <c r="S497" s="99" t="s">
        <v>11</v>
      </c>
      <c r="T497" s="76" t="s">
        <v>4</v>
      </c>
      <c r="U497" s="99" t="s">
        <v>14</v>
      </c>
      <c r="V497" s="99" t="s">
        <v>1916</v>
      </c>
      <c r="W497" s="99" t="s">
        <v>1915</v>
      </c>
      <c r="X497" s="99" t="s">
        <v>2824</v>
      </c>
      <c r="Y497" s="73" t="s">
        <v>4</v>
      </c>
      <c r="Z497" s="73" t="s">
        <v>4</v>
      </c>
      <c r="AA497" s="99" t="s">
        <v>2824</v>
      </c>
    </row>
    <row r="498" spans="1:27" ht="17.25" customHeight="1">
      <c r="A498" s="65" t="str">
        <f>IF(priority(Main[[#This Row],[Comments]])&lt;&gt;0, priority(Main[[#This Row],[Comments]]),"")</f>
        <v/>
      </c>
      <c r="B498" s="60" t="s">
        <v>1348</v>
      </c>
      <c r="C498" s="105" t="s">
        <v>436</v>
      </c>
      <c r="D498" s="74" t="s">
        <v>437</v>
      </c>
      <c r="E498" s="89"/>
      <c r="F498" s="89">
        <v>40056</v>
      </c>
      <c r="G498" s="65" t="str">
        <f>IF(stdProdLT(Main[[#This Row],[Comments]])=0.1,"N/A",IF(stdProdLT(Main[[#This Row],[Comments]])=0,"",TRIM(stdProdLT(Main[[#This Row],[Comments]]))))</f>
        <v/>
      </c>
      <c r="H498" s="98" t="str">
        <f>IF(Main[[#This Row],[Std. Prod. Lead Time]]="N/A", "",IF(AND(Main[[#This Row],[In Stock Date]]&lt;&gt;"",Main[[#This Row],[Revised Due Date]]&lt;&gt;"",Main[[#This Row],[In Stock Date]]&lt;&gt;""),Main[[#This Row],[In Stock Date]]-Main[[#This Row],[Revised Due Date]],""))</f>
        <v/>
      </c>
      <c r="I498" s="110" t="s">
        <v>4</v>
      </c>
      <c r="J498" s="99" t="s">
        <v>4</v>
      </c>
      <c r="K498" s="100" t="s">
        <v>4</v>
      </c>
      <c r="L498" s="89"/>
      <c r="M498" s="75" t="str">
        <f>IF(Main[[#This Row],[Tech Start Date]]&lt;1/1/1990,"",IF(Main[[#This Row],[Class]]="C",WORKDAY(Main[[#This Row],[Tech Start Date]],9),IF(Main[[#This Row],[Class]]="B", WORKDAY(Main[[#This Row],[Tech Start Date]],6),IF(Main[[#This Row],[Class]]="A",WORKDAY(Main[[#This Row],[Tech Start Date]],2),""))))</f>
        <v/>
      </c>
      <c r="N498" s="75" t="str">
        <f>IF(Main[[#This Row],[Tech Start Date]]&lt;1/1/1990,"",IF(Main[[#This Row],[Class]]="C",WORKDAY(Main[[#This Row],[Tech Start Date]],19),IF(Main[[#This Row],[Class]]="B", WORKDAY(Main[[#This Row],[Tech Start Date]],12),IF(Main[[#This Row],[Class]]="A",WORKDAY(Main[[#This Row],[Tech Start Date]],4),""))))</f>
        <v/>
      </c>
      <c r="O498" s="75" t="str">
        <f>IF(Main[[#This Row],[Tech Start Date]]&lt;1/1/1990,"",IF(Main[[#This Row],[Class]]="C",WORKDAY(Main[[#This Row],[Tech Start Date]],23),IF(Main[[#This Row],[Class]]="B", WORKDAY(Main[[#This Row],[Tech Start Date]],15),IF(Main[[#This Row],[Class]]="A",WORKDAY(Main[[#This Row],[Tech Start Date]],5),""))))</f>
        <v/>
      </c>
      <c r="P498" s="75" t="str">
        <f>IF(Main[[#This Row],[Tech Start Date]]&lt;1/1/1990,"",IF(Main[[#This Row],[Class]]="C",WORKDAY(Main[[#This Row],[Tech Start Date]],28),IF(Main[[#This Row],[Class]]="B", WORKDAY(Main[[#This Row],[Tech Start Date]],19),IF(Main[[#This Row],[Class]]="A",WORKDAY(Main[[#This Row],[Tech Start Date]],9),""))))</f>
        <v/>
      </c>
      <c r="Q498" s="89"/>
      <c r="R498" s="121"/>
      <c r="S498" s="99" t="s">
        <v>11</v>
      </c>
      <c r="T498" s="76" t="s">
        <v>4</v>
      </c>
      <c r="U498" s="99" t="s">
        <v>14</v>
      </c>
      <c r="V498" s="99" t="s">
        <v>1913</v>
      </c>
      <c r="W498" s="99" t="s">
        <v>1921</v>
      </c>
      <c r="X498" s="99" t="s">
        <v>2847</v>
      </c>
      <c r="Y498" s="73" t="s">
        <v>2985</v>
      </c>
      <c r="Z498" s="73" t="s">
        <v>4</v>
      </c>
      <c r="AA498" s="99" t="s">
        <v>2847</v>
      </c>
    </row>
    <row r="499" spans="1:27" ht="17.25" customHeight="1">
      <c r="A499" s="65" t="str">
        <f>IF(priority(Main[[#This Row],[Comments]])&lt;&gt;0, priority(Main[[#This Row],[Comments]]),"")</f>
        <v/>
      </c>
      <c r="B499" s="60" t="s">
        <v>1349</v>
      </c>
      <c r="C499" s="105" t="s">
        <v>31</v>
      </c>
      <c r="D499" s="74" t="s">
        <v>438</v>
      </c>
      <c r="E499" s="89"/>
      <c r="F499" s="89"/>
      <c r="G499" s="65" t="str">
        <f>IF(stdProdLT(Main[[#This Row],[Comments]])=0.1,"N/A",IF(stdProdLT(Main[[#This Row],[Comments]])=0,"",TRIM(stdProdLT(Main[[#This Row],[Comments]]))))</f>
        <v/>
      </c>
      <c r="H499" s="98" t="str">
        <f>IF(Main[[#This Row],[Std. Prod. Lead Time]]="N/A", "",IF(AND(Main[[#This Row],[In Stock Date]]&lt;&gt;"",Main[[#This Row],[Revised Due Date]]&lt;&gt;"",Main[[#This Row],[In Stock Date]]&lt;&gt;""),Main[[#This Row],[In Stock Date]]-Main[[#This Row],[Revised Due Date]],""))</f>
        <v/>
      </c>
      <c r="I499" s="110" t="s">
        <v>4</v>
      </c>
      <c r="J499" s="99" t="s">
        <v>4</v>
      </c>
      <c r="K499" s="99" t="s">
        <v>4</v>
      </c>
      <c r="L499" s="89"/>
      <c r="M499" s="75" t="str">
        <f>IF(Main[[#This Row],[Tech Start Date]]&lt;1/1/1990,"",IF(Main[[#This Row],[Class]]="C",WORKDAY(Main[[#This Row],[Tech Start Date]],9),IF(Main[[#This Row],[Class]]="B", WORKDAY(Main[[#This Row],[Tech Start Date]],6),IF(Main[[#This Row],[Class]]="A",WORKDAY(Main[[#This Row],[Tech Start Date]],2),""))))</f>
        <v/>
      </c>
      <c r="N499" s="75" t="str">
        <f>IF(Main[[#This Row],[Tech Start Date]]&lt;1/1/1990,"",IF(Main[[#This Row],[Class]]="C",WORKDAY(Main[[#This Row],[Tech Start Date]],19),IF(Main[[#This Row],[Class]]="B", WORKDAY(Main[[#This Row],[Tech Start Date]],12),IF(Main[[#This Row],[Class]]="A",WORKDAY(Main[[#This Row],[Tech Start Date]],4),""))))</f>
        <v/>
      </c>
      <c r="O499" s="75" t="str">
        <f>IF(Main[[#This Row],[Tech Start Date]]&lt;1/1/1990,"",IF(Main[[#This Row],[Class]]="C",WORKDAY(Main[[#This Row],[Tech Start Date]],23),IF(Main[[#This Row],[Class]]="B", WORKDAY(Main[[#This Row],[Tech Start Date]],15),IF(Main[[#This Row],[Class]]="A",WORKDAY(Main[[#This Row],[Tech Start Date]],5),""))))</f>
        <v/>
      </c>
      <c r="P499" s="75" t="str">
        <f>IF(Main[[#This Row],[Tech Start Date]]&lt;1/1/1990,"",IF(Main[[#This Row],[Class]]="C",WORKDAY(Main[[#This Row],[Tech Start Date]],28),IF(Main[[#This Row],[Class]]="B", WORKDAY(Main[[#This Row],[Tech Start Date]],19),IF(Main[[#This Row],[Class]]="A",WORKDAY(Main[[#This Row],[Tech Start Date]],9),""))))</f>
        <v/>
      </c>
      <c r="Q499" s="89">
        <v>40318</v>
      </c>
      <c r="R499" s="121"/>
      <c r="S499" s="99" t="s">
        <v>11</v>
      </c>
      <c r="T499" s="76" t="s">
        <v>4</v>
      </c>
      <c r="U499" s="99" t="s">
        <v>14</v>
      </c>
      <c r="V499" s="99" t="s">
        <v>1916</v>
      </c>
      <c r="W499" s="99" t="s">
        <v>1924</v>
      </c>
      <c r="X499" s="99" t="s">
        <v>2824</v>
      </c>
      <c r="Y499" s="73" t="s">
        <v>4</v>
      </c>
      <c r="Z499" s="73" t="s">
        <v>4</v>
      </c>
      <c r="AA499" s="99" t="s">
        <v>2824</v>
      </c>
    </row>
    <row r="500" spans="1:27" ht="17.25" customHeight="1">
      <c r="A500" s="65" t="str">
        <f>IF(priority(Main[[#This Row],[Comments]])&lt;&gt;0, priority(Main[[#This Row],[Comments]]),"")</f>
        <v/>
      </c>
      <c r="B500" s="60" t="s">
        <v>1350</v>
      </c>
      <c r="C500" s="105" t="s">
        <v>31</v>
      </c>
      <c r="D500" s="74" t="s">
        <v>439</v>
      </c>
      <c r="E500" s="89"/>
      <c r="F500" s="89"/>
      <c r="G500" s="65" t="str">
        <f>IF(stdProdLT(Main[[#This Row],[Comments]])=0.1,"N/A",IF(stdProdLT(Main[[#This Row],[Comments]])=0,"",TRIM(stdProdLT(Main[[#This Row],[Comments]]))))</f>
        <v/>
      </c>
      <c r="H500" s="98" t="str">
        <f>IF(Main[[#This Row],[Std. Prod. Lead Time]]="N/A", "",IF(AND(Main[[#This Row],[In Stock Date]]&lt;&gt;"",Main[[#This Row],[Revised Due Date]]&lt;&gt;"",Main[[#This Row],[In Stock Date]]&lt;&gt;""),Main[[#This Row],[In Stock Date]]-Main[[#This Row],[Revised Due Date]],""))</f>
        <v/>
      </c>
      <c r="I500" s="110" t="s">
        <v>4</v>
      </c>
      <c r="J500" s="99" t="s">
        <v>4</v>
      </c>
      <c r="K500" s="100" t="s">
        <v>4</v>
      </c>
      <c r="L500" s="89"/>
      <c r="M500" s="75" t="str">
        <f>IF(Main[[#This Row],[Tech Start Date]]&lt;1/1/1990,"",IF(Main[[#This Row],[Class]]="C",WORKDAY(Main[[#This Row],[Tech Start Date]],9),IF(Main[[#This Row],[Class]]="B", WORKDAY(Main[[#This Row],[Tech Start Date]],6),IF(Main[[#This Row],[Class]]="A",WORKDAY(Main[[#This Row],[Tech Start Date]],2),""))))</f>
        <v/>
      </c>
      <c r="N500" s="75" t="str">
        <f>IF(Main[[#This Row],[Tech Start Date]]&lt;1/1/1990,"",IF(Main[[#This Row],[Class]]="C",WORKDAY(Main[[#This Row],[Tech Start Date]],19),IF(Main[[#This Row],[Class]]="B", WORKDAY(Main[[#This Row],[Tech Start Date]],12),IF(Main[[#This Row],[Class]]="A",WORKDAY(Main[[#This Row],[Tech Start Date]],4),""))))</f>
        <v/>
      </c>
      <c r="O500" s="75" t="str">
        <f>IF(Main[[#This Row],[Tech Start Date]]&lt;1/1/1990,"",IF(Main[[#This Row],[Class]]="C",WORKDAY(Main[[#This Row],[Tech Start Date]],23),IF(Main[[#This Row],[Class]]="B", WORKDAY(Main[[#This Row],[Tech Start Date]],15),IF(Main[[#This Row],[Class]]="A",WORKDAY(Main[[#This Row],[Tech Start Date]],5),""))))</f>
        <v/>
      </c>
      <c r="P500" s="75" t="str">
        <f>IF(Main[[#This Row],[Tech Start Date]]&lt;1/1/1990,"",IF(Main[[#This Row],[Class]]="C",WORKDAY(Main[[#This Row],[Tech Start Date]],28),IF(Main[[#This Row],[Class]]="B", WORKDAY(Main[[#This Row],[Tech Start Date]],19),IF(Main[[#This Row],[Class]]="A",WORKDAY(Main[[#This Row],[Tech Start Date]],9),""))))</f>
        <v/>
      </c>
      <c r="Q500" s="89">
        <v>40318</v>
      </c>
      <c r="R500" s="121"/>
      <c r="S500" s="99" t="s">
        <v>11</v>
      </c>
      <c r="T500" s="76" t="s">
        <v>4</v>
      </c>
      <c r="U500" s="99" t="s">
        <v>14</v>
      </c>
      <c r="V500" s="99" t="s">
        <v>1916</v>
      </c>
      <c r="W500" s="99" t="s">
        <v>1915</v>
      </c>
      <c r="X500" s="99" t="s">
        <v>2824</v>
      </c>
      <c r="Y500" s="73" t="s">
        <v>4</v>
      </c>
      <c r="Z500" s="73" t="s">
        <v>4</v>
      </c>
      <c r="AA500" s="99" t="s">
        <v>2824</v>
      </c>
    </row>
    <row r="501" spans="1:27" ht="17.25" customHeight="1">
      <c r="A501" s="65" t="str">
        <f>IF(priority(Main[[#This Row],[Comments]])&lt;&gt;0, priority(Main[[#This Row],[Comments]]),"")</f>
        <v/>
      </c>
      <c r="B501" s="60" t="s">
        <v>1352</v>
      </c>
      <c r="C501" s="105" t="s">
        <v>4</v>
      </c>
      <c r="D501" s="74" t="s">
        <v>441</v>
      </c>
      <c r="E501" s="89">
        <v>40371.342870370368</v>
      </c>
      <c r="F501" s="89"/>
      <c r="G501" s="65" t="str">
        <f>IF(stdProdLT(Main[[#This Row],[Comments]])=0.1,"N/A",IF(stdProdLT(Main[[#This Row],[Comments]])=0,"",TRIM(stdProdLT(Main[[#This Row],[Comments]]))))</f>
        <v/>
      </c>
      <c r="H501" s="98" t="str">
        <f>IF(Main[[#This Row],[Std. Prod. Lead Time]]="N/A", "",IF(AND(Main[[#This Row],[In Stock Date]]&lt;&gt;"",Main[[#This Row],[Revised Due Date]]&lt;&gt;"",Main[[#This Row],[In Stock Date]]&lt;&gt;""),Main[[#This Row],[In Stock Date]]-Main[[#This Row],[Revised Due Date]],""))</f>
        <v/>
      </c>
      <c r="I501" s="110" t="s">
        <v>4</v>
      </c>
      <c r="J501" s="99" t="s">
        <v>4</v>
      </c>
      <c r="K501" s="99" t="s">
        <v>4</v>
      </c>
      <c r="L501" s="89"/>
      <c r="M501" s="75" t="str">
        <f>IF(Main[[#This Row],[Tech Start Date]]&lt;1/1/1990,"",IF(Main[[#This Row],[Class]]="C",WORKDAY(Main[[#This Row],[Tech Start Date]],9),IF(Main[[#This Row],[Class]]="B", WORKDAY(Main[[#This Row],[Tech Start Date]],6),IF(Main[[#This Row],[Class]]="A",WORKDAY(Main[[#This Row],[Tech Start Date]],2),""))))</f>
        <v/>
      </c>
      <c r="N501" s="75" t="str">
        <f>IF(Main[[#This Row],[Tech Start Date]]&lt;1/1/1990,"",IF(Main[[#This Row],[Class]]="C",WORKDAY(Main[[#This Row],[Tech Start Date]],19),IF(Main[[#This Row],[Class]]="B", WORKDAY(Main[[#This Row],[Tech Start Date]],12),IF(Main[[#This Row],[Class]]="A",WORKDAY(Main[[#This Row],[Tech Start Date]],4),""))))</f>
        <v/>
      </c>
      <c r="O501" s="75" t="str">
        <f>IF(Main[[#This Row],[Tech Start Date]]&lt;1/1/1990,"",IF(Main[[#This Row],[Class]]="C",WORKDAY(Main[[#This Row],[Tech Start Date]],23),IF(Main[[#This Row],[Class]]="B", WORKDAY(Main[[#This Row],[Tech Start Date]],15),IF(Main[[#This Row],[Class]]="A",WORKDAY(Main[[#This Row],[Tech Start Date]],5),""))))</f>
        <v/>
      </c>
      <c r="P501" s="75" t="str">
        <f>IF(Main[[#This Row],[Tech Start Date]]&lt;1/1/1990,"",IF(Main[[#This Row],[Class]]="C",WORKDAY(Main[[#This Row],[Tech Start Date]],28),IF(Main[[#This Row],[Class]]="B", WORKDAY(Main[[#This Row],[Tech Start Date]],19),IF(Main[[#This Row],[Class]]="A",WORKDAY(Main[[#This Row],[Tech Start Date]],9),""))))</f>
        <v/>
      </c>
      <c r="Q501" s="89">
        <v>40385</v>
      </c>
      <c r="R501" s="121"/>
      <c r="S501" s="99" t="s">
        <v>6</v>
      </c>
      <c r="T501" s="76" t="s">
        <v>4</v>
      </c>
      <c r="U501" s="99" t="s">
        <v>7</v>
      </c>
      <c r="V501" s="99" t="s">
        <v>1913</v>
      </c>
      <c r="W501" s="99" t="s">
        <v>1915</v>
      </c>
      <c r="X501" s="99" t="s">
        <v>102</v>
      </c>
      <c r="Y501" s="73" t="s">
        <v>3026</v>
      </c>
      <c r="Z501" s="73" t="s">
        <v>4</v>
      </c>
      <c r="AA501" s="99" t="s">
        <v>3389</v>
      </c>
    </row>
    <row r="502" spans="1:27" ht="17.25" customHeight="1">
      <c r="A502" s="65" t="str">
        <f>IF(priority(Main[[#This Row],[Comments]])&lt;&gt;0, priority(Main[[#This Row],[Comments]]),"")</f>
        <v/>
      </c>
      <c r="B502" s="60" t="s">
        <v>1353</v>
      </c>
      <c r="C502" s="105" t="s">
        <v>4</v>
      </c>
      <c r="D502" s="74" t="s">
        <v>442</v>
      </c>
      <c r="E502" s="89">
        <v>40679.250891203701</v>
      </c>
      <c r="F502" s="89"/>
      <c r="G502" s="65" t="str">
        <f>IF(stdProdLT(Main[[#This Row],[Comments]])=0.1,"N/A",IF(stdProdLT(Main[[#This Row],[Comments]])=0,"",TRIM(stdProdLT(Main[[#This Row],[Comments]]))))</f>
        <v/>
      </c>
      <c r="H502" s="98" t="str">
        <f>IF(Main[[#This Row],[Std. Prod. Lead Time]]="N/A", "",IF(AND(Main[[#This Row],[In Stock Date]]&lt;&gt;"",Main[[#This Row],[Revised Due Date]]&lt;&gt;"",Main[[#This Row],[In Stock Date]]&lt;&gt;""),Main[[#This Row],[In Stock Date]]-Main[[#This Row],[Revised Due Date]],""))</f>
        <v/>
      </c>
      <c r="I502" s="110" t="s">
        <v>4</v>
      </c>
      <c r="J502" s="99" t="s">
        <v>4</v>
      </c>
      <c r="K502" s="99" t="s">
        <v>4</v>
      </c>
      <c r="L502" s="89"/>
      <c r="M502" s="75" t="str">
        <f>IF(Main[[#This Row],[Tech Start Date]]&lt;1/1/1990,"",IF(Main[[#This Row],[Class]]="C",WORKDAY(Main[[#This Row],[Tech Start Date]],9),IF(Main[[#This Row],[Class]]="B", WORKDAY(Main[[#This Row],[Tech Start Date]],6),IF(Main[[#This Row],[Class]]="A",WORKDAY(Main[[#This Row],[Tech Start Date]],2),""))))</f>
        <v/>
      </c>
      <c r="N502" s="75" t="str">
        <f>IF(Main[[#This Row],[Tech Start Date]]&lt;1/1/1990,"",IF(Main[[#This Row],[Class]]="C",WORKDAY(Main[[#This Row],[Tech Start Date]],19),IF(Main[[#This Row],[Class]]="B", WORKDAY(Main[[#This Row],[Tech Start Date]],12),IF(Main[[#This Row],[Class]]="A",WORKDAY(Main[[#This Row],[Tech Start Date]],4),""))))</f>
        <v/>
      </c>
      <c r="O502" s="75" t="str">
        <f>IF(Main[[#This Row],[Tech Start Date]]&lt;1/1/1990,"",IF(Main[[#This Row],[Class]]="C",WORKDAY(Main[[#This Row],[Tech Start Date]],23),IF(Main[[#This Row],[Class]]="B", WORKDAY(Main[[#This Row],[Tech Start Date]],15),IF(Main[[#This Row],[Class]]="A",WORKDAY(Main[[#This Row],[Tech Start Date]],5),""))))</f>
        <v/>
      </c>
      <c r="P502" s="75" t="str">
        <f>IF(Main[[#This Row],[Tech Start Date]]&lt;1/1/1990,"",IF(Main[[#This Row],[Class]]="C",WORKDAY(Main[[#This Row],[Tech Start Date]],28),IF(Main[[#This Row],[Class]]="B", WORKDAY(Main[[#This Row],[Tech Start Date]],19),IF(Main[[#This Row],[Class]]="A",WORKDAY(Main[[#This Row],[Tech Start Date]],9),""))))</f>
        <v/>
      </c>
      <c r="Q502" s="89">
        <v>40724</v>
      </c>
      <c r="R502" s="121"/>
      <c r="S502" s="99" t="s">
        <v>6</v>
      </c>
      <c r="T502" s="76" t="s">
        <v>4</v>
      </c>
      <c r="U502" s="99" t="s">
        <v>7</v>
      </c>
      <c r="V502" s="99" t="s">
        <v>1913</v>
      </c>
      <c r="W502" s="99" t="s">
        <v>4</v>
      </c>
      <c r="X502" s="99" t="s">
        <v>2816</v>
      </c>
      <c r="Y502" s="73" t="s">
        <v>2932</v>
      </c>
      <c r="Z502" s="73" t="s">
        <v>4</v>
      </c>
      <c r="AA502" s="99" t="s">
        <v>2816</v>
      </c>
    </row>
    <row r="503" spans="1:27" ht="17.25" customHeight="1">
      <c r="A503" s="65" t="str">
        <f>IF(priority(Main[[#This Row],[Comments]])&lt;&gt;0, priority(Main[[#This Row],[Comments]]),"")</f>
        <v/>
      </c>
      <c r="B503" s="60" t="s">
        <v>1354</v>
      </c>
      <c r="C503" s="105" t="s">
        <v>4</v>
      </c>
      <c r="D503" s="74" t="s">
        <v>443</v>
      </c>
      <c r="E503" s="89"/>
      <c r="F503" s="89"/>
      <c r="G503" s="65" t="str">
        <f>IF(stdProdLT(Main[[#This Row],[Comments]])=0.1,"N/A",IF(stdProdLT(Main[[#This Row],[Comments]])=0,"",TRIM(stdProdLT(Main[[#This Row],[Comments]]))))</f>
        <v/>
      </c>
      <c r="H503" s="98" t="str">
        <f>IF(Main[[#This Row],[Std. Prod. Lead Time]]="N/A", "",IF(AND(Main[[#This Row],[In Stock Date]]&lt;&gt;"",Main[[#This Row],[Revised Due Date]]&lt;&gt;"",Main[[#This Row],[In Stock Date]]&lt;&gt;""),Main[[#This Row],[In Stock Date]]-Main[[#This Row],[Revised Due Date]],""))</f>
        <v/>
      </c>
      <c r="I503" s="110" t="s">
        <v>4</v>
      </c>
      <c r="J503" s="99" t="s">
        <v>4</v>
      </c>
      <c r="K503" s="99" t="s">
        <v>4</v>
      </c>
      <c r="L503" s="89"/>
      <c r="M503" s="75" t="str">
        <f>IF(Main[[#This Row],[Tech Start Date]]&lt;1/1/1990,"",IF(Main[[#This Row],[Class]]="C",WORKDAY(Main[[#This Row],[Tech Start Date]],9),IF(Main[[#This Row],[Class]]="B", WORKDAY(Main[[#This Row],[Tech Start Date]],6),IF(Main[[#This Row],[Class]]="A",WORKDAY(Main[[#This Row],[Tech Start Date]],2),""))))</f>
        <v/>
      </c>
      <c r="N503" s="75" t="str">
        <f>IF(Main[[#This Row],[Tech Start Date]]&lt;1/1/1990,"",IF(Main[[#This Row],[Class]]="C",WORKDAY(Main[[#This Row],[Tech Start Date]],19),IF(Main[[#This Row],[Class]]="B", WORKDAY(Main[[#This Row],[Tech Start Date]],12),IF(Main[[#This Row],[Class]]="A",WORKDAY(Main[[#This Row],[Tech Start Date]],4),""))))</f>
        <v/>
      </c>
      <c r="O503" s="75" t="str">
        <f>IF(Main[[#This Row],[Tech Start Date]]&lt;1/1/1990,"",IF(Main[[#This Row],[Class]]="C",WORKDAY(Main[[#This Row],[Tech Start Date]],23),IF(Main[[#This Row],[Class]]="B", WORKDAY(Main[[#This Row],[Tech Start Date]],15),IF(Main[[#This Row],[Class]]="A",WORKDAY(Main[[#This Row],[Tech Start Date]],5),""))))</f>
        <v/>
      </c>
      <c r="P503" s="75" t="str">
        <f>IF(Main[[#This Row],[Tech Start Date]]&lt;1/1/1990,"",IF(Main[[#This Row],[Class]]="C",WORKDAY(Main[[#This Row],[Tech Start Date]],28),IF(Main[[#This Row],[Class]]="B", WORKDAY(Main[[#This Row],[Tech Start Date]],19),IF(Main[[#This Row],[Class]]="A",WORKDAY(Main[[#This Row],[Tech Start Date]],9),""))))</f>
        <v/>
      </c>
      <c r="Q503" s="89"/>
      <c r="R503" s="121"/>
      <c r="S503" s="99" t="s">
        <v>11</v>
      </c>
      <c r="T503" s="76" t="s">
        <v>4</v>
      </c>
      <c r="U503" s="99" t="s">
        <v>14</v>
      </c>
      <c r="V503" s="99" t="s">
        <v>1923</v>
      </c>
      <c r="W503" s="99" t="s">
        <v>1919</v>
      </c>
      <c r="X503" s="99" t="s">
        <v>2862</v>
      </c>
      <c r="Y503" s="73" t="s">
        <v>3030</v>
      </c>
      <c r="Z503" s="73" t="s">
        <v>4</v>
      </c>
      <c r="AA503" s="99" t="s">
        <v>2862</v>
      </c>
    </row>
    <row r="504" spans="1:27" ht="17.25" customHeight="1">
      <c r="A504" s="65" t="str">
        <f>IF(priority(Main[[#This Row],[Comments]])&lt;&gt;0, priority(Main[[#This Row],[Comments]]),"")</f>
        <v/>
      </c>
      <c r="B504" s="60" t="s">
        <v>1355</v>
      </c>
      <c r="C504" s="105" t="s">
        <v>436</v>
      </c>
      <c r="D504" s="74" t="s">
        <v>444</v>
      </c>
      <c r="E504" s="89"/>
      <c r="F504" s="89"/>
      <c r="G504" s="65" t="str">
        <f>IF(stdProdLT(Main[[#This Row],[Comments]])=0.1,"N/A",IF(stdProdLT(Main[[#This Row],[Comments]])=0,"",TRIM(stdProdLT(Main[[#This Row],[Comments]]))))</f>
        <v/>
      </c>
      <c r="H504" s="98" t="str">
        <f>IF(Main[[#This Row],[Std. Prod. Lead Time]]="N/A", "",IF(AND(Main[[#This Row],[In Stock Date]]&lt;&gt;"",Main[[#This Row],[Revised Due Date]]&lt;&gt;"",Main[[#This Row],[In Stock Date]]&lt;&gt;""),Main[[#This Row],[In Stock Date]]-Main[[#This Row],[Revised Due Date]],""))</f>
        <v/>
      </c>
      <c r="I504" s="110" t="s">
        <v>4</v>
      </c>
      <c r="J504" s="99" t="s">
        <v>4</v>
      </c>
      <c r="K504" s="99" t="s">
        <v>4</v>
      </c>
      <c r="L504" s="89"/>
      <c r="M504" s="75" t="str">
        <f>IF(Main[[#This Row],[Tech Start Date]]&lt;1/1/1990,"",IF(Main[[#This Row],[Class]]="C",WORKDAY(Main[[#This Row],[Tech Start Date]],9),IF(Main[[#This Row],[Class]]="B", WORKDAY(Main[[#This Row],[Tech Start Date]],6),IF(Main[[#This Row],[Class]]="A",WORKDAY(Main[[#This Row],[Tech Start Date]],2),""))))</f>
        <v/>
      </c>
      <c r="N504" s="75" t="str">
        <f>IF(Main[[#This Row],[Tech Start Date]]&lt;1/1/1990,"",IF(Main[[#This Row],[Class]]="C",WORKDAY(Main[[#This Row],[Tech Start Date]],19),IF(Main[[#This Row],[Class]]="B", WORKDAY(Main[[#This Row],[Tech Start Date]],12),IF(Main[[#This Row],[Class]]="A",WORKDAY(Main[[#This Row],[Tech Start Date]],4),""))))</f>
        <v/>
      </c>
      <c r="O504" s="75" t="str">
        <f>IF(Main[[#This Row],[Tech Start Date]]&lt;1/1/1990,"",IF(Main[[#This Row],[Class]]="C",WORKDAY(Main[[#This Row],[Tech Start Date]],23),IF(Main[[#This Row],[Class]]="B", WORKDAY(Main[[#This Row],[Tech Start Date]],15),IF(Main[[#This Row],[Class]]="A",WORKDAY(Main[[#This Row],[Tech Start Date]],5),""))))</f>
        <v/>
      </c>
      <c r="P504" s="75" t="str">
        <f>IF(Main[[#This Row],[Tech Start Date]]&lt;1/1/1990,"",IF(Main[[#This Row],[Class]]="C",WORKDAY(Main[[#This Row],[Tech Start Date]],28),IF(Main[[#This Row],[Class]]="B", WORKDAY(Main[[#This Row],[Tech Start Date]],19),IF(Main[[#This Row],[Class]]="A",WORKDAY(Main[[#This Row],[Tech Start Date]],9),""))))</f>
        <v/>
      </c>
      <c r="Q504" s="89"/>
      <c r="R504" s="121"/>
      <c r="S504" s="99" t="s">
        <v>11</v>
      </c>
      <c r="T504" s="76" t="s">
        <v>4</v>
      </c>
      <c r="U504" s="99" t="s">
        <v>14</v>
      </c>
      <c r="V504" s="99" t="s">
        <v>1914</v>
      </c>
      <c r="W504" s="99" t="s">
        <v>1921</v>
      </c>
      <c r="X504" s="99" t="s">
        <v>2821</v>
      </c>
      <c r="Y504" s="73" t="s">
        <v>2942</v>
      </c>
      <c r="Z504" s="73" t="s">
        <v>4</v>
      </c>
      <c r="AA504" s="99" t="s">
        <v>2821</v>
      </c>
    </row>
    <row r="505" spans="1:27" ht="17.25" customHeight="1">
      <c r="A505" s="65" t="str">
        <f>IF(priority(Main[[#This Row],[Comments]])&lt;&gt;0, priority(Main[[#This Row],[Comments]]),"")</f>
        <v/>
      </c>
      <c r="B505" s="60" t="s">
        <v>1356</v>
      </c>
      <c r="C505" s="105" t="s">
        <v>47</v>
      </c>
      <c r="D505" s="74" t="s">
        <v>445</v>
      </c>
      <c r="E505" s="89"/>
      <c r="F505" s="89"/>
      <c r="G505" s="65" t="str">
        <f>IF(stdProdLT(Main[[#This Row],[Comments]])=0.1,"N/A",IF(stdProdLT(Main[[#This Row],[Comments]])=0,"",TRIM(stdProdLT(Main[[#This Row],[Comments]]))))</f>
        <v/>
      </c>
      <c r="H505" s="98" t="str">
        <f>IF(Main[[#This Row],[Std. Prod. Lead Time]]="N/A", "",IF(AND(Main[[#This Row],[In Stock Date]]&lt;&gt;"",Main[[#This Row],[Revised Due Date]]&lt;&gt;"",Main[[#This Row],[In Stock Date]]&lt;&gt;""),Main[[#This Row],[In Stock Date]]-Main[[#This Row],[Revised Due Date]],""))</f>
        <v/>
      </c>
      <c r="I505" s="110" t="s">
        <v>4</v>
      </c>
      <c r="J505" s="99" t="s">
        <v>4</v>
      </c>
      <c r="K505" s="99" t="s">
        <v>4</v>
      </c>
      <c r="L505" s="89"/>
      <c r="M505" s="75" t="str">
        <f>IF(Main[[#This Row],[Tech Start Date]]&lt;1/1/1990,"",IF(Main[[#This Row],[Class]]="C",WORKDAY(Main[[#This Row],[Tech Start Date]],9),IF(Main[[#This Row],[Class]]="B", WORKDAY(Main[[#This Row],[Tech Start Date]],6),IF(Main[[#This Row],[Class]]="A",WORKDAY(Main[[#This Row],[Tech Start Date]],2),""))))</f>
        <v/>
      </c>
      <c r="N505" s="75" t="str">
        <f>IF(Main[[#This Row],[Tech Start Date]]&lt;1/1/1990,"",IF(Main[[#This Row],[Class]]="C",WORKDAY(Main[[#This Row],[Tech Start Date]],19),IF(Main[[#This Row],[Class]]="B", WORKDAY(Main[[#This Row],[Tech Start Date]],12),IF(Main[[#This Row],[Class]]="A",WORKDAY(Main[[#This Row],[Tech Start Date]],4),""))))</f>
        <v/>
      </c>
      <c r="O505" s="75" t="str">
        <f>IF(Main[[#This Row],[Tech Start Date]]&lt;1/1/1990,"",IF(Main[[#This Row],[Class]]="C",WORKDAY(Main[[#This Row],[Tech Start Date]],23),IF(Main[[#This Row],[Class]]="B", WORKDAY(Main[[#This Row],[Tech Start Date]],15),IF(Main[[#This Row],[Class]]="A",WORKDAY(Main[[#This Row],[Tech Start Date]],5),""))))</f>
        <v/>
      </c>
      <c r="P505" s="75" t="str">
        <f>IF(Main[[#This Row],[Tech Start Date]]&lt;1/1/1990,"",IF(Main[[#This Row],[Class]]="C",WORKDAY(Main[[#This Row],[Tech Start Date]],28),IF(Main[[#This Row],[Class]]="B", WORKDAY(Main[[#This Row],[Tech Start Date]],19),IF(Main[[#This Row],[Class]]="A",WORKDAY(Main[[#This Row],[Tech Start Date]],9),""))))</f>
        <v/>
      </c>
      <c r="Q505" s="89"/>
      <c r="R505" s="121"/>
      <c r="S505" s="99" t="s">
        <v>49</v>
      </c>
      <c r="T505" s="76" t="s">
        <v>4</v>
      </c>
      <c r="U505" s="99" t="s">
        <v>14</v>
      </c>
      <c r="V505" s="99" t="s">
        <v>1916</v>
      </c>
      <c r="W505" s="99" t="s">
        <v>1917</v>
      </c>
      <c r="X505" s="99" t="s">
        <v>306</v>
      </c>
      <c r="Y505" s="73" t="s">
        <v>2935</v>
      </c>
      <c r="Z505" s="73" t="s">
        <v>4</v>
      </c>
      <c r="AA505" s="99" t="s">
        <v>3369</v>
      </c>
    </row>
    <row r="506" spans="1:27" ht="17.25" customHeight="1">
      <c r="A506" s="65" t="str">
        <f>IF(priority(Main[[#This Row],[Comments]])&lt;&gt;0, priority(Main[[#This Row],[Comments]]),"")</f>
        <v/>
      </c>
      <c r="B506" s="60" t="s">
        <v>1357</v>
      </c>
      <c r="C506" s="105" t="s">
        <v>47</v>
      </c>
      <c r="D506" s="74" t="s">
        <v>446</v>
      </c>
      <c r="E506" s="89">
        <v>40323.347812499997</v>
      </c>
      <c r="F506" s="89"/>
      <c r="G506" s="65" t="str">
        <f>IF(stdProdLT(Main[[#This Row],[Comments]])=0.1,"N/A",IF(stdProdLT(Main[[#This Row],[Comments]])=0,"",TRIM(stdProdLT(Main[[#This Row],[Comments]]))))</f>
        <v/>
      </c>
      <c r="H506" s="98" t="str">
        <f>IF(Main[[#This Row],[Std. Prod. Lead Time]]="N/A", "",IF(AND(Main[[#This Row],[In Stock Date]]&lt;&gt;"",Main[[#This Row],[Revised Due Date]]&lt;&gt;"",Main[[#This Row],[In Stock Date]]&lt;&gt;""),Main[[#This Row],[In Stock Date]]-Main[[#This Row],[Revised Due Date]],""))</f>
        <v/>
      </c>
      <c r="I506" s="110" t="s">
        <v>129</v>
      </c>
      <c r="J506" s="99" t="s">
        <v>4</v>
      </c>
      <c r="K506" s="99" t="s">
        <v>4</v>
      </c>
      <c r="L506" s="89"/>
      <c r="M506" s="75" t="str">
        <f>IF(Main[[#This Row],[Tech Start Date]]&lt;1/1/1990,"",IF(Main[[#This Row],[Class]]="C",WORKDAY(Main[[#This Row],[Tech Start Date]],9),IF(Main[[#This Row],[Class]]="B", WORKDAY(Main[[#This Row],[Tech Start Date]],6),IF(Main[[#This Row],[Class]]="A",WORKDAY(Main[[#This Row],[Tech Start Date]],2),""))))</f>
        <v/>
      </c>
      <c r="N506" s="75" t="str">
        <f>IF(Main[[#This Row],[Tech Start Date]]&lt;1/1/1990,"",IF(Main[[#This Row],[Class]]="C",WORKDAY(Main[[#This Row],[Tech Start Date]],19),IF(Main[[#This Row],[Class]]="B", WORKDAY(Main[[#This Row],[Tech Start Date]],12),IF(Main[[#This Row],[Class]]="A",WORKDAY(Main[[#This Row],[Tech Start Date]],4),""))))</f>
        <v/>
      </c>
      <c r="O506" s="75" t="str">
        <f>IF(Main[[#This Row],[Tech Start Date]]&lt;1/1/1990,"",IF(Main[[#This Row],[Class]]="C",WORKDAY(Main[[#This Row],[Tech Start Date]],23),IF(Main[[#This Row],[Class]]="B", WORKDAY(Main[[#This Row],[Tech Start Date]],15),IF(Main[[#This Row],[Class]]="A",WORKDAY(Main[[#This Row],[Tech Start Date]],5),""))))</f>
        <v/>
      </c>
      <c r="P506" s="75" t="str">
        <f>IF(Main[[#This Row],[Tech Start Date]]&lt;1/1/1990,"",IF(Main[[#This Row],[Class]]="C",WORKDAY(Main[[#This Row],[Tech Start Date]],28),IF(Main[[#This Row],[Class]]="B", WORKDAY(Main[[#This Row],[Tech Start Date]],19),IF(Main[[#This Row],[Class]]="A",WORKDAY(Main[[#This Row],[Tech Start Date]],9),""))))</f>
        <v/>
      </c>
      <c r="Q506" s="89">
        <v>40340</v>
      </c>
      <c r="R506" s="121"/>
      <c r="S506" s="99" t="s">
        <v>6</v>
      </c>
      <c r="T506" s="76" t="s">
        <v>4</v>
      </c>
      <c r="U506" s="99" t="s">
        <v>29</v>
      </c>
      <c r="V506" s="99" t="s">
        <v>1913</v>
      </c>
      <c r="W506" s="99" t="s">
        <v>1917</v>
      </c>
      <c r="X506" s="99" t="s">
        <v>306</v>
      </c>
      <c r="Y506" s="73" t="s">
        <v>4</v>
      </c>
      <c r="Z506" s="73" t="s">
        <v>129</v>
      </c>
      <c r="AA506" s="99" t="s">
        <v>3403</v>
      </c>
    </row>
    <row r="507" spans="1:27" ht="17.25" customHeight="1">
      <c r="A507" s="65" t="str">
        <f>IF(priority(Main[[#This Row],[Comments]])&lt;&gt;0, priority(Main[[#This Row],[Comments]]),"")</f>
        <v/>
      </c>
      <c r="B507" s="60" t="s">
        <v>1358</v>
      </c>
      <c r="C507" s="105" t="s">
        <v>31</v>
      </c>
      <c r="D507" s="74" t="s">
        <v>447</v>
      </c>
      <c r="E507" s="89"/>
      <c r="F507" s="89"/>
      <c r="G507" s="65" t="str">
        <f>IF(stdProdLT(Main[[#This Row],[Comments]])=0.1,"N/A",IF(stdProdLT(Main[[#This Row],[Comments]])=0,"",TRIM(stdProdLT(Main[[#This Row],[Comments]]))))</f>
        <v/>
      </c>
      <c r="H507" s="98" t="str">
        <f>IF(Main[[#This Row],[Std. Prod. Lead Time]]="N/A", "",IF(AND(Main[[#This Row],[In Stock Date]]&lt;&gt;"",Main[[#This Row],[Revised Due Date]]&lt;&gt;"",Main[[#This Row],[In Stock Date]]&lt;&gt;""),Main[[#This Row],[In Stock Date]]-Main[[#This Row],[Revised Due Date]],""))</f>
        <v/>
      </c>
      <c r="I507" s="110" t="s">
        <v>4</v>
      </c>
      <c r="J507" s="99" t="s">
        <v>4</v>
      </c>
      <c r="K507" s="99" t="s">
        <v>4</v>
      </c>
      <c r="L507" s="89"/>
      <c r="M507" s="75" t="str">
        <f>IF(Main[[#This Row],[Tech Start Date]]&lt;1/1/1990,"",IF(Main[[#This Row],[Class]]="C",WORKDAY(Main[[#This Row],[Tech Start Date]],9),IF(Main[[#This Row],[Class]]="B", WORKDAY(Main[[#This Row],[Tech Start Date]],6),IF(Main[[#This Row],[Class]]="A",WORKDAY(Main[[#This Row],[Tech Start Date]],2),""))))</f>
        <v/>
      </c>
      <c r="N507" s="75" t="str">
        <f>IF(Main[[#This Row],[Tech Start Date]]&lt;1/1/1990,"",IF(Main[[#This Row],[Class]]="C",WORKDAY(Main[[#This Row],[Tech Start Date]],19),IF(Main[[#This Row],[Class]]="B", WORKDAY(Main[[#This Row],[Tech Start Date]],12),IF(Main[[#This Row],[Class]]="A",WORKDAY(Main[[#This Row],[Tech Start Date]],4),""))))</f>
        <v/>
      </c>
      <c r="O507" s="75" t="str">
        <f>IF(Main[[#This Row],[Tech Start Date]]&lt;1/1/1990,"",IF(Main[[#This Row],[Class]]="C",WORKDAY(Main[[#This Row],[Tech Start Date]],23),IF(Main[[#This Row],[Class]]="B", WORKDAY(Main[[#This Row],[Tech Start Date]],15),IF(Main[[#This Row],[Class]]="A",WORKDAY(Main[[#This Row],[Tech Start Date]],5),""))))</f>
        <v/>
      </c>
      <c r="P507" s="75" t="str">
        <f>IF(Main[[#This Row],[Tech Start Date]]&lt;1/1/1990,"",IF(Main[[#This Row],[Class]]="C",WORKDAY(Main[[#This Row],[Tech Start Date]],28),IF(Main[[#This Row],[Class]]="B", WORKDAY(Main[[#This Row],[Tech Start Date]],19),IF(Main[[#This Row],[Class]]="A",WORKDAY(Main[[#This Row],[Tech Start Date]],9),""))))</f>
        <v/>
      </c>
      <c r="Q507" s="89">
        <v>40318</v>
      </c>
      <c r="R507" s="121"/>
      <c r="S507" s="99" t="s">
        <v>11</v>
      </c>
      <c r="T507" s="76" t="s">
        <v>4</v>
      </c>
      <c r="U507" s="99" t="s">
        <v>14</v>
      </c>
      <c r="V507" s="99" t="s">
        <v>1916</v>
      </c>
      <c r="W507" s="99" t="s">
        <v>1924</v>
      </c>
      <c r="X507" s="99" t="s">
        <v>2824</v>
      </c>
      <c r="Y507" s="73" t="s">
        <v>4</v>
      </c>
      <c r="Z507" s="73" t="s">
        <v>4</v>
      </c>
      <c r="AA507" s="99" t="s">
        <v>2824</v>
      </c>
    </row>
    <row r="508" spans="1:27" ht="17.25" customHeight="1">
      <c r="A508" s="65" t="str">
        <f>IF(priority(Main[[#This Row],[Comments]])&lt;&gt;0, priority(Main[[#This Row],[Comments]]),"")</f>
        <v/>
      </c>
      <c r="B508" s="60" t="s">
        <v>1359</v>
      </c>
      <c r="C508" s="105" t="s">
        <v>31</v>
      </c>
      <c r="D508" s="74" t="s">
        <v>448</v>
      </c>
      <c r="E508" s="89"/>
      <c r="F508" s="89"/>
      <c r="G508" s="65" t="str">
        <f>IF(stdProdLT(Main[[#This Row],[Comments]])=0.1,"N/A",IF(stdProdLT(Main[[#This Row],[Comments]])=0,"",TRIM(stdProdLT(Main[[#This Row],[Comments]]))))</f>
        <v/>
      </c>
      <c r="H508" s="98" t="str">
        <f>IF(Main[[#This Row],[Std. Prod. Lead Time]]="N/A", "",IF(AND(Main[[#This Row],[In Stock Date]]&lt;&gt;"",Main[[#This Row],[Revised Due Date]]&lt;&gt;"",Main[[#This Row],[In Stock Date]]&lt;&gt;""),Main[[#This Row],[In Stock Date]]-Main[[#This Row],[Revised Due Date]],""))</f>
        <v/>
      </c>
      <c r="I508" s="110" t="s">
        <v>4</v>
      </c>
      <c r="J508" s="99" t="s">
        <v>4</v>
      </c>
      <c r="K508" s="99" t="s">
        <v>4</v>
      </c>
      <c r="L508" s="89"/>
      <c r="M508" s="75" t="str">
        <f>IF(Main[[#This Row],[Tech Start Date]]&lt;1/1/1990,"",IF(Main[[#This Row],[Class]]="C",WORKDAY(Main[[#This Row],[Tech Start Date]],9),IF(Main[[#This Row],[Class]]="B", WORKDAY(Main[[#This Row],[Tech Start Date]],6),IF(Main[[#This Row],[Class]]="A",WORKDAY(Main[[#This Row],[Tech Start Date]],2),""))))</f>
        <v/>
      </c>
      <c r="N508" s="75" t="str">
        <f>IF(Main[[#This Row],[Tech Start Date]]&lt;1/1/1990,"",IF(Main[[#This Row],[Class]]="C",WORKDAY(Main[[#This Row],[Tech Start Date]],19),IF(Main[[#This Row],[Class]]="B", WORKDAY(Main[[#This Row],[Tech Start Date]],12),IF(Main[[#This Row],[Class]]="A",WORKDAY(Main[[#This Row],[Tech Start Date]],4),""))))</f>
        <v/>
      </c>
      <c r="O508" s="75" t="str">
        <f>IF(Main[[#This Row],[Tech Start Date]]&lt;1/1/1990,"",IF(Main[[#This Row],[Class]]="C",WORKDAY(Main[[#This Row],[Tech Start Date]],23),IF(Main[[#This Row],[Class]]="B", WORKDAY(Main[[#This Row],[Tech Start Date]],15),IF(Main[[#This Row],[Class]]="A",WORKDAY(Main[[#This Row],[Tech Start Date]],5),""))))</f>
        <v/>
      </c>
      <c r="P508" s="75" t="str">
        <f>IF(Main[[#This Row],[Tech Start Date]]&lt;1/1/1990,"",IF(Main[[#This Row],[Class]]="C",WORKDAY(Main[[#This Row],[Tech Start Date]],28),IF(Main[[#This Row],[Class]]="B", WORKDAY(Main[[#This Row],[Tech Start Date]],19),IF(Main[[#This Row],[Class]]="A",WORKDAY(Main[[#This Row],[Tech Start Date]],9),""))))</f>
        <v/>
      </c>
      <c r="Q508" s="89">
        <v>40318</v>
      </c>
      <c r="R508" s="121"/>
      <c r="S508" s="99" t="s">
        <v>11</v>
      </c>
      <c r="T508" s="76" t="s">
        <v>4</v>
      </c>
      <c r="U508" s="99" t="s">
        <v>14</v>
      </c>
      <c r="V508" s="99" t="s">
        <v>1916</v>
      </c>
      <c r="W508" s="99" t="s">
        <v>1924</v>
      </c>
      <c r="X508" s="99" t="s">
        <v>2824</v>
      </c>
      <c r="Y508" s="73" t="s">
        <v>4</v>
      </c>
      <c r="Z508" s="73" t="s">
        <v>4</v>
      </c>
      <c r="AA508" s="99" t="s">
        <v>2824</v>
      </c>
    </row>
    <row r="509" spans="1:27" ht="17.25" customHeight="1">
      <c r="A509" s="65" t="str">
        <f>IF(priority(Main[[#This Row],[Comments]])&lt;&gt;0, priority(Main[[#This Row],[Comments]]),"")</f>
        <v/>
      </c>
      <c r="B509" s="60" t="s">
        <v>1360</v>
      </c>
      <c r="C509" s="105" t="s">
        <v>275</v>
      </c>
      <c r="D509" s="74" t="s">
        <v>449</v>
      </c>
      <c r="E509" s="89"/>
      <c r="F509" s="89">
        <v>40444</v>
      </c>
      <c r="G509" s="65" t="str">
        <f>IF(stdProdLT(Main[[#This Row],[Comments]])=0.1,"N/A",IF(stdProdLT(Main[[#This Row],[Comments]])=0,"",TRIM(stdProdLT(Main[[#This Row],[Comments]]))))</f>
        <v/>
      </c>
      <c r="H509" s="98" t="str">
        <f>IF(Main[[#This Row],[Std. Prod. Lead Time]]="N/A", "",IF(AND(Main[[#This Row],[In Stock Date]]&lt;&gt;"",Main[[#This Row],[Revised Due Date]]&lt;&gt;"",Main[[#This Row],[In Stock Date]]&lt;&gt;""),Main[[#This Row],[In Stock Date]]-Main[[#This Row],[Revised Due Date]],""))</f>
        <v/>
      </c>
      <c r="I509" s="110" t="s">
        <v>4</v>
      </c>
      <c r="J509" s="99" t="s">
        <v>4</v>
      </c>
      <c r="K509" s="99" t="s">
        <v>4</v>
      </c>
      <c r="L509" s="89"/>
      <c r="M509" s="75" t="str">
        <f>IF(Main[[#This Row],[Tech Start Date]]&lt;1/1/1990,"",IF(Main[[#This Row],[Class]]="C",WORKDAY(Main[[#This Row],[Tech Start Date]],9),IF(Main[[#This Row],[Class]]="B", WORKDAY(Main[[#This Row],[Tech Start Date]],6),IF(Main[[#This Row],[Class]]="A",WORKDAY(Main[[#This Row],[Tech Start Date]],2),""))))</f>
        <v/>
      </c>
      <c r="N509" s="75" t="str">
        <f>IF(Main[[#This Row],[Tech Start Date]]&lt;1/1/1990,"",IF(Main[[#This Row],[Class]]="C",WORKDAY(Main[[#This Row],[Tech Start Date]],19),IF(Main[[#This Row],[Class]]="B", WORKDAY(Main[[#This Row],[Tech Start Date]],12),IF(Main[[#This Row],[Class]]="A",WORKDAY(Main[[#This Row],[Tech Start Date]],4),""))))</f>
        <v/>
      </c>
      <c r="O509" s="75" t="str">
        <f>IF(Main[[#This Row],[Tech Start Date]]&lt;1/1/1990,"",IF(Main[[#This Row],[Class]]="C",WORKDAY(Main[[#This Row],[Tech Start Date]],23),IF(Main[[#This Row],[Class]]="B", WORKDAY(Main[[#This Row],[Tech Start Date]],15),IF(Main[[#This Row],[Class]]="A",WORKDAY(Main[[#This Row],[Tech Start Date]],5),""))))</f>
        <v/>
      </c>
      <c r="P509" s="75" t="str">
        <f>IF(Main[[#This Row],[Tech Start Date]]&lt;1/1/1990,"",IF(Main[[#This Row],[Class]]="C",WORKDAY(Main[[#This Row],[Tech Start Date]],28),IF(Main[[#This Row],[Class]]="B", WORKDAY(Main[[#This Row],[Tech Start Date]],19),IF(Main[[#This Row],[Class]]="A",WORKDAY(Main[[#This Row],[Tech Start Date]],9),""))))</f>
        <v/>
      </c>
      <c r="Q509" s="89">
        <v>40262</v>
      </c>
      <c r="R509" s="121"/>
      <c r="S509" s="99" t="s">
        <v>17</v>
      </c>
      <c r="T509" s="76" t="s">
        <v>4</v>
      </c>
      <c r="U509" s="99" t="s">
        <v>14</v>
      </c>
      <c r="V509" s="99" t="s">
        <v>1916</v>
      </c>
      <c r="W509" s="99" t="s">
        <v>1918</v>
      </c>
      <c r="X509" s="99" t="s">
        <v>306</v>
      </c>
      <c r="Y509" s="73" t="s">
        <v>4</v>
      </c>
      <c r="Z509" s="73" t="s">
        <v>4</v>
      </c>
      <c r="AA509" s="99" t="s">
        <v>65</v>
      </c>
    </row>
    <row r="510" spans="1:27" ht="17.25" customHeight="1">
      <c r="A510" s="65" t="str">
        <f>IF(priority(Main[[#This Row],[Comments]])&lt;&gt;0, priority(Main[[#This Row],[Comments]]),"")</f>
        <v/>
      </c>
      <c r="B510" s="60" t="s">
        <v>1361</v>
      </c>
      <c r="C510" s="105" t="s">
        <v>67</v>
      </c>
      <c r="D510" s="74" t="s">
        <v>450</v>
      </c>
      <c r="E510" s="89"/>
      <c r="F510" s="89"/>
      <c r="G510" s="65" t="str">
        <f>IF(stdProdLT(Main[[#This Row],[Comments]])=0.1,"N/A",IF(stdProdLT(Main[[#This Row],[Comments]])=0,"",TRIM(stdProdLT(Main[[#This Row],[Comments]]))))</f>
        <v/>
      </c>
      <c r="H510" s="98" t="str">
        <f>IF(Main[[#This Row],[Std. Prod. Lead Time]]="N/A", "",IF(AND(Main[[#This Row],[In Stock Date]]&lt;&gt;"",Main[[#This Row],[Revised Due Date]]&lt;&gt;"",Main[[#This Row],[In Stock Date]]&lt;&gt;""),Main[[#This Row],[In Stock Date]]-Main[[#This Row],[Revised Due Date]],""))</f>
        <v/>
      </c>
      <c r="I510" s="110" t="s">
        <v>4</v>
      </c>
      <c r="J510" s="99" t="s">
        <v>4</v>
      </c>
      <c r="K510" s="99" t="s">
        <v>4</v>
      </c>
      <c r="L510" s="89"/>
      <c r="M510" s="75" t="str">
        <f>IF(Main[[#This Row],[Tech Start Date]]&lt;1/1/1990,"",IF(Main[[#This Row],[Class]]="C",WORKDAY(Main[[#This Row],[Tech Start Date]],9),IF(Main[[#This Row],[Class]]="B", WORKDAY(Main[[#This Row],[Tech Start Date]],6),IF(Main[[#This Row],[Class]]="A",WORKDAY(Main[[#This Row],[Tech Start Date]],2),""))))</f>
        <v/>
      </c>
      <c r="N510" s="75" t="str">
        <f>IF(Main[[#This Row],[Tech Start Date]]&lt;1/1/1990,"",IF(Main[[#This Row],[Class]]="C",WORKDAY(Main[[#This Row],[Tech Start Date]],19),IF(Main[[#This Row],[Class]]="B", WORKDAY(Main[[#This Row],[Tech Start Date]],12),IF(Main[[#This Row],[Class]]="A",WORKDAY(Main[[#This Row],[Tech Start Date]],4),""))))</f>
        <v/>
      </c>
      <c r="O510" s="75" t="str">
        <f>IF(Main[[#This Row],[Tech Start Date]]&lt;1/1/1990,"",IF(Main[[#This Row],[Class]]="C",WORKDAY(Main[[#This Row],[Tech Start Date]],23),IF(Main[[#This Row],[Class]]="B", WORKDAY(Main[[#This Row],[Tech Start Date]],15),IF(Main[[#This Row],[Class]]="A",WORKDAY(Main[[#This Row],[Tech Start Date]],5),""))))</f>
        <v/>
      </c>
      <c r="P510" s="75" t="str">
        <f>IF(Main[[#This Row],[Tech Start Date]]&lt;1/1/1990,"",IF(Main[[#This Row],[Class]]="C",WORKDAY(Main[[#This Row],[Tech Start Date]],28),IF(Main[[#This Row],[Class]]="B", WORKDAY(Main[[#This Row],[Tech Start Date]],19),IF(Main[[#This Row],[Class]]="A",WORKDAY(Main[[#This Row],[Tech Start Date]],9),""))))</f>
        <v/>
      </c>
      <c r="Q510" s="89"/>
      <c r="R510" s="121"/>
      <c r="S510" s="99" t="s">
        <v>11</v>
      </c>
      <c r="T510" s="76" t="s">
        <v>4</v>
      </c>
      <c r="U510" s="99" t="s">
        <v>12</v>
      </c>
      <c r="V510" s="99" t="s">
        <v>1914</v>
      </c>
      <c r="W510" s="99" t="s">
        <v>1921</v>
      </c>
      <c r="X510" s="99" t="s">
        <v>2856</v>
      </c>
      <c r="Y510" s="73" t="s">
        <v>3000</v>
      </c>
      <c r="Z510" s="73" t="s">
        <v>4</v>
      </c>
      <c r="AA510" s="99" t="s">
        <v>2856</v>
      </c>
    </row>
    <row r="511" spans="1:27" ht="17.25" customHeight="1">
      <c r="A511" s="65" t="str">
        <f>IF(priority(Main[[#This Row],[Comments]])&lt;&gt;0, priority(Main[[#This Row],[Comments]]),"")</f>
        <v/>
      </c>
      <c r="B511" s="60" t="s">
        <v>1362</v>
      </c>
      <c r="C511" s="105" t="s">
        <v>83</v>
      </c>
      <c r="D511" s="74" t="s">
        <v>451</v>
      </c>
      <c r="E511" s="89"/>
      <c r="F511" s="89"/>
      <c r="G511" s="65" t="str">
        <f>IF(stdProdLT(Main[[#This Row],[Comments]])=0.1,"N/A",IF(stdProdLT(Main[[#This Row],[Comments]])=0,"",TRIM(stdProdLT(Main[[#This Row],[Comments]]))))</f>
        <v/>
      </c>
      <c r="H511" s="98" t="str">
        <f>IF(Main[[#This Row],[Std. Prod. Lead Time]]="N/A", "",IF(AND(Main[[#This Row],[In Stock Date]]&lt;&gt;"",Main[[#This Row],[Revised Due Date]]&lt;&gt;"",Main[[#This Row],[In Stock Date]]&lt;&gt;""),Main[[#This Row],[In Stock Date]]-Main[[#This Row],[Revised Due Date]],""))</f>
        <v/>
      </c>
      <c r="I511" s="110" t="s">
        <v>4</v>
      </c>
      <c r="J511" s="99" t="s">
        <v>4</v>
      </c>
      <c r="K511" s="99" t="s">
        <v>4</v>
      </c>
      <c r="L511" s="89"/>
      <c r="M511" s="75" t="str">
        <f>IF(Main[[#This Row],[Tech Start Date]]&lt;1/1/1990,"",IF(Main[[#This Row],[Class]]="C",WORKDAY(Main[[#This Row],[Tech Start Date]],9),IF(Main[[#This Row],[Class]]="B", WORKDAY(Main[[#This Row],[Tech Start Date]],6),IF(Main[[#This Row],[Class]]="A",WORKDAY(Main[[#This Row],[Tech Start Date]],2),""))))</f>
        <v/>
      </c>
      <c r="N511" s="75" t="str">
        <f>IF(Main[[#This Row],[Tech Start Date]]&lt;1/1/1990,"",IF(Main[[#This Row],[Class]]="C",WORKDAY(Main[[#This Row],[Tech Start Date]],19),IF(Main[[#This Row],[Class]]="B", WORKDAY(Main[[#This Row],[Tech Start Date]],12),IF(Main[[#This Row],[Class]]="A",WORKDAY(Main[[#This Row],[Tech Start Date]],4),""))))</f>
        <v/>
      </c>
      <c r="O511" s="75" t="str">
        <f>IF(Main[[#This Row],[Tech Start Date]]&lt;1/1/1990,"",IF(Main[[#This Row],[Class]]="C",WORKDAY(Main[[#This Row],[Tech Start Date]],23),IF(Main[[#This Row],[Class]]="B", WORKDAY(Main[[#This Row],[Tech Start Date]],15),IF(Main[[#This Row],[Class]]="A",WORKDAY(Main[[#This Row],[Tech Start Date]],5),""))))</f>
        <v/>
      </c>
      <c r="P511" s="75" t="str">
        <f>IF(Main[[#This Row],[Tech Start Date]]&lt;1/1/1990,"",IF(Main[[#This Row],[Class]]="C",WORKDAY(Main[[#This Row],[Tech Start Date]],28),IF(Main[[#This Row],[Class]]="B", WORKDAY(Main[[#This Row],[Tech Start Date]],19),IF(Main[[#This Row],[Class]]="A",WORKDAY(Main[[#This Row],[Tech Start Date]],9),""))))</f>
        <v/>
      </c>
      <c r="Q511" s="89">
        <v>40252</v>
      </c>
      <c r="R511" s="121"/>
      <c r="S511" s="99" t="s">
        <v>11</v>
      </c>
      <c r="T511" s="76" t="s">
        <v>4</v>
      </c>
      <c r="U511" s="99" t="s">
        <v>14</v>
      </c>
      <c r="V511" s="99" t="s">
        <v>1913</v>
      </c>
      <c r="W511" s="99" t="s">
        <v>1924</v>
      </c>
      <c r="X511" s="99" t="s">
        <v>2811</v>
      </c>
      <c r="Y511" s="73" t="s">
        <v>4</v>
      </c>
      <c r="Z511" s="73" t="s">
        <v>4</v>
      </c>
      <c r="AA511" s="99" t="s">
        <v>2811</v>
      </c>
    </row>
    <row r="512" spans="1:27" ht="17.25" customHeight="1">
      <c r="A512" s="65" t="str">
        <f>IF(priority(Main[[#This Row],[Comments]])&lt;&gt;0, priority(Main[[#This Row],[Comments]]),"")</f>
        <v/>
      </c>
      <c r="B512" s="60" t="s">
        <v>1363</v>
      </c>
      <c r="C512" s="105" t="s">
        <v>42</v>
      </c>
      <c r="D512" s="74" t="s">
        <v>452</v>
      </c>
      <c r="E512" s="89">
        <v>39932.393530092595</v>
      </c>
      <c r="F512" s="89"/>
      <c r="G512" s="65" t="str">
        <f>IF(stdProdLT(Main[[#This Row],[Comments]])=0.1,"N/A",IF(stdProdLT(Main[[#This Row],[Comments]])=0,"",TRIM(stdProdLT(Main[[#This Row],[Comments]]))))</f>
        <v/>
      </c>
      <c r="H512" s="98" t="str">
        <f>IF(Main[[#This Row],[Std. Prod. Lead Time]]="N/A", "",IF(AND(Main[[#This Row],[In Stock Date]]&lt;&gt;"",Main[[#This Row],[Revised Due Date]]&lt;&gt;"",Main[[#This Row],[In Stock Date]]&lt;&gt;""),Main[[#This Row],[In Stock Date]]-Main[[#This Row],[Revised Due Date]],""))</f>
        <v/>
      </c>
      <c r="I512" s="110" t="s">
        <v>4</v>
      </c>
      <c r="J512" s="99" t="s">
        <v>4</v>
      </c>
      <c r="K512" s="99" t="s">
        <v>4</v>
      </c>
      <c r="L512" s="89"/>
      <c r="M512" s="75" t="str">
        <f>IF(Main[[#This Row],[Tech Start Date]]&lt;1/1/1990,"",IF(Main[[#This Row],[Class]]="C",WORKDAY(Main[[#This Row],[Tech Start Date]],9),IF(Main[[#This Row],[Class]]="B", WORKDAY(Main[[#This Row],[Tech Start Date]],6),IF(Main[[#This Row],[Class]]="A",WORKDAY(Main[[#This Row],[Tech Start Date]],2),""))))</f>
        <v/>
      </c>
      <c r="N512" s="75" t="str">
        <f>IF(Main[[#This Row],[Tech Start Date]]&lt;1/1/1990,"",IF(Main[[#This Row],[Class]]="C",WORKDAY(Main[[#This Row],[Tech Start Date]],19),IF(Main[[#This Row],[Class]]="B", WORKDAY(Main[[#This Row],[Tech Start Date]],12),IF(Main[[#This Row],[Class]]="A",WORKDAY(Main[[#This Row],[Tech Start Date]],4),""))))</f>
        <v/>
      </c>
      <c r="O512" s="75" t="str">
        <f>IF(Main[[#This Row],[Tech Start Date]]&lt;1/1/1990,"",IF(Main[[#This Row],[Class]]="C",WORKDAY(Main[[#This Row],[Tech Start Date]],23),IF(Main[[#This Row],[Class]]="B", WORKDAY(Main[[#This Row],[Tech Start Date]],15),IF(Main[[#This Row],[Class]]="A",WORKDAY(Main[[#This Row],[Tech Start Date]],5),""))))</f>
        <v/>
      </c>
      <c r="P512" s="75" t="str">
        <f>IF(Main[[#This Row],[Tech Start Date]]&lt;1/1/1990,"",IF(Main[[#This Row],[Class]]="C",WORKDAY(Main[[#This Row],[Tech Start Date]],28),IF(Main[[#This Row],[Class]]="B", WORKDAY(Main[[#This Row],[Tech Start Date]],19),IF(Main[[#This Row],[Class]]="A",WORKDAY(Main[[#This Row],[Tech Start Date]],9),""))))</f>
        <v/>
      </c>
      <c r="Q512" s="89"/>
      <c r="R512" s="121"/>
      <c r="S512" s="99" t="s">
        <v>17</v>
      </c>
      <c r="T512" s="76" t="s">
        <v>4</v>
      </c>
      <c r="U512" s="99" t="s">
        <v>7</v>
      </c>
      <c r="V512" s="99" t="s">
        <v>1916</v>
      </c>
      <c r="W512" s="99" t="s">
        <v>4</v>
      </c>
      <c r="X512" s="99" t="s">
        <v>399</v>
      </c>
      <c r="Y512" s="73" t="s">
        <v>4</v>
      </c>
      <c r="Z512" s="73" t="s">
        <v>4</v>
      </c>
      <c r="AA512" s="99" t="s">
        <v>4</v>
      </c>
    </row>
    <row r="513" spans="1:27" ht="17.25" customHeight="1">
      <c r="A513" s="65" t="str">
        <f>IF(priority(Main[[#This Row],[Comments]])&lt;&gt;0, priority(Main[[#This Row],[Comments]]),"")</f>
        <v/>
      </c>
      <c r="B513" s="60" t="s">
        <v>1364</v>
      </c>
      <c r="C513" s="105" t="s">
        <v>453</v>
      </c>
      <c r="D513" s="74" t="s">
        <v>454</v>
      </c>
      <c r="E513" s="89"/>
      <c r="F513" s="89"/>
      <c r="G513" s="65" t="str">
        <f>IF(stdProdLT(Main[[#This Row],[Comments]])=0.1,"N/A",IF(stdProdLT(Main[[#This Row],[Comments]])=0,"",TRIM(stdProdLT(Main[[#This Row],[Comments]]))))</f>
        <v/>
      </c>
      <c r="H513" s="98" t="str">
        <f>IF(Main[[#This Row],[Std. Prod. Lead Time]]="N/A", "",IF(AND(Main[[#This Row],[In Stock Date]]&lt;&gt;"",Main[[#This Row],[Revised Due Date]]&lt;&gt;"",Main[[#This Row],[In Stock Date]]&lt;&gt;""),Main[[#This Row],[In Stock Date]]-Main[[#This Row],[Revised Due Date]],""))</f>
        <v/>
      </c>
      <c r="I513" s="110" t="s">
        <v>4</v>
      </c>
      <c r="J513" s="99" t="s">
        <v>4</v>
      </c>
      <c r="K513" s="99" t="s">
        <v>4</v>
      </c>
      <c r="L513" s="89"/>
      <c r="M513" s="75" t="str">
        <f>IF(Main[[#This Row],[Tech Start Date]]&lt;1/1/1990,"",IF(Main[[#This Row],[Class]]="C",WORKDAY(Main[[#This Row],[Tech Start Date]],9),IF(Main[[#This Row],[Class]]="B", WORKDAY(Main[[#This Row],[Tech Start Date]],6),IF(Main[[#This Row],[Class]]="A",WORKDAY(Main[[#This Row],[Tech Start Date]],2),""))))</f>
        <v/>
      </c>
      <c r="N513" s="75" t="str">
        <f>IF(Main[[#This Row],[Tech Start Date]]&lt;1/1/1990,"",IF(Main[[#This Row],[Class]]="C",WORKDAY(Main[[#This Row],[Tech Start Date]],19),IF(Main[[#This Row],[Class]]="B", WORKDAY(Main[[#This Row],[Tech Start Date]],12),IF(Main[[#This Row],[Class]]="A",WORKDAY(Main[[#This Row],[Tech Start Date]],4),""))))</f>
        <v/>
      </c>
      <c r="O513" s="75" t="str">
        <f>IF(Main[[#This Row],[Tech Start Date]]&lt;1/1/1990,"",IF(Main[[#This Row],[Class]]="C",WORKDAY(Main[[#This Row],[Tech Start Date]],23),IF(Main[[#This Row],[Class]]="B", WORKDAY(Main[[#This Row],[Tech Start Date]],15),IF(Main[[#This Row],[Class]]="A",WORKDAY(Main[[#This Row],[Tech Start Date]],5),""))))</f>
        <v/>
      </c>
      <c r="P513" s="75" t="str">
        <f>IF(Main[[#This Row],[Tech Start Date]]&lt;1/1/1990,"",IF(Main[[#This Row],[Class]]="C",WORKDAY(Main[[#This Row],[Tech Start Date]],28),IF(Main[[#This Row],[Class]]="B", WORKDAY(Main[[#This Row],[Tech Start Date]],19),IF(Main[[#This Row],[Class]]="A",WORKDAY(Main[[#This Row],[Tech Start Date]],9),""))))</f>
        <v/>
      </c>
      <c r="Q513" s="89"/>
      <c r="R513" s="121"/>
      <c r="S513" s="99" t="s">
        <v>11</v>
      </c>
      <c r="T513" s="76" t="s">
        <v>4</v>
      </c>
      <c r="U513" s="99" t="s">
        <v>14</v>
      </c>
      <c r="V513" s="99" t="s">
        <v>1914</v>
      </c>
      <c r="W513" s="99" t="s">
        <v>1921</v>
      </c>
      <c r="X513" s="99" t="s">
        <v>399</v>
      </c>
      <c r="Y513" s="73" t="s">
        <v>4</v>
      </c>
      <c r="Z513" s="73" t="s">
        <v>4</v>
      </c>
      <c r="AA513" s="99" t="s">
        <v>4</v>
      </c>
    </row>
    <row r="514" spans="1:27" ht="17.25" customHeight="1">
      <c r="A514" s="65" t="str">
        <f>IF(priority(Main[[#This Row],[Comments]])&lt;&gt;0, priority(Main[[#This Row],[Comments]]),"")</f>
        <v/>
      </c>
      <c r="B514" s="60" t="s">
        <v>1365</v>
      </c>
      <c r="C514" s="105" t="s">
        <v>455</v>
      </c>
      <c r="D514" s="74" t="s">
        <v>456</v>
      </c>
      <c r="E514" s="89"/>
      <c r="F514" s="89"/>
      <c r="G514" s="65" t="str">
        <f>IF(stdProdLT(Main[[#This Row],[Comments]])=0.1,"N/A",IF(stdProdLT(Main[[#This Row],[Comments]])=0,"",TRIM(stdProdLT(Main[[#This Row],[Comments]]))))</f>
        <v/>
      </c>
      <c r="H514" s="98" t="str">
        <f>IF(Main[[#This Row],[Std. Prod. Lead Time]]="N/A", "",IF(AND(Main[[#This Row],[In Stock Date]]&lt;&gt;"",Main[[#This Row],[Revised Due Date]]&lt;&gt;"",Main[[#This Row],[In Stock Date]]&lt;&gt;""),Main[[#This Row],[In Stock Date]]-Main[[#This Row],[Revised Due Date]],""))</f>
        <v/>
      </c>
      <c r="I514" s="110" t="s">
        <v>4</v>
      </c>
      <c r="J514" s="99" t="s">
        <v>4</v>
      </c>
      <c r="K514" s="99" t="s">
        <v>4</v>
      </c>
      <c r="L514" s="89"/>
      <c r="M514" s="75" t="str">
        <f>IF(Main[[#This Row],[Tech Start Date]]&lt;1/1/1990,"",IF(Main[[#This Row],[Class]]="C",WORKDAY(Main[[#This Row],[Tech Start Date]],9),IF(Main[[#This Row],[Class]]="B", WORKDAY(Main[[#This Row],[Tech Start Date]],6),IF(Main[[#This Row],[Class]]="A",WORKDAY(Main[[#This Row],[Tech Start Date]],2),""))))</f>
        <v/>
      </c>
      <c r="N514" s="75" t="str">
        <f>IF(Main[[#This Row],[Tech Start Date]]&lt;1/1/1990,"",IF(Main[[#This Row],[Class]]="C",WORKDAY(Main[[#This Row],[Tech Start Date]],19),IF(Main[[#This Row],[Class]]="B", WORKDAY(Main[[#This Row],[Tech Start Date]],12),IF(Main[[#This Row],[Class]]="A",WORKDAY(Main[[#This Row],[Tech Start Date]],4),""))))</f>
        <v/>
      </c>
      <c r="O514" s="75" t="str">
        <f>IF(Main[[#This Row],[Tech Start Date]]&lt;1/1/1990,"",IF(Main[[#This Row],[Class]]="C",WORKDAY(Main[[#This Row],[Tech Start Date]],23),IF(Main[[#This Row],[Class]]="B", WORKDAY(Main[[#This Row],[Tech Start Date]],15),IF(Main[[#This Row],[Class]]="A",WORKDAY(Main[[#This Row],[Tech Start Date]],5),""))))</f>
        <v/>
      </c>
      <c r="P514" s="75" t="str">
        <f>IF(Main[[#This Row],[Tech Start Date]]&lt;1/1/1990,"",IF(Main[[#This Row],[Class]]="C",WORKDAY(Main[[#This Row],[Tech Start Date]],28),IF(Main[[#This Row],[Class]]="B", WORKDAY(Main[[#This Row],[Tech Start Date]],19),IF(Main[[#This Row],[Class]]="A",WORKDAY(Main[[#This Row],[Tech Start Date]],9),""))))</f>
        <v/>
      </c>
      <c r="Q514" s="89"/>
      <c r="R514" s="121"/>
      <c r="S514" s="99" t="s">
        <v>11</v>
      </c>
      <c r="T514" s="76" t="s">
        <v>4</v>
      </c>
      <c r="U514" s="99" t="s">
        <v>14</v>
      </c>
      <c r="V514" s="99" t="s">
        <v>1914</v>
      </c>
      <c r="W514" s="99" t="s">
        <v>1921</v>
      </c>
      <c r="X514" s="99" t="s">
        <v>399</v>
      </c>
      <c r="Y514" s="73" t="s">
        <v>4</v>
      </c>
      <c r="Z514" s="73" t="s">
        <v>4</v>
      </c>
      <c r="AA514" s="99" t="s">
        <v>3404</v>
      </c>
    </row>
    <row r="515" spans="1:27" ht="17.25" customHeight="1">
      <c r="A515" s="65" t="str">
        <f>IF(priority(Main[[#This Row],[Comments]])&lt;&gt;0, priority(Main[[#This Row],[Comments]]),"")</f>
        <v/>
      </c>
      <c r="B515" s="60" t="s">
        <v>1366</v>
      </c>
      <c r="C515" s="105" t="s">
        <v>457</v>
      </c>
      <c r="D515" s="74" t="s">
        <v>458</v>
      </c>
      <c r="E515" s="89"/>
      <c r="F515" s="89">
        <v>40214</v>
      </c>
      <c r="G515" s="65" t="str">
        <f>IF(stdProdLT(Main[[#This Row],[Comments]])=0.1,"N/A",IF(stdProdLT(Main[[#This Row],[Comments]])=0,"",TRIM(stdProdLT(Main[[#This Row],[Comments]]))))</f>
        <v/>
      </c>
      <c r="H515" s="98" t="str">
        <f>IF(Main[[#This Row],[Std. Prod. Lead Time]]="N/A", "",IF(AND(Main[[#This Row],[In Stock Date]]&lt;&gt;"",Main[[#This Row],[Revised Due Date]]&lt;&gt;"",Main[[#This Row],[In Stock Date]]&lt;&gt;""),Main[[#This Row],[In Stock Date]]-Main[[#This Row],[Revised Due Date]],""))</f>
        <v/>
      </c>
      <c r="I515" s="110" t="s">
        <v>4</v>
      </c>
      <c r="J515" s="99" t="s">
        <v>4</v>
      </c>
      <c r="K515" s="99" t="s">
        <v>4</v>
      </c>
      <c r="L515" s="89"/>
      <c r="M515" s="75" t="str">
        <f>IF(Main[[#This Row],[Tech Start Date]]&lt;1/1/1990,"",IF(Main[[#This Row],[Class]]="C",WORKDAY(Main[[#This Row],[Tech Start Date]],9),IF(Main[[#This Row],[Class]]="B", WORKDAY(Main[[#This Row],[Tech Start Date]],6),IF(Main[[#This Row],[Class]]="A",WORKDAY(Main[[#This Row],[Tech Start Date]],2),""))))</f>
        <v/>
      </c>
      <c r="N515" s="75" t="str">
        <f>IF(Main[[#This Row],[Tech Start Date]]&lt;1/1/1990,"",IF(Main[[#This Row],[Class]]="C",WORKDAY(Main[[#This Row],[Tech Start Date]],19),IF(Main[[#This Row],[Class]]="B", WORKDAY(Main[[#This Row],[Tech Start Date]],12),IF(Main[[#This Row],[Class]]="A",WORKDAY(Main[[#This Row],[Tech Start Date]],4),""))))</f>
        <v/>
      </c>
      <c r="O515" s="75" t="str">
        <f>IF(Main[[#This Row],[Tech Start Date]]&lt;1/1/1990,"",IF(Main[[#This Row],[Class]]="C",WORKDAY(Main[[#This Row],[Tech Start Date]],23),IF(Main[[#This Row],[Class]]="B", WORKDAY(Main[[#This Row],[Tech Start Date]],15),IF(Main[[#This Row],[Class]]="A",WORKDAY(Main[[#This Row],[Tech Start Date]],5),""))))</f>
        <v/>
      </c>
      <c r="P515" s="75" t="str">
        <f>IF(Main[[#This Row],[Tech Start Date]]&lt;1/1/1990,"",IF(Main[[#This Row],[Class]]="C",WORKDAY(Main[[#This Row],[Tech Start Date]],28),IF(Main[[#This Row],[Class]]="B", WORKDAY(Main[[#This Row],[Tech Start Date]],19),IF(Main[[#This Row],[Class]]="A",WORKDAY(Main[[#This Row],[Tech Start Date]],9),""))))</f>
        <v/>
      </c>
      <c r="Q515" s="89">
        <v>40149</v>
      </c>
      <c r="R515" s="121"/>
      <c r="S515" s="99" t="s">
        <v>11</v>
      </c>
      <c r="T515" s="76" t="s">
        <v>4</v>
      </c>
      <c r="U515" s="99" t="s">
        <v>14</v>
      </c>
      <c r="V515" s="99" t="s">
        <v>1916</v>
      </c>
      <c r="W515" s="99" t="s">
        <v>1919</v>
      </c>
      <c r="X515" s="99" t="s">
        <v>2857</v>
      </c>
      <c r="Y515" s="73" t="s">
        <v>4</v>
      </c>
      <c r="Z515" s="73" t="s">
        <v>4</v>
      </c>
      <c r="AA515" s="99" t="s">
        <v>2857</v>
      </c>
    </row>
    <row r="516" spans="1:27" ht="17.25" customHeight="1">
      <c r="A516" s="65" t="str">
        <f>IF(priority(Main[[#This Row],[Comments]])&lt;&gt;0, priority(Main[[#This Row],[Comments]]),"")</f>
        <v/>
      </c>
      <c r="B516" s="60" t="s">
        <v>1367</v>
      </c>
      <c r="C516" s="105" t="s">
        <v>93</v>
      </c>
      <c r="D516" s="74" t="s">
        <v>459</v>
      </c>
      <c r="E516" s="89"/>
      <c r="F516" s="89">
        <v>40210</v>
      </c>
      <c r="G516" s="65" t="str">
        <f>IF(stdProdLT(Main[[#This Row],[Comments]])=0.1,"N/A",IF(stdProdLT(Main[[#This Row],[Comments]])=0,"",TRIM(stdProdLT(Main[[#This Row],[Comments]]))))</f>
        <v/>
      </c>
      <c r="H516" s="98" t="str">
        <f>IF(Main[[#This Row],[Std. Prod. Lead Time]]="N/A", "",IF(AND(Main[[#This Row],[In Stock Date]]&lt;&gt;"",Main[[#This Row],[Revised Due Date]]&lt;&gt;"",Main[[#This Row],[In Stock Date]]&lt;&gt;""),Main[[#This Row],[In Stock Date]]-Main[[#This Row],[Revised Due Date]],""))</f>
        <v/>
      </c>
      <c r="I516" s="110" t="s">
        <v>4</v>
      </c>
      <c r="J516" s="99" t="s">
        <v>4</v>
      </c>
      <c r="K516" s="99" t="s">
        <v>4</v>
      </c>
      <c r="L516" s="89"/>
      <c r="M516" s="75" t="str">
        <f>IF(Main[[#This Row],[Tech Start Date]]&lt;1/1/1990,"",IF(Main[[#This Row],[Class]]="C",WORKDAY(Main[[#This Row],[Tech Start Date]],9),IF(Main[[#This Row],[Class]]="B", WORKDAY(Main[[#This Row],[Tech Start Date]],6),IF(Main[[#This Row],[Class]]="A",WORKDAY(Main[[#This Row],[Tech Start Date]],2),""))))</f>
        <v/>
      </c>
      <c r="N516" s="75" t="str">
        <f>IF(Main[[#This Row],[Tech Start Date]]&lt;1/1/1990,"",IF(Main[[#This Row],[Class]]="C",WORKDAY(Main[[#This Row],[Tech Start Date]],19),IF(Main[[#This Row],[Class]]="B", WORKDAY(Main[[#This Row],[Tech Start Date]],12),IF(Main[[#This Row],[Class]]="A",WORKDAY(Main[[#This Row],[Tech Start Date]],4),""))))</f>
        <v/>
      </c>
      <c r="O516" s="75" t="str">
        <f>IF(Main[[#This Row],[Tech Start Date]]&lt;1/1/1990,"",IF(Main[[#This Row],[Class]]="C",WORKDAY(Main[[#This Row],[Tech Start Date]],23),IF(Main[[#This Row],[Class]]="B", WORKDAY(Main[[#This Row],[Tech Start Date]],15),IF(Main[[#This Row],[Class]]="A",WORKDAY(Main[[#This Row],[Tech Start Date]],5),""))))</f>
        <v/>
      </c>
      <c r="P516" s="75" t="str">
        <f>IF(Main[[#This Row],[Tech Start Date]]&lt;1/1/1990,"",IF(Main[[#This Row],[Class]]="C",WORKDAY(Main[[#This Row],[Tech Start Date]],28),IF(Main[[#This Row],[Class]]="B", WORKDAY(Main[[#This Row],[Tech Start Date]],19),IF(Main[[#This Row],[Class]]="A",WORKDAY(Main[[#This Row],[Tech Start Date]],9),""))))</f>
        <v/>
      </c>
      <c r="Q516" s="89">
        <v>40195</v>
      </c>
      <c r="R516" s="121"/>
      <c r="S516" s="99" t="s">
        <v>11</v>
      </c>
      <c r="T516" s="76" t="s">
        <v>4</v>
      </c>
      <c r="U516" s="99" t="s">
        <v>12</v>
      </c>
      <c r="V516" s="99" t="s">
        <v>1923</v>
      </c>
      <c r="W516" s="99" t="s">
        <v>1924</v>
      </c>
      <c r="X516" s="99" t="s">
        <v>2839</v>
      </c>
      <c r="Y516" s="73" t="s">
        <v>4</v>
      </c>
      <c r="Z516" s="73" t="s">
        <v>4</v>
      </c>
      <c r="AA516" s="99" t="s">
        <v>2839</v>
      </c>
    </row>
    <row r="517" spans="1:27" ht="17.25" customHeight="1">
      <c r="A517" s="65" t="str">
        <f>IF(priority(Main[[#This Row],[Comments]])&lt;&gt;0, priority(Main[[#This Row],[Comments]]),"")</f>
        <v/>
      </c>
      <c r="B517" s="60" t="s">
        <v>1368</v>
      </c>
      <c r="C517" s="105" t="s">
        <v>457</v>
      </c>
      <c r="D517" s="74" t="s">
        <v>460</v>
      </c>
      <c r="E517" s="89"/>
      <c r="F517" s="89">
        <v>40214</v>
      </c>
      <c r="G517" s="65" t="str">
        <f>IF(stdProdLT(Main[[#This Row],[Comments]])=0.1,"N/A",IF(stdProdLT(Main[[#This Row],[Comments]])=0,"",TRIM(stdProdLT(Main[[#This Row],[Comments]]))))</f>
        <v/>
      </c>
      <c r="H517" s="98" t="str">
        <f>IF(Main[[#This Row],[Std. Prod. Lead Time]]="N/A", "",IF(AND(Main[[#This Row],[In Stock Date]]&lt;&gt;"",Main[[#This Row],[Revised Due Date]]&lt;&gt;"",Main[[#This Row],[In Stock Date]]&lt;&gt;""),Main[[#This Row],[In Stock Date]]-Main[[#This Row],[Revised Due Date]],""))</f>
        <v/>
      </c>
      <c r="I517" s="110" t="s">
        <v>4</v>
      </c>
      <c r="J517" s="99" t="s">
        <v>4</v>
      </c>
      <c r="K517" s="99" t="s">
        <v>4</v>
      </c>
      <c r="L517" s="89"/>
      <c r="M517" s="75" t="str">
        <f>IF(Main[[#This Row],[Tech Start Date]]&lt;1/1/1990,"",IF(Main[[#This Row],[Class]]="C",WORKDAY(Main[[#This Row],[Tech Start Date]],9),IF(Main[[#This Row],[Class]]="B", WORKDAY(Main[[#This Row],[Tech Start Date]],6),IF(Main[[#This Row],[Class]]="A",WORKDAY(Main[[#This Row],[Tech Start Date]],2),""))))</f>
        <v/>
      </c>
      <c r="N517" s="75" t="str">
        <f>IF(Main[[#This Row],[Tech Start Date]]&lt;1/1/1990,"",IF(Main[[#This Row],[Class]]="C",WORKDAY(Main[[#This Row],[Tech Start Date]],19),IF(Main[[#This Row],[Class]]="B", WORKDAY(Main[[#This Row],[Tech Start Date]],12),IF(Main[[#This Row],[Class]]="A",WORKDAY(Main[[#This Row],[Tech Start Date]],4),""))))</f>
        <v/>
      </c>
      <c r="O517" s="75" t="str">
        <f>IF(Main[[#This Row],[Tech Start Date]]&lt;1/1/1990,"",IF(Main[[#This Row],[Class]]="C",WORKDAY(Main[[#This Row],[Tech Start Date]],23),IF(Main[[#This Row],[Class]]="B", WORKDAY(Main[[#This Row],[Tech Start Date]],15),IF(Main[[#This Row],[Class]]="A",WORKDAY(Main[[#This Row],[Tech Start Date]],5),""))))</f>
        <v/>
      </c>
      <c r="P517" s="75" t="str">
        <f>IF(Main[[#This Row],[Tech Start Date]]&lt;1/1/1990,"",IF(Main[[#This Row],[Class]]="C",WORKDAY(Main[[#This Row],[Tech Start Date]],28),IF(Main[[#This Row],[Class]]="B", WORKDAY(Main[[#This Row],[Tech Start Date]],19),IF(Main[[#This Row],[Class]]="A",WORKDAY(Main[[#This Row],[Tech Start Date]],9),""))))</f>
        <v/>
      </c>
      <c r="Q517" s="89">
        <v>40149</v>
      </c>
      <c r="R517" s="121"/>
      <c r="S517" s="99" t="s">
        <v>11</v>
      </c>
      <c r="T517" s="76" t="s">
        <v>4</v>
      </c>
      <c r="U517" s="99" t="s">
        <v>14</v>
      </c>
      <c r="V517" s="99" t="s">
        <v>1916</v>
      </c>
      <c r="W517" s="99" t="s">
        <v>1919</v>
      </c>
      <c r="X517" s="99" t="s">
        <v>2857</v>
      </c>
      <c r="Y517" s="73" t="s">
        <v>4</v>
      </c>
      <c r="Z517" s="73" t="s">
        <v>4</v>
      </c>
      <c r="AA517" s="99" t="s">
        <v>2857</v>
      </c>
    </row>
    <row r="518" spans="1:27" ht="17.25" customHeight="1">
      <c r="A518" s="65" t="str">
        <f>IF(priority(Main[[#This Row],[Comments]])&lt;&gt;0, priority(Main[[#This Row],[Comments]]),"")</f>
        <v/>
      </c>
      <c r="B518" s="60" t="s">
        <v>1369</v>
      </c>
      <c r="C518" s="105" t="s">
        <v>31</v>
      </c>
      <c r="D518" s="74" t="s">
        <v>461</v>
      </c>
      <c r="E518" s="89"/>
      <c r="F518" s="89"/>
      <c r="G518" s="65" t="str">
        <f>IF(stdProdLT(Main[[#This Row],[Comments]])=0.1,"N/A",IF(stdProdLT(Main[[#This Row],[Comments]])=0,"",TRIM(stdProdLT(Main[[#This Row],[Comments]]))))</f>
        <v/>
      </c>
      <c r="H518" s="98" t="str">
        <f>IF(Main[[#This Row],[Std. Prod. Lead Time]]="N/A", "",IF(AND(Main[[#This Row],[In Stock Date]]&lt;&gt;"",Main[[#This Row],[Revised Due Date]]&lt;&gt;"",Main[[#This Row],[In Stock Date]]&lt;&gt;""),Main[[#This Row],[In Stock Date]]-Main[[#This Row],[Revised Due Date]],""))</f>
        <v/>
      </c>
      <c r="I518" s="110" t="s">
        <v>4</v>
      </c>
      <c r="J518" s="99" t="s">
        <v>4</v>
      </c>
      <c r="K518" s="99" t="s">
        <v>4</v>
      </c>
      <c r="L518" s="89"/>
      <c r="M518" s="75" t="str">
        <f>IF(Main[[#This Row],[Tech Start Date]]&lt;1/1/1990,"",IF(Main[[#This Row],[Class]]="C",WORKDAY(Main[[#This Row],[Tech Start Date]],9),IF(Main[[#This Row],[Class]]="B", WORKDAY(Main[[#This Row],[Tech Start Date]],6),IF(Main[[#This Row],[Class]]="A",WORKDAY(Main[[#This Row],[Tech Start Date]],2),""))))</f>
        <v/>
      </c>
      <c r="N518" s="75" t="str">
        <f>IF(Main[[#This Row],[Tech Start Date]]&lt;1/1/1990,"",IF(Main[[#This Row],[Class]]="C",WORKDAY(Main[[#This Row],[Tech Start Date]],19),IF(Main[[#This Row],[Class]]="B", WORKDAY(Main[[#This Row],[Tech Start Date]],12),IF(Main[[#This Row],[Class]]="A",WORKDAY(Main[[#This Row],[Tech Start Date]],4),""))))</f>
        <v/>
      </c>
      <c r="O518" s="75" t="str">
        <f>IF(Main[[#This Row],[Tech Start Date]]&lt;1/1/1990,"",IF(Main[[#This Row],[Class]]="C",WORKDAY(Main[[#This Row],[Tech Start Date]],23),IF(Main[[#This Row],[Class]]="B", WORKDAY(Main[[#This Row],[Tech Start Date]],15),IF(Main[[#This Row],[Class]]="A",WORKDAY(Main[[#This Row],[Tech Start Date]],5),""))))</f>
        <v/>
      </c>
      <c r="P518" s="75" t="str">
        <f>IF(Main[[#This Row],[Tech Start Date]]&lt;1/1/1990,"",IF(Main[[#This Row],[Class]]="C",WORKDAY(Main[[#This Row],[Tech Start Date]],28),IF(Main[[#This Row],[Class]]="B", WORKDAY(Main[[#This Row],[Tech Start Date]],19),IF(Main[[#This Row],[Class]]="A",WORKDAY(Main[[#This Row],[Tech Start Date]],9),""))))</f>
        <v/>
      </c>
      <c r="Q518" s="89">
        <v>40318</v>
      </c>
      <c r="R518" s="121"/>
      <c r="S518" s="99" t="s">
        <v>11</v>
      </c>
      <c r="T518" s="76" t="s">
        <v>4</v>
      </c>
      <c r="U518" s="99" t="s">
        <v>14</v>
      </c>
      <c r="V518" s="99" t="s">
        <v>1916</v>
      </c>
      <c r="W518" s="99" t="s">
        <v>1915</v>
      </c>
      <c r="X518" s="99" t="s">
        <v>2824</v>
      </c>
      <c r="Y518" s="73" t="s">
        <v>4</v>
      </c>
      <c r="Z518" s="73" t="s">
        <v>4</v>
      </c>
      <c r="AA518" s="99" t="s">
        <v>2824</v>
      </c>
    </row>
    <row r="519" spans="1:27" ht="17.25" customHeight="1">
      <c r="A519" s="65" t="str">
        <f>IF(priority(Main[[#This Row],[Comments]])&lt;&gt;0, priority(Main[[#This Row],[Comments]]),"")</f>
        <v/>
      </c>
      <c r="B519" s="60" t="s">
        <v>1370</v>
      </c>
      <c r="C519" s="105" t="s">
        <v>31</v>
      </c>
      <c r="D519" s="74" t="s">
        <v>462</v>
      </c>
      <c r="E519" s="89">
        <v>40494.184537037036</v>
      </c>
      <c r="F519" s="89">
        <v>40546</v>
      </c>
      <c r="G519" s="65" t="str">
        <f>IF(stdProdLT(Main[[#This Row],[Comments]])=0.1,"N/A",IF(stdProdLT(Main[[#This Row],[Comments]])=0,"",TRIM(stdProdLT(Main[[#This Row],[Comments]]))))</f>
        <v/>
      </c>
      <c r="H519" s="98" t="str">
        <f>IF(Main[[#This Row],[Std. Prod. Lead Time]]="N/A", "",IF(AND(Main[[#This Row],[In Stock Date]]&lt;&gt;"",Main[[#This Row],[Revised Due Date]]&lt;&gt;"",Main[[#This Row],[In Stock Date]]&lt;&gt;""),Main[[#This Row],[In Stock Date]]-Main[[#This Row],[Revised Due Date]],""))</f>
        <v/>
      </c>
      <c r="I519" s="110" t="s">
        <v>4</v>
      </c>
      <c r="J519" s="99" t="s">
        <v>4</v>
      </c>
      <c r="K519" s="99" t="s">
        <v>4</v>
      </c>
      <c r="L519" s="89"/>
      <c r="M519" s="75" t="str">
        <f>IF(Main[[#This Row],[Tech Start Date]]&lt;1/1/1990,"",IF(Main[[#This Row],[Class]]="C",WORKDAY(Main[[#This Row],[Tech Start Date]],9),IF(Main[[#This Row],[Class]]="B", WORKDAY(Main[[#This Row],[Tech Start Date]],6),IF(Main[[#This Row],[Class]]="A",WORKDAY(Main[[#This Row],[Tech Start Date]],2),""))))</f>
        <v/>
      </c>
      <c r="N519" s="75" t="str">
        <f>IF(Main[[#This Row],[Tech Start Date]]&lt;1/1/1990,"",IF(Main[[#This Row],[Class]]="C",WORKDAY(Main[[#This Row],[Tech Start Date]],19),IF(Main[[#This Row],[Class]]="B", WORKDAY(Main[[#This Row],[Tech Start Date]],12),IF(Main[[#This Row],[Class]]="A",WORKDAY(Main[[#This Row],[Tech Start Date]],4),""))))</f>
        <v/>
      </c>
      <c r="O519" s="75" t="str">
        <f>IF(Main[[#This Row],[Tech Start Date]]&lt;1/1/1990,"",IF(Main[[#This Row],[Class]]="C",WORKDAY(Main[[#This Row],[Tech Start Date]],23),IF(Main[[#This Row],[Class]]="B", WORKDAY(Main[[#This Row],[Tech Start Date]],15),IF(Main[[#This Row],[Class]]="A",WORKDAY(Main[[#This Row],[Tech Start Date]],5),""))))</f>
        <v/>
      </c>
      <c r="P519" s="75" t="str">
        <f>IF(Main[[#This Row],[Tech Start Date]]&lt;1/1/1990,"",IF(Main[[#This Row],[Class]]="C",WORKDAY(Main[[#This Row],[Tech Start Date]],28),IF(Main[[#This Row],[Class]]="B", WORKDAY(Main[[#This Row],[Tech Start Date]],19),IF(Main[[#This Row],[Class]]="A",WORKDAY(Main[[#This Row],[Tech Start Date]],9),""))))</f>
        <v/>
      </c>
      <c r="Q519" s="89">
        <v>40527</v>
      </c>
      <c r="R519" s="121"/>
      <c r="S519" s="99" t="s">
        <v>17</v>
      </c>
      <c r="T519" s="76" t="s">
        <v>4</v>
      </c>
      <c r="U519" s="99" t="s">
        <v>7</v>
      </c>
      <c r="V519" s="99" t="s">
        <v>1916</v>
      </c>
      <c r="W519" s="99" t="s">
        <v>4</v>
      </c>
      <c r="X519" s="99" t="s">
        <v>2850</v>
      </c>
      <c r="Y519" s="73" t="s">
        <v>2991</v>
      </c>
      <c r="Z519" s="73" t="s">
        <v>4</v>
      </c>
      <c r="AA519" s="99" t="s">
        <v>2850</v>
      </c>
    </row>
    <row r="520" spans="1:27" ht="17.25" customHeight="1">
      <c r="A520" s="65" t="str">
        <f>IF(priority(Main[[#This Row],[Comments]])&lt;&gt;0, priority(Main[[#This Row],[Comments]]),"")</f>
        <v/>
      </c>
      <c r="B520" s="60" t="s">
        <v>1371</v>
      </c>
      <c r="C520" s="105" t="s">
        <v>4</v>
      </c>
      <c r="D520" s="74" t="s">
        <v>463</v>
      </c>
      <c r="E520" s="89"/>
      <c r="F520" s="89">
        <v>40374</v>
      </c>
      <c r="G520" s="65" t="str">
        <f>IF(stdProdLT(Main[[#This Row],[Comments]])=0.1,"N/A",IF(stdProdLT(Main[[#This Row],[Comments]])=0,"",TRIM(stdProdLT(Main[[#This Row],[Comments]]))))</f>
        <v/>
      </c>
      <c r="H520" s="98" t="str">
        <f>IF(Main[[#This Row],[Std. Prod. Lead Time]]="N/A", "",IF(AND(Main[[#This Row],[In Stock Date]]&lt;&gt;"",Main[[#This Row],[Revised Due Date]]&lt;&gt;"",Main[[#This Row],[In Stock Date]]&lt;&gt;""),Main[[#This Row],[In Stock Date]]-Main[[#This Row],[Revised Due Date]],""))</f>
        <v/>
      </c>
      <c r="I520" s="110" t="s">
        <v>4</v>
      </c>
      <c r="J520" s="99" t="s">
        <v>4</v>
      </c>
      <c r="K520" s="100" t="s">
        <v>4</v>
      </c>
      <c r="L520" s="89"/>
      <c r="M520" s="75" t="str">
        <f>IF(Main[[#This Row],[Tech Start Date]]&lt;1/1/1990,"",IF(Main[[#This Row],[Class]]="C",WORKDAY(Main[[#This Row],[Tech Start Date]],9),IF(Main[[#This Row],[Class]]="B", WORKDAY(Main[[#This Row],[Tech Start Date]],6),IF(Main[[#This Row],[Class]]="A",WORKDAY(Main[[#This Row],[Tech Start Date]],2),""))))</f>
        <v/>
      </c>
      <c r="N520" s="75" t="str">
        <f>IF(Main[[#This Row],[Tech Start Date]]&lt;1/1/1990,"",IF(Main[[#This Row],[Class]]="C",WORKDAY(Main[[#This Row],[Tech Start Date]],19),IF(Main[[#This Row],[Class]]="B", WORKDAY(Main[[#This Row],[Tech Start Date]],12),IF(Main[[#This Row],[Class]]="A",WORKDAY(Main[[#This Row],[Tech Start Date]],4),""))))</f>
        <v/>
      </c>
      <c r="O520" s="75" t="str">
        <f>IF(Main[[#This Row],[Tech Start Date]]&lt;1/1/1990,"",IF(Main[[#This Row],[Class]]="C",WORKDAY(Main[[#This Row],[Tech Start Date]],23),IF(Main[[#This Row],[Class]]="B", WORKDAY(Main[[#This Row],[Tech Start Date]],15),IF(Main[[#This Row],[Class]]="A",WORKDAY(Main[[#This Row],[Tech Start Date]],5),""))))</f>
        <v/>
      </c>
      <c r="P520" s="75" t="str">
        <f>IF(Main[[#This Row],[Tech Start Date]]&lt;1/1/1990,"",IF(Main[[#This Row],[Class]]="C",WORKDAY(Main[[#This Row],[Tech Start Date]],28),IF(Main[[#This Row],[Class]]="B", WORKDAY(Main[[#This Row],[Tech Start Date]],19),IF(Main[[#This Row],[Class]]="A",WORKDAY(Main[[#This Row],[Tech Start Date]],9),""))))</f>
        <v/>
      </c>
      <c r="Q520" s="89">
        <v>40297</v>
      </c>
      <c r="R520" s="121"/>
      <c r="S520" s="99" t="s">
        <v>11</v>
      </c>
      <c r="T520" s="76" t="s">
        <v>4</v>
      </c>
      <c r="U520" s="99" t="s">
        <v>12</v>
      </c>
      <c r="V520" s="99" t="s">
        <v>1913</v>
      </c>
      <c r="W520" s="99" t="s">
        <v>1921</v>
      </c>
      <c r="X520" s="99" t="s">
        <v>2818</v>
      </c>
      <c r="Y520" s="73" t="s">
        <v>2937</v>
      </c>
      <c r="Z520" s="73" t="s">
        <v>4</v>
      </c>
      <c r="AA520" s="99" t="s">
        <v>2818</v>
      </c>
    </row>
    <row r="521" spans="1:27" ht="17.25" customHeight="1">
      <c r="A521" s="65" t="str">
        <f>IF(priority(Main[[#This Row],[Comments]])&lt;&gt;0, priority(Main[[#This Row],[Comments]]),"")</f>
        <v/>
      </c>
      <c r="B521" s="60" t="s">
        <v>1372</v>
      </c>
      <c r="C521" s="105" t="s">
        <v>31</v>
      </c>
      <c r="D521" s="74" t="s">
        <v>464</v>
      </c>
      <c r="E521" s="89"/>
      <c r="F521" s="89">
        <v>40568</v>
      </c>
      <c r="G521" s="65" t="str">
        <f>IF(stdProdLT(Main[[#This Row],[Comments]])=0.1,"N/A",IF(stdProdLT(Main[[#This Row],[Comments]])=0,"",TRIM(stdProdLT(Main[[#This Row],[Comments]]))))</f>
        <v/>
      </c>
      <c r="H521" s="98" t="str">
        <f>IF(Main[[#This Row],[Std. Prod. Lead Time]]="N/A", "",IF(AND(Main[[#This Row],[In Stock Date]]&lt;&gt;"",Main[[#This Row],[Revised Due Date]]&lt;&gt;"",Main[[#This Row],[In Stock Date]]&lt;&gt;""),Main[[#This Row],[In Stock Date]]-Main[[#This Row],[Revised Due Date]],""))</f>
        <v/>
      </c>
      <c r="I521" s="110" t="s">
        <v>4</v>
      </c>
      <c r="J521" s="99" t="s">
        <v>51</v>
      </c>
      <c r="K521" s="99" t="s">
        <v>4</v>
      </c>
      <c r="L521" s="89"/>
      <c r="M521" s="75" t="str">
        <f>IF(Main[[#This Row],[Tech Start Date]]&lt;1/1/1990,"",IF(Main[[#This Row],[Class]]="C",WORKDAY(Main[[#This Row],[Tech Start Date]],9),IF(Main[[#This Row],[Class]]="B", WORKDAY(Main[[#This Row],[Tech Start Date]],6),IF(Main[[#This Row],[Class]]="A",WORKDAY(Main[[#This Row],[Tech Start Date]],2),""))))</f>
        <v/>
      </c>
      <c r="N521" s="75" t="str">
        <f>IF(Main[[#This Row],[Tech Start Date]]&lt;1/1/1990,"",IF(Main[[#This Row],[Class]]="C",WORKDAY(Main[[#This Row],[Tech Start Date]],19),IF(Main[[#This Row],[Class]]="B", WORKDAY(Main[[#This Row],[Tech Start Date]],12),IF(Main[[#This Row],[Class]]="A",WORKDAY(Main[[#This Row],[Tech Start Date]],4),""))))</f>
        <v/>
      </c>
      <c r="O521" s="75" t="str">
        <f>IF(Main[[#This Row],[Tech Start Date]]&lt;1/1/1990,"",IF(Main[[#This Row],[Class]]="C",WORKDAY(Main[[#This Row],[Tech Start Date]],23),IF(Main[[#This Row],[Class]]="B", WORKDAY(Main[[#This Row],[Tech Start Date]],15),IF(Main[[#This Row],[Class]]="A",WORKDAY(Main[[#This Row],[Tech Start Date]],5),""))))</f>
        <v/>
      </c>
      <c r="P521" s="75" t="str">
        <f>IF(Main[[#This Row],[Tech Start Date]]&lt;1/1/1990,"",IF(Main[[#This Row],[Class]]="C",WORKDAY(Main[[#This Row],[Tech Start Date]],28),IF(Main[[#This Row],[Class]]="B", WORKDAY(Main[[#This Row],[Tech Start Date]],19),IF(Main[[#This Row],[Class]]="A",WORKDAY(Main[[#This Row],[Tech Start Date]],9),""))))</f>
        <v/>
      </c>
      <c r="Q521" s="89">
        <v>40396</v>
      </c>
      <c r="R521" s="121"/>
      <c r="S521" s="99" t="s">
        <v>11</v>
      </c>
      <c r="T521" s="76" t="s">
        <v>4</v>
      </c>
      <c r="U521" s="99" t="s">
        <v>14</v>
      </c>
      <c r="V521" s="99" t="s">
        <v>1923</v>
      </c>
      <c r="W521" s="99" t="s">
        <v>1919</v>
      </c>
      <c r="X521" s="99" t="s">
        <v>2878</v>
      </c>
      <c r="Y521" s="73" t="s">
        <v>3031</v>
      </c>
      <c r="Z521" s="73" t="s">
        <v>883</v>
      </c>
      <c r="AA521" s="99" t="s">
        <v>2878</v>
      </c>
    </row>
    <row r="522" spans="1:27" ht="17.25" customHeight="1">
      <c r="A522" s="66" t="str">
        <f>IF(priority(Main[[#This Row],[Comments]])&lt;&gt;0, priority(Main[[#This Row],[Comments]]),"")</f>
        <v/>
      </c>
      <c r="B522" s="60" t="s">
        <v>1373</v>
      </c>
      <c r="C522" s="106" t="s">
        <v>465</v>
      </c>
      <c r="D522" s="82" t="s">
        <v>466</v>
      </c>
      <c r="E522" s="91"/>
      <c r="F522" s="91">
        <v>40179</v>
      </c>
      <c r="G522" s="66" t="str">
        <f>IF(stdProdLT(Main[[#This Row],[Comments]])=0.1,"N/A",IF(stdProdLT(Main[[#This Row],[Comments]])=0,"",TRIM(stdProdLT(Main[[#This Row],[Comments]]))))</f>
        <v/>
      </c>
      <c r="H522" s="102" t="str">
        <f>IF(Main[[#This Row],[Std. Prod. Lead Time]]="N/A", "",IF(AND(Main[[#This Row],[In Stock Date]]&lt;&gt;"",Main[[#This Row],[Revised Due Date]]&lt;&gt;"",Main[[#This Row],[In Stock Date]]&lt;&gt;""),Main[[#This Row],[In Stock Date]]-Main[[#This Row],[Revised Due Date]],""))</f>
        <v/>
      </c>
      <c r="I522" s="112" t="s">
        <v>4</v>
      </c>
      <c r="J522" s="103" t="s">
        <v>4</v>
      </c>
      <c r="K522" s="103" t="s">
        <v>4</v>
      </c>
      <c r="L522" s="91"/>
      <c r="M522" s="83" t="str">
        <f>IF(Main[[#This Row],[Tech Start Date]]&lt;1/1/1990,"",IF(Main[[#This Row],[Class]]="C",WORKDAY(Main[[#This Row],[Tech Start Date]],9),IF(Main[[#This Row],[Class]]="B", WORKDAY(Main[[#This Row],[Tech Start Date]],6),IF(Main[[#This Row],[Class]]="A",WORKDAY(Main[[#This Row],[Tech Start Date]],2),""))))</f>
        <v/>
      </c>
      <c r="N522" s="83" t="str">
        <f>IF(Main[[#This Row],[Tech Start Date]]&lt;1/1/1990,"",IF(Main[[#This Row],[Class]]="C",WORKDAY(Main[[#This Row],[Tech Start Date]],19),IF(Main[[#This Row],[Class]]="B", WORKDAY(Main[[#This Row],[Tech Start Date]],12),IF(Main[[#This Row],[Class]]="A",WORKDAY(Main[[#This Row],[Tech Start Date]],4),""))))</f>
        <v/>
      </c>
      <c r="O522" s="83" t="str">
        <f>IF(Main[[#This Row],[Tech Start Date]]&lt;1/1/1990,"",IF(Main[[#This Row],[Class]]="C",WORKDAY(Main[[#This Row],[Tech Start Date]],23),IF(Main[[#This Row],[Class]]="B", WORKDAY(Main[[#This Row],[Tech Start Date]],15),IF(Main[[#This Row],[Class]]="A",WORKDAY(Main[[#This Row],[Tech Start Date]],5),""))))</f>
        <v/>
      </c>
      <c r="P522" s="83" t="str">
        <f>IF(Main[[#This Row],[Tech Start Date]]&lt;1/1/1990,"",IF(Main[[#This Row],[Class]]="C",WORKDAY(Main[[#This Row],[Tech Start Date]],28),IF(Main[[#This Row],[Class]]="B", WORKDAY(Main[[#This Row],[Tech Start Date]],19),IF(Main[[#This Row],[Class]]="A",WORKDAY(Main[[#This Row],[Tech Start Date]],9),""))))</f>
        <v/>
      </c>
      <c r="Q522" s="91">
        <v>40154</v>
      </c>
      <c r="R522" s="123"/>
      <c r="S522" s="103" t="s">
        <v>11</v>
      </c>
      <c r="T522" s="84" t="s">
        <v>4</v>
      </c>
      <c r="U522" s="103" t="s">
        <v>14</v>
      </c>
      <c r="V522" s="103" t="s">
        <v>1916</v>
      </c>
      <c r="W522" s="103" t="s">
        <v>1919</v>
      </c>
      <c r="X522" s="103" t="s">
        <v>2857</v>
      </c>
      <c r="Y522" s="81" t="s">
        <v>4</v>
      </c>
      <c r="Z522" s="81" t="s">
        <v>4</v>
      </c>
      <c r="AA522" s="103" t="s">
        <v>2857</v>
      </c>
    </row>
    <row r="523" spans="1:27" ht="17.25" customHeight="1">
      <c r="A523" s="65" t="str">
        <f>IF(priority(Main[[#This Row],[Comments]])&lt;&gt;0, priority(Main[[#This Row],[Comments]]),"")</f>
        <v/>
      </c>
      <c r="B523" s="60" t="s">
        <v>1374</v>
      </c>
      <c r="C523" s="105" t="s">
        <v>4</v>
      </c>
      <c r="D523" s="74" t="s">
        <v>467</v>
      </c>
      <c r="E523" s="89">
        <v>40701.70579861111</v>
      </c>
      <c r="F523" s="89"/>
      <c r="G523" s="65" t="str">
        <f>IF(stdProdLT(Main[[#This Row],[Comments]])=0.1,"N/A",IF(stdProdLT(Main[[#This Row],[Comments]])=0,"",TRIM(stdProdLT(Main[[#This Row],[Comments]]))))</f>
        <v/>
      </c>
      <c r="H523" s="98" t="str">
        <f>IF(Main[[#This Row],[Std. Prod. Lead Time]]="N/A", "",IF(AND(Main[[#This Row],[In Stock Date]]&lt;&gt;"",Main[[#This Row],[Revised Due Date]]&lt;&gt;"",Main[[#This Row],[In Stock Date]]&lt;&gt;""),Main[[#This Row],[In Stock Date]]-Main[[#This Row],[Revised Due Date]],""))</f>
        <v/>
      </c>
      <c r="I523" s="110" t="s">
        <v>4</v>
      </c>
      <c r="J523" s="99" t="s">
        <v>4</v>
      </c>
      <c r="K523" s="99" t="s">
        <v>4</v>
      </c>
      <c r="L523" s="89"/>
      <c r="M523" s="75" t="str">
        <f>IF(Main[[#This Row],[Tech Start Date]]&lt;1/1/1990,"",IF(Main[[#This Row],[Class]]="C",WORKDAY(Main[[#This Row],[Tech Start Date]],9),IF(Main[[#This Row],[Class]]="B", WORKDAY(Main[[#This Row],[Tech Start Date]],6),IF(Main[[#This Row],[Class]]="A",WORKDAY(Main[[#This Row],[Tech Start Date]],2),""))))</f>
        <v/>
      </c>
      <c r="N523" s="75" t="str">
        <f>IF(Main[[#This Row],[Tech Start Date]]&lt;1/1/1990,"",IF(Main[[#This Row],[Class]]="C",WORKDAY(Main[[#This Row],[Tech Start Date]],19),IF(Main[[#This Row],[Class]]="B", WORKDAY(Main[[#This Row],[Tech Start Date]],12),IF(Main[[#This Row],[Class]]="A",WORKDAY(Main[[#This Row],[Tech Start Date]],4),""))))</f>
        <v/>
      </c>
      <c r="O523" s="75" t="str">
        <f>IF(Main[[#This Row],[Tech Start Date]]&lt;1/1/1990,"",IF(Main[[#This Row],[Class]]="C",WORKDAY(Main[[#This Row],[Tech Start Date]],23),IF(Main[[#This Row],[Class]]="B", WORKDAY(Main[[#This Row],[Tech Start Date]],15),IF(Main[[#This Row],[Class]]="A",WORKDAY(Main[[#This Row],[Tech Start Date]],5),""))))</f>
        <v/>
      </c>
      <c r="P523" s="75" t="str">
        <f>IF(Main[[#This Row],[Tech Start Date]]&lt;1/1/1990,"",IF(Main[[#This Row],[Class]]="C",WORKDAY(Main[[#This Row],[Tech Start Date]],28),IF(Main[[#This Row],[Class]]="B", WORKDAY(Main[[#This Row],[Tech Start Date]],19),IF(Main[[#This Row],[Class]]="A",WORKDAY(Main[[#This Row],[Tech Start Date]],9),""))))</f>
        <v/>
      </c>
      <c r="Q523" s="89">
        <v>40732</v>
      </c>
      <c r="R523" s="121"/>
      <c r="S523" s="99" t="s">
        <v>6</v>
      </c>
      <c r="T523" s="76" t="s">
        <v>4</v>
      </c>
      <c r="U523" s="99" t="s">
        <v>7</v>
      </c>
      <c r="V523" s="99" t="s">
        <v>1913</v>
      </c>
      <c r="W523" s="99" t="s">
        <v>4</v>
      </c>
      <c r="X523" s="99" t="s">
        <v>2813</v>
      </c>
      <c r="Y523" s="73" t="s">
        <v>2926</v>
      </c>
      <c r="Z523" s="73" t="s">
        <v>4</v>
      </c>
      <c r="AA523" s="99" t="s">
        <v>2813</v>
      </c>
    </row>
    <row r="524" spans="1:27" ht="17.25" customHeight="1">
      <c r="A524" s="65" t="str">
        <f>IF(priority(Main[[#This Row],[Comments]])&lt;&gt;0, priority(Main[[#This Row],[Comments]]),"")</f>
        <v/>
      </c>
      <c r="B524" s="60" t="s">
        <v>1779</v>
      </c>
      <c r="C524" s="105" t="s">
        <v>4</v>
      </c>
      <c r="D524" s="74" t="s">
        <v>848</v>
      </c>
      <c r="E524" s="89">
        <v>40611.493495370371</v>
      </c>
      <c r="F524" s="89"/>
      <c r="G524" s="65" t="str">
        <f>IF(stdProdLT(Main[[#This Row],[Comments]])=0.1,"N/A",IF(stdProdLT(Main[[#This Row],[Comments]])=0,"",TRIM(stdProdLT(Main[[#This Row],[Comments]]))))</f>
        <v/>
      </c>
      <c r="H524" s="98" t="str">
        <f>IF(Main[[#This Row],[Std. Prod. Lead Time]]="N/A", "",IF(AND(Main[[#This Row],[In Stock Date]]&lt;&gt;"",Main[[#This Row],[Revised Due Date]]&lt;&gt;"",Main[[#This Row],[In Stock Date]]&lt;&gt;""),Main[[#This Row],[In Stock Date]]-Main[[#This Row],[Revised Due Date]],""))</f>
        <v/>
      </c>
      <c r="I524" s="110" t="s">
        <v>4</v>
      </c>
      <c r="J524" s="99" t="s">
        <v>4</v>
      </c>
      <c r="K524" s="99" t="s">
        <v>4</v>
      </c>
      <c r="L524" s="89"/>
      <c r="M524" s="75" t="str">
        <f>IF(Main[[#This Row],[Tech Start Date]]&lt;1/1/1990,"",IF(Main[[#This Row],[Class]]="C",WORKDAY(Main[[#This Row],[Tech Start Date]],9),IF(Main[[#This Row],[Class]]="B", WORKDAY(Main[[#This Row],[Tech Start Date]],6),IF(Main[[#This Row],[Class]]="A",WORKDAY(Main[[#This Row],[Tech Start Date]],2),""))))</f>
        <v/>
      </c>
      <c r="N524" s="75" t="str">
        <f>IF(Main[[#This Row],[Tech Start Date]]&lt;1/1/1990,"",IF(Main[[#This Row],[Class]]="C",WORKDAY(Main[[#This Row],[Tech Start Date]],19),IF(Main[[#This Row],[Class]]="B", WORKDAY(Main[[#This Row],[Tech Start Date]],12),IF(Main[[#This Row],[Class]]="A",WORKDAY(Main[[#This Row],[Tech Start Date]],4),""))))</f>
        <v/>
      </c>
      <c r="O524" s="75" t="str">
        <f>IF(Main[[#This Row],[Tech Start Date]]&lt;1/1/1990,"",IF(Main[[#This Row],[Class]]="C",WORKDAY(Main[[#This Row],[Tech Start Date]],23),IF(Main[[#This Row],[Class]]="B", WORKDAY(Main[[#This Row],[Tech Start Date]],15),IF(Main[[#This Row],[Class]]="A",WORKDAY(Main[[#This Row],[Tech Start Date]],5),""))))</f>
        <v/>
      </c>
      <c r="P524" s="75" t="str">
        <f>IF(Main[[#This Row],[Tech Start Date]]&lt;1/1/1990,"",IF(Main[[#This Row],[Class]]="C",WORKDAY(Main[[#This Row],[Tech Start Date]],28),IF(Main[[#This Row],[Class]]="B", WORKDAY(Main[[#This Row],[Tech Start Date]],19),IF(Main[[#This Row],[Class]]="A",WORKDAY(Main[[#This Row],[Tech Start Date]],9),""))))</f>
        <v/>
      </c>
      <c r="Q524" s="89">
        <v>40725</v>
      </c>
      <c r="R524" s="121"/>
      <c r="S524" s="99" t="s">
        <v>17</v>
      </c>
      <c r="T524" s="76" t="s">
        <v>4</v>
      </c>
      <c r="U524" s="99" t="s">
        <v>7</v>
      </c>
      <c r="V524" s="99" t="s">
        <v>1916</v>
      </c>
      <c r="W524" s="99" t="s">
        <v>1918</v>
      </c>
      <c r="X524" s="99" t="s">
        <v>553</v>
      </c>
      <c r="Y524" s="73" t="s">
        <v>2946</v>
      </c>
      <c r="Z524" s="73" t="s">
        <v>4</v>
      </c>
      <c r="AA524" s="99" t="s">
        <v>553</v>
      </c>
    </row>
    <row r="525" spans="1:27" ht="17.25" customHeight="1">
      <c r="A525" s="65" t="str">
        <f>IF(priority(Main[[#This Row],[Comments]])&lt;&gt;0, priority(Main[[#This Row],[Comments]]),"")</f>
        <v/>
      </c>
      <c r="B525" s="60" t="s">
        <v>1776</v>
      </c>
      <c r="C525" s="105" t="s">
        <v>4</v>
      </c>
      <c r="D525" s="74" t="s">
        <v>845</v>
      </c>
      <c r="E525" s="89"/>
      <c r="F525" s="89"/>
      <c r="G525" s="65" t="str">
        <f>IF(stdProdLT(Main[[#This Row],[Comments]])=0.1,"N/A",IF(stdProdLT(Main[[#This Row],[Comments]])=0,"",TRIM(stdProdLT(Main[[#This Row],[Comments]]))))</f>
        <v/>
      </c>
      <c r="H525" s="98" t="str">
        <f>IF(Main[[#This Row],[Std. Prod. Lead Time]]="N/A", "",IF(AND(Main[[#This Row],[In Stock Date]]&lt;&gt;"",Main[[#This Row],[Revised Due Date]]&lt;&gt;"",Main[[#This Row],[In Stock Date]]&lt;&gt;""),Main[[#This Row],[In Stock Date]]-Main[[#This Row],[Revised Due Date]],""))</f>
        <v/>
      </c>
      <c r="I525" s="110" t="s">
        <v>2040</v>
      </c>
      <c r="J525" s="99" t="s">
        <v>28</v>
      </c>
      <c r="K525" s="99" t="s">
        <v>1922</v>
      </c>
      <c r="L525" s="89"/>
      <c r="M525" s="75" t="str">
        <f>IF(Main[[#This Row],[Tech Start Date]]&lt;1/1/1990,"",IF(Main[[#This Row],[Class]]="C",WORKDAY(Main[[#This Row],[Tech Start Date]],9),IF(Main[[#This Row],[Class]]="B", WORKDAY(Main[[#This Row],[Tech Start Date]],6),IF(Main[[#This Row],[Class]]="A",WORKDAY(Main[[#This Row],[Tech Start Date]],2),""))))</f>
        <v/>
      </c>
      <c r="N525" s="75" t="str">
        <f>IF(Main[[#This Row],[Tech Start Date]]&lt;1/1/1990,"",IF(Main[[#This Row],[Class]]="C",WORKDAY(Main[[#This Row],[Tech Start Date]],19),IF(Main[[#This Row],[Class]]="B", WORKDAY(Main[[#This Row],[Tech Start Date]],12),IF(Main[[#This Row],[Class]]="A",WORKDAY(Main[[#This Row],[Tech Start Date]],4),""))))</f>
        <v/>
      </c>
      <c r="O525" s="75" t="str">
        <f>IF(Main[[#This Row],[Tech Start Date]]&lt;1/1/1990,"",IF(Main[[#This Row],[Class]]="C",WORKDAY(Main[[#This Row],[Tech Start Date]],23),IF(Main[[#This Row],[Class]]="B", WORKDAY(Main[[#This Row],[Tech Start Date]],15),IF(Main[[#This Row],[Class]]="A",WORKDAY(Main[[#This Row],[Tech Start Date]],5),""))))</f>
        <v/>
      </c>
      <c r="P525" s="75" t="str">
        <f>IF(Main[[#This Row],[Tech Start Date]]&lt;1/1/1990,"",IF(Main[[#This Row],[Class]]="C",WORKDAY(Main[[#This Row],[Tech Start Date]],28),IF(Main[[#This Row],[Class]]="B", WORKDAY(Main[[#This Row],[Tech Start Date]],19),IF(Main[[#This Row],[Class]]="A",WORKDAY(Main[[#This Row],[Tech Start Date]],9),""))))</f>
        <v/>
      </c>
      <c r="Q525" s="89">
        <v>40694</v>
      </c>
      <c r="R525" s="121"/>
      <c r="S525" s="99" t="s">
        <v>6</v>
      </c>
      <c r="T525" s="76" t="s">
        <v>4</v>
      </c>
      <c r="U525" s="99" t="s">
        <v>14</v>
      </c>
      <c r="V525" s="99" t="s">
        <v>1916</v>
      </c>
      <c r="W525" s="99" t="s">
        <v>1917</v>
      </c>
      <c r="X525" s="99" t="s">
        <v>2813</v>
      </c>
      <c r="Y525" s="73" t="s">
        <v>2926</v>
      </c>
      <c r="Z525" s="73" t="s">
        <v>30</v>
      </c>
      <c r="AA525" s="99" t="s">
        <v>2813</v>
      </c>
    </row>
    <row r="526" spans="1:27" ht="17.25" customHeight="1">
      <c r="A526" s="65" t="str">
        <f>IF(priority(Main[[#This Row],[Comments]])&lt;&gt;0, priority(Main[[#This Row],[Comments]]),"")</f>
        <v/>
      </c>
      <c r="B526" s="60" t="s">
        <v>1375</v>
      </c>
      <c r="C526" s="105" t="s">
        <v>99</v>
      </c>
      <c r="D526" s="74" t="s">
        <v>100</v>
      </c>
      <c r="E526" s="89"/>
      <c r="F526" s="89"/>
      <c r="G526" s="65" t="str">
        <f>IF(stdProdLT(Main[[#This Row],[Comments]])=0.1,"N/A",IF(stdProdLT(Main[[#This Row],[Comments]])=0,"",TRIM(stdProdLT(Main[[#This Row],[Comments]]))))</f>
        <v/>
      </c>
      <c r="H526" s="98" t="str">
        <f>IF(Main[[#This Row],[Std. Prod. Lead Time]]="N/A", "",IF(AND(Main[[#This Row],[In Stock Date]]&lt;&gt;"",Main[[#This Row],[Revised Due Date]]&lt;&gt;"",Main[[#This Row],[In Stock Date]]&lt;&gt;""),Main[[#This Row],[In Stock Date]]-Main[[#This Row],[Revised Due Date]],""))</f>
        <v/>
      </c>
      <c r="I526" s="110" t="s">
        <v>4</v>
      </c>
      <c r="J526" s="99" t="s">
        <v>4</v>
      </c>
      <c r="K526" s="99" t="s">
        <v>4</v>
      </c>
      <c r="L526" s="89"/>
      <c r="M526" s="75" t="str">
        <f>IF(Main[[#This Row],[Tech Start Date]]&lt;1/1/1990,"",IF(Main[[#This Row],[Class]]="C",WORKDAY(Main[[#This Row],[Tech Start Date]],9),IF(Main[[#This Row],[Class]]="B", WORKDAY(Main[[#This Row],[Tech Start Date]],6),IF(Main[[#This Row],[Class]]="A",WORKDAY(Main[[#This Row],[Tech Start Date]],2),""))))</f>
        <v/>
      </c>
      <c r="N526" s="75" t="str">
        <f>IF(Main[[#This Row],[Tech Start Date]]&lt;1/1/1990,"",IF(Main[[#This Row],[Class]]="C",WORKDAY(Main[[#This Row],[Tech Start Date]],19),IF(Main[[#This Row],[Class]]="B", WORKDAY(Main[[#This Row],[Tech Start Date]],12),IF(Main[[#This Row],[Class]]="A",WORKDAY(Main[[#This Row],[Tech Start Date]],4),""))))</f>
        <v/>
      </c>
      <c r="O526" s="75" t="str">
        <f>IF(Main[[#This Row],[Tech Start Date]]&lt;1/1/1990,"",IF(Main[[#This Row],[Class]]="C",WORKDAY(Main[[#This Row],[Tech Start Date]],23),IF(Main[[#This Row],[Class]]="B", WORKDAY(Main[[#This Row],[Tech Start Date]],15),IF(Main[[#This Row],[Class]]="A",WORKDAY(Main[[#This Row],[Tech Start Date]],5),""))))</f>
        <v/>
      </c>
      <c r="P526" s="75" t="str">
        <f>IF(Main[[#This Row],[Tech Start Date]]&lt;1/1/1990,"",IF(Main[[#This Row],[Class]]="C",WORKDAY(Main[[#This Row],[Tech Start Date]],28),IF(Main[[#This Row],[Class]]="B", WORKDAY(Main[[#This Row],[Tech Start Date]],19),IF(Main[[#This Row],[Class]]="A",WORKDAY(Main[[#This Row],[Tech Start Date]],9),""))))</f>
        <v/>
      </c>
      <c r="Q526" s="89"/>
      <c r="R526" s="121"/>
      <c r="S526" s="99" t="s">
        <v>11</v>
      </c>
      <c r="T526" s="76" t="s">
        <v>4</v>
      </c>
      <c r="U526" s="99" t="s">
        <v>14</v>
      </c>
      <c r="V526" s="99" t="s">
        <v>1914</v>
      </c>
      <c r="W526" s="99" t="s">
        <v>1915</v>
      </c>
      <c r="X526" s="99" t="s">
        <v>2828</v>
      </c>
      <c r="Y526" s="73" t="s">
        <v>2954</v>
      </c>
      <c r="Z526" s="73" t="s">
        <v>4</v>
      </c>
      <c r="AA526" s="99" t="s">
        <v>3377</v>
      </c>
    </row>
    <row r="527" spans="1:27" ht="17.25" customHeight="1">
      <c r="A527" s="65" t="str">
        <f>IF(priority(Main[[#This Row],[Comments]])&lt;&gt;0, priority(Main[[#This Row],[Comments]]),"")</f>
        <v/>
      </c>
      <c r="B527" s="60" t="s">
        <v>1376</v>
      </c>
      <c r="C527" s="105" t="s">
        <v>4</v>
      </c>
      <c r="D527" s="74" t="s">
        <v>295</v>
      </c>
      <c r="E527" s="89"/>
      <c r="F527" s="89"/>
      <c r="G527" s="65" t="str">
        <f>IF(stdProdLT(Main[[#This Row],[Comments]])=0.1,"N/A",IF(stdProdLT(Main[[#This Row],[Comments]])=0,"",TRIM(stdProdLT(Main[[#This Row],[Comments]]))))</f>
        <v/>
      </c>
      <c r="H527" s="98" t="str">
        <f>IF(Main[[#This Row],[Std. Prod. Lead Time]]="N/A", "",IF(AND(Main[[#This Row],[In Stock Date]]&lt;&gt;"",Main[[#This Row],[Revised Due Date]]&lt;&gt;"",Main[[#This Row],[In Stock Date]]&lt;&gt;""),Main[[#This Row],[In Stock Date]]-Main[[#This Row],[Revised Due Date]],""))</f>
        <v/>
      </c>
      <c r="I527" s="110" t="s">
        <v>4</v>
      </c>
      <c r="J527" s="99" t="s">
        <v>4</v>
      </c>
      <c r="K527" s="99" t="s">
        <v>4</v>
      </c>
      <c r="L527" s="89"/>
      <c r="M527" s="75" t="str">
        <f>IF(Main[[#This Row],[Tech Start Date]]&lt;1/1/1990,"",IF(Main[[#This Row],[Class]]="C",WORKDAY(Main[[#This Row],[Tech Start Date]],9),IF(Main[[#This Row],[Class]]="B", WORKDAY(Main[[#This Row],[Tech Start Date]],6),IF(Main[[#This Row],[Class]]="A",WORKDAY(Main[[#This Row],[Tech Start Date]],2),""))))</f>
        <v/>
      </c>
      <c r="N527" s="75" t="str">
        <f>IF(Main[[#This Row],[Tech Start Date]]&lt;1/1/1990,"",IF(Main[[#This Row],[Class]]="C",WORKDAY(Main[[#This Row],[Tech Start Date]],19),IF(Main[[#This Row],[Class]]="B", WORKDAY(Main[[#This Row],[Tech Start Date]],12),IF(Main[[#This Row],[Class]]="A",WORKDAY(Main[[#This Row],[Tech Start Date]],4),""))))</f>
        <v/>
      </c>
      <c r="O527" s="75" t="str">
        <f>IF(Main[[#This Row],[Tech Start Date]]&lt;1/1/1990,"",IF(Main[[#This Row],[Class]]="C",WORKDAY(Main[[#This Row],[Tech Start Date]],23),IF(Main[[#This Row],[Class]]="B", WORKDAY(Main[[#This Row],[Tech Start Date]],15),IF(Main[[#This Row],[Class]]="A",WORKDAY(Main[[#This Row],[Tech Start Date]],5),""))))</f>
        <v/>
      </c>
      <c r="P527" s="75" t="str">
        <f>IF(Main[[#This Row],[Tech Start Date]]&lt;1/1/1990,"",IF(Main[[#This Row],[Class]]="C",WORKDAY(Main[[#This Row],[Tech Start Date]],28),IF(Main[[#This Row],[Class]]="B", WORKDAY(Main[[#This Row],[Tech Start Date]],19),IF(Main[[#This Row],[Class]]="A",WORKDAY(Main[[#This Row],[Tech Start Date]],9),""))))</f>
        <v/>
      </c>
      <c r="Q527" s="89">
        <v>40471</v>
      </c>
      <c r="R527" s="121"/>
      <c r="S527" s="99" t="s">
        <v>296</v>
      </c>
      <c r="T527" s="76" t="s">
        <v>4</v>
      </c>
      <c r="U527" s="99" t="s">
        <v>14</v>
      </c>
      <c r="V527" s="99" t="s">
        <v>1923</v>
      </c>
      <c r="W527" s="99" t="s">
        <v>1915</v>
      </c>
      <c r="X527" s="99" t="s">
        <v>2841</v>
      </c>
      <c r="Y527" s="73" t="s">
        <v>2972</v>
      </c>
      <c r="Z527" s="73" t="s">
        <v>4</v>
      </c>
      <c r="AA527" s="99" t="s">
        <v>2841</v>
      </c>
    </row>
    <row r="528" spans="1:27" ht="17.25" customHeight="1">
      <c r="A528" s="65" t="str">
        <f>IF(priority(Main[[#This Row],[Comments]])&lt;&gt;0, priority(Main[[#This Row],[Comments]]),"")</f>
        <v/>
      </c>
      <c r="B528" s="60" t="s">
        <v>1377</v>
      </c>
      <c r="C528" s="105" t="s">
        <v>4</v>
      </c>
      <c r="D528" s="74" t="s">
        <v>468</v>
      </c>
      <c r="E528" s="89">
        <v>40422.514918981484</v>
      </c>
      <c r="F528" s="89"/>
      <c r="G528" s="65" t="str">
        <f>IF(stdProdLT(Main[[#This Row],[Comments]])=0.1,"N/A",IF(stdProdLT(Main[[#This Row],[Comments]])=0,"",TRIM(stdProdLT(Main[[#This Row],[Comments]]))))</f>
        <v/>
      </c>
      <c r="H528" s="98" t="str">
        <f>IF(Main[[#This Row],[Std. Prod. Lead Time]]="N/A", "",IF(AND(Main[[#This Row],[In Stock Date]]&lt;&gt;"",Main[[#This Row],[Revised Due Date]]&lt;&gt;"",Main[[#This Row],[In Stock Date]]&lt;&gt;""),Main[[#This Row],[In Stock Date]]-Main[[#This Row],[Revised Due Date]],""))</f>
        <v/>
      </c>
      <c r="I528" s="110" t="s">
        <v>4</v>
      </c>
      <c r="J528" s="99" t="s">
        <v>28</v>
      </c>
      <c r="K528" s="99" t="s">
        <v>4</v>
      </c>
      <c r="L528" s="89"/>
      <c r="M528" s="75" t="str">
        <f>IF(Main[[#This Row],[Tech Start Date]]&lt;1/1/1990,"",IF(Main[[#This Row],[Class]]="C",WORKDAY(Main[[#This Row],[Tech Start Date]],9),IF(Main[[#This Row],[Class]]="B", WORKDAY(Main[[#This Row],[Tech Start Date]],6),IF(Main[[#This Row],[Class]]="A",WORKDAY(Main[[#This Row],[Tech Start Date]],2),""))))</f>
        <v/>
      </c>
      <c r="N528" s="75" t="str">
        <f>IF(Main[[#This Row],[Tech Start Date]]&lt;1/1/1990,"",IF(Main[[#This Row],[Class]]="C",WORKDAY(Main[[#This Row],[Tech Start Date]],19),IF(Main[[#This Row],[Class]]="B", WORKDAY(Main[[#This Row],[Tech Start Date]],12),IF(Main[[#This Row],[Class]]="A",WORKDAY(Main[[#This Row],[Tech Start Date]],4),""))))</f>
        <v/>
      </c>
      <c r="O528" s="75" t="str">
        <f>IF(Main[[#This Row],[Tech Start Date]]&lt;1/1/1990,"",IF(Main[[#This Row],[Class]]="C",WORKDAY(Main[[#This Row],[Tech Start Date]],23),IF(Main[[#This Row],[Class]]="B", WORKDAY(Main[[#This Row],[Tech Start Date]],15),IF(Main[[#This Row],[Class]]="A",WORKDAY(Main[[#This Row],[Tech Start Date]],5),""))))</f>
        <v/>
      </c>
      <c r="P528" s="75" t="str">
        <f>IF(Main[[#This Row],[Tech Start Date]]&lt;1/1/1990,"",IF(Main[[#This Row],[Class]]="C",WORKDAY(Main[[#This Row],[Tech Start Date]],28),IF(Main[[#This Row],[Class]]="B", WORKDAY(Main[[#This Row],[Tech Start Date]],19),IF(Main[[#This Row],[Class]]="A",WORKDAY(Main[[#This Row],[Tech Start Date]],9),""))))</f>
        <v/>
      </c>
      <c r="Q528" s="89">
        <v>40455</v>
      </c>
      <c r="R528" s="121"/>
      <c r="S528" s="99" t="s">
        <v>6</v>
      </c>
      <c r="T528" s="76" t="s">
        <v>4</v>
      </c>
      <c r="U528" s="99" t="s">
        <v>7</v>
      </c>
      <c r="V528" s="99" t="s">
        <v>1913</v>
      </c>
      <c r="W528" s="99" t="s">
        <v>1917</v>
      </c>
      <c r="X528" s="99" t="s">
        <v>2812</v>
      </c>
      <c r="Y528" s="73" t="s">
        <v>2923</v>
      </c>
      <c r="Z528" s="73" t="s">
        <v>129</v>
      </c>
      <c r="AA528" s="99" t="s">
        <v>2812</v>
      </c>
    </row>
    <row r="529" spans="1:27" ht="17.25" customHeight="1">
      <c r="A529" s="65" t="str">
        <f>IF(priority(Main[[#This Row],[Comments]])&lt;&gt;0, priority(Main[[#This Row],[Comments]]),"")</f>
        <v/>
      </c>
      <c r="B529" s="60" t="s">
        <v>1194</v>
      </c>
      <c r="C529" s="105" t="s">
        <v>4</v>
      </c>
      <c r="D529" s="74" t="s">
        <v>254</v>
      </c>
      <c r="E529" s="89">
        <v>40703.393472222226</v>
      </c>
      <c r="F529" s="89"/>
      <c r="G529" s="65" t="str">
        <f>IF(stdProdLT(Main[[#This Row],[Comments]])=0.1,"N/A",IF(stdProdLT(Main[[#This Row],[Comments]])=0,"",TRIM(stdProdLT(Main[[#This Row],[Comments]]))))</f>
        <v/>
      </c>
      <c r="H529" s="98" t="str">
        <f>IF(Main[[#This Row],[Std. Prod. Lead Time]]="N/A", "",IF(AND(Main[[#This Row],[In Stock Date]]&lt;&gt;"",Main[[#This Row],[Revised Due Date]]&lt;&gt;"",Main[[#This Row],[In Stock Date]]&lt;&gt;""),Main[[#This Row],[In Stock Date]]-Main[[#This Row],[Revised Due Date]],""))</f>
        <v/>
      </c>
      <c r="I529" s="110" t="s">
        <v>4</v>
      </c>
      <c r="J529" s="99" t="s">
        <v>4</v>
      </c>
      <c r="K529" s="99" t="s">
        <v>4</v>
      </c>
      <c r="L529" s="89"/>
      <c r="M529" s="75" t="str">
        <f>IF(Main[[#This Row],[Tech Start Date]]&lt;1/1/1990,"",IF(Main[[#This Row],[Class]]="C",WORKDAY(Main[[#This Row],[Tech Start Date]],9),IF(Main[[#This Row],[Class]]="B", WORKDAY(Main[[#This Row],[Tech Start Date]],6),IF(Main[[#This Row],[Class]]="A",WORKDAY(Main[[#This Row],[Tech Start Date]],2),""))))</f>
        <v/>
      </c>
      <c r="N529" s="75" t="str">
        <f>IF(Main[[#This Row],[Tech Start Date]]&lt;1/1/1990,"",IF(Main[[#This Row],[Class]]="C",WORKDAY(Main[[#This Row],[Tech Start Date]],19),IF(Main[[#This Row],[Class]]="B", WORKDAY(Main[[#This Row],[Tech Start Date]],12),IF(Main[[#This Row],[Class]]="A",WORKDAY(Main[[#This Row],[Tech Start Date]],4),""))))</f>
        <v/>
      </c>
      <c r="O529" s="75" t="str">
        <f>IF(Main[[#This Row],[Tech Start Date]]&lt;1/1/1990,"",IF(Main[[#This Row],[Class]]="C",WORKDAY(Main[[#This Row],[Tech Start Date]],23),IF(Main[[#This Row],[Class]]="B", WORKDAY(Main[[#This Row],[Tech Start Date]],15),IF(Main[[#This Row],[Class]]="A",WORKDAY(Main[[#This Row],[Tech Start Date]],5),""))))</f>
        <v/>
      </c>
      <c r="P529" s="75" t="str">
        <f>IF(Main[[#This Row],[Tech Start Date]]&lt;1/1/1990,"",IF(Main[[#This Row],[Class]]="C",WORKDAY(Main[[#This Row],[Tech Start Date]],28),IF(Main[[#This Row],[Class]]="B", WORKDAY(Main[[#This Row],[Tech Start Date]],19),IF(Main[[#This Row],[Class]]="A",WORKDAY(Main[[#This Row],[Tech Start Date]],9),""))))</f>
        <v/>
      </c>
      <c r="Q529" s="89">
        <v>40724</v>
      </c>
      <c r="R529" s="121"/>
      <c r="S529" s="99" t="s">
        <v>6</v>
      </c>
      <c r="T529" s="76" t="s">
        <v>4</v>
      </c>
      <c r="U529" s="99" t="s">
        <v>7</v>
      </c>
      <c r="V529" s="99" t="s">
        <v>1913</v>
      </c>
      <c r="W529" s="99" t="s">
        <v>1917</v>
      </c>
      <c r="X529" s="99" t="s">
        <v>2830</v>
      </c>
      <c r="Y529" s="73" t="s">
        <v>2959</v>
      </c>
      <c r="Z529" s="73" t="s">
        <v>4</v>
      </c>
      <c r="AA529" s="99" t="s">
        <v>2830</v>
      </c>
    </row>
    <row r="530" spans="1:27" ht="17.25" customHeight="1">
      <c r="A530" s="65" t="str">
        <f>IF(priority(Main[[#This Row],[Comments]])&lt;&gt;0, priority(Main[[#This Row],[Comments]]),"")</f>
        <v/>
      </c>
      <c r="B530" s="60" t="s">
        <v>1195</v>
      </c>
      <c r="C530" s="105" t="s">
        <v>33</v>
      </c>
      <c r="D530" s="74" t="s">
        <v>255</v>
      </c>
      <c r="E530" s="89"/>
      <c r="F530" s="89"/>
      <c r="G530" s="65" t="str">
        <f>IF(stdProdLT(Main[[#This Row],[Comments]])=0.1,"N/A",IF(stdProdLT(Main[[#This Row],[Comments]])=0,"",TRIM(stdProdLT(Main[[#This Row],[Comments]]))))</f>
        <v/>
      </c>
      <c r="H530" s="98" t="str">
        <f>IF(Main[[#This Row],[Std. Prod. Lead Time]]="N/A", "",IF(AND(Main[[#This Row],[In Stock Date]]&lt;&gt;"",Main[[#This Row],[Revised Due Date]]&lt;&gt;"",Main[[#This Row],[In Stock Date]]&lt;&gt;""),Main[[#This Row],[In Stock Date]]-Main[[#This Row],[Revised Due Date]],""))</f>
        <v/>
      </c>
      <c r="I530" s="110" t="s">
        <v>4</v>
      </c>
      <c r="J530" s="99" t="s">
        <v>28</v>
      </c>
      <c r="K530" s="99" t="s">
        <v>1926</v>
      </c>
      <c r="L530" s="89"/>
      <c r="M530" s="75" t="str">
        <f>IF(Main[[#This Row],[Tech Start Date]]&lt;1/1/1990,"",IF(Main[[#This Row],[Class]]="C",WORKDAY(Main[[#This Row],[Tech Start Date]],9),IF(Main[[#This Row],[Class]]="B", WORKDAY(Main[[#This Row],[Tech Start Date]],6),IF(Main[[#This Row],[Class]]="A",WORKDAY(Main[[#This Row],[Tech Start Date]],2),""))))</f>
        <v/>
      </c>
      <c r="N530" s="75" t="str">
        <f>IF(Main[[#This Row],[Tech Start Date]]&lt;1/1/1990,"",IF(Main[[#This Row],[Class]]="C",WORKDAY(Main[[#This Row],[Tech Start Date]],19),IF(Main[[#This Row],[Class]]="B", WORKDAY(Main[[#This Row],[Tech Start Date]],12),IF(Main[[#This Row],[Class]]="A",WORKDAY(Main[[#This Row],[Tech Start Date]],4),""))))</f>
        <v/>
      </c>
      <c r="O530" s="75" t="str">
        <f>IF(Main[[#This Row],[Tech Start Date]]&lt;1/1/1990,"",IF(Main[[#This Row],[Class]]="C",WORKDAY(Main[[#This Row],[Tech Start Date]],23),IF(Main[[#This Row],[Class]]="B", WORKDAY(Main[[#This Row],[Tech Start Date]],15),IF(Main[[#This Row],[Class]]="A",WORKDAY(Main[[#This Row],[Tech Start Date]],5),""))))</f>
        <v/>
      </c>
      <c r="P530" s="75" t="str">
        <f>IF(Main[[#This Row],[Tech Start Date]]&lt;1/1/1990,"",IF(Main[[#This Row],[Class]]="C",WORKDAY(Main[[#This Row],[Tech Start Date]],28),IF(Main[[#This Row],[Class]]="B", WORKDAY(Main[[#This Row],[Tech Start Date]],19),IF(Main[[#This Row],[Class]]="A",WORKDAY(Main[[#This Row],[Tech Start Date]],9),""))))</f>
        <v/>
      </c>
      <c r="Q530" s="89">
        <v>40364</v>
      </c>
      <c r="R530" s="121"/>
      <c r="S530" s="99" t="s">
        <v>17</v>
      </c>
      <c r="T530" s="76" t="s">
        <v>4</v>
      </c>
      <c r="U530" s="99" t="s">
        <v>14</v>
      </c>
      <c r="V530" s="99" t="s">
        <v>1914</v>
      </c>
      <c r="W530" s="99" t="s">
        <v>1918</v>
      </c>
      <c r="X530" s="99" t="s">
        <v>2869</v>
      </c>
      <c r="Y530" s="73" t="s">
        <v>3015</v>
      </c>
      <c r="Z530" s="73" t="s">
        <v>108</v>
      </c>
      <c r="AA530" s="99" t="s">
        <v>2869</v>
      </c>
    </row>
    <row r="531" spans="1:27" ht="17.25" customHeight="1">
      <c r="A531" s="65" t="str">
        <f>IF(priority(Main[[#This Row],[Comments]])&lt;&gt;0, priority(Main[[#This Row],[Comments]]),"")</f>
        <v/>
      </c>
      <c r="B531" s="60" t="s">
        <v>1196</v>
      </c>
      <c r="C531" s="105" t="s">
        <v>31</v>
      </c>
      <c r="D531" s="74" t="s">
        <v>256</v>
      </c>
      <c r="E531" s="89"/>
      <c r="F531" s="89"/>
      <c r="G531" s="65" t="str">
        <f>IF(stdProdLT(Main[[#This Row],[Comments]])=0.1,"N/A",IF(stdProdLT(Main[[#This Row],[Comments]])=0,"",TRIM(stdProdLT(Main[[#This Row],[Comments]]))))</f>
        <v/>
      </c>
      <c r="H531" s="98" t="str">
        <f>IF(Main[[#This Row],[Std. Prod. Lead Time]]="N/A", "",IF(AND(Main[[#This Row],[In Stock Date]]&lt;&gt;"",Main[[#This Row],[Revised Due Date]]&lt;&gt;"",Main[[#This Row],[In Stock Date]]&lt;&gt;""),Main[[#This Row],[In Stock Date]]-Main[[#This Row],[Revised Due Date]],""))</f>
        <v/>
      </c>
      <c r="I531" s="110" t="s">
        <v>4</v>
      </c>
      <c r="J531" s="99" t="s">
        <v>4</v>
      </c>
      <c r="K531" s="99" t="s">
        <v>4</v>
      </c>
      <c r="L531" s="89"/>
      <c r="M531" s="75" t="str">
        <f>IF(Main[[#This Row],[Tech Start Date]]&lt;1/1/1990,"",IF(Main[[#This Row],[Class]]="C",WORKDAY(Main[[#This Row],[Tech Start Date]],9),IF(Main[[#This Row],[Class]]="B", WORKDAY(Main[[#This Row],[Tech Start Date]],6),IF(Main[[#This Row],[Class]]="A",WORKDAY(Main[[#This Row],[Tech Start Date]],2),""))))</f>
        <v/>
      </c>
      <c r="N531" s="75" t="str">
        <f>IF(Main[[#This Row],[Tech Start Date]]&lt;1/1/1990,"",IF(Main[[#This Row],[Class]]="C",WORKDAY(Main[[#This Row],[Tech Start Date]],19),IF(Main[[#This Row],[Class]]="B", WORKDAY(Main[[#This Row],[Tech Start Date]],12),IF(Main[[#This Row],[Class]]="A",WORKDAY(Main[[#This Row],[Tech Start Date]],4),""))))</f>
        <v/>
      </c>
      <c r="O531" s="75" t="str">
        <f>IF(Main[[#This Row],[Tech Start Date]]&lt;1/1/1990,"",IF(Main[[#This Row],[Class]]="C",WORKDAY(Main[[#This Row],[Tech Start Date]],23),IF(Main[[#This Row],[Class]]="B", WORKDAY(Main[[#This Row],[Tech Start Date]],15),IF(Main[[#This Row],[Class]]="A",WORKDAY(Main[[#This Row],[Tech Start Date]],5),""))))</f>
        <v/>
      </c>
      <c r="P531" s="75" t="str">
        <f>IF(Main[[#This Row],[Tech Start Date]]&lt;1/1/1990,"",IF(Main[[#This Row],[Class]]="C",WORKDAY(Main[[#This Row],[Tech Start Date]],28),IF(Main[[#This Row],[Class]]="B", WORKDAY(Main[[#This Row],[Tech Start Date]],19),IF(Main[[#This Row],[Class]]="A",WORKDAY(Main[[#This Row],[Tech Start Date]],9),""))))</f>
        <v/>
      </c>
      <c r="Q531" s="89">
        <v>40318</v>
      </c>
      <c r="R531" s="121"/>
      <c r="S531" s="99" t="s">
        <v>11</v>
      </c>
      <c r="T531" s="76" t="s">
        <v>4</v>
      </c>
      <c r="U531" s="99" t="s">
        <v>14</v>
      </c>
      <c r="V531" s="99" t="s">
        <v>1916</v>
      </c>
      <c r="W531" s="99" t="s">
        <v>1915</v>
      </c>
      <c r="X531" s="99" t="s">
        <v>2824</v>
      </c>
      <c r="Y531" s="73" t="s">
        <v>4</v>
      </c>
      <c r="Z531" s="73" t="s">
        <v>4</v>
      </c>
      <c r="AA531" s="99" t="s">
        <v>2824</v>
      </c>
    </row>
    <row r="532" spans="1:27" ht="17.25" customHeight="1">
      <c r="A532" s="65" t="str">
        <f>IF(priority(Main[[#This Row],[Comments]])&lt;&gt;0, priority(Main[[#This Row],[Comments]]),"")</f>
        <v/>
      </c>
      <c r="B532" s="60" t="s">
        <v>1197</v>
      </c>
      <c r="C532" s="105" t="s">
        <v>4</v>
      </c>
      <c r="D532" s="74" t="s">
        <v>257</v>
      </c>
      <c r="E532" s="89"/>
      <c r="F532" s="89"/>
      <c r="G532" s="65" t="str">
        <f>IF(stdProdLT(Main[[#This Row],[Comments]])=0.1,"N/A",IF(stdProdLT(Main[[#This Row],[Comments]])=0,"",TRIM(stdProdLT(Main[[#This Row],[Comments]]))))</f>
        <v/>
      </c>
      <c r="H532" s="98" t="str">
        <f>IF(Main[[#This Row],[Std. Prod. Lead Time]]="N/A", "",IF(AND(Main[[#This Row],[In Stock Date]]&lt;&gt;"",Main[[#This Row],[Revised Due Date]]&lt;&gt;"",Main[[#This Row],[In Stock Date]]&lt;&gt;""),Main[[#This Row],[In Stock Date]]-Main[[#This Row],[Revised Due Date]],""))</f>
        <v/>
      </c>
      <c r="I532" s="110" t="s">
        <v>4</v>
      </c>
      <c r="J532" s="99" t="s">
        <v>4</v>
      </c>
      <c r="K532" s="99" t="s">
        <v>4</v>
      </c>
      <c r="L532" s="89"/>
      <c r="M532" s="75" t="str">
        <f>IF(Main[[#This Row],[Tech Start Date]]&lt;1/1/1990,"",IF(Main[[#This Row],[Class]]="C",WORKDAY(Main[[#This Row],[Tech Start Date]],9),IF(Main[[#This Row],[Class]]="B", WORKDAY(Main[[#This Row],[Tech Start Date]],6),IF(Main[[#This Row],[Class]]="A",WORKDAY(Main[[#This Row],[Tech Start Date]],2),""))))</f>
        <v/>
      </c>
      <c r="N532" s="75" t="str">
        <f>IF(Main[[#This Row],[Tech Start Date]]&lt;1/1/1990,"",IF(Main[[#This Row],[Class]]="C",WORKDAY(Main[[#This Row],[Tech Start Date]],19),IF(Main[[#This Row],[Class]]="B", WORKDAY(Main[[#This Row],[Tech Start Date]],12),IF(Main[[#This Row],[Class]]="A",WORKDAY(Main[[#This Row],[Tech Start Date]],4),""))))</f>
        <v/>
      </c>
      <c r="O532" s="75" t="str">
        <f>IF(Main[[#This Row],[Tech Start Date]]&lt;1/1/1990,"",IF(Main[[#This Row],[Class]]="C",WORKDAY(Main[[#This Row],[Tech Start Date]],23),IF(Main[[#This Row],[Class]]="B", WORKDAY(Main[[#This Row],[Tech Start Date]],15),IF(Main[[#This Row],[Class]]="A",WORKDAY(Main[[#This Row],[Tech Start Date]],5),""))))</f>
        <v/>
      </c>
      <c r="P532" s="75" t="str">
        <f>IF(Main[[#This Row],[Tech Start Date]]&lt;1/1/1990,"",IF(Main[[#This Row],[Class]]="C",WORKDAY(Main[[#This Row],[Tech Start Date]],28),IF(Main[[#This Row],[Class]]="B", WORKDAY(Main[[#This Row],[Tech Start Date]],19),IF(Main[[#This Row],[Class]]="A",WORKDAY(Main[[#This Row],[Tech Start Date]],9),""))))</f>
        <v/>
      </c>
      <c r="Q532" s="89">
        <v>40390</v>
      </c>
      <c r="R532" s="121"/>
      <c r="S532" s="99" t="s">
        <v>6</v>
      </c>
      <c r="T532" s="76" t="s">
        <v>4</v>
      </c>
      <c r="U532" s="99" t="s">
        <v>14</v>
      </c>
      <c r="V532" s="99" t="s">
        <v>1916</v>
      </c>
      <c r="W532" s="99" t="s">
        <v>4</v>
      </c>
      <c r="X532" s="99" t="s">
        <v>2813</v>
      </c>
      <c r="Y532" s="73" t="s">
        <v>2926</v>
      </c>
      <c r="Z532" s="73" t="s">
        <v>4</v>
      </c>
      <c r="AA532" s="99" t="s">
        <v>2813</v>
      </c>
    </row>
    <row r="533" spans="1:27" ht="17.25" customHeight="1">
      <c r="A533" s="65" t="str">
        <f>IF(priority(Main[[#This Row],[Comments]])&lt;&gt;0, priority(Main[[#This Row],[Comments]]),"")</f>
        <v/>
      </c>
      <c r="B533" s="60" t="s">
        <v>1198</v>
      </c>
      <c r="C533" s="105" t="s">
        <v>211</v>
      </c>
      <c r="D533" s="74" t="s">
        <v>258</v>
      </c>
      <c r="E533" s="89"/>
      <c r="F533" s="89">
        <v>40452</v>
      </c>
      <c r="G533" s="65" t="str">
        <f>IF(stdProdLT(Main[[#This Row],[Comments]])=0.1,"N/A",IF(stdProdLT(Main[[#This Row],[Comments]])=0,"",TRIM(stdProdLT(Main[[#This Row],[Comments]]))))</f>
        <v/>
      </c>
      <c r="H533" s="98" t="str">
        <f>IF(Main[[#This Row],[Std. Prod. Lead Time]]="N/A", "",IF(AND(Main[[#This Row],[In Stock Date]]&lt;&gt;"",Main[[#This Row],[Revised Due Date]]&lt;&gt;"",Main[[#This Row],[In Stock Date]]&lt;&gt;""),Main[[#This Row],[In Stock Date]]-Main[[#This Row],[Revised Due Date]],""))</f>
        <v/>
      </c>
      <c r="I533" s="110" t="s">
        <v>4</v>
      </c>
      <c r="J533" s="99" t="s">
        <v>4</v>
      </c>
      <c r="K533" s="99" t="s">
        <v>4</v>
      </c>
      <c r="L533" s="89"/>
      <c r="M533" s="75" t="str">
        <f>IF(Main[[#This Row],[Tech Start Date]]&lt;1/1/1990,"",IF(Main[[#This Row],[Class]]="C",WORKDAY(Main[[#This Row],[Tech Start Date]],9),IF(Main[[#This Row],[Class]]="B", WORKDAY(Main[[#This Row],[Tech Start Date]],6),IF(Main[[#This Row],[Class]]="A",WORKDAY(Main[[#This Row],[Tech Start Date]],2),""))))</f>
        <v/>
      </c>
      <c r="N533" s="75" t="str">
        <f>IF(Main[[#This Row],[Tech Start Date]]&lt;1/1/1990,"",IF(Main[[#This Row],[Class]]="C",WORKDAY(Main[[#This Row],[Tech Start Date]],19),IF(Main[[#This Row],[Class]]="B", WORKDAY(Main[[#This Row],[Tech Start Date]],12),IF(Main[[#This Row],[Class]]="A",WORKDAY(Main[[#This Row],[Tech Start Date]],4),""))))</f>
        <v/>
      </c>
      <c r="O533" s="75" t="str">
        <f>IF(Main[[#This Row],[Tech Start Date]]&lt;1/1/1990,"",IF(Main[[#This Row],[Class]]="C",WORKDAY(Main[[#This Row],[Tech Start Date]],23),IF(Main[[#This Row],[Class]]="B", WORKDAY(Main[[#This Row],[Tech Start Date]],15),IF(Main[[#This Row],[Class]]="A",WORKDAY(Main[[#This Row],[Tech Start Date]],5),""))))</f>
        <v/>
      </c>
      <c r="P533" s="75" t="str">
        <f>IF(Main[[#This Row],[Tech Start Date]]&lt;1/1/1990,"",IF(Main[[#This Row],[Class]]="C",WORKDAY(Main[[#This Row],[Tech Start Date]],28),IF(Main[[#This Row],[Class]]="B", WORKDAY(Main[[#This Row],[Tech Start Date]],19),IF(Main[[#This Row],[Class]]="A",WORKDAY(Main[[#This Row],[Tech Start Date]],9),""))))</f>
        <v/>
      </c>
      <c r="Q533" s="89">
        <v>40357</v>
      </c>
      <c r="R533" s="121"/>
      <c r="S533" s="99" t="s">
        <v>11</v>
      </c>
      <c r="T533" s="76" t="s">
        <v>4</v>
      </c>
      <c r="U533" s="99" t="s">
        <v>12</v>
      </c>
      <c r="V533" s="99" t="s">
        <v>1913</v>
      </c>
      <c r="W533" s="99" t="s">
        <v>1921</v>
      </c>
      <c r="X533" s="99" t="s">
        <v>2827</v>
      </c>
      <c r="Y533" s="73" t="s">
        <v>4</v>
      </c>
      <c r="Z533" s="73" t="s">
        <v>4</v>
      </c>
      <c r="AA533" s="99" t="s">
        <v>2827</v>
      </c>
    </row>
    <row r="534" spans="1:27" ht="17.25" customHeight="1">
      <c r="A534" s="65" t="str">
        <f>IF(priority(Main[[#This Row],[Comments]])&lt;&gt;0, priority(Main[[#This Row],[Comments]]),"")</f>
        <v/>
      </c>
      <c r="B534" s="60" t="s">
        <v>1199</v>
      </c>
      <c r="C534" s="105" t="s">
        <v>211</v>
      </c>
      <c r="D534" s="74" t="s">
        <v>259</v>
      </c>
      <c r="E534" s="89"/>
      <c r="F534" s="89">
        <v>40452</v>
      </c>
      <c r="G534" s="65" t="str">
        <f>IF(stdProdLT(Main[[#This Row],[Comments]])=0.1,"N/A",IF(stdProdLT(Main[[#This Row],[Comments]])=0,"",TRIM(stdProdLT(Main[[#This Row],[Comments]]))))</f>
        <v/>
      </c>
      <c r="H534" s="98" t="str">
        <f>IF(Main[[#This Row],[Std. Prod. Lead Time]]="N/A", "",IF(AND(Main[[#This Row],[In Stock Date]]&lt;&gt;"",Main[[#This Row],[Revised Due Date]]&lt;&gt;"",Main[[#This Row],[In Stock Date]]&lt;&gt;""),Main[[#This Row],[In Stock Date]]-Main[[#This Row],[Revised Due Date]],""))</f>
        <v/>
      </c>
      <c r="I534" s="110" t="s">
        <v>4</v>
      </c>
      <c r="J534" s="99" t="s">
        <v>4</v>
      </c>
      <c r="K534" s="99" t="s">
        <v>4</v>
      </c>
      <c r="L534" s="89"/>
      <c r="M534" s="75" t="str">
        <f>IF(Main[[#This Row],[Tech Start Date]]&lt;1/1/1990,"",IF(Main[[#This Row],[Class]]="C",WORKDAY(Main[[#This Row],[Tech Start Date]],9),IF(Main[[#This Row],[Class]]="B", WORKDAY(Main[[#This Row],[Tech Start Date]],6),IF(Main[[#This Row],[Class]]="A",WORKDAY(Main[[#This Row],[Tech Start Date]],2),""))))</f>
        <v/>
      </c>
      <c r="N534" s="75" t="str">
        <f>IF(Main[[#This Row],[Tech Start Date]]&lt;1/1/1990,"",IF(Main[[#This Row],[Class]]="C",WORKDAY(Main[[#This Row],[Tech Start Date]],19),IF(Main[[#This Row],[Class]]="B", WORKDAY(Main[[#This Row],[Tech Start Date]],12),IF(Main[[#This Row],[Class]]="A",WORKDAY(Main[[#This Row],[Tech Start Date]],4),""))))</f>
        <v/>
      </c>
      <c r="O534" s="75" t="str">
        <f>IF(Main[[#This Row],[Tech Start Date]]&lt;1/1/1990,"",IF(Main[[#This Row],[Class]]="C",WORKDAY(Main[[#This Row],[Tech Start Date]],23),IF(Main[[#This Row],[Class]]="B", WORKDAY(Main[[#This Row],[Tech Start Date]],15),IF(Main[[#This Row],[Class]]="A",WORKDAY(Main[[#This Row],[Tech Start Date]],5),""))))</f>
        <v/>
      </c>
      <c r="P534" s="75" t="str">
        <f>IF(Main[[#This Row],[Tech Start Date]]&lt;1/1/1990,"",IF(Main[[#This Row],[Class]]="C",WORKDAY(Main[[#This Row],[Tech Start Date]],28),IF(Main[[#This Row],[Class]]="B", WORKDAY(Main[[#This Row],[Tech Start Date]],19),IF(Main[[#This Row],[Class]]="A",WORKDAY(Main[[#This Row],[Tech Start Date]],9),""))))</f>
        <v/>
      </c>
      <c r="Q534" s="89">
        <v>40357</v>
      </c>
      <c r="R534" s="121"/>
      <c r="S534" s="99" t="s">
        <v>11</v>
      </c>
      <c r="T534" s="76" t="s">
        <v>4</v>
      </c>
      <c r="U534" s="99" t="s">
        <v>12</v>
      </c>
      <c r="V534" s="99" t="s">
        <v>1913</v>
      </c>
      <c r="W534" s="99" t="s">
        <v>1921</v>
      </c>
      <c r="X534" s="99" t="s">
        <v>2827</v>
      </c>
      <c r="Y534" s="73" t="s">
        <v>4</v>
      </c>
      <c r="Z534" s="73" t="s">
        <v>4</v>
      </c>
      <c r="AA534" s="99" t="s">
        <v>2827</v>
      </c>
    </row>
    <row r="535" spans="1:27" ht="17.25" customHeight="1">
      <c r="A535" s="65" t="str">
        <f>IF(priority(Main[[#This Row],[Comments]])&lt;&gt;0, priority(Main[[#This Row],[Comments]]),"")</f>
        <v/>
      </c>
      <c r="B535" s="60" t="s">
        <v>1616</v>
      </c>
      <c r="C535" s="105" t="s">
        <v>692</v>
      </c>
      <c r="D535" s="74" t="s">
        <v>693</v>
      </c>
      <c r="E535" s="89"/>
      <c r="F535" s="89"/>
      <c r="G535" s="65" t="str">
        <f>IF(stdProdLT(Main[[#This Row],[Comments]])=0.1,"N/A",IF(stdProdLT(Main[[#This Row],[Comments]])=0,"",TRIM(stdProdLT(Main[[#This Row],[Comments]]))))</f>
        <v/>
      </c>
      <c r="H535" s="98" t="str">
        <f>IF(Main[[#This Row],[Std. Prod. Lead Time]]="N/A", "",IF(AND(Main[[#This Row],[In Stock Date]]&lt;&gt;"",Main[[#This Row],[Revised Due Date]]&lt;&gt;"",Main[[#This Row],[In Stock Date]]&lt;&gt;""),Main[[#This Row],[In Stock Date]]-Main[[#This Row],[Revised Due Date]],""))</f>
        <v/>
      </c>
      <c r="I535" s="110" t="s">
        <v>4</v>
      </c>
      <c r="J535" s="99" t="s">
        <v>4</v>
      </c>
      <c r="K535" s="99" t="s">
        <v>4</v>
      </c>
      <c r="L535" s="89"/>
      <c r="M535" s="75" t="str">
        <f>IF(Main[[#This Row],[Tech Start Date]]&lt;1/1/1990,"",IF(Main[[#This Row],[Class]]="C",WORKDAY(Main[[#This Row],[Tech Start Date]],9),IF(Main[[#This Row],[Class]]="B", WORKDAY(Main[[#This Row],[Tech Start Date]],6),IF(Main[[#This Row],[Class]]="A",WORKDAY(Main[[#This Row],[Tech Start Date]],2),""))))</f>
        <v/>
      </c>
      <c r="N535" s="75" t="str">
        <f>IF(Main[[#This Row],[Tech Start Date]]&lt;1/1/1990,"",IF(Main[[#This Row],[Class]]="C",WORKDAY(Main[[#This Row],[Tech Start Date]],19),IF(Main[[#This Row],[Class]]="B", WORKDAY(Main[[#This Row],[Tech Start Date]],12),IF(Main[[#This Row],[Class]]="A",WORKDAY(Main[[#This Row],[Tech Start Date]],4),""))))</f>
        <v/>
      </c>
      <c r="O535" s="75" t="str">
        <f>IF(Main[[#This Row],[Tech Start Date]]&lt;1/1/1990,"",IF(Main[[#This Row],[Class]]="C",WORKDAY(Main[[#This Row],[Tech Start Date]],23),IF(Main[[#This Row],[Class]]="B", WORKDAY(Main[[#This Row],[Tech Start Date]],15),IF(Main[[#This Row],[Class]]="A",WORKDAY(Main[[#This Row],[Tech Start Date]],5),""))))</f>
        <v/>
      </c>
      <c r="P535" s="75" t="str">
        <f>IF(Main[[#This Row],[Tech Start Date]]&lt;1/1/1990,"",IF(Main[[#This Row],[Class]]="C",WORKDAY(Main[[#This Row],[Tech Start Date]],28),IF(Main[[#This Row],[Class]]="B", WORKDAY(Main[[#This Row],[Tech Start Date]],19),IF(Main[[#This Row],[Class]]="A",WORKDAY(Main[[#This Row],[Tech Start Date]],9),""))))</f>
        <v/>
      </c>
      <c r="Q535" s="89">
        <v>40672</v>
      </c>
      <c r="R535" s="121"/>
      <c r="S535" s="99" t="s">
        <v>11</v>
      </c>
      <c r="T535" s="76" t="s">
        <v>4</v>
      </c>
      <c r="U535" s="99" t="s">
        <v>14</v>
      </c>
      <c r="V535" s="99" t="s">
        <v>1913</v>
      </c>
      <c r="W535" s="99" t="s">
        <v>1915</v>
      </c>
      <c r="X535" s="99" t="s">
        <v>2877</v>
      </c>
      <c r="Y535" s="73" t="s">
        <v>4</v>
      </c>
      <c r="Z535" s="73" t="s">
        <v>4</v>
      </c>
      <c r="AA535" s="99" t="s">
        <v>2877</v>
      </c>
    </row>
    <row r="536" spans="1:27" ht="17.25" customHeight="1">
      <c r="A536" s="65" t="str">
        <f>IF(priority(Main[[#This Row],[Comments]])&lt;&gt;0, priority(Main[[#This Row],[Comments]]),"")</f>
        <v/>
      </c>
      <c r="B536" s="60" t="s">
        <v>1202</v>
      </c>
      <c r="C536" s="105" t="s">
        <v>169</v>
      </c>
      <c r="D536" s="74" t="s">
        <v>260</v>
      </c>
      <c r="E536" s="89"/>
      <c r="F536" s="89">
        <v>40237</v>
      </c>
      <c r="G536" s="65" t="str">
        <f>IF(stdProdLT(Main[[#This Row],[Comments]])=0.1,"N/A",IF(stdProdLT(Main[[#This Row],[Comments]])=0,"",TRIM(stdProdLT(Main[[#This Row],[Comments]]))))</f>
        <v/>
      </c>
      <c r="H536" s="98" t="str">
        <f>IF(Main[[#This Row],[Std. Prod. Lead Time]]="N/A", "",IF(AND(Main[[#This Row],[In Stock Date]]&lt;&gt;"",Main[[#This Row],[Revised Due Date]]&lt;&gt;"",Main[[#This Row],[In Stock Date]]&lt;&gt;""),Main[[#This Row],[In Stock Date]]-Main[[#This Row],[Revised Due Date]],""))</f>
        <v/>
      </c>
      <c r="I536" s="110" t="s">
        <v>4</v>
      </c>
      <c r="J536" s="99" t="s">
        <v>4</v>
      </c>
      <c r="K536" s="99" t="s">
        <v>4</v>
      </c>
      <c r="L536" s="89"/>
      <c r="M536" s="75" t="str">
        <f>IF(Main[[#This Row],[Tech Start Date]]&lt;1/1/1990,"",IF(Main[[#This Row],[Class]]="C",WORKDAY(Main[[#This Row],[Tech Start Date]],9),IF(Main[[#This Row],[Class]]="B", WORKDAY(Main[[#This Row],[Tech Start Date]],6),IF(Main[[#This Row],[Class]]="A",WORKDAY(Main[[#This Row],[Tech Start Date]],2),""))))</f>
        <v/>
      </c>
      <c r="N536" s="75" t="str">
        <f>IF(Main[[#This Row],[Tech Start Date]]&lt;1/1/1990,"",IF(Main[[#This Row],[Class]]="C",WORKDAY(Main[[#This Row],[Tech Start Date]],19),IF(Main[[#This Row],[Class]]="B", WORKDAY(Main[[#This Row],[Tech Start Date]],12),IF(Main[[#This Row],[Class]]="A",WORKDAY(Main[[#This Row],[Tech Start Date]],4),""))))</f>
        <v/>
      </c>
      <c r="O536" s="75" t="str">
        <f>IF(Main[[#This Row],[Tech Start Date]]&lt;1/1/1990,"",IF(Main[[#This Row],[Class]]="C",WORKDAY(Main[[#This Row],[Tech Start Date]],23),IF(Main[[#This Row],[Class]]="B", WORKDAY(Main[[#This Row],[Tech Start Date]],15),IF(Main[[#This Row],[Class]]="A",WORKDAY(Main[[#This Row],[Tech Start Date]],5),""))))</f>
        <v/>
      </c>
      <c r="P536" s="75" t="str">
        <f>IF(Main[[#This Row],[Tech Start Date]]&lt;1/1/1990,"",IF(Main[[#This Row],[Class]]="C",WORKDAY(Main[[#This Row],[Tech Start Date]],28),IF(Main[[#This Row],[Class]]="B", WORKDAY(Main[[#This Row],[Tech Start Date]],19),IF(Main[[#This Row],[Class]]="A",WORKDAY(Main[[#This Row],[Tech Start Date]],9),""))))</f>
        <v/>
      </c>
      <c r="Q536" s="89">
        <v>40132</v>
      </c>
      <c r="R536" s="121"/>
      <c r="S536" s="99" t="s">
        <v>11</v>
      </c>
      <c r="T536" s="76" t="s">
        <v>4</v>
      </c>
      <c r="U536" s="99" t="s">
        <v>14</v>
      </c>
      <c r="V536" s="99" t="s">
        <v>1914</v>
      </c>
      <c r="W536" s="99" t="s">
        <v>1918</v>
      </c>
      <c r="X536" s="99" t="s">
        <v>2852</v>
      </c>
      <c r="Y536" s="73" t="s">
        <v>4</v>
      </c>
      <c r="Z536" s="73" t="s">
        <v>4</v>
      </c>
      <c r="AA536" s="99" t="s">
        <v>2852</v>
      </c>
    </row>
    <row r="537" spans="1:27" ht="17.25" customHeight="1">
      <c r="A537" s="65" t="str">
        <f>IF(priority(Main[[#This Row],[Comments]])&lt;&gt;0, priority(Main[[#This Row],[Comments]]),"")</f>
        <v/>
      </c>
      <c r="B537" s="60" t="s">
        <v>1225</v>
      </c>
      <c r="C537" s="105" t="s">
        <v>33</v>
      </c>
      <c r="D537" s="74" t="s">
        <v>288</v>
      </c>
      <c r="E537" s="89"/>
      <c r="F537" s="89"/>
      <c r="G537" s="65" t="str">
        <f>IF(stdProdLT(Main[[#This Row],[Comments]])=0.1,"N/A",IF(stdProdLT(Main[[#This Row],[Comments]])=0,"",TRIM(stdProdLT(Main[[#This Row],[Comments]]))))</f>
        <v/>
      </c>
      <c r="H537" s="98" t="str">
        <f>IF(Main[[#This Row],[Std. Prod. Lead Time]]="N/A", "",IF(AND(Main[[#This Row],[In Stock Date]]&lt;&gt;"",Main[[#This Row],[Revised Due Date]]&lt;&gt;"",Main[[#This Row],[In Stock Date]]&lt;&gt;""),Main[[#This Row],[In Stock Date]]-Main[[#This Row],[Revised Due Date]],""))</f>
        <v/>
      </c>
      <c r="I537" s="110" t="s">
        <v>4</v>
      </c>
      <c r="J537" s="99" t="s">
        <v>4</v>
      </c>
      <c r="K537" s="100" t="s">
        <v>4</v>
      </c>
      <c r="L537" s="89"/>
      <c r="M537" s="75" t="str">
        <f>IF(Main[[#This Row],[Tech Start Date]]&lt;1/1/1990,"",IF(Main[[#This Row],[Class]]="C",WORKDAY(Main[[#This Row],[Tech Start Date]],9),IF(Main[[#This Row],[Class]]="B", WORKDAY(Main[[#This Row],[Tech Start Date]],6),IF(Main[[#This Row],[Class]]="A",WORKDAY(Main[[#This Row],[Tech Start Date]],2),""))))</f>
        <v/>
      </c>
      <c r="N537" s="75" t="str">
        <f>IF(Main[[#This Row],[Tech Start Date]]&lt;1/1/1990,"",IF(Main[[#This Row],[Class]]="C",WORKDAY(Main[[#This Row],[Tech Start Date]],19),IF(Main[[#This Row],[Class]]="B", WORKDAY(Main[[#This Row],[Tech Start Date]],12),IF(Main[[#This Row],[Class]]="A",WORKDAY(Main[[#This Row],[Tech Start Date]],4),""))))</f>
        <v/>
      </c>
      <c r="O537" s="75" t="str">
        <f>IF(Main[[#This Row],[Tech Start Date]]&lt;1/1/1990,"",IF(Main[[#This Row],[Class]]="C",WORKDAY(Main[[#This Row],[Tech Start Date]],23),IF(Main[[#This Row],[Class]]="B", WORKDAY(Main[[#This Row],[Tech Start Date]],15),IF(Main[[#This Row],[Class]]="A",WORKDAY(Main[[#This Row],[Tech Start Date]],5),""))))</f>
        <v/>
      </c>
      <c r="P537" s="75" t="str">
        <f>IF(Main[[#This Row],[Tech Start Date]]&lt;1/1/1990,"",IF(Main[[#This Row],[Class]]="C",WORKDAY(Main[[#This Row],[Tech Start Date]],28),IF(Main[[#This Row],[Class]]="B", WORKDAY(Main[[#This Row],[Tech Start Date]],19),IF(Main[[#This Row],[Class]]="A",WORKDAY(Main[[#This Row],[Tech Start Date]],9),""))))</f>
        <v/>
      </c>
      <c r="Q537" s="89"/>
      <c r="R537" s="121"/>
      <c r="S537" s="99" t="s">
        <v>11</v>
      </c>
      <c r="T537" s="76" t="s">
        <v>4</v>
      </c>
      <c r="U537" s="99" t="s">
        <v>14</v>
      </c>
      <c r="V537" s="99" t="s">
        <v>1914</v>
      </c>
      <c r="W537" s="99" t="s">
        <v>1921</v>
      </c>
      <c r="X537" s="99" t="s">
        <v>2821</v>
      </c>
      <c r="Y537" s="73" t="s">
        <v>2942</v>
      </c>
      <c r="Z537" s="73" t="s">
        <v>4</v>
      </c>
      <c r="AA537" s="99" t="s">
        <v>2821</v>
      </c>
    </row>
    <row r="538" spans="1:27" ht="17.25" customHeight="1">
      <c r="A538" s="65" t="str">
        <f>IF(priority(Main[[#This Row],[Comments]])&lt;&gt;0, priority(Main[[#This Row],[Comments]]),"")</f>
        <v/>
      </c>
      <c r="B538" s="60" t="s">
        <v>1309</v>
      </c>
      <c r="C538" s="105" t="s">
        <v>390</v>
      </c>
      <c r="D538" s="74" t="s">
        <v>391</v>
      </c>
      <c r="E538" s="89"/>
      <c r="F538" s="89">
        <v>40512</v>
      </c>
      <c r="G538" s="65" t="str">
        <f>IF(stdProdLT(Main[[#This Row],[Comments]])=0.1,"N/A",IF(stdProdLT(Main[[#This Row],[Comments]])=0,"",TRIM(stdProdLT(Main[[#This Row],[Comments]]))))</f>
        <v/>
      </c>
      <c r="H538" s="98" t="str">
        <f>IF(Main[[#This Row],[Std. Prod. Lead Time]]="N/A", "",IF(AND(Main[[#This Row],[In Stock Date]]&lt;&gt;"",Main[[#This Row],[Revised Due Date]]&lt;&gt;"",Main[[#This Row],[In Stock Date]]&lt;&gt;""),Main[[#This Row],[In Stock Date]]-Main[[#This Row],[Revised Due Date]],""))</f>
        <v/>
      </c>
      <c r="I538" s="110" t="s">
        <v>4</v>
      </c>
      <c r="J538" s="99" t="s">
        <v>4</v>
      </c>
      <c r="K538" s="99" t="s">
        <v>4</v>
      </c>
      <c r="L538" s="89"/>
      <c r="M538" s="75" t="str">
        <f>IF(Main[[#This Row],[Tech Start Date]]&lt;1/1/1990,"",IF(Main[[#This Row],[Class]]="C",WORKDAY(Main[[#This Row],[Tech Start Date]],9),IF(Main[[#This Row],[Class]]="B", WORKDAY(Main[[#This Row],[Tech Start Date]],6),IF(Main[[#This Row],[Class]]="A",WORKDAY(Main[[#This Row],[Tech Start Date]],2),""))))</f>
        <v/>
      </c>
      <c r="N538" s="75" t="str">
        <f>IF(Main[[#This Row],[Tech Start Date]]&lt;1/1/1990,"",IF(Main[[#This Row],[Class]]="C",WORKDAY(Main[[#This Row],[Tech Start Date]],19),IF(Main[[#This Row],[Class]]="B", WORKDAY(Main[[#This Row],[Tech Start Date]],12),IF(Main[[#This Row],[Class]]="A",WORKDAY(Main[[#This Row],[Tech Start Date]],4),""))))</f>
        <v/>
      </c>
      <c r="O538" s="75" t="str">
        <f>IF(Main[[#This Row],[Tech Start Date]]&lt;1/1/1990,"",IF(Main[[#This Row],[Class]]="C",WORKDAY(Main[[#This Row],[Tech Start Date]],23),IF(Main[[#This Row],[Class]]="B", WORKDAY(Main[[#This Row],[Tech Start Date]],15),IF(Main[[#This Row],[Class]]="A",WORKDAY(Main[[#This Row],[Tech Start Date]],5),""))))</f>
        <v/>
      </c>
      <c r="P538" s="75" t="str">
        <f>IF(Main[[#This Row],[Tech Start Date]]&lt;1/1/1990,"",IF(Main[[#This Row],[Class]]="C",WORKDAY(Main[[#This Row],[Tech Start Date]],28),IF(Main[[#This Row],[Class]]="B", WORKDAY(Main[[#This Row],[Tech Start Date]],19),IF(Main[[#This Row],[Class]]="A",WORKDAY(Main[[#This Row],[Tech Start Date]],9),""))))</f>
        <v/>
      </c>
      <c r="Q538" s="89">
        <v>40316</v>
      </c>
      <c r="R538" s="121"/>
      <c r="S538" s="99" t="s">
        <v>11</v>
      </c>
      <c r="T538" s="76" t="s">
        <v>4</v>
      </c>
      <c r="U538" s="99" t="s">
        <v>14</v>
      </c>
      <c r="V538" s="99" t="s">
        <v>1913</v>
      </c>
      <c r="W538" s="99" t="s">
        <v>1919</v>
      </c>
      <c r="X538" s="99" t="s">
        <v>2846</v>
      </c>
      <c r="Y538" s="73" t="s">
        <v>4</v>
      </c>
      <c r="Z538" s="73" t="s">
        <v>4</v>
      </c>
      <c r="AA538" s="99" t="s">
        <v>2846</v>
      </c>
    </row>
    <row r="539" spans="1:27" ht="17.25" customHeight="1">
      <c r="A539" s="65" t="str">
        <f>IF(priority(Main[[#This Row],[Comments]])&lt;&gt;0, priority(Main[[#This Row],[Comments]]),"")</f>
        <v/>
      </c>
      <c r="B539" s="60" t="s">
        <v>1310</v>
      </c>
      <c r="C539" s="105" t="s">
        <v>213</v>
      </c>
      <c r="D539" s="74" t="s">
        <v>392</v>
      </c>
      <c r="E539" s="89"/>
      <c r="F539" s="89">
        <v>40390</v>
      </c>
      <c r="G539" s="65" t="str">
        <f>IF(stdProdLT(Main[[#This Row],[Comments]])=0.1,"N/A",IF(stdProdLT(Main[[#This Row],[Comments]])=0,"",TRIM(stdProdLT(Main[[#This Row],[Comments]]))))</f>
        <v/>
      </c>
      <c r="H539" s="98" t="str">
        <f>IF(Main[[#This Row],[Std. Prod. Lead Time]]="N/A", "",IF(AND(Main[[#This Row],[In Stock Date]]&lt;&gt;"",Main[[#This Row],[Revised Due Date]]&lt;&gt;"",Main[[#This Row],[In Stock Date]]&lt;&gt;""),Main[[#This Row],[In Stock Date]]-Main[[#This Row],[Revised Due Date]],""))</f>
        <v/>
      </c>
      <c r="I539" s="110" t="s">
        <v>4</v>
      </c>
      <c r="J539" s="99" t="s">
        <v>4</v>
      </c>
      <c r="K539" s="99" t="s">
        <v>4</v>
      </c>
      <c r="L539" s="89"/>
      <c r="M539" s="75" t="str">
        <f>IF(Main[[#This Row],[Tech Start Date]]&lt;1/1/1990,"",IF(Main[[#This Row],[Class]]="C",WORKDAY(Main[[#This Row],[Tech Start Date]],9),IF(Main[[#This Row],[Class]]="B", WORKDAY(Main[[#This Row],[Tech Start Date]],6),IF(Main[[#This Row],[Class]]="A",WORKDAY(Main[[#This Row],[Tech Start Date]],2),""))))</f>
        <v/>
      </c>
      <c r="N539" s="75" t="str">
        <f>IF(Main[[#This Row],[Tech Start Date]]&lt;1/1/1990,"",IF(Main[[#This Row],[Class]]="C",WORKDAY(Main[[#This Row],[Tech Start Date]],19),IF(Main[[#This Row],[Class]]="B", WORKDAY(Main[[#This Row],[Tech Start Date]],12),IF(Main[[#This Row],[Class]]="A",WORKDAY(Main[[#This Row],[Tech Start Date]],4),""))))</f>
        <v/>
      </c>
      <c r="O539" s="75" t="str">
        <f>IF(Main[[#This Row],[Tech Start Date]]&lt;1/1/1990,"",IF(Main[[#This Row],[Class]]="C",WORKDAY(Main[[#This Row],[Tech Start Date]],23),IF(Main[[#This Row],[Class]]="B", WORKDAY(Main[[#This Row],[Tech Start Date]],15),IF(Main[[#This Row],[Class]]="A",WORKDAY(Main[[#This Row],[Tech Start Date]],5),""))))</f>
        <v/>
      </c>
      <c r="P539" s="75" t="str">
        <f>IF(Main[[#This Row],[Tech Start Date]]&lt;1/1/1990,"",IF(Main[[#This Row],[Class]]="C",WORKDAY(Main[[#This Row],[Tech Start Date]],28),IF(Main[[#This Row],[Class]]="B", WORKDAY(Main[[#This Row],[Tech Start Date]],19),IF(Main[[#This Row],[Class]]="A",WORKDAY(Main[[#This Row],[Tech Start Date]],9),""))))</f>
        <v/>
      </c>
      <c r="Q539" s="89">
        <v>40278</v>
      </c>
      <c r="R539" s="121"/>
      <c r="S539" s="99" t="s">
        <v>11</v>
      </c>
      <c r="T539" s="76" t="s">
        <v>4</v>
      </c>
      <c r="U539" s="99" t="s">
        <v>14</v>
      </c>
      <c r="V539" s="99" t="s">
        <v>1916</v>
      </c>
      <c r="W539" s="99" t="s">
        <v>1918</v>
      </c>
      <c r="X539" s="99" t="s">
        <v>553</v>
      </c>
      <c r="Y539" s="73" t="s">
        <v>4</v>
      </c>
      <c r="Z539" s="73" t="s">
        <v>4</v>
      </c>
      <c r="AA539" s="99" t="s">
        <v>553</v>
      </c>
    </row>
    <row r="540" spans="1:27" ht="17.25" customHeight="1">
      <c r="A540" s="65" t="str">
        <f>IF(priority(Main[[#This Row],[Comments]])&lt;&gt;0, priority(Main[[#This Row],[Comments]]),"")</f>
        <v/>
      </c>
      <c r="B540" s="60" t="s">
        <v>1311</v>
      </c>
      <c r="C540" s="105" t="s">
        <v>275</v>
      </c>
      <c r="D540" s="74" t="s">
        <v>393</v>
      </c>
      <c r="E540" s="89"/>
      <c r="F540" s="89">
        <v>40186</v>
      </c>
      <c r="G540" s="65" t="str">
        <f>IF(stdProdLT(Main[[#This Row],[Comments]])=0.1,"N/A",IF(stdProdLT(Main[[#This Row],[Comments]])=0,"",TRIM(stdProdLT(Main[[#This Row],[Comments]]))))</f>
        <v/>
      </c>
      <c r="H540" s="98" t="str">
        <f>IF(Main[[#This Row],[Std. Prod. Lead Time]]="N/A", "",IF(AND(Main[[#This Row],[In Stock Date]]&lt;&gt;"",Main[[#This Row],[Revised Due Date]]&lt;&gt;"",Main[[#This Row],[In Stock Date]]&lt;&gt;""),Main[[#This Row],[In Stock Date]]-Main[[#This Row],[Revised Due Date]],""))</f>
        <v/>
      </c>
      <c r="I540" s="110" t="s">
        <v>4</v>
      </c>
      <c r="J540" s="99" t="s">
        <v>4</v>
      </c>
      <c r="K540" s="100" t="s">
        <v>4</v>
      </c>
      <c r="L540" s="89"/>
      <c r="M540" s="75" t="str">
        <f>IF(Main[[#This Row],[Tech Start Date]]&lt;1/1/1990,"",IF(Main[[#This Row],[Class]]="C",WORKDAY(Main[[#This Row],[Tech Start Date]],9),IF(Main[[#This Row],[Class]]="B", WORKDAY(Main[[#This Row],[Tech Start Date]],6),IF(Main[[#This Row],[Class]]="A",WORKDAY(Main[[#This Row],[Tech Start Date]],2),""))))</f>
        <v/>
      </c>
      <c r="N540" s="75" t="str">
        <f>IF(Main[[#This Row],[Tech Start Date]]&lt;1/1/1990,"",IF(Main[[#This Row],[Class]]="C",WORKDAY(Main[[#This Row],[Tech Start Date]],19),IF(Main[[#This Row],[Class]]="B", WORKDAY(Main[[#This Row],[Tech Start Date]],12),IF(Main[[#This Row],[Class]]="A",WORKDAY(Main[[#This Row],[Tech Start Date]],4),""))))</f>
        <v/>
      </c>
      <c r="O540" s="75" t="str">
        <f>IF(Main[[#This Row],[Tech Start Date]]&lt;1/1/1990,"",IF(Main[[#This Row],[Class]]="C",WORKDAY(Main[[#This Row],[Tech Start Date]],23),IF(Main[[#This Row],[Class]]="B", WORKDAY(Main[[#This Row],[Tech Start Date]],15),IF(Main[[#This Row],[Class]]="A",WORKDAY(Main[[#This Row],[Tech Start Date]],5),""))))</f>
        <v/>
      </c>
      <c r="P540" s="75" t="str">
        <f>IF(Main[[#This Row],[Tech Start Date]]&lt;1/1/1990,"",IF(Main[[#This Row],[Class]]="C",WORKDAY(Main[[#This Row],[Tech Start Date]],28),IF(Main[[#This Row],[Class]]="B", WORKDAY(Main[[#This Row],[Tech Start Date]],19),IF(Main[[#This Row],[Class]]="A",WORKDAY(Main[[#This Row],[Tech Start Date]],9),""))))</f>
        <v/>
      </c>
      <c r="Q540" s="89">
        <v>40186</v>
      </c>
      <c r="R540" s="121"/>
      <c r="S540" s="99" t="s">
        <v>11</v>
      </c>
      <c r="T540" s="76" t="s">
        <v>4</v>
      </c>
      <c r="U540" s="99" t="s">
        <v>14</v>
      </c>
      <c r="V540" s="99" t="s">
        <v>1916</v>
      </c>
      <c r="W540" s="99" t="s">
        <v>1921</v>
      </c>
      <c r="X540" s="99" t="s">
        <v>2836</v>
      </c>
      <c r="Y540" s="73" t="s">
        <v>4</v>
      </c>
      <c r="Z540" s="73" t="s">
        <v>4</v>
      </c>
      <c r="AA540" s="99" t="s">
        <v>2836</v>
      </c>
    </row>
    <row r="541" spans="1:27" ht="17.25" customHeight="1">
      <c r="A541" s="65" t="str">
        <f>IF(priority(Main[[#This Row],[Comments]])&lt;&gt;0, priority(Main[[#This Row],[Comments]]),"")</f>
        <v/>
      </c>
      <c r="B541" s="60" t="s">
        <v>1312</v>
      </c>
      <c r="C541" s="105" t="s">
        <v>394</v>
      </c>
      <c r="D541" s="74" t="s">
        <v>395</v>
      </c>
      <c r="E541" s="89"/>
      <c r="F541" s="89"/>
      <c r="G541" s="65" t="str">
        <f>IF(stdProdLT(Main[[#This Row],[Comments]])=0.1,"N/A",IF(stdProdLT(Main[[#This Row],[Comments]])=0,"",TRIM(stdProdLT(Main[[#This Row],[Comments]]))))</f>
        <v/>
      </c>
      <c r="H541" s="98" t="str">
        <f>IF(Main[[#This Row],[Std. Prod. Lead Time]]="N/A", "",IF(AND(Main[[#This Row],[In Stock Date]]&lt;&gt;"",Main[[#This Row],[Revised Due Date]]&lt;&gt;"",Main[[#This Row],[In Stock Date]]&lt;&gt;""),Main[[#This Row],[In Stock Date]]-Main[[#This Row],[Revised Due Date]],""))</f>
        <v/>
      </c>
      <c r="I541" s="110" t="s">
        <v>4</v>
      </c>
      <c r="J541" s="99" t="s">
        <v>4</v>
      </c>
      <c r="K541" s="99" t="s">
        <v>4</v>
      </c>
      <c r="L541" s="89"/>
      <c r="M541" s="75" t="str">
        <f>IF(Main[[#This Row],[Tech Start Date]]&lt;1/1/1990,"",IF(Main[[#This Row],[Class]]="C",WORKDAY(Main[[#This Row],[Tech Start Date]],9),IF(Main[[#This Row],[Class]]="B", WORKDAY(Main[[#This Row],[Tech Start Date]],6),IF(Main[[#This Row],[Class]]="A",WORKDAY(Main[[#This Row],[Tech Start Date]],2),""))))</f>
        <v/>
      </c>
      <c r="N541" s="75" t="str">
        <f>IF(Main[[#This Row],[Tech Start Date]]&lt;1/1/1990,"",IF(Main[[#This Row],[Class]]="C",WORKDAY(Main[[#This Row],[Tech Start Date]],19),IF(Main[[#This Row],[Class]]="B", WORKDAY(Main[[#This Row],[Tech Start Date]],12),IF(Main[[#This Row],[Class]]="A",WORKDAY(Main[[#This Row],[Tech Start Date]],4),""))))</f>
        <v/>
      </c>
      <c r="O541" s="75" t="str">
        <f>IF(Main[[#This Row],[Tech Start Date]]&lt;1/1/1990,"",IF(Main[[#This Row],[Class]]="C",WORKDAY(Main[[#This Row],[Tech Start Date]],23),IF(Main[[#This Row],[Class]]="B", WORKDAY(Main[[#This Row],[Tech Start Date]],15),IF(Main[[#This Row],[Class]]="A",WORKDAY(Main[[#This Row],[Tech Start Date]],5),""))))</f>
        <v/>
      </c>
      <c r="P541" s="75" t="str">
        <f>IF(Main[[#This Row],[Tech Start Date]]&lt;1/1/1990,"",IF(Main[[#This Row],[Class]]="C",WORKDAY(Main[[#This Row],[Tech Start Date]],28),IF(Main[[#This Row],[Class]]="B", WORKDAY(Main[[#This Row],[Tech Start Date]],19),IF(Main[[#This Row],[Class]]="A",WORKDAY(Main[[#This Row],[Tech Start Date]],9),""))))</f>
        <v/>
      </c>
      <c r="Q541" s="89"/>
      <c r="R541" s="121"/>
      <c r="S541" s="99" t="s">
        <v>11</v>
      </c>
      <c r="T541" s="76" t="s">
        <v>4</v>
      </c>
      <c r="U541" s="99" t="s">
        <v>14</v>
      </c>
      <c r="V541" s="99" t="s">
        <v>1914</v>
      </c>
      <c r="W541" s="99" t="s">
        <v>1921</v>
      </c>
      <c r="X541" s="99" t="s">
        <v>2847</v>
      </c>
      <c r="Y541" s="73" t="s">
        <v>2985</v>
      </c>
      <c r="Z541" s="73" t="s">
        <v>4</v>
      </c>
      <c r="AA541" s="99" t="s">
        <v>2847</v>
      </c>
    </row>
    <row r="542" spans="1:27" ht="17.25" customHeight="1">
      <c r="A542" s="65" t="str">
        <f>IF(priority(Main[[#This Row],[Comments]])&lt;&gt;0, priority(Main[[#This Row],[Comments]]),"")</f>
        <v/>
      </c>
      <c r="B542" s="60" t="s">
        <v>1314</v>
      </c>
      <c r="C542" s="105" t="s">
        <v>4</v>
      </c>
      <c r="D542" s="74" t="s">
        <v>396</v>
      </c>
      <c r="E542" s="89">
        <v>40319.627523148149</v>
      </c>
      <c r="F542" s="89"/>
      <c r="G542" s="65" t="str">
        <f>IF(stdProdLT(Main[[#This Row],[Comments]])=0.1,"N/A",IF(stdProdLT(Main[[#This Row],[Comments]])=0,"",TRIM(stdProdLT(Main[[#This Row],[Comments]]))))</f>
        <v/>
      </c>
      <c r="H542" s="98" t="str">
        <f>IF(Main[[#This Row],[Std. Prod. Lead Time]]="N/A", "",IF(AND(Main[[#This Row],[In Stock Date]]&lt;&gt;"",Main[[#This Row],[Revised Due Date]]&lt;&gt;"",Main[[#This Row],[In Stock Date]]&lt;&gt;""),Main[[#This Row],[In Stock Date]]-Main[[#This Row],[Revised Due Date]],""))</f>
        <v/>
      </c>
      <c r="I542" s="110" t="s">
        <v>129</v>
      </c>
      <c r="J542" s="99" t="s">
        <v>4</v>
      </c>
      <c r="K542" s="99" t="s">
        <v>4</v>
      </c>
      <c r="L542" s="89"/>
      <c r="M542" s="75" t="str">
        <f>IF(Main[[#This Row],[Tech Start Date]]&lt;1/1/1990,"",IF(Main[[#This Row],[Class]]="C",WORKDAY(Main[[#This Row],[Tech Start Date]],9),IF(Main[[#This Row],[Class]]="B", WORKDAY(Main[[#This Row],[Tech Start Date]],6),IF(Main[[#This Row],[Class]]="A",WORKDAY(Main[[#This Row],[Tech Start Date]],2),""))))</f>
        <v/>
      </c>
      <c r="N542" s="75" t="str">
        <f>IF(Main[[#This Row],[Tech Start Date]]&lt;1/1/1990,"",IF(Main[[#This Row],[Class]]="C",WORKDAY(Main[[#This Row],[Tech Start Date]],19),IF(Main[[#This Row],[Class]]="B", WORKDAY(Main[[#This Row],[Tech Start Date]],12),IF(Main[[#This Row],[Class]]="A",WORKDAY(Main[[#This Row],[Tech Start Date]],4),""))))</f>
        <v/>
      </c>
      <c r="O542" s="75" t="str">
        <f>IF(Main[[#This Row],[Tech Start Date]]&lt;1/1/1990,"",IF(Main[[#This Row],[Class]]="C",WORKDAY(Main[[#This Row],[Tech Start Date]],23),IF(Main[[#This Row],[Class]]="B", WORKDAY(Main[[#This Row],[Tech Start Date]],15),IF(Main[[#This Row],[Class]]="A",WORKDAY(Main[[#This Row],[Tech Start Date]],5),""))))</f>
        <v/>
      </c>
      <c r="P542" s="75" t="str">
        <f>IF(Main[[#This Row],[Tech Start Date]]&lt;1/1/1990,"",IF(Main[[#This Row],[Class]]="C",WORKDAY(Main[[#This Row],[Tech Start Date]],28),IF(Main[[#This Row],[Class]]="B", WORKDAY(Main[[#This Row],[Tech Start Date]],19),IF(Main[[#This Row],[Class]]="A",WORKDAY(Main[[#This Row],[Tech Start Date]],9),""))))</f>
        <v/>
      </c>
      <c r="Q542" s="89">
        <v>40337</v>
      </c>
      <c r="R542" s="121"/>
      <c r="S542" s="99" t="s">
        <v>6</v>
      </c>
      <c r="T542" s="76" t="s">
        <v>4</v>
      </c>
      <c r="U542" s="99" t="s">
        <v>7</v>
      </c>
      <c r="V542" s="99" t="s">
        <v>1913</v>
      </c>
      <c r="W542" s="99" t="s">
        <v>1917</v>
      </c>
      <c r="X542" s="99" t="s">
        <v>2815</v>
      </c>
      <c r="Y542" s="73" t="s">
        <v>2930</v>
      </c>
      <c r="Z542" s="73" t="s">
        <v>4</v>
      </c>
      <c r="AA542" s="99" t="s">
        <v>2815</v>
      </c>
    </row>
    <row r="543" spans="1:27" ht="17.25" customHeight="1">
      <c r="A543" s="65" t="str">
        <f>IF(priority(Main[[#This Row],[Comments]])&lt;&gt;0, priority(Main[[#This Row],[Comments]]),"")</f>
        <v/>
      </c>
      <c r="B543" s="60" t="s">
        <v>1315</v>
      </c>
      <c r="C543" s="105" t="s">
        <v>93</v>
      </c>
      <c r="D543" s="74" t="s">
        <v>397</v>
      </c>
      <c r="E543" s="89"/>
      <c r="F543" s="89">
        <v>40132</v>
      </c>
      <c r="G543" s="65" t="str">
        <f>IF(stdProdLT(Main[[#This Row],[Comments]])=0.1,"N/A",IF(stdProdLT(Main[[#This Row],[Comments]])=0,"",TRIM(stdProdLT(Main[[#This Row],[Comments]]))))</f>
        <v/>
      </c>
      <c r="H543" s="98" t="str">
        <f>IF(Main[[#This Row],[Std. Prod. Lead Time]]="N/A", "",IF(AND(Main[[#This Row],[In Stock Date]]&lt;&gt;"",Main[[#This Row],[Revised Due Date]]&lt;&gt;"",Main[[#This Row],[In Stock Date]]&lt;&gt;""),Main[[#This Row],[In Stock Date]]-Main[[#This Row],[Revised Due Date]],""))</f>
        <v/>
      </c>
      <c r="I543" s="110" t="s">
        <v>4</v>
      </c>
      <c r="J543" s="99" t="s">
        <v>4</v>
      </c>
      <c r="K543" s="99" t="s">
        <v>4</v>
      </c>
      <c r="L543" s="89"/>
      <c r="M543" s="75" t="str">
        <f>IF(Main[[#This Row],[Tech Start Date]]&lt;1/1/1990,"",IF(Main[[#This Row],[Class]]="C",WORKDAY(Main[[#This Row],[Tech Start Date]],9),IF(Main[[#This Row],[Class]]="B", WORKDAY(Main[[#This Row],[Tech Start Date]],6),IF(Main[[#This Row],[Class]]="A",WORKDAY(Main[[#This Row],[Tech Start Date]],2),""))))</f>
        <v/>
      </c>
      <c r="N543" s="75" t="str">
        <f>IF(Main[[#This Row],[Tech Start Date]]&lt;1/1/1990,"",IF(Main[[#This Row],[Class]]="C",WORKDAY(Main[[#This Row],[Tech Start Date]],19),IF(Main[[#This Row],[Class]]="B", WORKDAY(Main[[#This Row],[Tech Start Date]],12),IF(Main[[#This Row],[Class]]="A",WORKDAY(Main[[#This Row],[Tech Start Date]],4),""))))</f>
        <v/>
      </c>
      <c r="O543" s="75" t="str">
        <f>IF(Main[[#This Row],[Tech Start Date]]&lt;1/1/1990,"",IF(Main[[#This Row],[Class]]="C",WORKDAY(Main[[#This Row],[Tech Start Date]],23),IF(Main[[#This Row],[Class]]="B", WORKDAY(Main[[#This Row],[Tech Start Date]],15),IF(Main[[#This Row],[Class]]="A",WORKDAY(Main[[#This Row],[Tech Start Date]],5),""))))</f>
        <v/>
      </c>
      <c r="P543" s="75" t="str">
        <f>IF(Main[[#This Row],[Tech Start Date]]&lt;1/1/1990,"",IF(Main[[#This Row],[Class]]="C",WORKDAY(Main[[#This Row],[Tech Start Date]],28),IF(Main[[#This Row],[Class]]="B", WORKDAY(Main[[#This Row],[Tech Start Date]],19),IF(Main[[#This Row],[Class]]="A",WORKDAY(Main[[#This Row],[Tech Start Date]],9),""))))</f>
        <v/>
      </c>
      <c r="Q543" s="89">
        <v>40132</v>
      </c>
      <c r="R543" s="121"/>
      <c r="S543" s="99" t="s">
        <v>11</v>
      </c>
      <c r="T543" s="76" t="s">
        <v>4</v>
      </c>
      <c r="U543" s="99" t="s">
        <v>14</v>
      </c>
      <c r="V543" s="99" t="s">
        <v>1923</v>
      </c>
      <c r="W543" s="99" t="s">
        <v>1924</v>
      </c>
      <c r="X543" s="99" t="s">
        <v>2850</v>
      </c>
      <c r="Y543" s="73" t="s">
        <v>4</v>
      </c>
      <c r="Z543" s="73" t="s">
        <v>4</v>
      </c>
      <c r="AA543" s="99" t="s">
        <v>2850</v>
      </c>
    </row>
    <row r="544" spans="1:27" ht="17.25" customHeight="1">
      <c r="A544" s="65" t="str">
        <f>IF(priority(Main[[#This Row],[Comments]])&lt;&gt;0, priority(Main[[#This Row],[Comments]]),"")</f>
        <v/>
      </c>
      <c r="B544" s="60" t="s">
        <v>1316</v>
      </c>
      <c r="C544" s="105" t="s">
        <v>4</v>
      </c>
      <c r="D544" s="74" t="s">
        <v>398</v>
      </c>
      <c r="E544" s="89"/>
      <c r="F544" s="89">
        <v>40385</v>
      </c>
      <c r="G544" s="65" t="str">
        <f>IF(stdProdLT(Main[[#This Row],[Comments]])=0.1,"N/A",IF(stdProdLT(Main[[#This Row],[Comments]])=0,"",TRIM(stdProdLT(Main[[#This Row],[Comments]]))))</f>
        <v/>
      </c>
      <c r="H544" s="98" t="str">
        <f>IF(Main[[#This Row],[Std. Prod. Lead Time]]="N/A", "",IF(AND(Main[[#This Row],[In Stock Date]]&lt;&gt;"",Main[[#This Row],[Revised Due Date]]&lt;&gt;"",Main[[#This Row],[In Stock Date]]&lt;&gt;""),Main[[#This Row],[In Stock Date]]-Main[[#This Row],[Revised Due Date]],""))</f>
        <v/>
      </c>
      <c r="I544" s="110" t="s">
        <v>399</v>
      </c>
      <c r="J544" s="99" t="s">
        <v>4</v>
      </c>
      <c r="K544" s="99" t="s">
        <v>4</v>
      </c>
      <c r="L544" s="89"/>
      <c r="M544" s="75" t="str">
        <f>IF(Main[[#This Row],[Tech Start Date]]&lt;1/1/1990,"",IF(Main[[#This Row],[Class]]="C",WORKDAY(Main[[#This Row],[Tech Start Date]],9),IF(Main[[#This Row],[Class]]="B", WORKDAY(Main[[#This Row],[Tech Start Date]],6),IF(Main[[#This Row],[Class]]="A",WORKDAY(Main[[#This Row],[Tech Start Date]],2),""))))</f>
        <v/>
      </c>
      <c r="N544" s="75" t="str">
        <f>IF(Main[[#This Row],[Tech Start Date]]&lt;1/1/1990,"",IF(Main[[#This Row],[Class]]="C",WORKDAY(Main[[#This Row],[Tech Start Date]],19),IF(Main[[#This Row],[Class]]="B", WORKDAY(Main[[#This Row],[Tech Start Date]],12),IF(Main[[#This Row],[Class]]="A",WORKDAY(Main[[#This Row],[Tech Start Date]],4),""))))</f>
        <v/>
      </c>
      <c r="O544" s="75" t="str">
        <f>IF(Main[[#This Row],[Tech Start Date]]&lt;1/1/1990,"",IF(Main[[#This Row],[Class]]="C",WORKDAY(Main[[#This Row],[Tech Start Date]],23),IF(Main[[#This Row],[Class]]="B", WORKDAY(Main[[#This Row],[Tech Start Date]],15),IF(Main[[#This Row],[Class]]="A",WORKDAY(Main[[#This Row],[Tech Start Date]],5),""))))</f>
        <v/>
      </c>
      <c r="P544" s="75" t="str">
        <f>IF(Main[[#This Row],[Tech Start Date]]&lt;1/1/1990,"",IF(Main[[#This Row],[Class]]="C",WORKDAY(Main[[#This Row],[Tech Start Date]],28),IF(Main[[#This Row],[Class]]="B", WORKDAY(Main[[#This Row],[Tech Start Date]],19),IF(Main[[#This Row],[Class]]="A",WORKDAY(Main[[#This Row],[Tech Start Date]],9),""))))</f>
        <v/>
      </c>
      <c r="Q544" s="89">
        <v>40359</v>
      </c>
      <c r="R544" s="121"/>
      <c r="S544" s="99" t="s">
        <v>11</v>
      </c>
      <c r="T544" s="76" t="s">
        <v>4</v>
      </c>
      <c r="U544" s="99" t="s">
        <v>14</v>
      </c>
      <c r="V544" s="99" t="s">
        <v>1916</v>
      </c>
      <c r="W544" s="99" t="s">
        <v>1919</v>
      </c>
      <c r="X544" s="99" t="s">
        <v>2875</v>
      </c>
      <c r="Y544" s="73" t="s">
        <v>3024</v>
      </c>
      <c r="Z544" s="73" t="s">
        <v>306</v>
      </c>
      <c r="AA544" s="99" t="s">
        <v>2875</v>
      </c>
    </row>
    <row r="545" spans="1:27" ht="17.25" customHeight="1">
      <c r="A545" s="65" t="str">
        <f>IF(priority(Main[[#This Row],[Comments]])&lt;&gt;0, priority(Main[[#This Row],[Comments]]),"")</f>
        <v/>
      </c>
      <c r="B545" s="60" t="s">
        <v>1317</v>
      </c>
      <c r="C545" s="105" t="s">
        <v>31</v>
      </c>
      <c r="D545" s="74" t="s">
        <v>400</v>
      </c>
      <c r="E545" s="89"/>
      <c r="F545" s="89">
        <v>40203</v>
      </c>
      <c r="G545" s="65" t="str">
        <f>IF(stdProdLT(Main[[#This Row],[Comments]])=0.1,"N/A",IF(stdProdLT(Main[[#This Row],[Comments]])=0,"",TRIM(stdProdLT(Main[[#This Row],[Comments]]))))</f>
        <v/>
      </c>
      <c r="H545" s="98" t="str">
        <f>IF(Main[[#This Row],[Std. Prod. Lead Time]]="N/A", "",IF(AND(Main[[#This Row],[In Stock Date]]&lt;&gt;"",Main[[#This Row],[Revised Due Date]]&lt;&gt;"",Main[[#This Row],[In Stock Date]]&lt;&gt;""),Main[[#This Row],[In Stock Date]]-Main[[#This Row],[Revised Due Date]],""))</f>
        <v/>
      </c>
      <c r="I545" s="110" t="s">
        <v>4</v>
      </c>
      <c r="J545" s="99" t="s">
        <v>4</v>
      </c>
      <c r="K545" s="99" t="s">
        <v>4</v>
      </c>
      <c r="L545" s="89"/>
      <c r="M545" s="75" t="str">
        <f>IF(Main[[#This Row],[Tech Start Date]]&lt;1/1/1990,"",IF(Main[[#This Row],[Class]]="C",WORKDAY(Main[[#This Row],[Tech Start Date]],9),IF(Main[[#This Row],[Class]]="B", WORKDAY(Main[[#This Row],[Tech Start Date]],6),IF(Main[[#This Row],[Class]]="A",WORKDAY(Main[[#This Row],[Tech Start Date]],2),""))))</f>
        <v/>
      </c>
      <c r="N545" s="75" t="str">
        <f>IF(Main[[#This Row],[Tech Start Date]]&lt;1/1/1990,"",IF(Main[[#This Row],[Class]]="C",WORKDAY(Main[[#This Row],[Tech Start Date]],19),IF(Main[[#This Row],[Class]]="B", WORKDAY(Main[[#This Row],[Tech Start Date]],12),IF(Main[[#This Row],[Class]]="A",WORKDAY(Main[[#This Row],[Tech Start Date]],4),""))))</f>
        <v/>
      </c>
      <c r="O545" s="75" t="str">
        <f>IF(Main[[#This Row],[Tech Start Date]]&lt;1/1/1990,"",IF(Main[[#This Row],[Class]]="C",WORKDAY(Main[[#This Row],[Tech Start Date]],23),IF(Main[[#This Row],[Class]]="B", WORKDAY(Main[[#This Row],[Tech Start Date]],15),IF(Main[[#This Row],[Class]]="A",WORKDAY(Main[[#This Row],[Tech Start Date]],5),""))))</f>
        <v/>
      </c>
      <c r="P545" s="75" t="str">
        <f>IF(Main[[#This Row],[Tech Start Date]]&lt;1/1/1990,"",IF(Main[[#This Row],[Class]]="C",WORKDAY(Main[[#This Row],[Tech Start Date]],28),IF(Main[[#This Row],[Class]]="B", WORKDAY(Main[[#This Row],[Tech Start Date]],19),IF(Main[[#This Row],[Class]]="A",WORKDAY(Main[[#This Row],[Tech Start Date]],9),""))))</f>
        <v/>
      </c>
      <c r="Q545" s="89">
        <v>40063</v>
      </c>
      <c r="R545" s="121"/>
      <c r="S545" s="99" t="s">
        <v>11</v>
      </c>
      <c r="T545" s="76" t="s">
        <v>4</v>
      </c>
      <c r="U545" s="99" t="s">
        <v>14</v>
      </c>
      <c r="V545" s="99" t="s">
        <v>1923</v>
      </c>
      <c r="W545" s="99" t="s">
        <v>1919</v>
      </c>
      <c r="X545" s="99" t="s">
        <v>2865</v>
      </c>
      <c r="Y545" s="73" t="s">
        <v>4</v>
      </c>
      <c r="Z545" s="73" t="s">
        <v>4</v>
      </c>
      <c r="AA545" s="99" t="s">
        <v>2865</v>
      </c>
    </row>
    <row r="546" spans="1:27" ht="17.25" customHeight="1">
      <c r="A546" s="65" t="str">
        <f>IF(priority(Main[[#This Row],[Comments]])&lt;&gt;0, priority(Main[[#This Row],[Comments]]),"")</f>
        <v/>
      </c>
      <c r="B546" s="60" t="s">
        <v>1653</v>
      </c>
      <c r="C546" s="105" t="s">
        <v>4</v>
      </c>
      <c r="D546" s="74" t="s">
        <v>720</v>
      </c>
      <c r="E546" s="89"/>
      <c r="F546" s="89"/>
      <c r="G546" s="65" t="str">
        <f>IF(stdProdLT(Main[[#This Row],[Comments]])=0.1,"N/A",IF(stdProdLT(Main[[#This Row],[Comments]])=0,"",TRIM(stdProdLT(Main[[#This Row],[Comments]]))))</f>
        <v/>
      </c>
      <c r="H546" s="98" t="str">
        <f>IF(Main[[#This Row],[Std. Prod. Lead Time]]="N/A", "",IF(AND(Main[[#This Row],[In Stock Date]]&lt;&gt;"",Main[[#This Row],[Revised Due Date]]&lt;&gt;"",Main[[#This Row],[In Stock Date]]&lt;&gt;""),Main[[#This Row],[In Stock Date]]-Main[[#This Row],[Revised Due Date]],""))</f>
        <v/>
      </c>
      <c r="I546" s="110" t="s">
        <v>4</v>
      </c>
      <c r="J546" s="99" t="s">
        <v>4</v>
      </c>
      <c r="K546" s="100" t="s">
        <v>4</v>
      </c>
      <c r="L546" s="89"/>
      <c r="M546" s="75" t="str">
        <f>IF(Main[[#This Row],[Tech Start Date]]&lt;1/1/1990,"",IF(Main[[#This Row],[Class]]="C",WORKDAY(Main[[#This Row],[Tech Start Date]],9),IF(Main[[#This Row],[Class]]="B", WORKDAY(Main[[#This Row],[Tech Start Date]],6),IF(Main[[#This Row],[Class]]="A",WORKDAY(Main[[#This Row],[Tech Start Date]],2),""))))</f>
        <v/>
      </c>
      <c r="N546" s="75" t="str">
        <f>IF(Main[[#This Row],[Tech Start Date]]&lt;1/1/1990,"",IF(Main[[#This Row],[Class]]="C",WORKDAY(Main[[#This Row],[Tech Start Date]],19),IF(Main[[#This Row],[Class]]="B", WORKDAY(Main[[#This Row],[Tech Start Date]],12),IF(Main[[#This Row],[Class]]="A",WORKDAY(Main[[#This Row],[Tech Start Date]],4),""))))</f>
        <v/>
      </c>
      <c r="O546" s="75" t="str">
        <f>IF(Main[[#This Row],[Tech Start Date]]&lt;1/1/1990,"",IF(Main[[#This Row],[Class]]="C",WORKDAY(Main[[#This Row],[Tech Start Date]],23),IF(Main[[#This Row],[Class]]="B", WORKDAY(Main[[#This Row],[Tech Start Date]],15),IF(Main[[#This Row],[Class]]="A",WORKDAY(Main[[#This Row],[Tech Start Date]],5),""))))</f>
        <v/>
      </c>
      <c r="P546" s="75" t="str">
        <f>IF(Main[[#This Row],[Tech Start Date]]&lt;1/1/1990,"",IF(Main[[#This Row],[Class]]="C",WORKDAY(Main[[#This Row],[Tech Start Date]],28),IF(Main[[#This Row],[Class]]="B", WORKDAY(Main[[#This Row],[Tech Start Date]],19),IF(Main[[#This Row],[Class]]="A",WORKDAY(Main[[#This Row],[Tech Start Date]],9),""))))</f>
        <v/>
      </c>
      <c r="Q546" s="89">
        <v>40676</v>
      </c>
      <c r="R546" s="121"/>
      <c r="S546" s="99" t="s">
        <v>6</v>
      </c>
      <c r="T546" s="76" t="s">
        <v>4</v>
      </c>
      <c r="U546" s="99" t="s">
        <v>14</v>
      </c>
      <c r="V546" s="99" t="s">
        <v>1913</v>
      </c>
      <c r="W546" s="99" t="s">
        <v>1917</v>
      </c>
      <c r="X546" s="99" t="s">
        <v>2815</v>
      </c>
      <c r="Y546" s="73" t="s">
        <v>2930</v>
      </c>
      <c r="Z546" s="73" t="s">
        <v>4</v>
      </c>
      <c r="AA546" s="99" t="s">
        <v>2815</v>
      </c>
    </row>
    <row r="547" spans="1:27" ht="17.25" customHeight="1">
      <c r="A547" s="65" t="str">
        <f>IF(priority(Main[[#This Row],[Comments]])&lt;&gt;0, priority(Main[[#This Row],[Comments]]),"")</f>
        <v/>
      </c>
      <c r="B547" s="60" t="s">
        <v>1318</v>
      </c>
      <c r="C547" s="105" t="s">
        <v>47</v>
      </c>
      <c r="D547" s="74" t="s">
        <v>146</v>
      </c>
      <c r="E547" s="89"/>
      <c r="F547" s="89"/>
      <c r="G547" s="65" t="str">
        <f>IF(stdProdLT(Main[[#This Row],[Comments]])=0.1,"N/A",IF(stdProdLT(Main[[#This Row],[Comments]])=0,"",TRIM(stdProdLT(Main[[#This Row],[Comments]]))))</f>
        <v/>
      </c>
      <c r="H547" s="98" t="str">
        <f>IF(Main[[#This Row],[Std. Prod. Lead Time]]="N/A", "",IF(AND(Main[[#This Row],[In Stock Date]]&lt;&gt;"",Main[[#This Row],[Revised Due Date]]&lt;&gt;"",Main[[#This Row],[In Stock Date]]&lt;&gt;""),Main[[#This Row],[In Stock Date]]-Main[[#This Row],[Revised Due Date]],""))</f>
        <v/>
      </c>
      <c r="I547" s="110" t="s">
        <v>4</v>
      </c>
      <c r="J547" s="99" t="s">
        <v>4</v>
      </c>
      <c r="K547" s="99" t="s">
        <v>4</v>
      </c>
      <c r="L547" s="89"/>
      <c r="M547" s="75" t="str">
        <f>IF(Main[[#This Row],[Tech Start Date]]&lt;1/1/1990,"",IF(Main[[#This Row],[Class]]="C",WORKDAY(Main[[#This Row],[Tech Start Date]],9),IF(Main[[#This Row],[Class]]="B", WORKDAY(Main[[#This Row],[Tech Start Date]],6),IF(Main[[#This Row],[Class]]="A",WORKDAY(Main[[#This Row],[Tech Start Date]],2),""))))</f>
        <v/>
      </c>
      <c r="N547" s="75" t="str">
        <f>IF(Main[[#This Row],[Tech Start Date]]&lt;1/1/1990,"",IF(Main[[#This Row],[Class]]="C",WORKDAY(Main[[#This Row],[Tech Start Date]],19),IF(Main[[#This Row],[Class]]="B", WORKDAY(Main[[#This Row],[Tech Start Date]],12),IF(Main[[#This Row],[Class]]="A",WORKDAY(Main[[#This Row],[Tech Start Date]],4),""))))</f>
        <v/>
      </c>
      <c r="O547" s="75" t="str">
        <f>IF(Main[[#This Row],[Tech Start Date]]&lt;1/1/1990,"",IF(Main[[#This Row],[Class]]="C",WORKDAY(Main[[#This Row],[Tech Start Date]],23),IF(Main[[#This Row],[Class]]="B", WORKDAY(Main[[#This Row],[Tech Start Date]],15),IF(Main[[#This Row],[Class]]="A",WORKDAY(Main[[#This Row],[Tech Start Date]],5),""))))</f>
        <v/>
      </c>
      <c r="P547" s="75" t="str">
        <f>IF(Main[[#This Row],[Tech Start Date]]&lt;1/1/1990,"",IF(Main[[#This Row],[Class]]="C",WORKDAY(Main[[#This Row],[Tech Start Date]],28),IF(Main[[#This Row],[Class]]="B", WORKDAY(Main[[#This Row],[Tech Start Date]],19),IF(Main[[#This Row],[Class]]="A",WORKDAY(Main[[#This Row],[Tech Start Date]],9),""))))</f>
        <v/>
      </c>
      <c r="Q547" s="89"/>
      <c r="R547" s="121"/>
      <c r="S547" s="99" t="s">
        <v>4</v>
      </c>
      <c r="T547" s="76" t="s">
        <v>4</v>
      </c>
      <c r="U547" s="99" t="s">
        <v>14</v>
      </c>
      <c r="V547" s="99" t="s">
        <v>1914</v>
      </c>
      <c r="W547" s="99" t="s">
        <v>4</v>
      </c>
      <c r="X547" s="99" t="s">
        <v>306</v>
      </c>
      <c r="Y547" s="73" t="s">
        <v>2935</v>
      </c>
      <c r="Z547" s="73" t="s">
        <v>4</v>
      </c>
      <c r="AA547" s="99" t="s">
        <v>3369</v>
      </c>
    </row>
    <row r="548" spans="1:27" ht="17.25" customHeight="1">
      <c r="A548" s="65" t="str">
        <f>IF(priority(Main[[#This Row],[Comments]])&lt;&gt;0, priority(Main[[#This Row],[Comments]]),"")</f>
        <v/>
      </c>
      <c r="B548" s="60" t="s">
        <v>1319</v>
      </c>
      <c r="C548" s="105" t="s">
        <v>401</v>
      </c>
      <c r="D548" s="74" t="s">
        <v>402</v>
      </c>
      <c r="E548" s="89"/>
      <c r="F548" s="89">
        <v>40447</v>
      </c>
      <c r="G548" s="65" t="str">
        <f>IF(stdProdLT(Main[[#This Row],[Comments]])=0.1,"N/A",IF(stdProdLT(Main[[#This Row],[Comments]])=0,"",TRIM(stdProdLT(Main[[#This Row],[Comments]]))))</f>
        <v/>
      </c>
      <c r="H548" s="98" t="str">
        <f>IF(Main[[#This Row],[Std. Prod. Lead Time]]="N/A", "",IF(AND(Main[[#This Row],[In Stock Date]]&lt;&gt;"",Main[[#This Row],[Revised Due Date]]&lt;&gt;"",Main[[#This Row],[In Stock Date]]&lt;&gt;""),Main[[#This Row],[In Stock Date]]-Main[[#This Row],[Revised Due Date]],""))</f>
        <v/>
      </c>
      <c r="I548" s="110" t="s">
        <v>4</v>
      </c>
      <c r="J548" s="99" t="s">
        <v>4</v>
      </c>
      <c r="K548" s="99" t="s">
        <v>4</v>
      </c>
      <c r="L548" s="89"/>
      <c r="M548" s="75" t="str">
        <f>IF(Main[[#This Row],[Tech Start Date]]&lt;1/1/1990,"",IF(Main[[#This Row],[Class]]="C",WORKDAY(Main[[#This Row],[Tech Start Date]],9),IF(Main[[#This Row],[Class]]="B", WORKDAY(Main[[#This Row],[Tech Start Date]],6),IF(Main[[#This Row],[Class]]="A",WORKDAY(Main[[#This Row],[Tech Start Date]],2),""))))</f>
        <v/>
      </c>
      <c r="N548" s="75" t="str">
        <f>IF(Main[[#This Row],[Tech Start Date]]&lt;1/1/1990,"",IF(Main[[#This Row],[Class]]="C",WORKDAY(Main[[#This Row],[Tech Start Date]],19),IF(Main[[#This Row],[Class]]="B", WORKDAY(Main[[#This Row],[Tech Start Date]],12),IF(Main[[#This Row],[Class]]="A",WORKDAY(Main[[#This Row],[Tech Start Date]],4),""))))</f>
        <v/>
      </c>
      <c r="O548" s="75" t="str">
        <f>IF(Main[[#This Row],[Tech Start Date]]&lt;1/1/1990,"",IF(Main[[#This Row],[Class]]="C",WORKDAY(Main[[#This Row],[Tech Start Date]],23),IF(Main[[#This Row],[Class]]="B", WORKDAY(Main[[#This Row],[Tech Start Date]],15),IF(Main[[#This Row],[Class]]="A",WORKDAY(Main[[#This Row],[Tech Start Date]],5),""))))</f>
        <v/>
      </c>
      <c r="P548" s="75" t="str">
        <f>IF(Main[[#This Row],[Tech Start Date]]&lt;1/1/1990,"",IF(Main[[#This Row],[Class]]="C",WORKDAY(Main[[#This Row],[Tech Start Date]],28),IF(Main[[#This Row],[Class]]="B", WORKDAY(Main[[#This Row],[Tech Start Date]],19),IF(Main[[#This Row],[Class]]="A",WORKDAY(Main[[#This Row],[Tech Start Date]],9),""))))</f>
        <v/>
      </c>
      <c r="Q548" s="89">
        <v>40349</v>
      </c>
      <c r="R548" s="121"/>
      <c r="S548" s="99" t="s">
        <v>11</v>
      </c>
      <c r="T548" s="76" t="s">
        <v>4</v>
      </c>
      <c r="U548" s="99" t="s">
        <v>14</v>
      </c>
      <c r="V548" s="99" t="s">
        <v>1923</v>
      </c>
      <c r="W548" s="99" t="s">
        <v>1918</v>
      </c>
      <c r="X548" s="99" t="s">
        <v>2844</v>
      </c>
      <c r="Y548" s="73" t="s">
        <v>4</v>
      </c>
      <c r="Z548" s="73" t="s">
        <v>4</v>
      </c>
      <c r="AA548" s="99" t="s">
        <v>2844</v>
      </c>
    </row>
    <row r="549" spans="1:27" ht="17.25" customHeight="1">
      <c r="A549" s="65" t="str">
        <f>IF(priority(Main[[#This Row],[Comments]])&lt;&gt;0, priority(Main[[#This Row],[Comments]]),"")</f>
        <v/>
      </c>
      <c r="B549" s="60" t="s">
        <v>2082</v>
      </c>
      <c r="C549" s="105" t="s">
        <v>47</v>
      </c>
      <c r="D549" s="74" t="s">
        <v>876</v>
      </c>
      <c r="E549" s="89"/>
      <c r="F549" s="89"/>
      <c r="G549" s="65" t="str">
        <f>IF(stdProdLT(Main[[#This Row],[Comments]])=0.1,"N/A",IF(stdProdLT(Main[[#This Row],[Comments]])=0,"",TRIM(stdProdLT(Main[[#This Row],[Comments]]))))</f>
        <v/>
      </c>
      <c r="H549" s="98" t="str">
        <f>IF(Main[[#This Row],[Std. Prod. Lead Time]]="N/A", "",IF(AND(Main[[#This Row],[In Stock Date]]&lt;&gt;"",Main[[#This Row],[Revised Due Date]]&lt;&gt;"",Main[[#This Row],[In Stock Date]]&lt;&gt;""),Main[[#This Row],[In Stock Date]]-Main[[#This Row],[Revised Due Date]],""))</f>
        <v/>
      </c>
      <c r="I549" s="110" t="s">
        <v>4</v>
      </c>
      <c r="J549" s="99" t="s">
        <v>4</v>
      </c>
      <c r="K549" s="99" t="s">
        <v>4</v>
      </c>
      <c r="L549" s="89"/>
      <c r="M549" s="75" t="str">
        <f>IF(Main[[#This Row],[Tech Start Date]]&lt;1/1/1990,"",IF(Main[[#This Row],[Class]]="C",WORKDAY(Main[[#This Row],[Tech Start Date]],9),IF(Main[[#This Row],[Class]]="B", WORKDAY(Main[[#This Row],[Tech Start Date]],6),IF(Main[[#This Row],[Class]]="A",WORKDAY(Main[[#This Row],[Tech Start Date]],2),""))))</f>
        <v/>
      </c>
      <c r="N549" s="75" t="str">
        <f>IF(Main[[#This Row],[Tech Start Date]]&lt;1/1/1990,"",IF(Main[[#This Row],[Class]]="C",WORKDAY(Main[[#This Row],[Tech Start Date]],19),IF(Main[[#This Row],[Class]]="B", WORKDAY(Main[[#This Row],[Tech Start Date]],12),IF(Main[[#This Row],[Class]]="A",WORKDAY(Main[[#This Row],[Tech Start Date]],4),""))))</f>
        <v/>
      </c>
      <c r="O549" s="75" t="str">
        <f>IF(Main[[#This Row],[Tech Start Date]]&lt;1/1/1990,"",IF(Main[[#This Row],[Class]]="C",WORKDAY(Main[[#This Row],[Tech Start Date]],23),IF(Main[[#This Row],[Class]]="B", WORKDAY(Main[[#This Row],[Tech Start Date]],15),IF(Main[[#This Row],[Class]]="A",WORKDAY(Main[[#This Row],[Tech Start Date]],5),""))))</f>
        <v/>
      </c>
      <c r="P549" s="75" t="str">
        <f>IF(Main[[#This Row],[Tech Start Date]]&lt;1/1/1990,"",IF(Main[[#This Row],[Class]]="C",WORKDAY(Main[[#This Row],[Tech Start Date]],28),IF(Main[[#This Row],[Class]]="B", WORKDAY(Main[[#This Row],[Tech Start Date]],19),IF(Main[[#This Row],[Class]]="A",WORKDAY(Main[[#This Row],[Tech Start Date]],9),""))))</f>
        <v/>
      </c>
      <c r="Q549" s="89">
        <v>40267</v>
      </c>
      <c r="R549" s="121"/>
      <c r="S549" s="99" t="s">
        <v>17</v>
      </c>
      <c r="T549" s="76" t="s">
        <v>4</v>
      </c>
      <c r="U549" s="99" t="s">
        <v>14</v>
      </c>
      <c r="V549" s="99" t="s">
        <v>1913</v>
      </c>
      <c r="W549" s="99" t="s">
        <v>1917</v>
      </c>
      <c r="X549" s="99" t="s">
        <v>2876</v>
      </c>
      <c r="Y549" s="73" t="s">
        <v>2935</v>
      </c>
      <c r="Z549" s="73" t="s">
        <v>4</v>
      </c>
      <c r="AA549" s="99" t="s">
        <v>3369</v>
      </c>
    </row>
    <row r="550" spans="1:27" ht="17.25" customHeight="1">
      <c r="A550" s="65" t="str">
        <f>IF(priority(Main[[#This Row],[Comments]])&lt;&gt;0, priority(Main[[#This Row],[Comments]]),"")</f>
        <v/>
      </c>
      <c r="B550" s="60" t="s">
        <v>1320</v>
      </c>
      <c r="C550" s="105" t="s">
        <v>113</v>
      </c>
      <c r="D550" s="74" t="s">
        <v>403</v>
      </c>
      <c r="E550" s="89"/>
      <c r="F550" s="89"/>
      <c r="G550" s="65" t="str">
        <f>IF(stdProdLT(Main[[#This Row],[Comments]])=0.1,"N/A",IF(stdProdLT(Main[[#This Row],[Comments]])=0,"",TRIM(stdProdLT(Main[[#This Row],[Comments]]))))</f>
        <v/>
      </c>
      <c r="H550" s="98" t="str">
        <f>IF(Main[[#This Row],[Std. Prod. Lead Time]]="N/A", "",IF(AND(Main[[#This Row],[In Stock Date]]&lt;&gt;"",Main[[#This Row],[Revised Due Date]]&lt;&gt;"",Main[[#This Row],[In Stock Date]]&lt;&gt;""),Main[[#This Row],[In Stock Date]]-Main[[#This Row],[Revised Due Date]],""))</f>
        <v/>
      </c>
      <c r="I550" s="110" t="s">
        <v>4</v>
      </c>
      <c r="J550" s="99" t="s">
        <v>4</v>
      </c>
      <c r="K550" s="99" t="s">
        <v>4</v>
      </c>
      <c r="L550" s="89"/>
      <c r="M550" s="75" t="str">
        <f>IF(Main[[#This Row],[Tech Start Date]]&lt;1/1/1990,"",IF(Main[[#This Row],[Class]]="C",WORKDAY(Main[[#This Row],[Tech Start Date]],9),IF(Main[[#This Row],[Class]]="B", WORKDAY(Main[[#This Row],[Tech Start Date]],6),IF(Main[[#This Row],[Class]]="A",WORKDAY(Main[[#This Row],[Tech Start Date]],2),""))))</f>
        <v/>
      </c>
      <c r="N550" s="75" t="str">
        <f>IF(Main[[#This Row],[Tech Start Date]]&lt;1/1/1990,"",IF(Main[[#This Row],[Class]]="C",WORKDAY(Main[[#This Row],[Tech Start Date]],19),IF(Main[[#This Row],[Class]]="B", WORKDAY(Main[[#This Row],[Tech Start Date]],12),IF(Main[[#This Row],[Class]]="A",WORKDAY(Main[[#This Row],[Tech Start Date]],4),""))))</f>
        <v/>
      </c>
      <c r="O550" s="75" t="str">
        <f>IF(Main[[#This Row],[Tech Start Date]]&lt;1/1/1990,"",IF(Main[[#This Row],[Class]]="C",WORKDAY(Main[[#This Row],[Tech Start Date]],23),IF(Main[[#This Row],[Class]]="B", WORKDAY(Main[[#This Row],[Tech Start Date]],15),IF(Main[[#This Row],[Class]]="A",WORKDAY(Main[[#This Row],[Tech Start Date]],5),""))))</f>
        <v/>
      </c>
      <c r="P550" s="75" t="str">
        <f>IF(Main[[#This Row],[Tech Start Date]]&lt;1/1/1990,"",IF(Main[[#This Row],[Class]]="C",WORKDAY(Main[[#This Row],[Tech Start Date]],28),IF(Main[[#This Row],[Class]]="B", WORKDAY(Main[[#This Row],[Tech Start Date]],19),IF(Main[[#This Row],[Class]]="A",WORKDAY(Main[[#This Row],[Tech Start Date]],9),""))))</f>
        <v/>
      </c>
      <c r="Q550" s="89"/>
      <c r="R550" s="121"/>
      <c r="S550" s="99" t="s">
        <v>11</v>
      </c>
      <c r="T550" s="76" t="s">
        <v>4</v>
      </c>
      <c r="U550" s="99" t="s">
        <v>14</v>
      </c>
      <c r="V550" s="99" t="s">
        <v>1916</v>
      </c>
      <c r="W550" s="99" t="s">
        <v>1921</v>
      </c>
      <c r="X550" s="99" t="s">
        <v>2838</v>
      </c>
      <c r="Y550" s="73" t="s">
        <v>2971</v>
      </c>
      <c r="Z550" s="73" t="s">
        <v>4</v>
      </c>
      <c r="AA550" s="99" t="s">
        <v>2838</v>
      </c>
    </row>
    <row r="551" spans="1:27" ht="17.25" customHeight="1">
      <c r="A551" s="65" t="str">
        <f>IF(priority(Main[[#This Row],[Comments]])&lt;&gt;0, priority(Main[[#This Row],[Comments]]),"")</f>
        <v/>
      </c>
      <c r="B551" s="60" t="s">
        <v>1026</v>
      </c>
      <c r="C551" s="105" t="s">
        <v>4</v>
      </c>
      <c r="D551" s="74" t="s">
        <v>3591</v>
      </c>
      <c r="E551" s="89">
        <v>40294.37054398148</v>
      </c>
      <c r="F551" s="89"/>
      <c r="G551" s="65" t="str">
        <f>IF(stdProdLT(Main[[#This Row],[Comments]])=0.1,"N/A",IF(stdProdLT(Main[[#This Row],[Comments]])=0,"",TRIM(stdProdLT(Main[[#This Row],[Comments]]))))</f>
        <v/>
      </c>
      <c r="H551" s="98" t="str">
        <f>IF(Main[[#This Row],[Std. Prod. Lead Time]]="N/A", "",IF(AND(Main[[#This Row],[In Stock Date]]&lt;&gt;"",Main[[#This Row],[Revised Due Date]]&lt;&gt;"",Main[[#This Row],[In Stock Date]]&lt;&gt;""),Main[[#This Row],[In Stock Date]]-Main[[#This Row],[Revised Due Date]],""))</f>
        <v/>
      </c>
      <c r="I551" s="110" t="s">
        <v>2204</v>
      </c>
      <c r="J551" s="99" t="s">
        <v>75</v>
      </c>
      <c r="K551" s="99" t="s">
        <v>1922</v>
      </c>
      <c r="L551" s="89"/>
      <c r="M551" s="75" t="str">
        <f>IF(Main[[#This Row],[Tech Start Date]]&lt;1/1/1990,"",IF(Main[[#This Row],[Class]]="C",WORKDAY(Main[[#This Row],[Tech Start Date]],9),IF(Main[[#This Row],[Class]]="B", WORKDAY(Main[[#This Row],[Tech Start Date]],6),IF(Main[[#This Row],[Class]]="A",WORKDAY(Main[[#This Row],[Tech Start Date]],2),""))))</f>
        <v/>
      </c>
      <c r="N551" s="75" t="str">
        <f>IF(Main[[#This Row],[Tech Start Date]]&lt;1/1/1990,"",IF(Main[[#This Row],[Class]]="C",WORKDAY(Main[[#This Row],[Tech Start Date]],19),IF(Main[[#This Row],[Class]]="B", WORKDAY(Main[[#This Row],[Tech Start Date]],12),IF(Main[[#This Row],[Class]]="A",WORKDAY(Main[[#This Row],[Tech Start Date]],4),""))))</f>
        <v/>
      </c>
      <c r="O551" s="75" t="str">
        <f>IF(Main[[#This Row],[Tech Start Date]]&lt;1/1/1990,"",IF(Main[[#This Row],[Class]]="C",WORKDAY(Main[[#This Row],[Tech Start Date]],23),IF(Main[[#This Row],[Class]]="B", WORKDAY(Main[[#This Row],[Tech Start Date]],15),IF(Main[[#This Row],[Class]]="A",WORKDAY(Main[[#This Row],[Tech Start Date]],5),""))))</f>
        <v/>
      </c>
      <c r="P551" s="75" t="str">
        <f>IF(Main[[#This Row],[Tech Start Date]]&lt;1/1/1990,"",IF(Main[[#This Row],[Class]]="C",WORKDAY(Main[[#This Row],[Tech Start Date]],28),IF(Main[[#This Row],[Class]]="B", WORKDAY(Main[[#This Row],[Tech Start Date]],19),IF(Main[[#This Row],[Class]]="A",WORKDAY(Main[[#This Row],[Tech Start Date]],9),""))))</f>
        <v/>
      </c>
      <c r="Q551" s="89">
        <v>40909</v>
      </c>
      <c r="R551" s="121"/>
      <c r="S551" s="99" t="s">
        <v>6</v>
      </c>
      <c r="T551" s="76" t="s">
        <v>4</v>
      </c>
      <c r="U551" s="99" t="s">
        <v>29</v>
      </c>
      <c r="V551" s="99" t="s">
        <v>1916</v>
      </c>
      <c r="W551" s="99" t="s">
        <v>1917</v>
      </c>
      <c r="X551" s="99" t="s">
        <v>2813</v>
      </c>
      <c r="Y551" s="73" t="s">
        <v>2926</v>
      </c>
      <c r="Z551" s="73" t="s">
        <v>239</v>
      </c>
      <c r="AA551" s="99" t="s">
        <v>2813</v>
      </c>
    </row>
    <row r="552" spans="1:27" ht="17.25" customHeight="1">
      <c r="A552" s="65" t="str">
        <f>IF(priority(Main[[#This Row],[Comments]])&lt;&gt;0, priority(Main[[#This Row],[Comments]]),"")</f>
        <v/>
      </c>
      <c r="B552" s="60" t="s">
        <v>1323</v>
      </c>
      <c r="C552" s="105" t="s">
        <v>4</v>
      </c>
      <c r="D552" s="74" t="s">
        <v>405</v>
      </c>
      <c r="E552" s="89"/>
      <c r="F552" s="89"/>
      <c r="G552" s="65" t="str">
        <f>IF(stdProdLT(Main[[#This Row],[Comments]])=0.1,"N/A",IF(stdProdLT(Main[[#This Row],[Comments]])=0,"",TRIM(stdProdLT(Main[[#This Row],[Comments]]))))</f>
        <v/>
      </c>
      <c r="H552" s="98" t="str">
        <f>IF(Main[[#This Row],[Std. Prod. Lead Time]]="N/A", "",IF(AND(Main[[#This Row],[In Stock Date]]&lt;&gt;"",Main[[#This Row],[Revised Due Date]]&lt;&gt;"",Main[[#This Row],[In Stock Date]]&lt;&gt;""),Main[[#This Row],[In Stock Date]]-Main[[#This Row],[Revised Due Date]],""))</f>
        <v/>
      </c>
      <c r="I552" s="110" t="s">
        <v>4</v>
      </c>
      <c r="J552" s="99" t="s">
        <v>4</v>
      </c>
      <c r="K552" s="99" t="s">
        <v>4</v>
      </c>
      <c r="L552" s="89"/>
      <c r="M552" s="75" t="str">
        <f>IF(Main[[#This Row],[Tech Start Date]]&lt;1/1/1990,"",IF(Main[[#This Row],[Class]]="C",WORKDAY(Main[[#This Row],[Tech Start Date]],9),IF(Main[[#This Row],[Class]]="B", WORKDAY(Main[[#This Row],[Tech Start Date]],6),IF(Main[[#This Row],[Class]]="A",WORKDAY(Main[[#This Row],[Tech Start Date]],2),""))))</f>
        <v/>
      </c>
      <c r="N552" s="75" t="str">
        <f>IF(Main[[#This Row],[Tech Start Date]]&lt;1/1/1990,"",IF(Main[[#This Row],[Class]]="C",WORKDAY(Main[[#This Row],[Tech Start Date]],19),IF(Main[[#This Row],[Class]]="B", WORKDAY(Main[[#This Row],[Tech Start Date]],12),IF(Main[[#This Row],[Class]]="A",WORKDAY(Main[[#This Row],[Tech Start Date]],4),""))))</f>
        <v/>
      </c>
      <c r="O552" s="75" t="str">
        <f>IF(Main[[#This Row],[Tech Start Date]]&lt;1/1/1990,"",IF(Main[[#This Row],[Class]]="C",WORKDAY(Main[[#This Row],[Tech Start Date]],23),IF(Main[[#This Row],[Class]]="B", WORKDAY(Main[[#This Row],[Tech Start Date]],15),IF(Main[[#This Row],[Class]]="A",WORKDAY(Main[[#This Row],[Tech Start Date]],5),""))))</f>
        <v/>
      </c>
      <c r="P552" s="75" t="str">
        <f>IF(Main[[#This Row],[Tech Start Date]]&lt;1/1/1990,"",IF(Main[[#This Row],[Class]]="C",WORKDAY(Main[[#This Row],[Tech Start Date]],28),IF(Main[[#This Row],[Class]]="B", WORKDAY(Main[[#This Row],[Tech Start Date]],19),IF(Main[[#This Row],[Class]]="A",WORKDAY(Main[[#This Row],[Tech Start Date]],9),""))))</f>
        <v/>
      </c>
      <c r="Q552" s="89">
        <v>40390</v>
      </c>
      <c r="R552" s="121"/>
      <c r="S552" s="99" t="s">
        <v>6</v>
      </c>
      <c r="T552" s="76" t="s">
        <v>4</v>
      </c>
      <c r="U552" s="99" t="s">
        <v>14</v>
      </c>
      <c r="V552" s="99" t="s">
        <v>1916</v>
      </c>
      <c r="W552" s="99" t="s">
        <v>4</v>
      </c>
      <c r="X552" s="99" t="s">
        <v>2813</v>
      </c>
      <c r="Y552" s="73" t="s">
        <v>2926</v>
      </c>
      <c r="Z552" s="73" t="s">
        <v>4</v>
      </c>
      <c r="AA552" s="99" t="s">
        <v>2813</v>
      </c>
    </row>
    <row r="553" spans="1:27" ht="17.25" customHeight="1">
      <c r="A553" s="65" t="str">
        <f>IF(priority(Main[[#This Row],[Comments]])&lt;&gt;0, priority(Main[[#This Row],[Comments]]),"")</f>
        <v/>
      </c>
      <c r="B553" s="60" t="s">
        <v>1324</v>
      </c>
      <c r="C553" s="105" t="s">
        <v>169</v>
      </c>
      <c r="D553" s="74" t="s">
        <v>406</v>
      </c>
      <c r="E553" s="89"/>
      <c r="F553" s="89">
        <v>40237</v>
      </c>
      <c r="G553" s="65" t="str">
        <f>IF(stdProdLT(Main[[#This Row],[Comments]])=0.1,"N/A",IF(stdProdLT(Main[[#This Row],[Comments]])=0,"",TRIM(stdProdLT(Main[[#This Row],[Comments]]))))</f>
        <v/>
      </c>
      <c r="H553" s="98" t="str">
        <f>IF(Main[[#This Row],[Std. Prod. Lead Time]]="N/A", "",IF(AND(Main[[#This Row],[In Stock Date]]&lt;&gt;"",Main[[#This Row],[Revised Due Date]]&lt;&gt;"",Main[[#This Row],[In Stock Date]]&lt;&gt;""),Main[[#This Row],[In Stock Date]]-Main[[#This Row],[Revised Due Date]],""))</f>
        <v/>
      </c>
      <c r="I553" s="110" t="s">
        <v>4</v>
      </c>
      <c r="J553" s="99" t="s">
        <v>4</v>
      </c>
      <c r="K553" s="99" t="s">
        <v>4</v>
      </c>
      <c r="L553" s="89"/>
      <c r="M553" s="75" t="str">
        <f>IF(Main[[#This Row],[Tech Start Date]]&lt;1/1/1990,"",IF(Main[[#This Row],[Class]]="C",WORKDAY(Main[[#This Row],[Tech Start Date]],9),IF(Main[[#This Row],[Class]]="B", WORKDAY(Main[[#This Row],[Tech Start Date]],6),IF(Main[[#This Row],[Class]]="A",WORKDAY(Main[[#This Row],[Tech Start Date]],2),""))))</f>
        <v/>
      </c>
      <c r="N553" s="75" t="str">
        <f>IF(Main[[#This Row],[Tech Start Date]]&lt;1/1/1990,"",IF(Main[[#This Row],[Class]]="C",WORKDAY(Main[[#This Row],[Tech Start Date]],19),IF(Main[[#This Row],[Class]]="B", WORKDAY(Main[[#This Row],[Tech Start Date]],12),IF(Main[[#This Row],[Class]]="A",WORKDAY(Main[[#This Row],[Tech Start Date]],4),""))))</f>
        <v/>
      </c>
      <c r="O553" s="75" t="str">
        <f>IF(Main[[#This Row],[Tech Start Date]]&lt;1/1/1990,"",IF(Main[[#This Row],[Class]]="C",WORKDAY(Main[[#This Row],[Tech Start Date]],23),IF(Main[[#This Row],[Class]]="B", WORKDAY(Main[[#This Row],[Tech Start Date]],15),IF(Main[[#This Row],[Class]]="A",WORKDAY(Main[[#This Row],[Tech Start Date]],5),""))))</f>
        <v/>
      </c>
      <c r="P553" s="75" t="str">
        <f>IF(Main[[#This Row],[Tech Start Date]]&lt;1/1/1990,"",IF(Main[[#This Row],[Class]]="C",WORKDAY(Main[[#This Row],[Tech Start Date]],28),IF(Main[[#This Row],[Class]]="B", WORKDAY(Main[[#This Row],[Tech Start Date]],19),IF(Main[[#This Row],[Class]]="A",WORKDAY(Main[[#This Row],[Tech Start Date]],9),""))))</f>
        <v/>
      </c>
      <c r="Q553" s="89">
        <v>40132</v>
      </c>
      <c r="R553" s="121"/>
      <c r="S553" s="99" t="s">
        <v>11</v>
      </c>
      <c r="T553" s="76" t="s">
        <v>4</v>
      </c>
      <c r="U553" s="99" t="s">
        <v>14</v>
      </c>
      <c r="V553" s="99" t="s">
        <v>1913</v>
      </c>
      <c r="W553" s="99" t="s">
        <v>1918</v>
      </c>
      <c r="X553" s="99" t="s">
        <v>2852</v>
      </c>
      <c r="Y553" s="73" t="s">
        <v>4</v>
      </c>
      <c r="Z553" s="73" t="s">
        <v>4</v>
      </c>
      <c r="AA553" s="99" t="s">
        <v>2852</v>
      </c>
    </row>
    <row r="554" spans="1:27" ht="17.25" customHeight="1">
      <c r="A554" s="65" t="str">
        <f>IF(priority(Main[[#This Row],[Comments]])&lt;&gt;0, priority(Main[[#This Row],[Comments]]),"")</f>
        <v/>
      </c>
      <c r="B554" s="60" t="s">
        <v>1325</v>
      </c>
      <c r="C554" s="105" t="s">
        <v>169</v>
      </c>
      <c r="D554" s="74" t="s">
        <v>407</v>
      </c>
      <c r="E554" s="89"/>
      <c r="F554" s="89">
        <v>40237</v>
      </c>
      <c r="G554" s="65" t="str">
        <f>IF(stdProdLT(Main[[#This Row],[Comments]])=0.1,"N/A",IF(stdProdLT(Main[[#This Row],[Comments]])=0,"",TRIM(stdProdLT(Main[[#This Row],[Comments]]))))</f>
        <v/>
      </c>
      <c r="H554" s="98" t="str">
        <f>IF(Main[[#This Row],[Std. Prod. Lead Time]]="N/A", "",IF(AND(Main[[#This Row],[In Stock Date]]&lt;&gt;"",Main[[#This Row],[Revised Due Date]]&lt;&gt;"",Main[[#This Row],[In Stock Date]]&lt;&gt;""),Main[[#This Row],[In Stock Date]]-Main[[#This Row],[Revised Due Date]],""))</f>
        <v/>
      </c>
      <c r="I554" s="110" t="s">
        <v>4</v>
      </c>
      <c r="J554" s="99" t="s">
        <v>4</v>
      </c>
      <c r="K554" s="100" t="s">
        <v>4</v>
      </c>
      <c r="L554" s="89"/>
      <c r="M554" s="75" t="str">
        <f>IF(Main[[#This Row],[Tech Start Date]]&lt;1/1/1990,"",IF(Main[[#This Row],[Class]]="C",WORKDAY(Main[[#This Row],[Tech Start Date]],9),IF(Main[[#This Row],[Class]]="B", WORKDAY(Main[[#This Row],[Tech Start Date]],6),IF(Main[[#This Row],[Class]]="A",WORKDAY(Main[[#This Row],[Tech Start Date]],2),""))))</f>
        <v/>
      </c>
      <c r="N554" s="75" t="str">
        <f>IF(Main[[#This Row],[Tech Start Date]]&lt;1/1/1990,"",IF(Main[[#This Row],[Class]]="C",WORKDAY(Main[[#This Row],[Tech Start Date]],19),IF(Main[[#This Row],[Class]]="B", WORKDAY(Main[[#This Row],[Tech Start Date]],12),IF(Main[[#This Row],[Class]]="A",WORKDAY(Main[[#This Row],[Tech Start Date]],4),""))))</f>
        <v/>
      </c>
      <c r="O554" s="75" t="str">
        <f>IF(Main[[#This Row],[Tech Start Date]]&lt;1/1/1990,"",IF(Main[[#This Row],[Class]]="C",WORKDAY(Main[[#This Row],[Tech Start Date]],23),IF(Main[[#This Row],[Class]]="B", WORKDAY(Main[[#This Row],[Tech Start Date]],15),IF(Main[[#This Row],[Class]]="A",WORKDAY(Main[[#This Row],[Tech Start Date]],5),""))))</f>
        <v/>
      </c>
      <c r="P554" s="75" t="str">
        <f>IF(Main[[#This Row],[Tech Start Date]]&lt;1/1/1990,"",IF(Main[[#This Row],[Class]]="C",WORKDAY(Main[[#This Row],[Tech Start Date]],28),IF(Main[[#This Row],[Class]]="B", WORKDAY(Main[[#This Row],[Tech Start Date]],19),IF(Main[[#This Row],[Class]]="A",WORKDAY(Main[[#This Row],[Tech Start Date]],9),""))))</f>
        <v/>
      </c>
      <c r="Q554" s="89">
        <v>40132</v>
      </c>
      <c r="R554" s="121"/>
      <c r="S554" s="99" t="s">
        <v>11</v>
      </c>
      <c r="T554" s="76" t="s">
        <v>4</v>
      </c>
      <c r="U554" s="99" t="s">
        <v>14</v>
      </c>
      <c r="V554" s="99" t="s">
        <v>1913</v>
      </c>
      <c r="W554" s="99" t="s">
        <v>1918</v>
      </c>
      <c r="X554" s="99" t="s">
        <v>2852</v>
      </c>
      <c r="Y554" s="73" t="s">
        <v>4</v>
      </c>
      <c r="Z554" s="73" t="s">
        <v>4</v>
      </c>
      <c r="AA554" s="99" t="s">
        <v>2852</v>
      </c>
    </row>
    <row r="555" spans="1:27" ht="17.25" customHeight="1">
      <c r="A555" s="65" t="str">
        <f>IF(priority(Main[[#This Row],[Comments]])&lt;&gt;0, priority(Main[[#This Row],[Comments]]),"")</f>
        <v/>
      </c>
      <c r="B555" s="60" t="s">
        <v>1326</v>
      </c>
      <c r="C555" s="105" t="s">
        <v>4</v>
      </c>
      <c r="D555" s="74" t="s">
        <v>408</v>
      </c>
      <c r="E555" s="89"/>
      <c r="F555" s="89"/>
      <c r="G555" s="65" t="str">
        <f>IF(stdProdLT(Main[[#This Row],[Comments]])=0.1,"N/A",IF(stdProdLT(Main[[#This Row],[Comments]])=0,"",TRIM(stdProdLT(Main[[#This Row],[Comments]]))))</f>
        <v/>
      </c>
      <c r="H555" s="98" t="str">
        <f>IF(Main[[#This Row],[Std. Prod. Lead Time]]="N/A", "",IF(AND(Main[[#This Row],[In Stock Date]]&lt;&gt;"",Main[[#This Row],[Revised Due Date]]&lt;&gt;"",Main[[#This Row],[In Stock Date]]&lt;&gt;""),Main[[#This Row],[In Stock Date]]-Main[[#This Row],[Revised Due Date]],""))</f>
        <v/>
      </c>
      <c r="I555" s="110" t="s">
        <v>4</v>
      </c>
      <c r="J555" s="99" t="s">
        <v>28</v>
      </c>
      <c r="K555" s="99" t="s">
        <v>4</v>
      </c>
      <c r="L555" s="89"/>
      <c r="M555" s="75" t="str">
        <f>IF(Main[[#This Row],[Tech Start Date]]&lt;1/1/1990,"",IF(Main[[#This Row],[Class]]="C",WORKDAY(Main[[#This Row],[Tech Start Date]],9),IF(Main[[#This Row],[Class]]="B", WORKDAY(Main[[#This Row],[Tech Start Date]],6),IF(Main[[#This Row],[Class]]="A",WORKDAY(Main[[#This Row],[Tech Start Date]],2),""))))</f>
        <v/>
      </c>
      <c r="N555" s="75" t="str">
        <f>IF(Main[[#This Row],[Tech Start Date]]&lt;1/1/1990,"",IF(Main[[#This Row],[Class]]="C",WORKDAY(Main[[#This Row],[Tech Start Date]],19),IF(Main[[#This Row],[Class]]="B", WORKDAY(Main[[#This Row],[Tech Start Date]],12),IF(Main[[#This Row],[Class]]="A",WORKDAY(Main[[#This Row],[Tech Start Date]],4),""))))</f>
        <v/>
      </c>
      <c r="O555" s="75" t="str">
        <f>IF(Main[[#This Row],[Tech Start Date]]&lt;1/1/1990,"",IF(Main[[#This Row],[Class]]="C",WORKDAY(Main[[#This Row],[Tech Start Date]],23),IF(Main[[#This Row],[Class]]="B", WORKDAY(Main[[#This Row],[Tech Start Date]],15),IF(Main[[#This Row],[Class]]="A",WORKDAY(Main[[#This Row],[Tech Start Date]],5),""))))</f>
        <v/>
      </c>
      <c r="P555" s="75" t="str">
        <f>IF(Main[[#This Row],[Tech Start Date]]&lt;1/1/1990,"",IF(Main[[#This Row],[Class]]="C",WORKDAY(Main[[#This Row],[Tech Start Date]],28),IF(Main[[#This Row],[Class]]="B", WORKDAY(Main[[#This Row],[Tech Start Date]],19),IF(Main[[#This Row],[Class]]="A",WORKDAY(Main[[#This Row],[Tech Start Date]],9),""))))</f>
        <v/>
      </c>
      <c r="Q555" s="89">
        <v>40471</v>
      </c>
      <c r="R555" s="121"/>
      <c r="S555" s="99" t="s">
        <v>6</v>
      </c>
      <c r="T555" s="76" t="s">
        <v>4</v>
      </c>
      <c r="U555" s="99" t="s">
        <v>14</v>
      </c>
      <c r="V555" s="99" t="s">
        <v>1916</v>
      </c>
      <c r="W555" s="99" t="s">
        <v>1915</v>
      </c>
      <c r="X555" s="99" t="s">
        <v>2816</v>
      </c>
      <c r="Y555" s="73" t="s">
        <v>2932</v>
      </c>
      <c r="Z555" s="73" t="s">
        <v>530</v>
      </c>
      <c r="AA555" s="99" t="s">
        <v>2816</v>
      </c>
    </row>
    <row r="556" spans="1:27" ht="17.25" customHeight="1">
      <c r="A556" s="65" t="str">
        <f>IF(priority(Main[[#This Row],[Comments]])&lt;&gt;0, priority(Main[[#This Row],[Comments]]),"")</f>
        <v/>
      </c>
      <c r="B556" s="60" t="s">
        <v>1327</v>
      </c>
      <c r="C556" s="105" t="s">
        <v>4</v>
      </c>
      <c r="D556" s="74" t="s">
        <v>409</v>
      </c>
      <c r="E556" s="89"/>
      <c r="F556" s="89"/>
      <c r="G556" s="65" t="str">
        <f>IF(stdProdLT(Main[[#This Row],[Comments]])=0.1,"N/A",IF(stdProdLT(Main[[#This Row],[Comments]])=0,"",TRIM(stdProdLT(Main[[#This Row],[Comments]]))))</f>
        <v/>
      </c>
      <c r="H556" s="98" t="str">
        <f>IF(Main[[#This Row],[Std. Prod. Lead Time]]="N/A", "",IF(AND(Main[[#This Row],[In Stock Date]]&lt;&gt;"",Main[[#This Row],[Revised Due Date]]&lt;&gt;"",Main[[#This Row],[In Stock Date]]&lt;&gt;""),Main[[#This Row],[In Stock Date]]-Main[[#This Row],[Revised Due Date]],""))</f>
        <v/>
      </c>
      <c r="I556" s="110" t="s">
        <v>4</v>
      </c>
      <c r="J556" s="99" t="s">
        <v>4</v>
      </c>
      <c r="K556" s="99" t="s">
        <v>4</v>
      </c>
      <c r="L556" s="89"/>
      <c r="M556" s="75" t="str">
        <f>IF(Main[[#This Row],[Tech Start Date]]&lt;1/1/1990,"",IF(Main[[#This Row],[Class]]="C",WORKDAY(Main[[#This Row],[Tech Start Date]],9),IF(Main[[#This Row],[Class]]="B", WORKDAY(Main[[#This Row],[Tech Start Date]],6),IF(Main[[#This Row],[Class]]="A",WORKDAY(Main[[#This Row],[Tech Start Date]],2),""))))</f>
        <v/>
      </c>
      <c r="N556" s="75" t="str">
        <f>IF(Main[[#This Row],[Tech Start Date]]&lt;1/1/1990,"",IF(Main[[#This Row],[Class]]="C",WORKDAY(Main[[#This Row],[Tech Start Date]],19),IF(Main[[#This Row],[Class]]="B", WORKDAY(Main[[#This Row],[Tech Start Date]],12),IF(Main[[#This Row],[Class]]="A",WORKDAY(Main[[#This Row],[Tech Start Date]],4),""))))</f>
        <v/>
      </c>
      <c r="O556" s="75" t="str">
        <f>IF(Main[[#This Row],[Tech Start Date]]&lt;1/1/1990,"",IF(Main[[#This Row],[Class]]="C",WORKDAY(Main[[#This Row],[Tech Start Date]],23),IF(Main[[#This Row],[Class]]="B", WORKDAY(Main[[#This Row],[Tech Start Date]],15),IF(Main[[#This Row],[Class]]="A",WORKDAY(Main[[#This Row],[Tech Start Date]],5),""))))</f>
        <v/>
      </c>
      <c r="P556" s="75" t="str">
        <f>IF(Main[[#This Row],[Tech Start Date]]&lt;1/1/1990,"",IF(Main[[#This Row],[Class]]="C",WORKDAY(Main[[#This Row],[Tech Start Date]],28),IF(Main[[#This Row],[Class]]="B", WORKDAY(Main[[#This Row],[Tech Start Date]],19),IF(Main[[#This Row],[Class]]="A",WORKDAY(Main[[#This Row],[Tech Start Date]],9),""))))</f>
        <v/>
      </c>
      <c r="Q556" s="89"/>
      <c r="R556" s="121"/>
      <c r="S556" s="99" t="s">
        <v>6</v>
      </c>
      <c r="T556" s="76" t="s">
        <v>4</v>
      </c>
      <c r="U556" s="99" t="s">
        <v>12</v>
      </c>
      <c r="V556" s="99" t="s">
        <v>1914</v>
      </c>
      <c r="W556" s="99" t="s">
        <v>1921</v>
      </c>
      <c r="X556" s="99" t="s">
        <v>941</v>
      </c>
      <c r="Y556" s="73" t="s">
        <v>2989</v>
      </c>
      <c r="Z556" s="73" t="s">
        <v>4</v>
      </c>
      <c r="AA556" s="99" t="s">
        <v>941</v>
      </c>
    </row>
    <row r="557" spans="1:27" ht="17.25" customHeight="1">
      <c r="A557" s="65" t="str">
        <f>IF(priority(Main[[#This Row],[Comments]])&lt;&gt;0, priority(Main[[#This Row],[Comments]]),"")</f>
        <v/>
      </c>
      <c r="B557" s="60" t="s">
        <v>1328</v>
      </c>
      <c r="C557" s="105" t="s">
        <v>4</v>
      </c>
      <c r="D557" s="74" t="s">
        <v>410</v>
      </c>
      <c r="E557" s="89"/>
      <c r="F557" s="89"/>
      <c r="G557" s="65" t="str">
        <f>IF(stdProdLT(Main[[#This Row],[Comments]])=0.1,"N/A",IF(stdProdLT(Main[[#This Row],[Comments]])=0,"",TRIM(stdProdLT(Main[[#This Row],[Comments]]))))</f>
        <v/>
      </c>
      <c r="H557" s="98" t="str">
        <f>IF(Main[[#This Row],[Std. Prod. Lead Time]]="N/A", "",IF(AND(Main[[#This Row],[In Stock Date]]&lt;&gt;"",Main[[#This Row],[Revised Due Date]]&lt;&gt;"",Main[[#This Row],[In Stock Date]]&lt;&gt;""),Main[[#This Row],[In Stock Date]]-Main[[#This Row],[Revised Due Date]],""))</f>
        <v/>
      </c>
      <c r="I557" s="110" t="s">
        <v>4</v>
      </c>
      <c r="J557" s="99" t="s">
        <v>4</v>
      </c>
      <c r="K557" s="100" t="s">
        <v>4</v>
      </c>
      <c r="L557" s="89"/>
      <c r="M557" s="75" t="str">
        <f>IF(Main[[#This Row],[Tech Start Date]]&lt;1/1/1990,"",IF(Main[[#This Row],[Class]]="C",WORKDAY(Main[[#This Row],[Tech Start Date]],9),IF(Main[[#This Row],[Class]]="B", WORKDAY(Main[[#This Row],[Tech Start Date]],6),IF(Main[[#This Row],[Class]]="A",WORKDAY(Main[[#This Row],[Tech Start Date]],2),""))))</f>
        <v/>
      </c>
      <c r="N557" s="75" t="str">
        <f>IF(Main[[#This Row],[Tech Start Date]]&lt;1/1/1990,"",IF(Main[[#This Row],[Class]]="C",WORKDAY(Main[[#This Row],[Tech Start Date]],19),IF(Main[[#This Row],[Class]]="B", WORKDAY(Main[[#This Row],[Tech Start Date]],12),IF(Main[[#This Row],[Class]]="A",WORKDAY(Main[[#This Row],[Tech Start Date]],4),""))))</f>
        <v/>
      </c>
      <c r="O557" s="75" t="str">
        <f>IF(Main[[#This Row],[Tech Start Date]]&lt;1/1/1990,"",IF(Main[[#This Row],[Class]]="C",WORKDAY(Main[[#This Row],[Tech Start Date]],23),IF(Main[[#This Row],[Class]]="B", WORKDAY(Main[[#This Row],[Tech Start Date]],15),IF(Main[[#This Row],[Class]]="A",WORKDAY(Main[[#This Row],[Tech Start Date]],5),""))))</f>
        <v/>
      </c>
      <c r="P557" s="75" t="str">
        <f>IF(Main[[#This Row],[Tech Start Date]]&lt;1/1/1990,"",IF(Main[[#This Row],[Class]]="C",WORKDAY(Main[[#This Row],[Tech Start Date]],28),IF(Main[[#This Row],[Class]]="B", WORKDAY(Main[[#This Row],[Tech Start Date]],19),IF(Main[[#This Row],[Class]]="A",WORKDAY(Main[[#This Row],[Tech Start Date]],9),""))))</f>
        <v/>
      </c>
      <c r="Q557" s="89"/>
      <c r="R557" s="121"/>
      <c r="S557" s="99" t="s">
        <v>411</v>
      </c>
      <c r="T557" s="76" t="s">
        <v>4</v>
      </c>
      <c r="U557" s="99" t="s">
        <v>14</v>
      </c>
      <c r="V557" s="99" t="s">
        <v>1914</v>
      </c>
      <c r="W557" s="99" t="s">
        <v>1917</v>
      </c>
      <c r="X557" s="99" t="s">
        <v>922</v>
      </c>
      <c r="Y557" s="73" t="s">
        <v>2976</v>
      </c>
      <c r="Z557" s="73" t="s">
        <v>4</v>
      </c>
      <c r="AA557" s="99" t="s">
        <v>922</v>
      </c>
    </row>
    <row r="558" spans="1:27" ht="17.25" customHeight="1">
      <c r="A558" s="65" t="str">
        <f>IF(priority(Main[[#This Row],[Comments]])&lt;&gt;0, priority(Main[[#This Row],[Comments]]),"")</f>
        <v/>
      </c>
      <c r="B558" s="60" t="s">
        <v>1378</v>
      </c>
      <c r="C558" s="105" t="s">
        <v>137</v>
      </c>
      <c r="D558" s="74" t="s">
        <v>136</v>
      </c>
      <c r="E558" s="89"/>
      <c r="F558" s="89">
        <v>40787</v>
      </c>
      <c r="G558" s="65" t="str">
        <f>IF(stdProdLT(Main[[#This Row],[Comments]])=0.1,"N/A",IF(stdProdLT(Main[[#This Row],[Comments]])=0,"",TRIM(stdProdLT(Main[[#This Row],[Comments]]))))</f>
        <v/>
      </c>
      <c r="H558" s="98" t="str">
        <f>IF(Main[[#This Row],[Std. Prod. Lead Time]]="N/A", "",IF(AND(Main[[#This Row],[In Stock Date]]&lt;&gt;"",Main[[#This Row],[Revised Due Date]]&lt;&gt;"",Main[[#This Row],[In Stock Date]]&lt;&gt;""),Main[[#This Row],[In Stock Date]]-Main[[#This Row],[Revised Due Date]],""))</f>
        <v/>
      </c>
      <c r="I558" s="110" t="s">
        <v>4</v>
      </c>
      <c r="J558" s="99" t="s">
        <v>4</v>
      </c>
      <c r="K558" s="99" t="s">
        <v>4</v>
      </c>
      <c r="L558" s="89"/>
      <c r="M558" s="75" t="str">
        <f>IF(Main[[#This Row],[Tech Start Date]]&lt;1/1/1990,"",IF(Main[[#This Row],[Class]]="C",WORKDAY(Main[[#This Row],[Tech Start Date]],9),IF(Main[[#This Row],[Class]]="B", WORKDAY(Main[[#This Row],[Tech Start Date]],6),IF(Main[[#This Row],[Class]]="A",WORKDAY(Main[[#This Row],[Tech Start Date]],2),""))))</f>
        <v/>
      </c>
      <c r="N558" s="75" t="str">
        <f>IF(Main[[#This Row],[Tech Start Date]]&lt;1/1/1990,"",IF(Main[[#This Row],[Class]]="C",WORKDAY(Main[[#This Row],[Tech Start Date]],19),IF(Main[[#This Row],[Class]]="B", WORKDAY(Main[[#This Row],[Tech Start Date]],12),IF(Main[[#This Row],[Class]]="A",WORKDAY(Main[[#This Row],[Tech Start Date]],4),""))))</f>
        <v/>
      </c>
      <c r="O558" s="75" t="str">
        <f>IF(Main[[#This Row],[Tech Start Date]]&lt;1/1/1990,"",IF(Main[[#This Row],[Class]]="C",WORKDAY(Main[[#This Row],[Tech Start Date]],23),IF(Main[[#This Row],[Class]]="B", WORKDAY(Main[[#This Row],[Tech Start Date]],15),IF(Main[[#This Row],[Class]]="A",WORKDAY(Main[[#This Row],[Tech Start Date]],5),""))))</f>
        <v/>
      </c>
      <c r="P558" s="75" t="str">
        <f>IF(Main[[#This Row],[Tech Start Date]]&lt;1/1/1990,"",IF(Main[[#This Row],[Class]]="C",WORKDAY(Main[[#This Row],[Tech Start Date]],28),IF(Main[[#This Row],[Class]]="B", WORKDAY(Main[[#This Row],[Tech Start Date]],19),IF(Main[[#This Row],[Class]]="A",WORKDAY(Main[[#This Row],[Tech Start Date]],9),""))))</f>
        <v/>
      </c>
      <c r="Q558" s="89"/>
      <c r="R558" s="121"/>
      <c r="S558" s="99" t="s">
        <v>11</v>
      </c>
      <c r="T558" s="76" t="s">
        <v>4</v>
      </c>
      <c r="U558" s="99" t="s">
        <v>14</v>
      </c>
      <c r="V558" s="99" t="s">
        <v>1913</v>
      </c>
      <c r="W558" s="99" t="s">
        <v>1919</v>
      </c>
      <c r="X558" s="99" t="s">
        <v>50</v>
      </c>
      <c r="Y558" s="73" t="s">
        <v>3032</v>
      </c>
      <c r="Z558" s="73" t="s">
        <v>4</v>
      </c>
      <c r="AA558" s="99" t="s">
        <v>2833</v>
      </c>
    </row>
    <row r="559" spans="1:27" ht="17.25" customHeight="1">
      <c r="A559" s="65" t="str">
        <f>IF(priority(Main[[#This Row],[Comments]])&lt;&gt;0, priority(Main[[#This Row],[Comments]]),"")</f>
        <v/>
      </c>
      <c r="B559" s="60" t="s">
        <v>1379</v>
      </c>
      <c r="C559" s="105" t="s">
        <v>4</v>
      </c>
      <c r="D559" s="74" t="s">
        <v>469</v>
      </c>
      <c r="E559" s="89">
        <v>40704.209918981483</v>
      </c>
      <c r="F559" s="89"/>
      <c r="G559" s="65" t="str">
        <f>IF(stdProdLT(Main[[#This Row],[Comments]])=0.1,"N/A",IF(stdProdLT(Main[[#This Row],[Comments]])=0,"",TRIM(stdProdLT(Main[[#This Row],[Comments]]))))</f>
        <v/>
      </c>
      <c r="H559" s="98" t="str">
        <f>IF(Main[[#This Row],[Std. Prod. Lead Time]]="N/A", "",IF(AND(Main[[#This Row],[In Stock Date]]&lt;&gt;"",Main[[#This Row],[Revised Due Date]]&lt;&gt;"",Main[[#This Row],[In Stock Date]]&lt;&gt;""),Main[[#This Row],[In Stock Date]]-Main[[#This Row],[Revised Due Date]],""))</f>
        <v/>
      </c>
      <c r="I559" s="110" t="s">
        <v>4</v>
      </c>
      <c r="J559" s="99" t="s">
        <v>4</v>
      </c>
      <c r="K559" s="100" t="s">
        <v>4</v>
      </c>
      <c r="L559" s="89"/>
      <c r="M559" s="75" t="str">
        <f>IF(Main[[#This Row],[Tech Start Date]]&lt;1/1/1990,"",IF(Main[[#This Row],[Class]]="C",WORKDAY(Main[[#This Row],[Tech Start Date]],9),IF(Main[[#This Row],[Class]]="B", WORKDAY(Main[[#This Row],[Tech Start Date]],6),IF(Main[[#This Row],[Class]]="A",WORKDAY(Main[[#This Row],[Tech Start Date]],2),""))))</f>
        <v/>
      </c>
      <c r="N559" s="75" t="str">
        <f>IF(Main[[#This Row],[Tech Start Date]]&lt;1/1/1990,"",IF(Main[[#This Row],[Class]]="C",WORKDAY(Main[[#This Row],[Tech Start Date]],19),IF(Main[[#This Row],[Class]]="B", WORKDAY(Main[[#This Row],[Tech Start Date]],12),IF(Main[[#This Row],[Class]]="A",WORKDAY(Main[[#This Row],[Tech Start Date]],4),""))))</f>
        <v/>
      </c>
      <c r="O559" s="75" t="str">
        <f>IF(Main[[#This Row],[Tech Start Date]]&lt;1/1/1990,"",IF(Main[[#This Row],[Class]]="C",WORKDAY(Main[[#This Row],[Tech Start Date]],23),IF(Main[[#This Row],[Class]]="B", WORKDAY(Main[[#This Row],[Tech Start Date]],15),IF(Main[[#This Row],[Class]]="A",WORKDAY(Main[[#This Row],[Tech Start Date]],5),""))))</f>
        <v/>
      </c>
      <c r="P559" s="75" t="str">
        <f>IF(Main[[#This Row],[Tech Start Date]]&lt;1/1/1990,"",IF(Main[[#This Row],[Class]]="C",WORKDAY(Main[[#This Row],[Tech Start Date]],28),IF(Main[[#This Row],[Class]]="B", WORKDAY(Main[[#This Row],[Tech Start Date]],19),IF(Main[[#This Row],[Class]]="A",WORKDAY(Main[[#This Row],[Tech Start Date]],9),""))))</f>
        <v/>
      </c>
      <c r="Q559" s="89">
        <v>40725</v>
      </c>
      <c r="R559" s="121"/>
      <c r="S559" s="99" t="s">
        <v>6</v>
      </c>
      <c r="T559" s="76" t="s">
        <v>4</v>
      </c>
      <c r="U559" s="99" t="s">
        <v>7</v>
      </c>
      <c r="V559" s="99" t="s">
        <v>1913</v>
      </c>
      <c r="W559" s="99" t="s">
        <v>4</v>
      </c>
      <c r="X559" s="99" t="s">
        <v>2845</v>
      </c>
      <c r="Y559" s="73" t="s">
        <v>2980</v>
      </c>
      <c r="Z559" s="73" t="s">
        <v>4</v>
      </c>
      <c r="AA559" s="99" t="s">
        <v>2845</v>
      </c>
    </row>
    <row r="560" spans="1:27" ht="17.25" customHeight="1">
      <c r="A560" s="65" t="str">
        <f>IF(priority(Main[[#This Row],[Comments]])&lt;&gt;0, priority(Main[[#This Row],[Comments]]),"")</f>
        <v/>
      </c>
      <c r="B560" s="60" t="s">
        <v>1380</v>
      </c>
      <c r="C560" s="105" t="s">
        <v>31</v>
      </c>
      <c r="D560" s="74" t="s">
        <v>470</v>
      </c>
      <c r="E560" s="89"/>
      <c r="F560" s="89">
        <v>40230</v>
      </c>
      <c r="G560" s="65" t="str">
        <f>IF(stdProdLT(Main[[#This Row],[Comments]])=0.1,"N/A",IF(stdProdLT(Main[[#This Row],[Comments]])=0,"",TRIM(stdProdLT(Main[[#This Row],[Comments]]))))</f>
        <v/>
      </c>
      <c r="H560" s="98" t="str">
        <f>IF(Main[[#This Row],[Std. Prod. Lead Time]]="N/A", "",IF(AND(Main[[#This Row],[In Stock Date]]&lt;&gt;"",Main[[#This Row],[Revised Due Date]]&lt;&gt;"",Main[[#This Row],[In Stock Date]]&lt;&gt;""),Main[[#This Row],[In Stock Date]]-Main[[#This Row],[Revised Due Date]],""))</f>
        <v/>
      </c>
      <c r="I560" s="110" t="s">
        <v>4</v>
      </c>
      <c r="J560" s="99" t="s">
        <v>4</v>
      </c>
      <c r="K560" s="99" t="s">
        <v>4</v>
      </c>
      <c r="L560" s="89"/>
      <c r="M560" s="75" t="str">
        <f>IF(Main[[#This Row],[Tech Start Date]]&lt;1/1/1990,"",IF(Main[[#This Row],[Class]]="C",WORKDAY(Main[[#This Row],[Tech Start Date]],9),IF(Main[[#This Row],[Class]]="B", WORKDAY(Main[[#This Row],[Tech Start Date]],6),IF(Main[[#This Row],[Class]]="A",WORKDAY(Main[[#This Row],[Tech Start Date]],2),""))))</f>
        <v/>
      </c>
      <c r="N560" s="75" t="str">
        <f>IF(Main[[#This Row],[Tech Start Date]]&lt;1/1/1990,"",IF(Main[[#This Row],[Class]]="C",WORKDAY(Main[[#This Row],[Tech Start Date]],19),IF(Main[[#This Row],[Class]]="B", WORKDAY(Main[[#This Row],[Tech Start Date]],12),IF(Main[[#This Row],[Class]]="A",WORKDAY(Main[[#This Row],[Tech Start Date]],4),""))))</f>
        <v/>
      </c>
      <c r="O560" s="75" t="str">
        <f>IF(Main[[#This Row],[Tech Start Date]]&lt;1/1/1990,"",IF(Main[[#This Row],[Class]]="C",WORKDAY(Main[[#This Row],[Tech Start Date]],23),IF(Main[[#This Row],[Class]]="B", WORKDAY(Main[[#This Row],[Tech Start Date]],15),IF(Main[[#This Row],[Class]]="A",WORKDAY(Main[[#This Row],[Tech Start Date]],5),""))))</f>
        <v/>
      </c>
      <c r="P560" s="75" t="str">
        <f>IF(Main[[#This Row],[Tech Start Date]]&lt;1/1/1990,"",IF(Main[[#This Row],[Class]]="C",WORKDAY(Main[[#This Row],[Tech Start Date]],28),IF(Main[[#This Row],[Class]]="B", WORKDAY(Main[[#This Row],[Tech Start Date]],19),IF(Main[[#This Row],[Class]]="A",WORKDAY(Main[[#This Row],[Tech Start Date]],9),""))))</f>
        <v/>
      </c>
      <c r="Q560" s="89">
        <v>40235</v>
      </c>
      <c r="R560" s="121"/>
      <c r="S560" s="99" t="s">
        <v>11</v>
      </c>
      <c r="T560" s="76" t="s">
        <v>4</v>
      </c>
      <c r="U560" s="99" t="s">
        <v>14</v>
      </c>
      <c r="V560" s="99" t="s">
        <v>1914</v>
      </c>
      <c r="W560" s="99" t="s">
        <v>1921</v>
      </c>
      <c r="X560" s="99" t="s">
        <v>2829</v>
      </c>
      <c r="Y560" s="73" t="s">
        <v>4</v>
      </c>
      <c r="Z560" s="73" t="s">
        <v>4</v>
      </c>
      <c r="AA560" s="99" t="s">
        <v>2829</v>
      </c>
    </row>
    <row r="561" spans="1:27" ht="17.25" customHeight="1">
      <c r="A561" s="65" t="str">
        <f>IF(priority(Main[[#This Row],[Comments]])&lt;&gt;0, priority(Main[[#This Row],[Comments]]),"")</f>
        <v/>
      </c>
      <c r="B561" s="60" t="s">
        <v>1382</v>
      </c>
      <c r="C561" s="105" t="s">
        <v>471</v>
      </c>
      <c r="D561" s="74" t="s">
        <v>472</v>
      </c>
      <c r="E561" s="89"/>
      <c r="F561" s="89">
        <v>40450</v>
      </c>
      <c r="G561" s="65" t="str">
        <f>IF(stdProdLT(Main[[#This Row],[Comments]])=0.1,"N/A",IF(stdProdLT(Main[[#This Row],[Comments]])=0,"",TRIM(stdProdLT(Main[[#This Row],[Comments]]))))</f>
        <v/>
      </c>
      <c r="H561" s="98" t="str">
        <f>IF(Main[[#This Row],[Std. Prod. Lead Time]]="N/A", "",IF(AND(Main[[#This Row],[In Stock Date]]&lt;&gt;"",Main[[#This Row],[Revised Due Date]]&lt;&gt;"",Main[[#This Row],[In Stock Date]]&lt;&gt;""),Main[[#This Row],[In Stock Date]]-Main[[#This Row],[Revised Due Date]],""))</f>
        <v/>
      </c>
      <c r="I561" s="110" t="s">
        <v>4</v>
      </c>
      <c r="J561" s="99" t="s">
        <v>4</v>
      </c>
      <c r="K561" s="99" t="s">
        <v>4</v>
      </c>
      <c r="L561" s="89"/>
      <c r="M561" s="75" t="str">
        <f>IF(Main[[#This Row],[Tech Start Date]]&lt;1/1/1990,"",IF(Main[[#This Row],[Class]]="C",WORKDAY(Main[[#This Row],[Tech Start Date]],9),IF(Main[[#This Row],[Class]]="B", WORKDAY(Main[[#This Row],[Tech Start Date]],6),IF(Main[[#This Row],[Class]]="A",WORKDAY(Main[[#This Row],[Tech Start Date]],2),""))))</f>
        <v/>
      </c>
      <c r="N561" s="75" t="str">
        <f>IF(Main[[#This Row],[Tech Start Date]]&lt;1/1/1990,"",IF(Main[[#This Row],[Class]]="C",WORKDAY(Main[[#This Row],[Tech Start Date]],19),IF(Main[[#This Row],[Class]]="B", WORKDAY(Main[[#This Row],[Tech Start Date]],12),IF(Main[[#This Row],[Class]]="A",WORKDAY(Main[[#This Row],[Tech Start Date]],4),""))))</f>
        <v/>
      </c>
      <c r="O561" s="75" t="str">
        <f>IF(Main[[#This Row],[Tech Start Date]]&lt;1/1/1990,"",IF(Main[[#This Row],[Class]]="C",WORKDAY(Main[[#This Row],[Tech Start Date]],23),IF(Main[[#This Row],[Class]]="B", WORKDAY(Main[[#This Row],[Tech Start Date]],15),IF(Main[[#This Row],[Class]]="A",WORKDAY(Main[[#This Row],[Tech Start Date]],5),""))))</f>
        <v/>
      </c>
      <c r="P561" s="75" t="str">
        <f>IF(Main[[#This Row],[Tech Start Date]]&lt;1/1/1990,"",IF(Main[[#This Row],[Class]]="C",WORKDAY(Main[[#This Row],[Tech Start Date]],28),IF(Main[[#This Row],[Class]]="B", WORKDAY(Main[[#This Row],[Tech Start Date]],19),IF(Main[[#This Row],[Class]]="A",WORKDAY(Main[[#This Row],[Tech Start Date]],9),""))))</f>
        <v/>
      </c>
      <c r="Q561" s="89">
        <v>40421</v>
      </c>
      <c r="R561" s="121"/>
      <c r="S561" s="99" t="s">
        <v>11</v>
      </c>
      <c r="T561" s="76" t="s">
        <v>4</v>
      </c>
      <c r="U561" s="99" t="s">
        <v>14</v>
      </c>
      <c r="V561" s="99" t="s">
        <v>1916</v>
      </c>
      <c r="W561" s="99" t="s">
        <v>1918</v>
      </c>
      <c r="X561" s="99" t="s">
        <v>2850</v>
      </c>
      <c r="Y561" s="73" t="s">
        <v>2991</v>
      </c>
      <c r="Z561" s="73" t="s">
        <v>4</v>
      </c>
      <c r="AA561" s="99" t="s">
        <v>2850</v>
      </c>
    </row>
    <row r="562" spans="1:27" ht="17.25" customHeight="1">
      <c r="A562" s="65" t="str">
        <f>IF(priority(Main[[#This Row],[Comments]])&lt;&gt;0, priority(Main[[#This Row],[Comments]]),"")</f>
        <v/>
      </c>
      <c r="B562" s="60" t="s">
        <v>3316</v>
      </c>
      <c r="C562" s="105" t="s">
        <v>4</v>
      </c>
      <c r="D562" s="74" t="s">
        <v>3317</v>
      </c>
      <c r="E562" s="89">
        <v>40939.633171296293</v>
      </c>
      <c r="F562" s="89"/>
      <c r="G562" s="65" t="str">
        <f>IF(stdProdLT(Main[[#This Row],[Comments]])=0.1,"N/A",IF(stdProdLT(Main[[#This Row],[Comments]])=0,"",TRIM(stdProdLT(Main[[#This Row],[Comments]]))))</f>
        <v/>
      </c>
      <c r="H562" s="98" t="str">
        <f>IF(Main[[#This Row],[Std. Prod. Lead Time]]="N/A", "",IF(AND(Main[[#This Row],[In Stock Date]]&lt;&gt;"",Main[[#This Row],[Revised Due Date]]&lt;&gt;"",Main[[#This Row],[In Stock Date]]&lt;&gt;""),Main[[#This Row],[In Stock Date]]-Main[[#This Row],[Revised Due Date]],""))</f>
        <v/>
      </c>
      <c r="I562" s="110" t="s">
        <v>4</v>
      </c>
      <c r="J562" s="99" t="s">
        <v>4</v>
      </c>
      <c r="K562" s="99" t="s">
        <v>4</v>
      </c>
      <c r="L562" s="89"/>
      <c r="M562" s="75" t="str">
        <f>IF(Main[[#This Row],[Tech Start Date]]&lt;1/1/1990,"",IF(Main[[#This Row],[Class]]="C",WORKDAY(Main[[#This Row],[Tech Start Date]],9),IF(Main[[#This Row],[Class]]="B", WORKDAY(Main[[#This Row],[Tech Start Date]],6),IF(Main[[#This Row],[Class]]="A",WORKDAY(Main[[#This Row],[Tech Start Date]],2),""))))</f>
        <v/>
      </c>
      <c r="N562" s="75" t="str">
        <f>IF(Main[[#This Row],[Tech Start Date]]&lt;1/1/1990,"",IF(Main[[#This Row],[Class]]="C",WORKDAY(Main[[#This Row],[Tech Start Date]],19),IF(Main[[#This Row],[Class]]="B", WORKDAY(Main[[#This Row],[Tech Start Date]],12),IF(Main[[#This Row],[Class]]="A",WORKDAY(Main[[#This Row],[Tech Start Date]],4),""))))</f>
        <v/>
      </c>
      <c r="O562" s="75" t="str">
        <f>IF(Main[[#This Row],[Tech Start Date]]&lt;1/1/1990,"",IF(Main[[#This Row],[Class]]="C",WORKDAY(Main[[#This Row],[Tech Start Date]],23),IF(Main[[#This Row],[Class]]="B", WORKDAY(Main[[#This Row],[Tech Start Date]],15),IF(Main[[#This Row],[Class]]="A",WORKDAY(Main[[#This Row],[Tech Start Date]],5),""))))</f>
        <v/>
      </c>
      <c r="P562" s="75" t="str">
        <f>IF(Main[[#This Row],[Tech Start Date]]&lt;1/1/1990,"",IF(Main[[#This Row],[Class]]="C",WORKDAY(Main[[#This Row],[Tech Start Date]],28),IF(Main[[#This Row],[Class]]="B", WORKDAY(Main[[#This Row],[Tech Start Date]],19),IF(Main[[#This Row],[Class]]="A",WORKDAY(Main[[#This Row],[Tech Start Date]],9),""))))</f>
        <v/>
      </c>
      <c r="Q562" s="89"/>
      <c r="R562" s="121"/>
      <c r="S562" s="99" t="s">
        <v>6</v>
      </c>
      <c r="T562" s="76" t="s">
        <v>4</v>
      </c>
      <c r="U562" s="99" t="s">
        <v>7</v>
      </c>
      <c r="V562" s="99" t="s">
        <v>1913</v>
      </c>
      <c r="W562" s="99" t="s">
        <v>1917</v>
      </c>
      <c r="X562" s="99" t="s">
        <v>306</v>
      </c>
      <c r="Y562" s="73" t="s">
        <v>4</v>
      </c>
      <c r="Z562" s="73" t="s">
        <v>4</v>
      </c>
      <c r="AA562" s="99" t="s">
        <v>4</v>
      </c>
    </row>
    <row r="563" spans="1:27" ht="17.25" customHeight="1">
      <c r="A563" s="65" t="str">
        <f>IF(priority(Main[[#This Row],[Comments]])&lt;&gt;0, priority(Main[[#This Row],[Comments]]),"")</f>
        <v/>
      </c>
      <c r="B563" s="60" t="s">
        <v>3318</v>
      </c>
      <c r="C563" s="105" t="s">
        <v>4</v>
      </c>
      <c r="D563" s="74" t="s">
        <v>3319</v>
      </c>
      <c r="E563" s="89">
        <v>40939.634004629632</v>
      </c>
      <c r="F563" s="89"/>
      <c r="G563" s="65" t="str">
        <f>IF(stdProdLT(Main[[#This Row],[Comments]])=0.1,"N/A",IF(stdProdLT(Main[[#This Row],[Comments]])=0,"",TRIM(stdProdLT(Main[[#This Row],[Comments]]))))</f>
        <v/>
      </c>
      <c r="H563" s="98" t="str">
        <f>IF(Main[[#This Row],[Std. Prod. Lead Time]]="N/A", "",IF(AND(Main[[#This Row],[In Stock Date]]&lt;&gt;"",Main[[#This Row],[Revised Due Date]]&lt;&gt;"",Main[[#This Row],[In Stock Date]]&lt;&gt;""),Main[[#This Row],[In Stock Date]]-Main[[#This Row],[Revised Due Date]],""))</f>
        <v/>
      </c>
      <c r="I563" s="110" t="s">
        <v>4</v>
      </c>
      <c r="J563" s="99" t="s">
        <v>4</v>
      </c>
      <c r="K563" s="99" t="s">
        <v>4</v>
      </c>
      <c r="L563" s="89"/>
      <c r="M563" s="75" t="str">
        <f>IF(Main[[#This Row],[Tech Start Date]]&lt;1/1/1990,"",IF(Main[[#This Row],[Class]]="C",WORKDAY(Main[[#This Row],[Tech Start Date]],9),IF(Main[[#This Row],[Class]]="B", WORKDAY(Main[[#This Row],[Tech Start Date]],6),IF(Main[[#This Row],[Class]]="A",WORKDAY(Main[[#This Row],[Tech Start Date]],2),""))))</f>
        <v/>
      </c>
      <c r="N563" s="75" t="str">
        <f>IF(Main[[#This Row],[Tech Start Date]]&lt;1/1/1990,"",IF(Main[[#This Row],[Class]]="C",WORKDAY(Main[[#This Row],[Tech Start Date]],19),IF(Main[[#This Row],[Class]]="B", WORKDAY(Main[[#This Row],[Tech Start Date]],12),IF(Main[[#This Row],[Class]]="A",WORKDAY(Main[[#This Row],[Tech Start Date]],4),""))))</f>
        <v/>
      </c>
      <c r="O563" s="75" t="str">
        <f>IF(Main[[#This Row],[Tech Start Date]]&lt;1/1/1990,"",IF(Main[[#This Row],[Class]]="C",WORKDAY(Main[[#This Row],[Tech Start Date]],23),IF(Main[[#This Row],[Class]]="B", WORKDAY(Main[[#This Row],[Tech Start Date]],15),IF(Main[[#This Row],[Class]]="A",WORKDAY(Main[[#This Row],[Tech Start Date]],5),""))))</f>
        <v/>
      </c>
      <c r="P563" s="75" t="str">
        <f>IF(Main[[#This Row],[Tech Start Date]]&lt;1/1/1990,"",IF(Main[[#This Row],[Class]]="C",WORKDAY(Main[[#This Row],[Tech Start Date]],28),IF(Main[[#This Row],[Class]]="B", WORKDAY(Main[[#This Row],[Tech Start Date]],19),IF(Main[[#This Row],[Class]]="A",WORKDAY(Main[[#This Row],[Tech Start Date]],9),""))))</f>
        <v/>
      </c>
      <c r="Q563" s="89"/>
      <c r="R563" s="121"/>
      <c r="S563" s="99" t="s">
        <v>6</v>
      </c>
      <c r="T563" s="76" t="s">
        <v>4</v>
      </c>
      <c r="U563" s="99" t="s">
        <v>7</v>
      </c>
      <c r="V563" s="99" t="s">
        <v>1913</v>
      </c>
      <c r="W563" s="99" t="s">
        <v>1915</v>
      </c>
      <c r="X563" s="99" t="s">
        <v>306</v>
      </c>
      <c r="Y563" s="73" t="s">
        <v>4</v>
      </c>
      <c r="Z563" s="73" t="s">
        <v>877</v>
      </c>
      <c r="AA563" s="99" t="s">
        <v>4</v>
      </c>
    </row>
    <row r="564" spans="1:27" ht="17.25" customHeight="1">
      <c r="A564" s="65" t="str">
        <f>IF(priority(Main[[#This Row],[Comments]])&lt;&gt;0, priority(Main[[#This Row],[Comments]]),"")</f>
        <v/>
      </c>
      <c r="B564" s="60" t="s">
        <v>1384</v>
      </c>
      <c r="C564" s="105" t="s">
        <v>31</v>
      </c>
      <c r="D564" s="74" t="s">
        <v>473</v>
      </c>
      <c r="E564" s="89"/>
      <c r="F564" s="89"/>
      <c r="G564" s="65" t="str">
        <f>IF(stdProdLT(Main[[#This Row],[Comments]])=0.1,"N/A",IF(stdProdLT(Main[[#This Row],[Comments]])=0,"",TRIM(stdProdLT(Main[[#This Row],[Comments]]))))</f>
        <v/>
      </c>
      <c r="H564" s="98" t="str">
        <f>IF(Main[[#This Row],[Std. Prod. Lead Time]]="N/A", "",IF(AND(Main[[#This Row],[In Stock Date]]&lt;&gt;"",Main[[#This Row],[Revised Due Date]]&lt;&gt;"",Main[[#This Row],[In Stock Date]]&lt;&gt;""),Main[[#This Row],[In Stock Date]]-Main[[#This Row],[Revised Due Date]],""))</f>
        <v/>
      </c>
      <c r="I564" s="110" t="s">
        <v>4</v>
      </c>
      <c r="J564" s="99" t="s">
        <v>4</v>
      </c>
      <c r="K564" s="99" t="s">
        <v>4</v>
      </c>
      <c r="L564" s="89"/>
      <c r="M564" s="75" t="str">
        <f>IF(Main[[#This Row],[Tech Start Date]]&lt;1/1/1990,"",IF(Main[[#This Row],[Class]]="C",WORKDAY(Main[[#This Row],[Tech Start Date]],9),IF(Main[[#This Row],[Class]]="B", WORKDAY(Main[[#This Row],[Tech Start Date]],6),IF(Main[[#This Row],[Class]]="A",WORKDAY(Main[[#This Row],[Tech Start Date]],2),""))))</f>
        <v/>
      </c>
      <c r="N564" s="75" t="str">
        <f>IF(Main[[#This Row],[Tech Start Date]]&lt;1/1/1990,"",IF(Main[[#This Row],[Class]]="C",WORKDAY(Main[[#This Row],[Tech Start Date]],19),IF(Main[[#This Row],[Class]]="B", WORKDAY(Main[[#This Row],[Tech Start Date]],12),IF(Main[[#This Row],[Class]]="A",WORKDAY(Main[[#This Row],[Tech Start Date]],4),""))))</f>
        <v/>
      </c>
      <c r="O564" s="75" t="str">
        <f>IF(Main[[#This Row],[Tech Start Date]]&lt;1/1/1990,"",IF(Main[[#This Row],[Class]]="C",WORKDAY(Main[[#This Row],[Tech Start Date]],23),IF(Main[[#This Row],[Class]]="B", WORKDAY(Main[[#This Row],[Tech Start Date]],15),IF(Main[[#This Row],[Class]]="A",WORKDAY(Main[[#This Row],[Tech Start Date]],5),""))))</f>
        <v/>
      </c>
      <c r="P564" s="75" t="str">
        <f>IF(Main[[#This Row],[Tech Start Date]]&lt;1/1/1990,"",IF(Main[[#This Row],[Class]]="C",WORKDAY(Main[[#This Row],[Tech Start Date]],28),IF(Main[[#This Row],[Class]]="B", WORKDAY(Main[[#This Row],[Tech Start Date]],19),IF(Main[[#This Row],[Class]]="A",WORKDAY(Main[[#This Row],[Tech Start Date]],9),""))))</f>
        <v/>
      </c>
      <c r="Q564" s="89">
        <v>40318</v>
      </c>
      <c r="R564" s="121"/>
      <c r="S564" s="99" t="s">
        <v>11</v>
      </c>
      <c r="T564" s="76" t="s">
        <v>4</v>
      </c>
      <c r="U564" s="99" t="s">
        <v>14</v>
      </c>
      <c r="V564" s="99" t="s">
        <v>1916</v>
      </c>
      <c r="W564" s="99" t="s">
        <v>1915</v>
      </c>
      <c r="X564" s="99" t="s">
        <v>2824</v>
      </c>
      <c r="Y564" s="73" t="s">
        <v>4</v>
      </c>
      <c r="Z564" s="73" t="s">
        <v>4</v>
      </c>
      <c r="AA564" s="99" t="s">
        <v>2824</v>
      </c>
    </row>
    <row r="565" spans="1:27" ht="17.25" customHeight="1">
      <c r="A565" s="65" t="str">
        <f>IF(priority(Main[[#This Row],[Comments]])&lt;&gt;0, priority(Main[[#This Row],[Comments]]),"")</f>
        <v/>
      </c>
      <c r="B565" s="60" t="s">
        <v>1322</v>
      </c>
      <c r="C565" s="105" t="s">
        <v>4</v>
      </c>
      <c r="D565" s="74" t="s">
        <v>404</v>
      </c>
      <c r="E565" s="89">
        <v>40387.702291666668</v>
      </c>
      <c r="F565" s="89"/>
      <c r="G565" s="65" t="str">
        <f>IF(stdProdLT(Main[[#This Row],[Comments]])=0.1,"N/A",IF(stdProdLT(Main[[#This Row],[Comments]])=0,"",TRIM(stdProdLT(Main[[#This Row],[Comments]]))))</f>
        <v/>
      </c>
      <c r="H565" s="98" t="str">
        <f>IF(Main[[#This Row],[Std. Prod. Lead Time]]="N/A", "",IF(AND(Main[[#This Row],[In Stock Date]]&lt;&gt;"",Main[[#This Row],[Revised Due Date]]&lt;&gt;"",Main[[#This Row],[In Stock Date]]&lt;&gt;""),Main[[#This Row],[In Stock Date]]-Main[[#This Row],[Revised Due Date]],""))</f>
        <v/>
      </c>
      <c r="I565" s="110" t="s">
        <v>4</v>
      </c>
      <c r="J565" s="99" t="s">
        <v>28</v>
      </c>
      <c r="K565" s="100" t="s">
        <v>4</v>
      </c>
      <c r="L565" s="89"/>
      <c r="M565" s="75" t="str">
        <f>IF(Main[[#This Row],[Tech Start Date]]&lt;1/1/1990,"",IF(Main[[#This Row],[Class]]="C",WORKDAY(Main[[#This Row],[Tech Start Date]],9),IF(Main[[#This Row],[Class]]="B", WORKDAY(Main[[#This Row],[Tech Start Date]],6),IF(Main[[#This Row],[Class]]="A",WORKDAY(Main[[#This Row],[Tech Start Date]],2),""))))</f>
        <v/>
      </c>
      <c r="N565" s="75" t="str">
        <f>IF(Main[[#This Row],[Tech Start Date]]&lt;1/1/1990,"",IF(Main[[#This Row],[Class]]="C",WORKDAY(Main[[#This Row],[Tech Start Date]],19),IF(Main[[#This Row],[Class]]="B", WORKDAY(Main[[#This Row],[Tech Start Date]],12),IF(Main[[#This Row],[Class]]="A",WORKDAY(Main[[#This Row],[Tech Start Date]],4),""))))</f>
        <v/>
      </c>
      <c r="O565" s="75" t="str">
        <f>IF(Main[[#This Row],[Tech Start Date]]&lt;1/1/1990,"",IF(Main[[#This Row],[Class]]="C",WORKDAY(Main[[#This Row],[Tech Start Date]],23),IF(Main[[#This Row],[Class]]="B", WORKDAY(Main[[#This Row],[Tech Start Date]],15),IF(Main[[#This Row],[Class]]="A",WORKDAY(Main[[#This Row],[Tech Start Date]],5),""))))</f>
        <v/>
      </c>
      <c r="P565" s="75" t="str">
        <f>IF(Main[[#This Row],[Tech Start Date]]&lt;1/1/1990,"",IF(Main[[#This Row],[Class]]="C",WORKDAY(Main[[#This Row],[Tech Start Date]],28),IF(Main[[#This Row],[Class]]="B", WORKDAY(Main[[#This Row],[Tech Start Date]],19),IF(Main[[#This Row],[Class]]="A",WORKDAY(Main[[#This Row],[Tech Start Date]],9),""))))</f>
        <v/>
      </c>
      <c r="Q565" s="89">
        <v>40400</v>
      </c>
      <c r="R565" s="121"/>
      <c r="S565" s="99" t="s">
        <v>6</v>
      </c>
      <c r="T565" s="76" t="s">
        <v>4</v>
      </c>
      <c r="U565" s="99" t="s">
        <v>7</v>
      </c>
      <c r="V565" s="99" t="s">
        <v>1913</v>
      </c>
      <c r="W565" s="99" t="s">
        <v>1915</v>
      </c>
      <c r="X565" s="99" t="s">
        <v>102</v>
      </c>
      <c r="Y565" s="73" t="s">
        <v>3026</v>
      </c>
      <c r="Z565" s="73" t="s">
        <v>129</v>
      </c>
      <c r="AA565" s="99" t="s">
        <v>3389</v>
      </c>
    </row>
    <row r="566" spans="1:27" ht="17.25" customHeight="1">
      <c r="A566" s="65" t="str">
        <f>IF(priority(Main[[#This Row],[Comments]])&lt;&gt;0, priority(Main[[#This Row],[Comments]]),"")</f>
        <v/>
      </c>
      <c r="B566" s="60" t="s">
        <v>1718</v>
      </c>
      <c r="C566" s="105" t="s">
        <v>277</v>
      </c>
      <c r="D566" s="74" t="s">
        <v>773</v>
      </c>
      <c r="E566" s="89"/>
      <c r="F566" s="89">
        <v>40680</v>
      </c>
      <c r="G566" s="65" t="str">
        <f>IF(stdProdLT(Main[[#This Row],[Comments]])=0.1,"N/A",IF(stdProdLT(Main[[#This Row],[Comments]])=0,"",TRIM(stdProdLT(Main[[#This Row],[Comments]]))))</f>
        <v/>
      </c>
      <c r="H566" s="98" t="str">
        <f>IF(Main[[#This Row],[Std. Prod. Lead Time]]="N/A", "",IF(AND(Main[[#This Row],[In Stock Date]]&lt;&gt;"",Main[[#This Row],[Revised Due Date]]&lt;&gt;"",Main[[#This Row],[In Stock Date]]&lt;&gt;""),Main[[#This Row],[In Stock Date]]-Main[[#This Row],[Revised Due Date]],""))</f>
        <v/>
      </c>
      <c r="I566" s="110" t="s">
        <v>4</v>
      </c>
      <c r="J566" s="99" t="s">
        <v>28</v>
      </c>
      <c r="K566" s="99" t="s">
        <v>4</v>
      </c>
      <c r="L566" s="89"/>
      <c r="M566" s="75" t="str">
        <f>IF(Main[[#This Row],[Tech Start Date]]&lt;1/1/1990,"",IF(Main[[#This Row],[Class]]="C",WORKDAY(Main[[#This Row],[Tech Start Date]],9),IF(Main[[#This Row],[Class]]="B", WORKDAY(Main[[#This Row],[Tech Start Date]],6),IF(Main[[#This Row],[Class]]="A",WORKDAY(Main[[#This Row],[Tech Start Date]],2),""))))</f>
        <v/>
      </c>
      <c r="N566" s="75" t="str">
        <f>IF(Main[[#This Row],[Tech Start Date]]&lt;1/1/1990,"",IF(Main[[#This Row],[Class]]="C",WORKDAY(Main[[#This Row],[Tech Start Date]],19),IF(Main[[#This Row],[Class]]="B", WORKDAY(Main[[#This Row],[Tech Start Date]],12),IF(Main[[#This Row],[Class]]="A",WORKDAY(Main[[#This Row],[Tech Start Date]],4),""))))</f>
        <v/>
      </c>
      <c r="O566" s="75" t="str">
        <f>IF(Main[[#This Row],[Tech Start Date]]&lt;1/1/1990,"",IF(Main[[#This Row],[Class]]="C",WORKDAY(Main[[#This Row],[Tech Start Date]],23),IF(Main[[#This Row],[Class]]="B", WORKDAY(Main[[#This Row],[Tech Start Date]],15),IF(Main[[#This Row],[Class]]="A",WORKDAY(Main[[#This Row],[Tech Start Date]],5),""))))</f>
        <v/>
      </c>
      <c r="P566" s="75" t="str">
        <f>IF(Main[[#This Row],[Tech Start Date]]&lt;1/1/1990,"",IF(Main[[#This Row],[Class]]="C",WORKDAY(Main[[#This Row],[Tech Start Date]],28),IF(Main[[#This Row],[Class]]="B", WORKDAY(Main[[#This Row],[Tech Start Date]],19),IF(Main[[#This Row],[Class]]="A",WORKDAY(Main[[#This Row],[Tech Start Date]],9),""))))</f>
        <v/>
      </c>
      <c r="Q566" s="89">
        <v>40568</v>
      </c>
      <c r="R566" s="121"/>
      <c r="S566" s="99" t="s">
        <v>11</v>
      </c>
      <c r="T566" s="76" t="s">
        <v>774</v>
      </c>
      <c r="U566" s="99" t="s">
        <v>14</v>
      </c>
      <c r="V566" s="99" t="s">
        <v>1914</v>
      </c>
      <c r="W566" s="99" t="s">
        <v>1918</v>
      </c>
      <c r="X566" s="99" t="s">
        <v>2854</v>
      </c>
      <c r="Y566" s="73" t="s">
        <v>2998</v>
      </c>
      <c r="Z566" s="73" t="s">
        <v>4</v>
      </c>
      <c r="AA566" s="99" t="s">
        <v>2854</v>
      </c>
    </row>
    <row r="567" spans="1:27" ht="17.25" customHeight="1">
      <c r="A567" s="65" t="str">
        <f>IF(priority(Main[[#This Row],[Comments]])&lt;&gt;0, priority(Main[[#This Row],[Comments]]),"")</f>
        <v/>
      </c>
      <c r="B567" s="60" t="s">
        <v>1337</v>
      </c>
      <c r="C567" s="105" t="s">
        <v>33</v>
      </c>
      <c r="D567" s="74" t="s">
        <v>419</v>
      </c>
      <c r="E567" s="89"/>
      <c r="F567" s="89">
        <v>40266</v>
      </c>
      <c r="G567" s="65" t="str">
        <f>IF(stdProdLT(Main[[#This Row],[Comments]])=0.1,"N/A",IF(stdProdLT(Main[[#This Row],[Comments]])=0,"",TRIM(stdProdLT(Main[[#This Row],[Comments]]))))</f>
        <v/>
      </c>
      <c r="H567" s="98" t="str">
        <f>IF(Main[[#This Row],[Std. Prod. Lead Time]]="N/A", "",IF(AND(Main[[#This Row],[In Stock Date]]&lt;&gt;"",Main[[#This Row],[Revised Due Date]]&lt;&gt;"",Main[[#This Row],[In Stock Date]]&lt;&gt;""),Main[[#This Row],[In Stock Date]]-Main[[#This Row],[Revised Due Date]],""))</f>
        <v/>
      </c>
      <c r="I567" s="110" t="s">
        <v>4</v>
      </c>
      <c r="J567" s="99" t="s">
        <v>4</v>
      </c>
      <c r="K567" s="99" t="s">
        <v>4</v>
      </c>
      <c r="L567" s="89"/>
      <c r="M567" s="75" t="str">
        <f>IF(Main[[#This Row],[Tech Start Date]]&lt;1/1/1990,"",IF(Main[[#This Row],[Class]]="C",WORKDAY(Main[[#This Row],[Tech Start Date]],9),IF(Main[[#This Row],[Class]]="B", WORKDAY(Main[[#This Row],[Tech Start Date]],6),IF(Main[[#This Row],[Class]]="A",WORKDAY(Main[[#This Row],[Tech Start Date]],2),""))))</f>
        <v/>
      </c>
      <c r="N567" s="75" t="str">
        <f>IF(Main[[#This Row],[Tech Start Date]]&lt;1/1/1990,"",IF(Main[[#This Row],[Class]]="C",WORKDAY(Main[[#This Row],[Tech Start Date]],19),IF(Main[[#This Row],[Class]]="B", WORKDAY(Main[[#This Row],[Tech Start Date]],12),IF(Main[[#This Row],[Class]]="A",WORKDAY(Main[[#This Row],[Tech Start Date]],4),""))))</f>
        <v/>
      </c>
      <c r="O567" s="75" t="str">
        <f>IF(Main[[#This Row],[Tech Start Date]]&lt;1/1/1990,"",IF(Main[[#This Row],[Class]]="C",WORKDAY(Main[[#This Row],[Tech Start Date]],23),IF(Main[[#This Row],[Class]]="B", WORKDAY(Main[[#This Row],[Tech Start Date]],15),IF(Main[[#This Row],[Class]]="A",WORKDAY(Main[[#This Row],[Tech Start Date]],5),""))))</f>
        <v/>
      </c>
      <c r="P567" s="75" t="str">
        <f>IF(Main[[#This Row],[Tech Start Date]]&lt;1/1/1990,"",IF(Main[[#This Row],[Class]]="C",WORKDAY(Main[[#This Row],[Tech Start Date]],28),IF(Main[[#This Row],[Class]]="B", WORKDAY(Main[[#This Row],[Tech Start Date]],19),IF(Main[[#This Row],[Class]]="A",WORKDAY(Main[[#This Row],[Tech Start Date]],9),""))))</f>
        <v/>
      </c>
      <c r="Q567" s="89">
        <v>40266</v>
      </c>
      <c r="R567" s="121"/>
      <c r="S567" s="99" t="s">
        <v>11</v>
      </c>
      <c r="T567" s="76" t="s">
        <v>4</v>
      </c>
      <c r="U567" s="99" t="s">
        <v>14</v>
      </c>
      <c r="V567" s="99" t="s">
        <v>1916</v>
      </c>
      <c r="W567" s="99" t="s">
        <v>1918</v>
      </c>
      <c r="X567" s="99" t="s">
        <v>2844</v>
      </c>
      <c r="Y567" s="73" t="s">
        <v>4</v>
      </c>
      <c r="Z567" s="73" t="s">
        <v>4</v>
      </c>
      <c r="AA567" s="99" t="s">
        <v>2844</v>
      </c>
    </row>
    <row r="568" spans="1:27" ht="17.25" customHeight="1">
      <c r="A568" s="65" t="str">
        <f>IF(priority(Main[[#This Row],[Comments]])&lt;&gt;0, priority(Main[[#This Row],[Comments]]),"")</f>
        <v/>
      </c>
      <c r="B568" s="60" t="s">
        <v>1386</v>
      </c>
      <c r="C568" s="105" t="s">
        <v>4</v>
      </c>
      <c r="D568" s="74" t="s">
        <v>474</v>
      </c>
      <c r="E568" s="89">
        <v>40679.254976851851</v>
      </c>
      <c r="F568" s="89"/>
      <c r="G568" s="65" t="str">
        <f>IF(stdProdLT(Main[[#This Row],[Comments]])=0.1,"N/A",IF(stdProdLT(Main[[#This Row],[Comments]])=0,"",TRIM(stdProdLT(Main[[#This Row],[Comments]]))))</f>
        <v/>
      </c>
      <c r="H568" s="98" t="str">
        <f>IF(Main[[#This Row],[Std. Prod. Lead Time]]="N/A", "",IF(AND(Main[[#This Row],[In Stock Date]]&lt;&gt;"",Main[[#This Row],[Revised Due Date]]&lt;&gt;"",Main[[#This Row],[In Stock Date]]&lt;&gt;""),Main[[#This Row],[In Stock Date]]-Main[[#This Row],[Revised Due Date]],""))</f>
        <v/>
      </c>
      <c r="I568" s="110" t="s">
        <v>4</v>
      </c>
      <c r="J568" s="99" t="s">
        <v>4</v>
      </c>
      <c r="K568" s="99" t="s">
        <v>4</v>
      </c>
      <c r="L568" s="89"/>
      <c r="M568" s="75" t="str">
        <f>IF(Main[[#This Row],[Tech Start Date]]&lt;1/1/1990,"",IF(Main[[#This Row],[Class]]="C",WORKDAY(Main[[#This Row],[Tech Start Date]],9),IF(Main[[#This Row],[Class]]="B", WORKDAY(Main[[#This Row],[Tech Start Date]],6),IF(Main[[#This Row],[Class]]="A",WORKDAY(Main[[#This Row],[Tech Start Date]],2),""))))</f>
        <v/>
      </c>
      <c r="N568" s="75" t="str">
        <f>IF(Main[[#This Row],[Tech Start Date]]&lt;1/1/1990,"",IF(Main[[#This Row],[Class]]="C",WORKDAY(Main[[#This Row],[Tech Start Date]],19),IF(Main[[#This Row],[Class]]="B", WORKDAY(Main[[#This Row],[Tech Start Date]],12),IF(Main[[#This Row],[Class]]="A",WORKDAY(Main[[#This Row],[Tech Start Date]],4),""))))</f>
        <v/>
      </c>
      <c r="O568" s="75" t="str">
        <f>IF(Main[[#This Row],[Tech Start Date]]&lt;1/1/1990,"",IF(Main[[#This Row],[Class]]="C",WORKDAY(Main[[#This Row],[Tech Start Date]],23),IF(Main[[#This Row],[Class]]="B", WORKDAY(Main[[#This Row],[Tech Start Date]],15),IF(Main[[#This Row],[Class]]="A",WORKDAY(Main[[#This Row],[Tech Start Date]],5),""))))</f>
        <v/>
      </c>
      <c r="P568" s="75" t="str">
        <f>IF(Main[[#This Row],[Tech Start Date]]&lt;1/1/1990,"",IF(Main[[#This Row],[Class]]="C",WORKDAY(Main[[#This Row],[Tech Start Date]],28),IF(Main[[#This Row],[Class]]="B", WORKDAY(Main[[#This Row],[Tech Start Date]],19),IF(Main[[#This Row],[Class]]="A",WORKDAY(Main[[#This Row],[Tech Start Date]],9),""))))</f>
        <v/>
      </c>
      <c r="Q568" s="89">
        <v>40724</v>
      </c>
      <c r="R568" s="121"/>
      <c r="S568" s="99" t="s">
        <v>6</v>
      </c>
      <c r="T568" s="76" t="s">
        <v>4</v>
      </c>
      <c r="U568" s="99" t="s">
        <v>7</v>
      </c>
      <c r="V568" s="99" t="s">
        <v>1913</v>
      </c>
      <c r="W568" s="99" t="s">
        <v>4</v>
      </c>
      <c r="X568" s="99" t="s">
        <v>2816</v>
      </c>
      <c r="Y568" s="73" t="s">
        <v>2932</v>
      </c>
      <c r="Z568" s="73" t="s">
        <v>4</v>
      </c>
      <c r="AA568" s="99" t="s">
        <v>2816</v>
      </c>
    </row>
    <row r="569" spans="1:27" ht="17.25" customHeight="1">
      <c r="A569" s="65" t="str">
        <f>IF(priority(Main[[#This Row],[Comments]])&lt;&gt;0, priority(Main[[#This Row],[Comments]]),"")</f>
        <v/>
      </c>
      <c r="B569" s="60" t="s">
        <v>1387</v>
      </c>
      <c r="C569" s="105" t="s">
        <v>4</v>
      </c>
      <c r="D569" s="74" t="s">
        <v>475</v>
      </c>
      <c r="E569" s="89"/>
      <c r="F569" s="89"/>
      <c r="G569" s="65" t="str">
        <f>IF(stdProdLT(Main[[#This Row],[Comments]])=0.1,"N/A",IF(stdProdLT(Main[[#This Row],[Comments]])=0,"",TRIM(stdProdLT(Main[[#This Row],[Comments]]))))</f>
        <v/>
      </c>
      <c r="H569" s="98" t="str">
        <f>IF(Main[[#This Row],[Std. Prod. Lead Time]]="N/A", "",IF(AND(Main[[#This Row],[In Stock Date]]&lt;&gt;"",Main[[#This Row],[Revised Due Date]]&lt;&gt;"",Main[[#This Row],[In Stock Date]]&lt;&gt;""),Main[[#This Row],[In Stock Date]]-Main[[#This Row],[Revised Due Date]],""))</f>
        <v/>
      </c>
      <c r="I569" s="110" t="s">
        <v>129</v>
      </c>
      <c r="J569" s="99" t="s">
        <v>4</v>
      </c>
      <c r="K569" s="100" t="s">
        <v>4</v>
      </c>
      <c r="L569" s="89"/>
      <c r="M569" s="75" t="str">
        <f>IF(Main[[#This Row],[Tech Start Date]]&lt;1/1/1990,"",IF(Main[[#This Row],[Class]]="C",WORKDAY(Main[[#This Row],[Tech Start Date]],9),IF(Main[[#This Row],[Class]]="B", WORKDAY(Main[[#This Row],[Tech Start Date]],6),IF(Main[[#This Row],[Class]]="A",WORKDAY(Main[[#This Row],[Tech Start Date]],2),""))))</f>
        <v/>
      </c>
      <c r="N569" s="75" t="str">
        <f>IF(Main[[#This Row],[Tech Start Date]]&lt;1/1/1990,"",IF(Main[[#This Row],[Class]]="C",WORKDAY(Main[[#This Row],[Tech Start Date]],19),IF(Main[[#This Row],[Class]]="B", WORKDAY(Main[[#This Row],[Tech Start Date]],12),IF(Main[[#This Row],[Class]]="A",WORKDAY(Main[[#This Row],[Tech Start Date]],4),""))))</f>
        <v/>
      </c>
      <c r="O569" s="75" t="str">
        <f>IF(Main[[#This Row],[Tech Start Date]]&lt;1/1/1990,"",IF(Main[[#This Row],[Class]]="C",WORKDAY(Main[[#This Row],[Tech Start Date]],23),IF(Main[[#This Row],[Class]]="B", WORKDAY(Main[[#This Row],[Tech Start Date]],15),IF(Main[[#This Row],[Class]]="A",WORKDAY(Main[[#This Row],[Tech Start Date]],5),""))))</f>
        <v/>
      </c>
      <c r="P569" s="75" t="str">
        <f>IF(Main[[#This Row],[Tech Start Date]]&lt;1/1/1990,"",IF(Main[[#This Row],[Class]]="C",WORKDAY(Main[[#This Row],[Tech Start Date]],28),IF(Main[[#This Row],[Class]]="B", WORKDAY(Main[[#This Row],[Tech Start Date]],19),IF(Main[[#This Row],[Class]]="A",WORKDAY(Main[[#This Row],[Tech Start Date]],9),""))))</f>
        <v/>
      </c>
      <c r="Q569" s="89">
        <v>40359</v>
      </c>
      <c r="R569" s="121"/>
      <c r="S569" s="99" t="s">
        <v>6</v>
      </c>
      <c r="T569" s="76" t="s">
        <v>4</v>
      </c>
      <c r="U569" s="99" t="s">
        <v>14</v>
      </c>
      <c r="V569" s="99" t="s">
        <v>1913</v>
      </c>
      <c r="W569" s="99" t="s">
        <v>1918</v>
      </c>
      <c r="X569" s="99" t="s">
        <v>102</v>
      </c>
      <c r="Y569" s="73" t="s">
        <v>3033</v>
      </c>
      <c r="Z569" s="73" t="s">
        <v>4</v>
      </c>
      <c r="AA569" s="99" t="s">
        <v>2867</v>
      </c>
    </row>
    <row r="570" spans="1:27" ht="17.25" customHeight="1">
      <c r="A570" s="65" t="str">
        <f>IF(priority(Main[[#This Row],[Comments]])&lt;&gt;0, priority(Main[[#This Row],[Comments]]),"")</f>
        <v/>
      </c>
      <c r="B570" s="60" t="s">
        <v>1388</v>
      </c>
      <c r="C570" s="105" t="s">
        <v>4</v>
      </c>
      <c r="D570" s="74" t="s">
        <v>476</v>
      </c>
      <c r="E570" s="89"/>
      <c r="F570" s="89"/>
      <c r="G570" s="65" t="str">
        <f>IF(stdProdLT(Main[[#This Row],[Comments]])=0.1,"N/A",IF(stdProdLT(Main[[#This Row],[Comments]])=0,"",TRIM(stdProdLT(Main[[#This Row],[Comments]]))))</f>
        <v/>
      </c>
      <c r="H570" s="98" t="str">
        <f>IF(Main[[#This Row],[Std. Prod. Lead Time]]="N/A", "",IF(AND(Main[[#This Row],[In Stock Date]]&lt;&gt;"",Main[[#This Row],[Revised Due Date]]&lt;&gt;"",Main[[#This Row],[In Stock Date]]&lt;&gt;""),Main[[#This Row],[In Stock Date]]-Main[[#This Row],[Revised Due Date]],""))</f>
        <v/>
      </c>
      <c r="I570" s="110" t="s">
        <v>4</v>
      </c>
      <c r="J570" s="99" t="s">
        <v>4</v>
      </c>
      <c r="K570" s="99" t="s">
        <v>4</v>
      </c>
      <c r="L570" s="89"/>
      <c r="M570" s="75" t="str">
        <f>IF(Main[[#This Row],[Tech Start Date]]&lt;1/1/1990,"",IF(Main[[#This Row],[Class]]="C",WORKDAY(Main[[#This Row],[Tech Start Date]],9),IF(Main[[#This Row],[Class]]="B", WORKDAY(Main[[#This Row],[Tech Start Date]],6),IF(Main[[#This Row],[Class]]="A",WORKDAY(Main[[#This Row],[Tech Start Date]],2),""))))</f>
        <v/>
      </c>
      <c r="N570" s="75" t="str">
        <f>IF(Main[[#This Row],[Tech Start Date]]&lt;1/1/1990,"",IF(Main[[#This Row],[Class]]="C",WORKDAY(Main[[#This Row],[Tech Start Date]],19),IF(Main[[#This Row],[Class]]="B", WORKDAY(Main[[#This Row],[Tech Start Date]],12),IF(Main[[#This Row],[Class]]="A",WORKDAY(Main[[#This Row],[Tech Start Date]],4),""))))</f>
        <v/>
      </c>
      <c r="O570" s="75" t="str">
        <f>IF(Main[[#This Row],[Tech Start Date]]&lt;1/1/1990,"",IF(Main[[#This Row],[Class]]="C",WORKDAY(Main[[#This Row],[Tech Start Date]],23),IF(Main[[#This Row],[Class]]="B", WORKDAY(Main[[#This Row],[Tech Start Date]],15),IF(Main[[#This Row],[Class]]="A",WORKDAY(Main[[#This Row],[Tech Start Date]],5),""))))</f>
        <v/>
      </c>
      <c r="P570" s="75" t="str">
        <f>IF(Main[[#This Row],[Tech Start Date]]&lt;1/1/1990,"",IF(Main[[#This Row],[Class]]="C",WORKDAY(Main[[#This Row],[Tech Start Date]],28),IF(Main[[#This Row],[Class]]="B", WORKDAY(Main[[#This Row],[Tech Start Date]],19),IF(Main[[#This Row],[Class]]="A",WORKDAY(Main[[#This Row],[Tech Start Date]],9),""))))</f>
        <v/>
      </c>
      <c r="Q570" s="89">
        <v>40151</v>
      </c>
      <c r="R570" s="121"/>
      <c r="S570" s="99" t="s">
        <v>6</v>
      </c>
      <c r="T570" s="76" t="s">
        <v>4</v>
      </c>
      <c r="U570" s="99" t="s">
        <v>12</v>
      </c>
      <c r="V570" s="99" t="s">
        <v>1913</v>
      </c>
      <c r="W570" s="99" t="s">
        <v>1915</v>
      </c>
      <c r="X570" s="99" t="s">
        <v>894</v>
      </c>
      <c r="Y570" s="73" t="s">
        <v>3034</v>
      </c>
      <c r="Z570" s="73" t="s">
        <v>4</v>
      </c>
      <c r="AA570" s="99" t="s">
        <v>894</v>
      </c>
    </row>
    <row r="571" spans="1:27" ht="17.25" customHeight="1">
      <c r="A571" s="65" t="str">
        <f>IF(priority(Main[[#This Row],[Comments]])&lt;&gt;0, priority(Main[[#This Row],[Comments]]),"")</f>
        <v/>
      </c>
      <c r="B571" s="60" t="s">
        <v>2252</v>
      </c>
      <c r="C571" s="105" t="s">
        <v>95</v>
      </c>
      <c r="D571" s="74" t="s">
        <v>2253</v>
      </c>
      <c r="E571" s="89">
        <v>40806.589305555557</v>
      </c>
      <c r="F571" s="89"/>
      <c r="G571" s="65" t="str">
        <f>IF(stdProdLT(Main[[#This Row],[Comments]])=0.1,"N/A",IF(stdProdLT(Main[[#This Row],[Comments]])=0,"",TRIM(stdProdLT(Main[[#This Row],[Comments]]))))</f>
        <v/>
      </c>
      <c r="H571" s="98" t="str">
        <f>IF(Main[[#This Row],[Std. Prod. Lead Time]]="N/A", "",IF(AND(Main[[#This Row],[In Stock Date]]&lt;&gt;"",Main[[#This Row],[Revised Due Date]]&lt;&gt;"",Main[[#This Row],[In Stock Date]]&lt;&gt;""),Main[[#This Row],[In Stock Date]]-Main[[#This Row],[Revised Due Date]],""))</f>
        <v/>
      </c>
      <c r="I571" s="110" t="s">
        <v>4</v>
      </c>
      <c r="J571" s="99" t="s">
        <v>4</v>
      </c>
      <c r="K571" s="100" t="s">
        <v>4</v>
      </c>
      <c r="L571" s="89"/>
      <c r="M571" s="75" t="str">
        <f>IF(Main[[#This Row],[Tech Start Date]]&lt;1/1/1990,"",IF(Main[[#This Row],[Class]]="C",WORKDAY(Main[[#This Row],[Tech Start Date]],9),IF(Main[[#This Row],[Class]]="B", WORKDAY(Main[[#This Row],[Tech Start Date]],6),IF(Main[[#This Row],[Class]]="A",WORKDAY(Main[[#This Row],[Tech Start Date]],2),""))))</f>
        <v/>
      </c>
      <c r="N571" s="75" t="str">
        <f>IF(Main[[#This Row],[Tech Start Date]]&lt;1/1/1990,"",IF(Main[[#This Row],[Class]]="C",WORKDAY(Main[[#This Row],[Tech Start Date]],19),IF(Main[[#This Row],[Class]]="B", WORKDAY(Main[[#This Row],[Tech Start Date]],12),IF(Main[[#This Row],[Class]]="A",WORKDAY(Main[[#This Row],[Tech Start Date]],4),""))))</f>
        <v/>
      </c>
      <c r="O571" s="75" t="str">
        <f>IF(Main[[#This Row],[Tech Start Date]]&lt;1/1/1990,"",IF(Main[[#This Row],[Class]]="C",WORKDAY(Main[[#This Row],[Tech Start Date]],23),IF(Main[[#This Row],[Class]]="B", WORKDAY(Main[[#This Row],[Tech Start Date]],15),IF(Main[[#This Row],[Class]]="A",WORKDAY(Main[[#This Row],[Tech Start Date]],5),""))))</f>
        <v/>
      </c>
      <c r="P571" s="75" t="str">
        <f>IF(Main[[#This Row],[Tech Start Date]]&lt;1/1/1990,"",IF(Main[[#This Row],[Class]]="C",WORKDAY(Main[[#This Row],[Tech Start Date]],28),IF(Main[[#This Row],[Class]]="B", WORKDAY(Main[[#This Row],[Tech Start Date]],19),IF(Main[[#This Row],[Class]]="A",WORKDAY(Main[[#This Row],[Tech Start Date]],9),""))))</f>
        <v/>
      </c>
      <c r="Q571" s="89">
        <v>40823</v>
      </c>
      <c r="R571" s="121"/>
      <c r="S571" s="99" t="s">
        <v>17</v>
      </c>
      <c r="T571" s="76" t="s">
        <v>4</v>
      </c>
      <c r="U571" s="99" t="s">
        <v>7</v>
      </c>
      <c r="V571" s="99" t="s">
        <v>1914</v>
      </c>
      <c r="W571" s="99" t="s">
        <v>1918</v>
      </c>
      <c r="X571" s="99" t="s">
        <v>553</v>
      </c>
      <c r="Y571" s="73" t="s">
        <v>2946</v>
      </c>
      <c r="Z571" s="73" t="s">
        <v>4</v>
      </c>
      <c r="AA571" s="99" t="s">
        <v>553</v>
      </c>
    </row>
    <row r="572" spans="1:27" ht="17.25" customHeight="1">
      <c r="A572" s="65" t="str">
        <f>IF(priority(Main[[#This Row],[Comments]])&lt;&gt;0, priority(Main[[#This Row],[Comments]]),"")</f>
        <v/>
      </c>
      <c r="B572" s="60" t="s">
        <v>2215</v>
      </c>
      <c r="C572" s="105" t="s">
        <v>4</v>
      </c>
      <c r="D572" s="74" t="s">
        <v>2216</v>
      </c>
      <c r="E572" s="89"/>
      <c r="F572" s="89"/>
      <c r="G572" s="65" t="str">
        <f>IF(stdProdLT(Main[[#This Row],[Comments]])=0.1,"N/A",IF(stdProdLT(Main[[#This Row],[Comments]])=0,"",TRIM(stdProdLT(Main[[#This Row],[Comments]]))))</f>
        <v/>
      </c>
      <c r="H572" s="98" t="str">
        <f>IF(Main[[#This Row],[Std. Prod. Lead Time]]="N/A", "",IF(AND(Main[[#This Row],[In Stock Date]]&lt;&gt;"",Main[[#This Row],[Revised Due Date]]&lt;&gt;"",Main[[#This Row],[In Stock Date]]&lt;&gt;""),Main[[#This Row],[In Stock Date]]-Main[[#This Row],[Revised Due Date]],""))</f>
        <v/>
      </c>
      <c r="I572" s="110" t="s">
        <v>4</v>
      </c>
      <c r="J572" s="99" t="s">
        <v>4</v>
      </c>
      <c r="K572" s="99" t="s">
        <v>4</v>
      </c>
      <c r="L572" s="89"/>
      <c r="M572" s="75" t="str">
        <f>IF(Main[[#This Row],[Tech Start Date]]&lt;1/1/1990,"",IF(Main[[#This Row],[Class]]="C",WORKDAY(Main[[#This Row],[Tech Start Date]],9),IF(Main[[#This Row],[Class]]="B", WORKDAY(Main[[#This Row],[Tech Start Date]],6),IF(Main[[#This Row],[Class]]="A",WORKDAY(Main[[#This Row],[Tech Start Date]],2),""))))</f>
        <v/>
      </c>
      <c r="N572" s="75" t="str">
        <f>IF(Main[[#This Row],[Tech Start Date]]&lt;1/1/1990,"",IF(Main[[#This Row],[Class]]="C",WORKDAY(Main[[#This Row],[Tech Start Date]],19),IF(Main[[#This Row],[Class]]="B", WORKDAY(Main[[#This Row],[Tech Start Date]],12),IF(Main[[#This Row],[Class]]="A",WORKDAY(Main[[#This Row],[Tech Start Date]],4),""))))</f>
        <v/>
      </c>
      <c r="O572" s="75" t="str">
        <f>IF(Main[[#This Row],[Tech Start Date]]&lt;1/1/1990,"",IF(Main[[#This Row],[Class]]="C",WORKDAY(Main[[#This Row],[Tech Start Date]],23),IF(Main[[#This Row],[Class]]="B", WORKDAY(Main[[#This Row],[Tech Start Date]],15),IF(Main[[#This Row],[Class]]="A",WORKDAY(Main[[#This Row],[Tech Start Date]],5),""))))</f>
        <v/>
      </c>
      <c r="P572" s="75" t="str">
        <f>IF(Main[[#This Row],[Tech Start Date]]&lt;1/1/1990,"",IF(Main[[#This Row],[Class]]="C",WORKDAY(Main[[#This Row],[Tech Start Date]],28),IF(Main[[#This Row],[Class]]="B", WORKDAY(Main[[#This Row],[Tech Start Date]],19),IF(Main[[#This Row],[Class]]="A",WORKDAY(Main[[#This Row],[Tech Start Date]],9),""))))</f>
        <v/>
      </c>
      <c r="Q572" s="89"/>
      <c r="R572" s="121"/>
      <c r="S572" s="99" t="s">
        <v>49</v>
      </c>
      <c r="T572" s="76" t="s">
        <v>4</v>
      </c>
      <c r="U572" s="99" t="s">
        <v>14</v>
      </c>
      <c r="V572" s="99" t="s">
        <v>1914</v>
      </c>
      <c r="W572" s="99" t="s">
        <v>1917</v>
      </c>
      <c r="X572" s="99" t="s">
        <v>306</v>
      </c>
      <c r="Y572" s="73" t="s">
        <v>4</v>
      </c>
      <c r="Z572" s="73" t="s">
        <v>4</v>
      </c>
      <c r="AA572" s="99" t="s">
        <v>4</v>
      </c>
    </row>
    <row r="573" spans="1:27" ht="17.25" customHeight="1">
      <c r="A573" s="65" t="str">
        <f>IF(priority(Main[[#This Row],[Comments]])&lt;&gt;0, priority(Main[[#This Row],[Comments]]),"")</f>
        <v/>
      </c>
      <c r="B573" s="60" t="s">
        <v>1396</v>
      </c>
      <c r="C573" s="105" t="s">
        <v>4</v>
      </c>
      <c r="D573" s="74" t="s">
        <v>480</v>
      </c>
      <c r="E573" s="89"/>
      <c r="F573" s="89"/>
      <c r="G573" s="65" t="str">
        <f>IF(stdProdLT(Main[[#This Row],[Comments]])=0.1,"N/A",IF(stdProdLT(Main[[#This Row],[Comments]])=0,"",TRIM(stdProdLT(Main[[#This Row],[Comments]]))))</f>
        <v/>
      </c>
      <c r="H573" s="98" t="str">
        <f>IF(Main[[#This Row],[Std. Prod. Lead Time]]="N/A", "",IF(AND(Main[[#This Row],[In Stock Date]]&lt;&gt;"",Main[[#This Row],[Revised Due Date]]&lt;&gt;"",Main[[#This Row],[In Stock Date]]&lt;&gt;""),Main[[#This Row],[In Stock Date]]-Main[[#This Row],[Revised Due Date]],""))</f>
        <v/>
      </c>
      <c r="I573" s="110" t="s">
        <v>4</v>
      </c>
      <c r="J573" s="99" t="s">
        <v>4</v>
      </c>
      <c r="K573" s="99" t="s">
        <v>4</v>
      </c>
      <c r="L573" s="89"/>
      <c r="M573" s="75" t="str">
        <f>IF(Main[[#This Row],[Tech Start Date]]&lt;1/1/1990,"",IF(Main[[#This Row],[Class]]="C",WORKDAY(Main[[#This Row],[Tech Start Date]],9),IF(Main[[#This Row],[Class]]="B", WORKDAY(Main[[#This Row],[Tech Start Date]],6),IF(Main[[#This Row],[Class]]="A",WORKDAY(Main[[#This Row],[Tech Start Date]],2),""))))</f>
        <v/>
      </c>
      <c r="N573" s="75" t="str">
        <f>IF(Main[[#This Row],[Tech Start Date]]&lt;1/1/1990,"",IF(Main[[#This Row],[Class]]="C",WORKDAY(Main[[#This Row],[Tech Start Date]],19),IF(Main[[#This Row],[Class]]="B", WORKDAY(Main[[#This Row],[Tech Start Date]],12),IF(Main[[#This Row],[Class]]="A",WORKDAY(Main[[#This Row],[Tech Start Date]],4),""))))</f>
        <v/>
      </c>
      <c r="O573" s="75" t="str">
        <f>IF(Main[[#This Row],[Tech Start Date]]&lt;1/1/1990,"",IF(Main[[#This Row],[Class]]="C",WORKDAY(Main[[#This Row],[Tech Start Date]],23),IF(Main[[#This Row],[Class]]="B", WORKDAY(Main[[#This Row],[Tech Start Date]],15),IF(Main[[#This Row],[Class]]="A",WORKDAY(Main[[#This Row],[Tech Start Date]],5),""))))</f>
        <v/>
      </c>
      <c r="P573" s="75" t="str">
        <f>IF(Main[[#This Row],[Tech Start Date]]&lt;1/1/1990,"",IF(Main[[#This Row],[Class]]="C",WORKDAY(Main[[#This Row],[Tech Start Date]],28),IF(Main[[#This Row],[Class]]="B", WORKDAY(Main[[#This Row],[Tech Start Date]],19),IF(Main[[#This Row],[Class]]="A",WORKDAY(Main[[#This Row],[Tech Start Date]],9),""))))</f>
        <v/>
      </c>
      <c r="Q573" s="89"/>
      <c r="R573" s="121"/>
      <c r="S573" s="99" t="s">
        <v>4</v>
      </c>
      <c r="T573" s="76" t="s">
        <v>4</v>
      </c>
      <c r="U573" s="99" t="s">
        <v>14</v>
      </c>
      <c r="V573" s="99" t="s">
        <v>1916</v>
      </c>
      <c r="W573" s="99" t="s">
        <v>4</v>
      </c>
      <c r="X573" s="99" t="s">
        <v>2813</v>
      </c>
      <c r="Y573" s="73" t="s">
        <v>2926</v>
      </c>
      <c r="Z573" s="73" t="s">
        <v>4</v>
      </c>
      <c r="AA573" s="99" t="s">
        <v>2813</v>
      </c>
    </row>
    <row r="574" spans="1:27" ht="17.25" customHeight="1">
      <c r="A574" s="65" t="str">
        <f>IF(priority(Main[[#This Row],[Comments]])&lt;&gt;0, priority(Main[[#This Row],[Comments]]),"")</f>
        <v/>
      </c>
      <c r="B574" s="60" t="s">
        <v>1151</v>
      </c>
      <c r="C574" s="105" t="s">
        <v>4</v>
      </c>
      <c r="D574" s="74" t="s">
        <v>208</v>
      </c>
      <c r="E574" s="89"/>
      <c r="F574" s="89"/>
      <c r="G574" s="65" t="str">
        <f>IF(stdProdLT(Main[[#This Row],[Comments]])=0.1,"N/A",IF(stdProdLT(Main[[#This Row],[Comments]])=0,"",TRIM(stdProdLT(Main[[#This Row],[Comments]]))))</f>
        <v/>
      </c>
      <c r="H574" s="98" t="str">
        <f>IF(Main[[#This Row],[Std. Prod. Lead Time]]="N/A", "",IF(AND(Main[[#This Row],[In Stock Date]]&lt;&gt;"",Main[[#This Row],[Revised Due Date]]&lt;&gt;"",Main[[#This Row],[In Stock Date]]&lt;&gt;""),Main[[#This Row],[In Stock Date]]-Main[[#This Row],[Revised Due Date]],""))</f>
        <v/>
      </c>
      <c r="I574" s="110" t="s">
        <v>4</v>
      </c>
      <c r="J574" s="99" t="s">
        <v>28</v>
      </c>
      <c r="K574" s="99" t="s">
        <v>4</v>
      </c>
      <c r="L574" s="89"/>
      <c r="M574" s="75" t="str">
        <f>IF(Main[[#This Row],[Tech Start Date]]&lt;1/1/1990,"",IF(Main[[#This Row],[Class]]="C",WORKDAY(Main[[#This Row],[Tech Start Date]],9),IF(Main[[#This Row],[Class]]="B", WORKDAY(Main[[#This Row],[Tech Start Date]],6),IF(Main[[#This Row],[Class]]="A",WORKDAY(Main[[#This Row],[Tech Start Date]],2),""))))</f>
        <v/>
      </c>
      <c r="N574" s="75" t="str">
        <f>IF(Main[[#This Row],[Tech Start Date]]&lt;1/1/1990,"",IF(Main[[#This Row],[Class]]="C",WORKDAY(Main[[#This Row],[Tech Start Date]],19),IF(Main[[#This Row],[Class]]="B", WORKDAY(Main[[#This Row],[Tech Start Date]],12),IF(Main[[#This Row],[Class]]="A",WORKDAY(Main[[#This Row],[Tech Start Date]],4),""))))</f>
        <v/>
      </c>
      <c r="O574" s="75" t="str">
        <f>IF(Main[[#This Row],[Tech Start Date]]&lt;1/1/1990,"",IF(Main[[#This Row],[Class]]="C",WORKDAY(Main[[#This Row],[Tech Start Date]],23),IF(Main[[#This Row],[Class]]="B", WORKDAY(Main[[#This Row],[Tech Start Date]],15),IF(Main[[#This Row],[Class]]="A",WORKDAY(Main[[#This Row],[Tech Start Date]],5),""))))</f>
        <v/>
      </c>
      <c r="P574" s="75" t="str">
        <f>IF(Main[[#This Row],[Tech Start Date]]&lt;1/1/1990,"",IF(Main[[#This Row],[Class]]="C",WORKDAY(Main[[#This Row],[Tech Start Date]],28),IF(Main[[#This Row],[Class]]="B", WORKDAY(Main[[#This Row],[Tech Start Date]],19),IF(Main[[#This Row],[Class]]="A",WORKDAY(Main[[#This Row],[Tech Start Date]],9),""))))</f>
        <v/>
      </c>
      <c r="Q574" s="89"/>
      <c r="R574" s="121"/>
      <c r="S574" s="99" t="s">
        <v>6</v>
      </c>
      <c r="T574" s="76" t="s">
        <v>4</v>
      </c>
      <c r="U574" s="99" t="s">
        <v>14</v>
      </c>
      <c r="V574" s="99" t="s">
        <v>1923</v>
      </c>
      <c r="W574" s="99" t="s">
        <v>1919</v>
      </c>
      <c r="X574" s="99" t="s">
        <v>50</v>
      </c>
      <c r="Y574" s="73" t="s">
        <v>2957</v>
      </c>
      <c r="Z574" s="73" t="s">
        <v>30</v>
      </c>
      <c r="AA574" s="99" t="s">
        <v>883</v>
      </c>
    </row>
    <row r="575" spans="1:27" ht="17.25" customHeight="1">
      <c r="A575" s="65" t="str">
        <f>IF(priority(Main[[#This Row],[Comments]])&lt;&gt;0, priority(Main[[#This Row],[Comments]]),"")</f>
        <v/>
      </c>
      <c r="B575" s="60" t="s">
        <v>1398</v>
      </c>
      <c r="C575" s="105" t="s">
        <v>47</v>
      </c>
      <c r="D575" s="74" t="s">
        <v>482</v>
      </c>
      <c r="E575" s="89">
        <v>39937.619513888887</v>
      </c>
      <c r="F575" s="89"/>
      <c r="G575" s="65" t="str">
        <f>IF(stdProdLT(Main[[#This Row],[Comments]])=0.1,"N/A",IF(stdProdLT(Main[[#This Row],[Comments]])=0,"",TRIM(stdProdLT(Main[[#This Row],[Comments]]))))</f>
        <v/>
      </c>
      <c r="H575" s="98" t="str">
        <f>IF(Main[[#This Row],[Std. Prod. Lead Time]]="N/A", "",IF(AND(Main[[#This Row],[In Stock Date]]&lt;&gt;"",Main[[#This Row],[Revised Due Date]]&lt;&gt;"",Main[[#This Row],[In Stock Date]]&lt;&gt;""),Main[[#This Row],[In Stock Date]]-Main[[#This Row],[Revised Due Date]],""))</f>
        <v/>
      </c>
      <c r="I575" s="110" t="s">
        <v>4</v>
      </c>
      <c r="J575" s="99" t="s">
        <v>4</v>
      </c>
      <c r="K575" s="99" t="s">
        <v>4</v>
      </c>
      <c r="L575" s="89"/>
      <c r="M575" s="75" t="str">
        <f>IF(Main[[#This Row],[Tech Start Date]]&lt;1/1/1990,"",IF(Main[[#This Row],[Class]]="C",WORKDAY(Main[[#This Row],[Tech Start Date]],9),IF(Main[[#This Row],[Class]]="B", WORKDAY(Main[[#This Row],[Tech Start Date]],6),IF(Main[[#This Row],[Class]]="A",WORKDAY(Main[[#This Row],[Tech Start Date]],2),""))))</f>
        <v/>
      </c>
      <c r="N575" s="75" t="str">
        <f>IF(Main[[#This Row],[Tech Start Date]]&lt;1/1/1990,"",IF(Main[[#This Row],[Class]]="C",WORKDAY(Main[[#This Row],[Tech Start Date]],19),IF(Main[[#This Row],[Class]]="B", WORKDAY(Main[[#This Row],[Tech Start Date]],12),IF(Main[[#This Row],[Class]]="A",WORKDAY(Main[[#This Row],[Tech Start Date]],4),""))))</f>
        <v/>
      </c>
      <c r="O575" s="75" t="str">
        <f>IF(Main[[#This Row],[Tech Start Date]]&lt;1/1/1990,"",IF(Main[[#This Row],[Class]]="C",WORKDAY(Main[[#This Row],[Tech Start Date]],23),IF(Main[[#This Row],[Class]]="B", WORKDAY(Main[[#This Row],[Tech Start Date]],15),IF(Main[[#This Row],[Class]]="A",WORKDAY(Main[[#This Row],[Tech Start Date]],5),""))))</f>
        <v/>
      </c>
      <c r="P575" s="75" t="str">
        <f>IF(Main[[#This Row],[Tech Start Date]]&lt;1/1/1990,"",IF(Main[[#This Row],[Class]]="C",WORKDAY(Main[[#This Row],[Tech Start Date]],28),IF(Main[[#This Row],[Class]]="B", WORKDAY(Main[[#This Row],[Tech Start Date]],19),IF(Main[[#This Row],[Class]]="A",WORKDAY(Main[[#This Row],[Tech Start Date]],9),""))))</f>
        <v/>
      </c>
      <c r="Q575" s="89"/>
      <c r="R575" s="121"/>
      <c r="S575" s="99" t="s">
        <v>17</v>
      </c>
      <c r="T575" s="76" t="s">
        <v>4</v>
      </c>
      <c r="U575" s="99" t="s">
        <v>7</v>
      </c>
      <c r="V575" s="99" t="s">
        <v>1916</v>
      </c>
      <c r="W575" s="99" t="s">
        <v>4</v>
      </c>
      <c r="X575" s="99" t="s">
        <v>2821</v>
      </c>
      <c r="Y575" s="73" t="s">
        <v>2942</v>
      </c>
      <c r="Z575" s="73" t="s">
        <v>4</v>
      </c>
      <c r="AA575" s="99" t="s">
        <v>2821</v>
      </c>
    </row>
    <row r="576" spans="1:27" ht="17.25" customHeight="1">
      <c r="A576" s="65" t="str">
        <f>IF(priority(Main[[#This Row],[Comments]])&lt;&gt;0, priority(Main[[#This Row],[Comments]]),"")</f>
        <v/>
      </c>
      <c r="B576" s="60" t="s">
        <v>1399</v>
      </c>
      <c r="C576" s="105" t="s">
        <v>93</v>
      </c>
      <c r="D576" s="74" t="s">
        <v>562</v>
      </c>
      <c r="E576" s="89"/>
      <c r="F576" s="89">
        <v>40210</v>
      </c>
      <c r="G576" s="65" t="str">
        <f>IF(stdProdLT(Main[[#This Row],[Comments]])=0.1,"N/A",IF(stdProdLT(Main[[#This Row],[Comments]])=0,"",TRIM(stdProdLT(Main[[#This Row],[Comments]]))))</f>
        <v/>
      </c>
      <c r="H576" s="98" t="str">
        <f>IF(Main[[#This Row],[Std. Prod. Lead Time]]="N/A", "",IF(AND(Main[[#This Row],[In Stock Date]]&lt;&gt;"",Main[[#This Row],[Revised Due Date]]&lt;&gt;"",Main[[#This Row],[In Stock Date]]&lt;&gt;""),Main[[#This Row],[In Stock Date]]-Main[[#This Row],[Revised Due Date]],""))</f>
        <v/>
      </c>
      <c r="I576" s="110" t="s">
        <v>4</v>
      </c>
      <c r="J576" s="99" t="s">
        <v>4</v>
      </c>
      <c r="K576" s="99" t="s">
        <v>4</v>
      </c>
      <c r="L576" s="89"/>
      <c r="M576" s="75" t="str">
        <f>IF(Main[[#This Row],[Tech Start Date]]&lt;1/1/1990,"",IF(Main[[#This Row],[Class]]="C",WORKDAY(Main[[#This Row],[Tech Start Date]],9),IF(Main[[#This Row],[Class]]="B", WORKDAY(Main[[#This Row],[Tech Start Date]],6),IF(Main[[#This Row],[Class]]="A",WORKDAY(Main[[#This Row],[Tech Start Date]],2),""))))</f>
        <v/>
      </c>
      <c r="N576" s="75" t="str">
        <f>IF(Main[[#This Row],[Tech Start Date]]&lt;1/1/1990,"",IF(Main[[#This Row],[Class]]="C",WORKDAY(Main[[#This Row],[Tech Start Date]],19),IF(Main[[#This Row],[Class]]="B", WORKDAY(Main[[#This Row],[Tech Start Date]],12),IF(Main[[#This Row],[Class]]="A",WORKDAY(Main[[#This Row],[Tech Start Date]],4),""))))</f>
        <v/>
      </c>
      <c r="O576" s="75" t="str">
        <f>IF(Main[[#This Row],[Tech Start Date]]&lt;1/1/1990,"",IF(Main[[#This Row],[Class]]="C",WORKDAY(Main[[#This Row],[Tech Start Date]],23),IF(Main[[#This Row],[Class]]="B", WORKDAY(Main[[#This Row],[Tech Start Date]],15),IF(Main[[#This Row],[Class]]="A",WORKDAY(Main[[#This Row],[Tech Start Date]],5),""))))</f>
        <v/>
      </c>
      <c r="P576" s="75" t="str">
        <f>IF(Main[[#This Row],[Tech Start Date]]&lt;1/1/1990,"",IF(Main[[#This Row],[Class]]="C",WORKDAY(Main[[#This Row],[Tech Start Date]],28),IF(Main[[#This Row],[Class]]="B", WORKDAY(Main[[#This Row],[Tech Start Date]],19),IF(Main[[#This Row],[Class]]="A",WORKDAY(Main[[#This Row],[Tech Start Date]],9),""))))</f>
        <v/>
      </c>
      <c r="Q576" s="89">
        <v>40195</v>
      </c>
      <c r="R576" s="121"/>
      <c r="S576" s="99" t="s">
        <v>11</v>
      </c>
      <c r="T576" s="76" t="s">
        <v>4</v>
      </c>
      <c r="U576" s="99" t="s">
        <v>12</v>
      </c>
      <c r="V576" s="99" t="s">
        <v>1923</v>
      </c>
      <c r="W576" s="99" t="s">
        <v>1924</v>
      </c>
      <c r="X576" s="99" t="s">
        <v>2839</v>
      </c>
      <c r="Y576" s="73" t="s">
        <v>4</v>
      </c>
      <c r="Z576" s="73" t="s">
        <v>4</v>
      </c>
      <c r="AA576" s="99" t="s">
        <v>2839</v>
      </c>
    </row>
    <row r="577" spans="1:27" ht="17.25" customHeight="1">
      <c r="A577" s="65" t="str">
        <f>IF(priority(Main[[#This Row],[Comments]])&lt;&gt;0, priority(Main[[#This Row],[Comments]]),"")</f>
        <v/>
      </c>
      <c r="B577" s="60" t="s">
        <v>1743</v>
      </c>
      <c r="C577" s="105" t="s">
        <v>4</v>
      </c>
      <c r="D577" s="74" t="s">
        <v>793</v>
      </c>
      <c r="E577" s="89">
        <v>40584.406446759262</v>
      </c>
      <c r="F577" s="89">
        <v>40602</v>
      </c>
      <c r="G577" s="65" t="str">
        <f>IF(stdProdLT(Main[[#This Row],[Comments]])=0.1,"N/A",IF(stdProdLT(Main[[#This Row],[Comments]])=0,"",TRIM(stdProdLT(Main[[#This Row],[Comments]]))))</f>
        <v/>
      </c>
      <c r="H577" s="98" t="str">
        <f>IF(Main[[#This Row],[Std. Prod. Lead Time]]="N/A", "",IF(AND(Main[[#This Row],[In Stock Date]]&lt;&gt;"",Main[[#This Row],[Revised Due Date]]&lt;&gt;"",Main[[#This Row],[In Stock Date]]&lt;&gt;""),Main[[#This Row],[In Stock Date]]-Main[[#This Row],[Revised Due Date]],""))</f>
        <v/>
      </c>
      <c r="I577" s="110" t="s">
        <v>4</v>
      </c>
      <c r="J577" s="99" t="s">
        <v>28</v>
      </c>
      <c r="K577" s="99" t="s">
        <v>1925</v>
      </c>
      <c r="L577" s="89"/>
      <c r="M577" s="75" t="str">
        <f>IF(Main[[#This Row],[Tech Start Date]]&lt;1/1/1990,"",IF(Main[[#This Row],[Class]]="C",WORKDAY(Main[[#This Row],[Tech Start Date]],9),IF(Main[[#This Row],[Class]]="B", WORKDAY(Main[[#This Row],[Tech Start Date]],6),IF(Main[[#This Row],[Class]]="A",WORKDAY(Main[[#This Row],[Tech Start Date]],2),""))))</f>
        <v/>
      </c>
      <c r="N577" s="75" t="str">
        <f>IF(Main[[#This Row],[Tech Start Date]]&lt;1/1/1990,"",IF(Main[[#This Row],[Class]]="C",WORKDAY(Main[[#This Row],[Tech Start Date]],19),IF(Main[[#This Row],[Class]]="B", WORKDAY(Main[[#This Row],[Tech Start Date]],12),IF(Main[[#This Row],[Class]]="A",WORKDAY(Main[[#This Row],[Tech Start Date]],4),""))))</f>
        <v/>
      </c>
      <c r="O577" s="75" t="str">
        <f>IF(Main[[#This Row],[Tech Start Date]]&lt;1/1/1990,"",IF(Main[[#This Row],[Class]]="C",WORKDAY(Main[[#This Row],[Tech Start Date]],23),IF(Main[[#This Row],[Class]]="B", WORKDAY(Main[[#This Row],[Tech Start Date]],15),IF(Main[[#This Row],[Class]]="A",WORKDAY(Main[[#This Row],[Tech Start Date]],5),""))))</f>
        <v/>
      </c>
      <c r="P577" s="75" t="str">
        <f>IF(Main[[#This Row],[Tech Start Date]]&lt;1/1/1990,"",IF(Main[[#This Row],[Class]]="C",WORKDAY(Main[[#This Row],[Tech Start Date]],28),IF(Main[[#This Row],[Class]]="B", WORKDAY(Main[[#This Row],[Tech Start Date]],19),IF(Main[[#This Row],[Class]]="A",WORKDAY(Main[[#This Row],[Tech Start Date]],9),""))))</f>
        <v/>
      </c>
      <c r="Q577" s="89">
        <v>40602</v>
      </c>
      <c r="R577" s="121"/>
      <c r="S577" s="99" t="s">
        <v>17</v>
      </c>
      <c r="T577" s="76" t="s">
        <v>4</v>
      </c>
      <c r="U577" s="99" t="s">
        <v>7</v>
      </c>
      <c r="V577" s="99" t="s">
        <v>1913</v>
      </c>
      <c r="W577" s="99" t="s">
        <v>1921</v>
      </c>
      <c r="X577" s="99" t="s">
        <v>2822</v>
      </c>
      <c r="Y577" s="73" t="s">
        <v>2944</v>
      </c>
      <c r="Z577" s="73" t="s">
        <v>129</v>
      </c>
      <c r="AA577" s="99" t="s">
        <v>2822</v>
      </c>
    </row>
    <row r="578" spans="1:27" ht="17.25" customHeight="1">
      <c r="A578" s="65" t="str">
        <f>IF(priority(Main[[#This Row],[Comments]])&lt;&gt;0, priority(Main[[#This Row],[Comments]]),"")</f>
        <v/>
      </c>
      <c r="B578" s="60" t="s">
        <v>1402</v>
      </c>
      <c r="C578" s="105" t="s">
        <v>31</v>
      </c>
      <c r="D578" s="74" t="s">
        <v>484</v>
      </c>
      <c r="E578" s="89"/>
      <c r="F578" s="89"/>
      <c r="G578" s="65" t="str">
        <f>IF(stdProdLT(Main[[#This Row],[Comments]])=0.1,"N/A",IF(stdProdLT(Main[[#This Row],[Comments]])=0,"",TRIM(stdProdLT(Main[[#This Row],[Comments]]))))</f>
        <v/>
      </c>
      <c r="H578" s="98" t="str">
        <f>IF(Main[[#This Row],[Std. Prod. Lead Time]]="N/A", "",IF(AND(Main[[#This Row],[In Stock Date]]&lt;&gt;"",Main[[#This Row],[Revised Due Date]]&lt;&gt;"",Main[[#This Row],[In Stock Date]]&lt;&gt;""),Main[[#This Row],[In Stock Date]]-Main[[#This Row],[Revised Due Date]],""))</f>
        <v/>
      </c>
      <c r="I578" s="110" t="s">
        <v>4</v>
      </c>
      <c r="J578" s="99" t="s">
        <v>4</v>
      </c>
      <c r="K578" s="99" t="s">
        <v>4</v>
      </c>
      <c r="L578" s="89"/>
      <c r="M578" s="75" t="str">
        <f>IF(Main[[#This Row],[Tech Start Date]]&lt;1/1/1990,"",IF(Main[[#This Row],[Class]]="C",WORKDAY(Main[[#This Row],[Tech Start Date]],9),IF(Main[[#This Row],[Class]]="B", WORKDAY(Main[[#This Row],[Tech Start Date]],6),IF(Main[[#This Row],[Class]]="A",WORKDAY(Main[[#This Row],[Tech Start Date]],2),""))))</f>
        <v/>
      </c>
      <c r="N578" s="75" t="str">
        <f>IF(Main[[#This Row],[Tech Start Date]]&lt;1/1/1990,"",IF(Main[[#This Row],[Class]]="C",WORKDAY(Main[[#This Row],[Tech Start Date]],19),IF(Main[[#This Row],[Class]]="B", WORKDAY(Main[[#This Row],[Tech Start Date]],12),IF(Main[[#This Row],[Class]]="A",WORKDAY(Main[[#This Row],[Tech Start Date]],4),""))))</f>
        <v/>
      </c>
      <c r="O578" s="75" t="str">
        <f>IF(Main[[#This Row],[Tech Start Date]]&lt;1/1/1990,"",IF(Main[[#This Row],[Class]]="C",WORKDAY(Main[[#This Row],[Tech Start Date]],23),IF(Main[[#This Row],[Class]]="B", WORKDAY(Main[[#This Row],[Tech Start Date]],15),IF(Main[[#This Row],[Class]]="A",WORKDAY(Main[[#This Row],[Tech Start Date]],5),""))))</f>
        <v/>
      </c>
      <c r="P578" s="75" t="str">
        <f>IF(Main[[#This Row],[Tech Start Date]]&lt;1/1/1990,"",IF(Main[[#This Row],[Class]]="C",WORKDAY(Main[[#This Row],[Tech Start Date]],28),IF(Main[[#This Row],[Class]]="B", WORKDAY(Main[[#This Row],[Tech Start Date]],19),IF(Main[[#This Row],[Class]]="A",WORKDAY(Main[[#This Row],[Tech Start Date]],9),""))))</f>
        <v/>
      </c>
      <c r="Q578" s="89">
        <v>40318</v>
      </c>
      <c r="R578" s="121"/>
      <c r="S578" s="99" t="s">
        <v>11</v>
      </c>
      <c r="T578" s="76" t="s">
        <v>4</v>
      </c>
      <c r="U578" s="99" t="s">
        <v>14</v>
      </c>
      <c r="V578" s="99" t="s">
        <v>1916</v>
      </c>
      <c r="W578" s="99" t="s">
        <v>1915</v>
      </c>
      <c r="X578" s="99" t="s">
        <v>2824</v>
      </c>
      <c r="Y578" s="73" t="s">
        <v>4</v>
      </c>
      <c r="Z578" s="73" t="s">
        <v>4</v>
      </c>
      <c r="AA578" s="99" t="s">
        <v>2824</v>
      </c>
    </row>
    <row r="579" spans="1:27" ht="17.25" customHeight="1">
      <c r="A579" s="65" t="str">
        <f>IF(priority(Main[[#This Row],[Comments]])&lt;&gt;0, priority(Main[[#This Row],[Comments]]),"")</f>
        <v/>
      </c>
      <c r="B579" s="60" t="s">
        <v>2186</v>
      </c>
      <c r="C579" s="105" t="s">
        <v>4</v>
      </c>
      <c r="D579" s="74" t="s">
        <v>2187</v>
      </c>
      <c r="E579" s="89">
        <v>40784.623067129629</v>
      </c>
      <c r="F579" s="89"/>
      <c r="G579" s="65" t="str">
        <f>IF(stdProdLT(Main[[#This Row],[Comments]])=0.1,"N/A",IF(stdProdLT(Main[[#This Row],[Comments]])=0,"",TRIM(stdProdLT(Main[[#This Row],[Comments]]))))</f>
        <v/>
      </c>
      <c r="H579" s="98" t="str">
        <f>IF(Main[[#This Row],[Std. Prod. Lead Time]]="N/A", "",IF(AND(Main[[#This Row],[In Stock Date]]&lt;&gt;"",Main[[#This Row],[Revised Due Date]]&lt;&gt;"",Main[[#This Row],[In Stock Date]]&lt;&gt;""),Main[[#This Row],[In Stock Date]]-Main[[#This Row],[Revised Due Date]],""))</f>
        <v/>
      </c>
      <c r="I579" s="110" t="s">
        <v>4</v>
      </c>
      <c r="J579" s="99" t="s">
        <v>4</v>
      </c>
      <c r="K579" s="99" t="s">
        <v>4</v>
      </c>
      <c r="L579" s="89"/>
      <c r="M579" s="75" t="str">
        <f>IF(Main[[#This Row],[Tech Start Date]]&lt;1/1/1990,"",IF(Main[[#This Row],[Class]]="C",WORKDAY(Main[[#This Row],[Tech Start Date]],9),IF(Main[[#This Row],[Class]]="B", WORKDAY(Main[[#This Row],[Tech Start Date]],6),IF(Main[[#This Row],[Class]]="A",WORKDAY(Main[[#This Row],[Tech Start Date]],2),""))))</f>
        <v/>
      </c>
      <c r="N579" s="75" t="str">
        <f>IF(Main[[#This Row],[Tech Start Date]]&lt;1/1/1990,"",IF(Main[[#This Row],[Class]]="C",WORKDAY(Main[[#This Row],[Tech Start Date]],19),IF(Main[[#This Row],[Class]]="B", WORKDAY(Main[[#This Row],[Tech Start Date]],12),IF(Main[[#This Row],[Class]]="A",WORKDAY(Main[[#This Row],[Tech Start Date]],4),""))))</f>
        <v/>
      </c>
      <c r="O579" s="75" t="str">
        <f>IF(Main[[#This Row],[Tech Start Date]]&lt;1/1/1990,"",IF(Main[[#This Row],[Class]]="C",WORKDAY(Main[[#This Row],[Tech Start Date]],23),IF(Main[[#This Row],[Class]]="B", WORKDAY(Main[[#This Row],[Tech Start Date]],15),IF(Main[[#This Row],[Class]]="A",WORKDAY(Main[[#This Row],[Tech Start Date]],5),""))))</f>
        <v/>
      </c>
      <c r="P579" s="75" t="str">
        <f>IF(Main[[#This Row],[Tech Start Date]]&lt;1/1/1990,"",IF(Main[[#This Row],[Class]]="C",WORKDAY(Main[[#This Row],[Tech Start Date]],28),IF(Main[[#This Row],[Class]]="B", WORKDAY(Main[[#This Row],[Tech Start Date]],19),IF(Main[[#This Row],[Class]]="A",WORKDAY(Main[[#This Row],[Tech Start Date]],9),""))))</f>
        <v/>
      </c>
      <c r="Q579" s="89"/>
      <c r="R579" s="121"/>
      <c r="S579" s="99" t="s">
        <v>17</v>
      </c>
      <c r="T579" s="76" t="s">
        <v>4</v>
      </c>
      <c r="U579" s="99" t="s">
        <v>7</v>
      </c>
      <c r="V579" s="99" t="s">
        <v>1916</v>
      </c>
      <c r="W579" s="99" t="s">
        <v>1918</v>
      </c>
      <c r="X579" s="99" t="s">
        <v>2879</v>
      </c>
      <c r="Y579" s="73" t="s">
        <v>3035</v>
      </c>
      <c r="Z579" s="73" t="s">
        <v>4</v>
      </c>
      <c r="AA579" s="99" t="s">
        <v>2879</v>
      </c>
    </row>
    <row r="580" spans="1:27" ht="17.25" customHeight="1">
      <c r="A580" s="65" t="str">
        <f>IF(priority(Main[[#This Row],[Comments]])&lt;&gt;0, priority(Main[[#This Row],[Comments]]),"")</f>
        <v/>
      </c>
      <c r="B580" s="60" t="s">
        <v>1404</v>
      </c>
      <c r="C580" s="105" t="s">
        <v>184</v>
      </c>
      <c r="D580" s="74" t="s">
        <v>486</v>
      </c>
      <c r="E580" s="89"/>
      <c r="F580" s="89"/>
      <c r="G580" s="65" t="str">
        <f>IF(stdProdLT(Main[[#This Row],[Comments]])=0.1,"N/A",IF(stdProdLT(Main[[#This Row],[Comments]])=0,"",TRIM(stdProdLT(Main[[#This Row],[Comments]]))))</f>
        <v/>
      </c>
      <c r="H580" s="98" t="str">
        <f>IF(Main[[#This Row],[Std. Prod. Lead Time]]="N/A", "",IF(AND(Main[[#This Row],[In Stock Date]]&lt;&gt;"",Main[[#This Row],[Revised Due Date]]&lt;&gt;"",Main[[#This Row],[In Stock Date]]&lt;&gt;""),Main[[#This Row],[In Stock Date]]-Main[[#This Row],[Revised Due Date]],""))</f>
        <v/>
      </c>
      <c r="I580" s="110" t="s">
        <v>4</v>
      </c>
      <c r="J580" s="99" t="s">
        <v>4</v>
      </c>
      <c r="K580" s="99" t="s">
        <v>4</v>
      </c>
      <c r="L580" s="89"/>
      <c r="M580" s="75" t="str">
        <f>IF(Main[[#This Row],[Tech Start Date]]&lt;1/1/1990,"",IF(Main[[#This Row],[Class]]="C",WORKDAY(Main[[#This Row],[Tech Start Date]],9),IF(Main[[#This Row],[Class]]="B", WORKDAY(Main[[#This Row],[Tech Start Date]],6),IF(Main[[#This Row],[Class]]="A",WORKDAY(Main[[#This Row],[Tech Start Date]],2),""))))</f>
        <v/>
      </c>
      <c r="N580" s="75" t="str">
        <f>IF(Main[[#This Row],[Tech Start Date]]&lt;1/1/1990,"",IF(Main[[#This Row],[Class]]="C",WORKDAY(Main[[#This Row],[Tech Start Date]],19),IF(Main[[#This Row],[Class]]="B", WORKDAY(Main[[#This Row],[Tech Start Date]],12),IF(Main[[#This Row],[Class]]="A",WORKDAY(Main[[#This Row],[Tech Start Date]],4),""))))</f>
        <v/>
      </c>
      <c r="O580" s="75" t="str">
        <f>IF(Main[[#This Row],[Tech Start Date]]&lt;1/1/1990,"",IF(Main[[#This Row],[Class]]="C",WORKDAY(Main[[#This Row],[Tech Start Date]],23),IF(Main[[#This Row],[Class]]="B", WORKDAY(Main[[#This Row],[Tech Start Date]],15),IF(Main[[#This Row],[Class]]="A",WORKDAY(Main[[#This Row],[Tech Start Date]],5),""))))</f>
        <v/>
      </c>
      <c r="P580" s="75" t="str">
        <f>IF(Main[[#This Row],[Tech Start Date]]&lt;1/1/1990,"",IF(Main[[#This Row],[Class]]="C",WORKDAY(Main[[#This Row],[Tech Start Date]],28),IF(Main[[#This Row],[Class]]="B", WORKDAY(Main[[#This Row],[Tech Start Date]],19),IF(Main[[#This Row],[Class]]="A",WORKDAY(Main[[#This Row],[Tech Start Date]],9),""))))</f>
        <v/>
      </c>
      <c r="Q580" s="89">
        <v>40116</v>
      </c>
      <c r="R580" s="121"/>
      <c r="S580" s="99" t="s">
        <v>11</v>
      </c>
      <c r="T580" s="76" t="s">
        <v>4</v>
      </c>
      <c r="U580" s="99" t="s">
        <v>14</v>
      </c>
      <c r="V580" s="99" t="s">
        <v>1916</v>
      </c>
      <c r="W580" s="99" t="s">
        <v>1915</v>
      </c>
      <c r="X580" s="99" t="s">
        <v>2857</v>
      </c>
      <c r="Y580" s="73" t="s">
        <v>4</v>
      </c>
      <c r="Z580" s="73" t="s">
        <v>4</v>
      </c>
      <c r="AA580" s="99" t="s">
        <v>2857</v>
      </c>
    </row>
    <row r="581" spans="1:27" ht="17.25" customHeight="1">
      <c r="A581" s="65" t="str">
        <f>IF(priority(Main[[#This Row],[Comments]])&lt;&gt;0, priority(Main[[#This Row],[Comments]]),"")</f>
        <v/>
      </c>
      <c r="B581" s="60" t="s">
        <v>1570</v>
      </c>
      <c r="C581" s="105" t="s">
        <v>650</v>
      </c>
      <c r="D581" s="74" t="s">
        <v>651</v>
      </c>
      <c r="E581" s="89">
        <v>40350.419861111113</v>
      </c>
      <c r="F581" s="89">
        <v>40444</v>
      </c>
      <c r="G581" s="65" t="str">
        <f>IF(stdProdLT(Main[[#This Row],[Comments]])=0.1,"N/A",IF(stdProdLT(Main[[#This Row],[Comments]])=0,"",TRIM(stdProdLT(Main[[#This Row],[Comments]]))))</f>
        <v/>
      </c>
      <c r="H581" s="98" t="str">
        <f>IF(Main[[#This Row],[Std. Prod. Lead Time]]="N/A", "",IF(AND(Main[[#This Row],[In Stock Date]]&lt;&gt;"",Main[[#This Row],[Revised Due Date]]&lt;&gt;"",Main[[#This Row],[In Stock Date]]&lt;&gt;""),Main[[#This Row],[In Stock Date]]-Main[[#This Row],[Revised Due Date]],""))</f>
        <v/>
      </c>
      <c r="I581" s="110" t="s">
        <v>652</v>
      </c>
      <c r="J581" s="99" t="s">
        <v>28</v>
      </c>
      <c r="K581" s="99" t="s">
        <v>1925</v>
      </c>
      <c r="L581" s="89"/>
      <c r="M581" s="75" t="str">
        <f>IF(Main[[#This Row],[Tech Start Date]]&lt;1/1/1990,"",IF(Main[[#This Row],[Class]]="C",WORKDAY(Main[[#This Row],[Tech Start Date]],9),IF(Main[[#This Row],[Class]]="B", WORKDAY(Main[[#This Row],[Tech Start Date]],6),IF(Main[[#This Row],[Class]]="A",WORKDAY(Main[[#This Row],[Tech Start Date]],2),""))))</f>
        <v/>
      </c>
      <c r="N581" s="75" t="str">
        <f>IF(Main[[#This Row],[Tech Start Date]]&lt;1/1/1990,"",IF(Main[[#This Row],[Class]]="C",WORKDAY(Main[[#This Row],[Tech Start Date]],19),IF(Main[[#This Row],[Class]]="B", WORKDAY(Main[[#This Row],[Tech Start Date]],12),IF(Main[[#This Row],[Class]]="A",WORKDAY(Main[[#This Row],[Tech Start Date]],4),""))))</f>
        <v/>
      </c>
      <c r="O581" s="75" t="str">
        <f>IF(Main[[#This Row],[Tech Start Date]]&lt;1/1/1990,"",IF(Main[[#This Row],[Class]]="C",WORKDAY(Main[[#This Row],[Tech Start Date]],23),IF(Main[[#This Row],[Class]]="B", WORKDAY(Main[[#This Row],[Tech Start Date]],15),IF(Main[[#This Row],[Class]]="A",WORKDAY(Main[[#This Row],[Tech Start Date]],5),""))))</f>
        <v/>
      </c>
      <c r="P581" s="75" t="str">
        <f>IF(Main[[#This Row],[Tech Start Date]]&lt;1/1/1990,"",IF(Main[[#This Row],[Class]]="C",WORKDAY(Main[[#This Row],[Tech Start Date]],28),IF(Main[[#This Row],[Class]]="B", WORKDAY(Main[[#This Row],[Tech Start Date]],19),IF(Main[[#This Row],[Class]]="A",WORKDAY(Main[[#This Row],[Tech Start Date]],9),""))))</f>
        <v/>
      </c>
      <c r="Q581" s="89">
        <v>40353</v>
      </c>
      <c r="R581" s="121"/>
      <c r="S581" s="99" t="s">
        <v>17</v>
      </c>
      <c r="T581" s="76" t="s">
        <v>4</v>
      </c>
      <c r="U581" s="99" t="s">
        <v>7</v>
      </c>
      <c r="V581" s="99" t="s">
        <v>1916</v>
      </c>
      <c r="W581" s="99" t="s">
        <v>1918</v>
      </c>
      <c r="X581" s="99" t="s">
        <v>2880</v>
      </c>
      <c r="Y581" s="73" t="s">
        <v>3036</v>
      </c>
      <c r="Z581" s="73" t="s">
        <v>530</v>
      </c>
      <c r="AA581" s="99" t="s">
        <v>3406</v>
      </c>
    </row>
    <row r="582" spans="1:27" ht="17.25" customHeight="1">
      <c r="A582" s="65" t="str">
        <f>IF(priority(Main[[#This Row],[Comments]])&lt;&gt;0, priority(Main[[#This Row],[Comments]]),"")</f>
        <v/>
      </c>
      <c r="B582" s="60" t="s">
        <v>1406</v>
      </c>
      <c r="C582" s="105" t="s">
        <v>67</v>
      </c>
      <c r="D582" s="74" t="s">
        <v>488</v>
      </c>
      <c r="E582" s="89"/>
      <c r="F582" s="89">
        <v>40561</v>
      </c>
      <c r="G582" s="65" t="str">
        <f>IF(stdProdLT(Main[[#This Row],[Comments]])=0.1,"N/A",IF(stdProdLT(Main[[#This Row],[Comments]])=0,"",TRIM(stdProdLT(Main[[#This Row],[Comments]]))))</f>
        <v/>
      </c>
      <c r="H582" s="98" t="str">
        <f>IF(Main[[#This Row],[Std. Prod. Lead Time]]="N/A", "",IF(AND(Main[[#This Row],[In Stock Date]]&lt;&gt;"",Main[[#This Row],[Revised Due Date]]&lt;&gt;"",Main[[#This Row],[In Stock Date]]&lt;&gt;""),Main[[#This Row],[In Stock Date]]-Main[[#This Row],[Revised Due Date]],""))</f>
        <v/>
      </c>
      <c r="I582" s="110" t="s">
        <v>4</v>
      </c>
      <c r="J582" s="99" t="s">
        <v>4</v>
      </c>
      <c r="K582" s="100" t="s">
        <v>4</v>
      </c>
      <c r="L582" s="89"/>
      <c r="M582" s="75" t="str">
        <f>IF(Main[[#This Row],[Tech Start Date]]&lt;1/1/1990,"",IF(Main[[#This Row],[Class]]="C",WORKDAY(Main[[#This Row],[Tech Start Date]],9),IF(Main[[#This Row],[Class]]="B", WORKDAY(Main[[#This Row],[Tech Start Date]],6),IF(Main[[#This Row],[Class]]="A",WORKDAY(Main[[#This Row],[Tech Start Date]],2),""))))</f>
        <v/>
      </c>
      <c r="N582" s="75" t="str">
        <f>IF(Main[[#This Row],[Tech Start Date]]&lt;1/1/1990,"",IF(Main[[#This Row],[Class]]="C",WORKDAY(Main[[#This Row],[Tech Start Date]],19),IF(Main[[#This Row],[Class]]="B", WORKDAY(Main[[#This Row],[Tech Start Date]],12),IF(Main[[#This Row],[Class]]="A",WORKDAY(Main[[#This Row],[Tech Start Date]],4),""))))</f>
        <v/>
      </c>
      <c r="O582" s="75" t="str">
        <f>IF(Main[[#This Row],[Tech Start Date]]&lt;1/1/1990,"",IF(Main[[#This Row],[Class]]="C",WORKDAY(Main[[#This Row],[Tech Start Date]],23),IF(Main[[#This Row],[Class]]="B", WORKDAY(Main[[#This Row],[Tech Start Date]],15),IF(Main[[#This Row],[Class]]="A",WORKDAY(Main[[#This Row],[Tech Start Date]],5),""))))</f>
        <v/>
      </c>
      <c r="P582" s="75" t="str">
        <f>IF(Main[[#This Row],[Tech Start Date]]&lt;1/1/1990,"",IF(Main[[#This Row],[Class]]="C",WORKDAY(Main[[#This Row],[Tech Start Date]],28),IF(Main[[#This Row],[Class]]="B", WORKDAY(Main[[#This Row],[Tech Start Date]],19),IF(Main[[#This Row],[Class]]="A",WORKDAY(Main[[#This Row],[Tech Start Date]],9),""))))</f>
        <v/>
      </c>
      <c r="Q582" s="89"/>
      <c r="R582" s="121"/>
      <c r="S582" s="99" t="s">
        <v>11</v>
      </c>
      <c r="T582" s="76" t="s">
        <v>4</v>
      </c>
      <c r="U582" s="99" t="s">
        <v>14</v>
      </c>
      <c r="V582" s="99" t="s">
        <v>1916</v>
      </c>
      <c r="W582" s="99" t="s">
        <v>1919</v>
      </c>
      <c r="X582" s="99" t="s">
        <v>50</v>
      </c>
      <c r="Y582" s="73" t="s">
        <v>4</v>
      </c>
      <c r="Z582" s="73" t="s">
        <v>4</v>
      </c>
      <c r="AA582" s="99" t="s">
        <v>4</v>
      </c>
    </row>
    <row r="583" spans="1:27" ht="17.25" customHeight="1">
      <c r="A583" s="65" t="str">
        <f>IF(priority(Main[[#This Row],[Comments]])&lt;&gt;0, priority(Main[[#This Row],[Comments]]),"")</f>
        <v/>
      </c>
      <c r="B583" s="60" t="s">
        <v>1408</v>
      </c>
      <c r="C583" s="105" t="s">
        <v>31</v>
      </c>
      <c r="D583" s="74" t="s">
        <v>490</v>
      </c>
      <c r="E583" s="89"/>
      <c r="F583" s="89">
        <v>40203</v>
      </c>
      <c r="G583" s="65" t="str">
        <f>IF(stdProdLT(Main[[#This Row],[Comments]])=0.1,"N/A",IF(stdProdLT(Main[[#This Row],[Comments]])=0,"",TRIM(stdProdLT(Main[[#This Row],[Comments]]))))</f>
        <v/>
      </c>
      <c r="H583" s="98" t="str">
        <f>IF(Main[[#This Row],[Std. Prod. Lead Time]]="N/A", "",IF(AND(Main[[#This Row],[In Stock Date]]&lt;&gt;"",Main[[#This Row],[Revised Due Date]]&lt;&gt;"",Main[[#This Row],[In Stock Date]]&lt;&gt;""),Main[[#This Row],[In Stock Date]]-Main[[#This Row],[Revised Due Date]],""))</f>
        <v/>
      </c>
      <c r="I583" s="110" t="s">
        <v>4</v>
      </c>
      <c r="J583" s="99" t="s">
        <v>4</v>
      </c>
      <c r="K583" s="99" t="s">
        <v>4</v>
      </c>
      <c r="L583" s="89"/>
      <c r="M583" s="75" t="str">
        <f>IF(Main[[#This Row],[Tech Start Date]]&lt;1/1/1990,"",IF(Main[[#This Row],[Class]]="C",WORKDAY(Main[[#This Row],[Tech Start Date]],9),IF(Main[[#This Row],[Class]]="B", WORKDAY(Main[[#This Row],[Tech Start Date]],6),IF(Main[[#This Row],[Class]]="A",WORKDAY(Main[[#This Row],[Tech Start Date]],2),""))))</f>
        <v/>
      </c>
      <c r="N583" s="75" t="str">
        <f>IF(Main[[#This Row],[Tech Start Date]]&lt;1/1/1990,"",IF(Main[[#This Row],[Class]]="C",WORKDAY(Main[[#This Row],[Tech Start Date]],19),IF(Main[[#This Row],[Class]]="B", WORKDAY(Main[[#This Row],[Tech Start Date]],12),IF(Main[[#This Row],[Class]]="A",WORKDAY(Main[[#This Row],[Tech Start Date]],4),""))))</f>
        <v/>
      </c>
      <c r="O583" s="75" t="str">
        <f>IF(Main[[#This Row],[Tech Start Date]]&lt;1/1/1990,"",IF(Main[[#This Row],[Class]]="C",WORKDAY(Main[[#This Row],[Tech Start Date]],23),IF(Main[[#This Row],[Class]]="B", WORKDAY(Main[[#This Row],[Tech Start Date]],15),IF(Main[[#This Row],[Class]]="A",WORKDAY(Main[[#This Row],[Tech Start Date]],5),""))))</f>
        <v/>
      </c>
      <c r="P583" s="75" t="str">
        <f>IF(Main[[#This Row],[Tech Start Date]]&lt;1/1/1990,"",IF(Main[[#This Row],[Class]]="C",WORKDAY(Main[[#This Row],[Tech Start Date]],28),IF(Main[[#This Row],[Class]]="B", WORKDAY(Main[[#This Row],[Tech Start Date]],19),IF(Main[[#This Row],[Class]]="A",WORKDAY(Main[[#This Row],[Tech Start Date]],9),""))))</f>
        <v/>
      </c>
      <c r="Q583" s="89">
        <v>40063</v>
      </c>
      <c r="R583" s="121"/>
      <c r="S583" s="99" t="s">
        <v>11</v>
      </c>
      <c r="T583" s="76" t="s">
        <v>4</v>
      </c>
      <c r="U583" s="99" t="s">
        <v>14</v>
      </c>
      <c r="V583" s="99" t="s">
        <v>1923</v>
      </c>
      <c r="W583" s="99" t="s">
        <v>1919</v>
      </c>
      <c r="X583" s="99" t="s">
        <v>2865</v>
      </c>
      <c r="Y583" s="73" t="s">
        <v>4</v>
      </c>
      <c r="Z583" s="73" t="s">
        <v>4</v>
      </c>
      <c r="AA583" s="99" t="s">
        <v>2865</v>
      </c>
    </row>
    <row r="584" spans="1:27" ht="17.25" customHeight="1">
      <c r="A584" s="65" t="str">
        <f>IF(priority(Main[[#This Row],[Comments]])&lt;&gt;0, priority(Main[[#This Row],[Comments]]),"")</f>
        <v/>
      </c>
      <c r="B584" s="60" t="s">
        <v>1409</v>
      </c>
      <c r="C584" s="105" t="s">
        <v>4</v>
      </c>
      <c r="D584" s="74" t="s">
        <v>491</v>
      </c>
      <c r="E584" s="89">
        <v>40381.391886574071</v>
      </c>
      <c r="F584" s="89"/>
      <c r="G584" s="65" t="str">
        <f>IF(stdProdLT(Main[[#This Row],[Comments]])=0.1,"N/A",IF(stdProdLT(Main[[#This Row],[Comments]])=0,"",TRIM(stdProdLT(Main[[#This Row],[Comments]]))))</f>
        <v/>
      </c>
      <c r="H584" s="98" t="str">
        <f>IF(Main[[#This Row],[Std. Prod. Lead Time]]="N/A", "",IF(AND(Main[[#This Row],[In Stock Date]]&lt;&gt;"",Main[[#This Row],[Revised Due Date]]&lt;&gt;"",Main[[#This Row],[In Stock Date]]&lt;&gt;""),Main[[#This Row],[In Stock Date]]-Main[[#This Row],[Revised Due Date]],""))</f>
        <v/>
      </c>
      <c r="I584" s="110" t="s">
        <v>4</v>
      </c>
      <c r="J584" s="99" t="s">
        <v>28</v>
      </c>
      <c r="K584" s="99" t="s">
        <v>4</v>
      </c>
      <c r="L584" s="89"/>
      <c r="M584" s="75" t="str">
        <f>IF(Main[[#This Row],[Tech Start Date]]&lt;1/1/1990,"",IF(Main[[#This Row],[Class]]="C",WORKDAY(Main[[#This Row],[Tech Start Date]],9),IF(Main[[#This Row],[Class]]="B", WORKDAY(Main[[#This Row],[Tech Start Date]],6),IF(Main[[#This Row],[Class]]="A",WORKDAY(Main[[#This Row],[Tech Start Date]],2),""))))</f>
        <v/>
      </c>
      <c r="N584" s="75" t="str">
        <f>IF(Main[[#This Row],[Tech Start Date]]&lt;1/1/1990,"",IF(Main[[#This Row],[Class]]="C",WORKDAY(Main[[#This Row],[Tech Start Date]],19),IF(Main[[#This Row],[Class]]="B", WORKDAY(Main[[#This Row],[Tech Start Date]],12),IF(Main[[#This Row],[Class]]="A",WORKDAY(Main[[#This Row],[Tech Start Date]],4),""))))</f>
        <v/>
      </c>
      <c r="O584" s="75" t="str">
        <f>IF(Main[[#This Row],[Tech Start Date]]&lt;1/1/1990,"",IF(Main[[#This Row],[Class]]="C",WORKDAY(Main[[#This Row],[Tech Start Date]],23),IF(Main[[#This Row],[Class]]="B", WORKDAY(Main[[#This Row],[Tech Start Date]],15),IF(Main[[#This Row],[Class]]="A",WORKDAY(Main[[#This Row],[Tech Start Date]],5),""))))</f>
        <v/>
      </c>
      <c r="P584" s="75" t="str">
        <f>IF(Main[[#This Row],[Tech Start Date]]&lt;1/1/1990,"",IF(Main[[#This Row],[Class]]="C",WORKDAY(Main[[#This Row],[Tech Start Date]],28),IF(Main[[#This Row],[Class]]="B", WORKDAY(Main[[#This Row],[Tech Start Date]],19),IF(Main[[#This Row],[Class]]="A",WORKDAY(Main[[#This Row],[Tech Start Date]],9),""))))</f>
        <v/>
      </c>
      <c r="Q584" s="89">
        <v>40451</v>
      </c>
      <c r="R584" s="121"/>
      <c r="S584" s="99" t="s">
        <v>6</v>
      </c>
      <c r="T584" s="76" t="s">
        <v>4</v>
      </c>
      <c r="U584" s="99" t="s">
        <v>7</v>
      </c>
      <c r="V584" s="99" t="s">
        <v>1913</v>
      </c>
      <c r="W584" s="99" t="s">
        <v>1915</v>
      </c>
      <c r="X584" s="99" t="s">
        <v>2881</v>
      </c>
      <c r="Y584" s="73" t="s">
        <v>3037</v>
      </c>
      <c r="Z584" s="73" t="s">
        <v>129</v>
      </c>
      <c r="AA584" s="99" t="s">
        <v>2881</v>
      </c>
    </row>
    <row r="585" spans="1:27" ht="17.25" customHeight="1">
      <c r="A585" s="65" t="str">
        <f>IF(priority(Main[[#This Row],[Comments]])&lt;&gt;0, priority(Main[[#This Row],[Comments]]),"")</f>
        <v/>
      </c>
      <c r="B585" s="60" t="s">
        <v>2710</v>
      </c>
      <c r="C585" s="105" t="s">
        <v>4</v>
      </c>
      <c r="D585" s="74" t="s">
        <v>2711</v>
      </c>
      <c r="E585" s="89">
        <v>40897.44736111111</v>
      </c>
      <c r="F585" s="89"/>
      <c r="G585" s="65" t="str">
        <f>IF(stdProdLT(Main[[#This Row],[Comments]])=0.1,"N/A",IF(stdProdLT(Main[[#This Row],[Comments]])=0,"",TRIM(stdProdLT(Main[[#This Row],[Comments]]))))</f>
        <v/>
      </c>
      <c r="H585" s="98" t="str">
        <f>IF(Main[[#This Row],[Std. Prod. Lead Time]]="N/A", "",IF(AND(Main[[#This Row],[In Stock Date]]&lt;&gt;"",Main[[#This Row],[Revised Due Date]]&lt;&gt;"",Main[[#This Row],[In Stock Date]]&lt;&gt;""),Main[[#This Row],[In Stock Date]]-Main[[#This Row],[Revised Due Date]],""))</f>
        <v/>
      </c>
      <c r="I585" s="110" t="s">
        <v>4</v>
      </c>
      <c r="J585" s="99" t="s">
        <v>4</v>
      </c>
      <c r="K585" s="99" t="s">
        <v>4</v>
      </c>
      <c r="L585" s="89"/>
      <c r="M585" s="75" t="str">
        <f>IF(Main[[#This Row],[Tech Start Date]]&lt;1/1/1990,"",IF(Main[[#This Row],[Class]]="C",WORKDAY(Main[[#This Row],[Tech Start Date]],9),IF(Main[[#This Row],[Class]]="B", WORKDAY(Main[[#This Row],[Tech Start Date]],6),IF(Main[[#This Row],[Class]]="A",WORKDAY(Main[[#This Row],[Tech Start Date]],2),""))))</f>
        <v/>
      </c>
      <c r="N585" s="75" t="str">
        <f>IF(Main[[#This Row],[Tech Start Date]]&lt;1/1/1990,"",IF(Main[[#This Row],[Class]]="C",WORKDAY(Main[[#This Row],[Tech Start Date]],19),IF(Main[[#This Row],[Class]]="B", WORKDAY(Main[[#This Row],[Tech Start Date]],12),IF(Main[[#This Row],[Class]]="A",WORKDAY(Main[[#This Row],[Tech Start Date]],4),""))))</f>
        <v/>
      </c>
      <c r="O585" s="75" t="str">
        <f>IF(Main[[#This Row],[Tech Start Date]]&lt;1/1/1990,"",IF(Main[[#This Row],[Class]]="C",WORKDAY(Main[[#This Row],[Tech Start Date]],23),IF(Main[[#This Row],[Class]]="B", WORKDAY(Main[[#This Row],[Tech Start Date]],15),IF(Main[[#This Row],[Class]]="A",WORKDAY(Main[[#This Row],[Tech Start Date]],5),""))))</f>
        <v/>
      </c>
      <c r="P585" s="75" t="str">
        <f>IF(Main[[#This Row],[Tech Start Date]]&lt;1/1/1990,"",IF(Main[[#This Row],[Class]]="C",WORKDAY(Main[[#This Row],[Tech Start Date]],28),IF(Main[[#This Row],[Class]]="B", WORKDAY(Main[[#This Row],[Tech Start Date]],19),IF(Main[[#This Row],[Class]]="A",WORKDAY(Main[[#This Row],[Tech Start Date]],9),""))))</f>
        <v/>
      </c>
      <c r="Q585" s="89"/>
      <c r="R585" s="121"/>
      <c r="S585" s="99" t="s">
        <v>23</v>
      </c>
      <c r="T585" s="76" t="s">
        <v>4</v>
      </c>
      <c r="U585" s="99" t="s">
        <v>7</v>
      </c>
      <c r="V585" s="99" t="s">
        <v>1914</v>
      </c>
      <c r="W585" s="99" t="s">
        <v>1917</v>
      </c>
      <c r="X585" s="99" t="s">
        <v>399</v>
      </c>
      <c r="Y585" s="73" t="s">
        <v>4</v>
      </c>
      <c r="Z585" s="73" t="s">
        <v>4</v>
      </c>
      <c r="AA585" s="99" t="s">
        <v>3378</v>
      </c>
    </row>
    <row r="586" spans="1:27" ht="17.25" customHeight="1">
      <c r="A586" s="65" t="str">
        <f>IF(priority(Main[[#This Row],[Comments]])&lt;&gt;0, priority(Main[[#This Row],[Comments]]),"")</f>
        <v/>
      </c>
      <c r="B586" s="60" t="s">
        <v>1410</v>
      </c>
      <c r="C586" s="105" t="s">
        <v>4</v>
      </c>
      <c r="D586" s="74" t="s">
        <v>492</v>
      </c>
      <c r="E586" s="89"/>
      <c r="F586" s="89"/>
      <c r="G586" s="65" t="str">
        <f>IF(stdProdLT(Main[[#This Row],[Comments]])=0.1,"N/A",IF(stdProdLT(Main[[#This Row],[Comments]])=0,"",TRIM(stdProdLT(Main[[#This Row],[Comments]]))))</f>
        <v/>
      </c>
      <c r="H586" s="98" t="str">
        <f>IF(Main[[#This Row],[Std. Prod. Lead Time]]="N/A", "",IF(AND(Main[[#This Row],[In Stock Date]]&lt;&gt;"",Main[[#This Row],[Revised Due Date]]&lt;&gt;"",Main[[#This Row],[In Stock Date]]&lt;&gt;""),Main[[#This Row],[In Stock Date]]-Main[[#This Row],[Revised Due Date]],""))</f>
        <v/>
      </c>
      <c r="I586" s="110" t="s">
        <v>81</v>
      </c>
      <c r="J586" s="99" t="s">
        <v>4</v>
      </c>
      <c r="K586" s="99" t="s">
        <v>4</v>
      </c>
      <c r="L586" s="89"/>
      <c r="M586" s="75" t="str">
        <f>IF(Main[[#This Row],[Tech Start Date]]&lt;1/1/1990,"",IF(Main[[#This Row],[Class]]="C",WORKDAY(Main[[#This Row],[Tech Start Date]],9),IF(Main[[#This Row],[Class]]="B", WORKDAY(Main[[#This Row],[Tech Start Date]],6),IF(Main[[#This Row],[Class]]="A",WORKDAY(Main[[#This Row],[Tech Start Date]],2),""))))</f>
        <v/>
      </c>
      <c r="N586" s="75" t="str">
        <f>IF(Main[[#This Row],[Tech Start Date]]&lt;1/1/1990,"",IF(Main[[#This Row],[Class]]="C",WORKDAY(Main[[#This Row],[Tech Start Date]],19),IF(Main[[#This Row],[Class]]="B", WORKDAY(Main[[#This Row],[Tech Start Date]],12),IF(Main[[#This Row],[Class]]="A",WORKDAY(Main[[#This Row],[Tech Start Date]],4),""))))</f>
        <v/>
      </c>
      <c r="O586" s="75" t="str">
        <f>IF(Main[[#This Row],[Tech Start Date]]&lt;1/1/1990,"",IF(Main[[#This Row],[Class]]="C",WORKDAY(Main[[#This Row],[Tech Start Date]],23),IF(Main[[#This Row],[Class]]="B", WORKDAY(Main[[#This Row],[Tech Start Date]],15),IF(Main[[#This Row],[Class]]="A",WORKDAY(Main[[#This Row],[Tech Start Date]],5),""))))</f>
        <v/>
      </c>
      <c r="P586" s="75" t="str">
        <f>IF(Main[[#This Row],[Tech Start Date]]&lt;1/1/1990,"",IF(Main[[#This Row],[Class]]="C",WORKDAY(Main[[#This Row],[Tech Start Date]],28),IF(Main[[#This Row],[Class]]="B", WORKDAY(Main[[#This Row],[Tech Start Date]],19),IF(Main[[#This Row],[Class]]="A",WORKDAY(Main[[#This Row],[Tech Start Date]],9),""))))</f>
        <v/>
      </c>
      <c r="Q586" s="89">
        <v>40338</v>
      </c>
      <c r="R586" s="121"/>
      <c r="S586" s="99" t="s">
        <v>6</v>
      </c>
      <c r="T586" s="76" t="s">
        <v>4</v>
      </c>
      <c r="U586" s="99" t="s">
        <v>14</v>
      </c>
      <c r="V586" s="99" t="s">
        <v>1916</v>
      </c>
      <c r="W586" s="99" t="s">
        <v>1917</v>
      </c>
      <c r="X586" s="99" t="s">
        <v>399</v>
      </c>
      <c r="Y586" s="73" t="s">
        <v>3055</v>
      </c>
      <c r="Z586" s="73" t="s">
        <v>4</v>
      </c>
      <c r="AA586" s="99" t="s">
        <v>3410</v>
      </c>
    </row>
    <row r="587" spans="1:27" ht="17.25" customHeight="1">
      <c r="A587" s="65" t="str">
        <f>IF(priority(Main[[#This Row],[Comments]])&lt;&gt;0, priority(Main[[#This Row],[Comments]]),"")</f>
        <v/>
      </c>
      <c r="B587" s="60" t="s">
        <v>1411</v>
      </c>
      <c r="C587" s="105" t="s">
        <v>493</v>
      </c>
      <c r="D587" s="74" t="s">
        <v>494</v>
      </c>
      <c r="E587" s="89"/>
      <c r="F587" s="89"/>
      <c r="G587" s="65" t="str">
        <f>IF(stdProdLT(Main[[#This Row],[Comments]])=0.1,"N/A",IF(stdProdLT(Main[[#This Row],[Comments]])=0,"",TRIM(stdProdLT(Main[[#This Row],[Comments]]))))</f>
        <v/>
      </c>
      <c r="H587" s="98" t="str">
        <f>IF(Main[[#This Row],[Std. Prod. Lead Time]]="N/A", "",IF(AND(Main[[#This Row],[In Stock Date]]&lt;&gt;"",Main[[#This Row],[Revised Due Date]]&lt;&gt;"",Main[[#This Row],[In Stock Date]]&lt;&gt;""),Main[[#This Row],[In Stock Date]]-Main[[#This Row],[Revised Due Date]],""))</f>
        <v/>
      </c>
      <c r="I587" s="110" t="s">
        <v>4</v>
      </c>
      <c r="J587" s="99" t="s">
        <v>4</v>
      </c>
      <c r="K587" s="99" t="s">
        <v>4</v>
      </c>
      <c r="L587" s="89"/>
      <c r="M587" s="75" t="str">
        <f>IF(Main[[#This Row],[Tech Start Date]]&lt;1/1/1990,"",IF(Main[[#This Row],[Class]]="C",WORKDAY(Main[[#This Row],[Tech Start Date]],9),IF(Main[[#This Row],[Class]]="B", WORKDAY(Main[[#This Row],[Tech Start Date]],6),IF(Main[[#This Row],[Class]]="A",WORKDAY(Main[[#This Row],[Tech Start Date]],2),""))))</f>
        <v/>
      </c>
      <c r="N587" s="75" t="str">
        <f>IF(Main[[#This Row],[Tech Start Date]]&lt;1/1/1990,"",IF(Main[[#This Row],[Class]]="C",WORKDAY(Main[[#This Row],[Tech Start Date]],19),IF(Main[[#This Row],[Class]]="B", WORKDAY(Main[[#This Row],[Tech Start Date]],12),IF(Main[[#This Row],[Class]]="A",WORKDAY(Main[[#This Row],[Tech Start Date]],4),""))))</f>
        <v/>
      </c>
      <c r="O587" s="75" t="str">
        <f>IF(Main[[#This Row],[Tech Start Date]]&lt;1/1/1990,"",IF(Main[[#This Row],[Class]]="C",WORKDAY(Main[[#This Row],[Tech Start Date]],23),IF(Main[[#This Row],[Class]]="B", WORKDAY(Main[[#This Row],[Tech Start Date]],15),IF(Main[[#This Row],[Class]]="A",WORKDAY(Main[[#This Row],[Tech Start Date]],5),""))))</f>
        <v/>
      </c>
      <c r="P587" s="75" t="str">
        <f>IF(Main[[#This Row],[Tech Start Date]]&lt;1/1/1990,"",IF(Main[[#This Row],[Class]]="C",WORKDAY(Main[[#This Row],[Tech Start Date]],28),IF(Main[[#This Row],[Class]]="B", WORKDAY(Main[[#This Row],[Tech Start Date]],19),IF(Main[[#This Row],[Class]]="A",WORKDAY(Main[[#This Row],[Tech Start Date]],9),""))))</f>
        <v/>
      </c>
      <c r="Q587" s="89">
        <v>40239</v>
      </c>
      <c r="R587" s="121"/>
      <c r="S587" s="99" t="s">
        <v>11</v>
      </c>
      <c r="T587" s="76" t="s">
        <v>4</v>
      </c>
      <c r="U587" s="99" t="s">
        <v>14</v>
      </c>
      <c r="V587" s="99" t="s">
        <v>1916</v>
      </c>
      <c r="W587" s="99" t="s">
        <v>1915</v>
      </c>
      <c r="X587" s="99" t="s">
        <v>2890</v>
      </c>
      <c r="Y587" s="73" t="s">
        <v>4</v>
      </c>
      <c r="Z587" s="73" t="s">
        <v>4</v>
      </c>
      <c r="AA587" s="99" t="s">
        <v>2890</v>
      </c>
    </row>
    <row r="588" spans="1:27" ht="17.25" customHeight="1">
      <c r="A588" s="65" t="str">
        <f>IF(priority(Main[[#This Row],[Comments]])&lt;&gt;0, priority(Main[[#This Row],[Comments]]),"")</f>
        <v/>
      </c>
      <c r="B588" s="60" t="s">
        <v>1412</v>
      </c>
      <c r="C588" s="105" t="s">
        <v>495</v>
      </c>
      <c r="D588" s="74" t="s">
        <v>496</v>
      </c>
      <c r="E588" s="89"/>
      <c r="F588" s="89"/>
      <c r="G588" s="65" t="str">
        <f>IF(stdProdLT(Main[[#This Row],[Comments]])=0.1,"N/A",IF(stdProdLT(Main[[#This Row],[Comments]])=0,"",TRIM(stdProdLT(Main[[#This Row],[Comments]]))))</f>
        <v/>
      </c>
      <c r="H588" s="98" t="str">
        <f>IF(Main[[#This Row],[Std. Prod. Lead Time]]="N/A", "",IF(AND(Main[[#This Row],[In Stock Date]]&lt;&gt;"",Main[[#This Row],[Revised Due Date]]&lt;&gt;"",Main[[#This Row],[In Stock Date]]&lt;&gt;""),Main[[#This Row],[In Stock Date]]-Main[[#This Row],[Revised Due Date]],""))</f>
        <v/>
      </c>
      <c r="I588" s="110" t="s">
        <v>4</v>
      </c>
      <c r="J588" s="99" t="s">
        <v>4</v>
      </c>
      <c r="K588" s="99" t="s">
        <v>4</v>
      </c>
      <c r="L588" s="89"/>
      <c r="M588" s="75" t="str">
        <f>IF(Main[[#This Row],[Tech Start Date]]&lt;1/1/1990,"",IF(Main[[#This Row],[Class]]="C",WORKDAY(Main[[#This Row],[Tech Start Date]],9),IF(Main[[#This Row],[Class]]="B", WORKDAY(Main[[#This Row],[Tech Start Date]],6),IF(Main[[#This Row],[Class]]="A",WORKDAY(Main[[#This Row],[Tech Start Date]],2),""))))</f>
        <v/>
      </c>
      <c r="N588" s="75" t="str">
        <f>IF(Main[[#This Row],[Tech Start Date]]&lt;1/1/1990,"",IF(Main[[#This Row],[Class]]="C",WORKDAY(Main[[#This Row],[Tech Start Date]],19),IF(Main[[#This Row],[Class]]="B", WORKDAY(Main[[#This Row],[Tech Start Date]],12),IF(Main[[#This Row],[Class]]="A",WORKDAY(Main[[#This Row],[Tech Start Date]],4),""))))</f>
        <v/>
      </c>
      <c r="O588" s="75" t="str">
        <f>IF(Main[[#This Row],[Tech Start Date]]&lt;1/1/1990,"",IF(Main[[#This Row],[Class]]="C",WORKDAY(Main[[#This Row],[Tech Start Date]],23),IF(Main[[#This Row],[Class]]="B", WORKDAY(Main[[#This Row],[Tech Start Date]],15),IF(Main[[#This Row],[Class]]="A",WORKDAY(Main[[#This Row],[Tech Start Date]],5),""))))</f>
        <v/>
      </c>
      <c r="P588" s="75" t="str">
        <f>IF(Main[[#This Row],[Tech Start Date]]&lt;1/1/1990,"",IF(Main[[#This Row],[Class]]="C",WORKDAY(Main[[#This Row],[Tech Start Date]],28),IF(Main[[#This Row],[Class]]="B", WORKDAY(Main[[#This Row],[Tech Start Date]],19),IF(Main[[#This Row],[Class]]="A",WORKDAY(Main[[#This Row],[Tech Start Date]],9),""))))</f>
        <v/>
      </c>
      <c r="Q588" s="89"/>
      <c r="R588" s="121"/>
      <c r="S588" s="99" t="s">
        <v>11</v>
      </c>
      <c r="T588" s="76" t="s">
        <v>4</v>
      </c>
      <c r="U588" s="99" t="s">
        <v>14</v>
      </c>
      <c r="V588" s="99" t="s">
        <v>1913</v>
      </c>
      <c r="W588" s="99" t="s">
        <v>1921</v>
      </c>
      <c r="X588" s="99" t="s">
        <v>50</v>
      </c>
      <c r="Y588" s="73" t="s">
        <v>3056</v>
      </c>
      <c r="Z588" s="73" t="s">
        <v>4</v>
      </c>
      <c r="AA588" s="99" t="s">
        <v>2854</v>
      </c>
    </row>
    <row r="589" spans="1:27" ht="17.25" customHeight="1">
      <c r="A589" s="65" t="str">
        <f>IF(priority(Main[[#This Row],[Comments]])&lt;&gt;0, priority(Main[[#This Row],[Comments]]),"")</f>
        <v/>
      </c>
      <c r="B589" s="60" t="s">
        <v>1413</v>
      </c>
      <c r="C589" s="105" t="s">
        <v>93</v>
      </c>
      <c r="D589" s="74" t="s">
        <v>497</v>
      </c>
      <c r="E589" s="89"/>
      <c r="F589" s="89">
        <v>40132</v>
      </c>
      <c r="G589" s="65" t="str">
        <f>IF(stdProdLT(Main[[#This Row],[Comments]])=0.1,"N/A",IF(stdProdLT(Main[[#This Row],[Comments]])=0,"",TRIM(stdProdLT(Main[[#This Row],[Comments]]))))</f>
        <v/>
      </c>
      <c r="H589" s="98" t="str">
        <f>IF(Main[[#This Row],[Std. Prod. Lead Time]]="N/A", "",IF(AND(Main[[#This Row],[In Stock Date]]&lt;&gt;"",Main[[#This Row],[Revised Due Date]]&lt;&gt;"",Main[[#This Row],[In Stock Date]]&lt;&gt;""),Main[[#This Row],[In Stock Date]]-Main[[#This Row],[Revised Due Date]],""))</f>
        <v/>
      </c>
      <c r="I589" s="110" t="s">
        <v>4</v>
      </c>
      <c r="J589" s="99" t="s">
        <v>4</v>
      </c>
      <c r="K589" s="99" t="s">
        <v>4</v>
      </c>
      <c r="L589" s="89"/>
      <c r="M589" s="75" t="str">
        <f>IF(Main[[#This Row],[Tech Start Date]]&lt;1/1/1990,"",IF(Main[[#This Row],[Class]]="C",WORKDAY(Main[[#This Row],[Tech Start Date]],9),IF(Main[[#This Row],[Class]]="B", WORKDAY(Main[[#This Row],[Tech Start Date]],6),IF(Main[[#This Row],[Class]]="A",WORKDAY(Main[[#This Row],[Tech Start Date]],2),""))))</f>
        <v/>
      </c>
      <c r="N589" s="75" t="str">
        <f>IF(Main[[#This Row],[Tech Start Date]]&lt;1/1/1990,"",IF(Main[[#This Row],[Class]]="C",WORKDAY(Main[[#This Row],[Tech Start Date]],19),IF(Main[[#This Row],[Class]]="B", WORKDAY(Main[[#This Row],[Tech Start Date]],12),IF(Main[[#This Row],[Class]]="A",WORKDAY(Main[[#This Row],[Tech Start Date]],4),""))))</f>
        <v/>
      </c>
      <c r="O589" s="75" t="str">
        <f>IF(Main[[#This Row],[Tech Start Date]]&lt;1/1/1990,"",IF(Main[[#This Row],[Class]]="C",WORKDAY(Main[[#This Row],[Tech Start Date]],23),IF(Main[[#This Row],[Class]]="B", WORKDAY(Main[[#This Row],[Tech Start Date]],15),IF(Main[[#This Row],[Class]]="A",WORKDAY(Main[[#This Row],[Tech Start Date]],5),""))))</f>
        <v/>
      </c>
      <c r="P589" s="75" t="str">
        <f>IF(Main[[#This Row],[Tech Start Date]]&lt;1/1/1990,"",IF(Main[[#This Row],[Class]]="C",WORKDAY(Main[[#This Row],[Tech Start Date]],28),IF(Main[[#This Row],[Class]]="B", WORKDAY(Main[[#This Row],[Tech Start Date]],19),IF(Main[[#This Row],[Class]]="A",WORKDAY(Main[[#This Row],[Tech Start Date]],9),""))))</f>
        <v/>
      </c>
      <c r="Q589" s="89">
        <v>40132</v>
      </c>
      <c r="R589" s="121"/>
      <c r="S589" s="99" t="s">
        <v>11</v>
      </c>
      <c r="T589" s="76" t="s">
        <v>4</v>
      </c>
      <c r="U589" s="99" t="s">
        <v>14</v>
      </c>
      <c r="V589" s="99" t="s">
        <v>1923</v>
      </c>
      <c r="W589" s="99" t="s">
        <v>1924</v>
      </c>
      <c r="X589" s="99" t="s">
        <v>2850</v>
      </c>
      <c r="Y589" s="73" t="s">
        <v>4</v>
      </c>
      <c r="Z589" s="73" t="s">
        <v>4</v>
      </c>
      <c r="AA589" s="99" t="s">
        <v>2850</v>
      </c>
    </row>
    <row r="590" spans="1:27" ht="17.25" customHeight="1">
      <c r="A590" s="65" t="str">
        <f>IF(priority(Main[[#This Row],[Comments]])&lt;&gt;0, priority(Main[[#This Row],[Comments]]),"")</f>
        <v/>
      </c>
      <c r="B590" s="60" t="s">
        <v>1414</v>
      </c>
      <c r="C590" s="105" t="s">
        <v>99</v>
      </c>
      <c r="D590" s="74" t="s">
        <v>498</v>
      </c>
      <c r="E590" s="89"/>
      <c r="F590" s="89">
        <v>40435</v>
      </c>
      <c r="G590" s="65" t="str">
        <f>IF(stdProdLT(Main[[#This Row],[Comments]])=0.1,"N/A",IF(stdProdLT(Main[[#This Row],[Comments]])=0,"",TRIM(stdProdLT(Main[[#This Row],[Comments]]))))</f>
        <v/>
      </c>
      <c r="H590" s="98" t="str">
        <f>IF(Main[[#This Row],[Std. Prod. Lead Time]]="N/A", "",IF(AND(Main[[#This Row],[In Stock Date]]&lt;&gt;"",Main[[#This Row],[Revised Due Date]]&lt;&gt;"",Main[[#This Row],[In Stock Date]]&lt;&gt;""),Main[[#This Row],[In Stock Date]]-Main[[#This Row],[Revised Due Date]],""))</f>
        <v/>
      </c>
      <c r="I590" s="110" t="s">
        <v>4</v>
      </c>
      <c r="J590" s="99" t="s">
        <v>28</v>
      </c>
      <c r="K590" s="99" t="s">
        <v>4</v>
      </c>
      <c r="L590" s="89"/>
      <c r="M590" s="75" t="str">
        <f>IF(Main[[#This Row],[Tech Start Date]]&lt;1/1/1990,"",IF(Main[[#This Row],[Class]]="C",WORKDAY(Main[[#This Row],[Tech Start Date]],9),IF(Main[[#This Row],[Class]]="B", WORKDAY(Main[[#This Row],[Tech Start Date]],6),IF(Main[[#This Row],[Class]]="A",WORKDAY(Main[[#This Row],[Tech Start Date]],2),""))))</f>
        <v/>
      </c>
      <c r="N590" s="75" t="str">
        <f>IF(Main[[#This Row],[Tech Start Date]]&lt;1/1/1990,"",IF(Main[[#This Row],[Class]]="C",WORKDAY(Main[[#This Row],[Tech Start Date]],19),IF(Main[[#This Row],[Class]]="B", WORKDAY(Main[[#This Row],[Tech Start Date]],12),IF(Main[[#This Row],[Class]]="A",WORKDAY(Main[[#This Row],[Tech Start Date]],4),""))))</f>
        <v/>
      </c>
      <c r="O590" s="75" t="str">
        <f>IF(Main[[#This Row],[Tech Start Date]]&lt;1/1/1990,"",IF(Main[[#This Row],[Class]]="C",WORKDAY(Main[[#This Row],[Tech Start Date]],23),IF(Main[[#This Row],[Class]]="B", WORKDAY(Main[[#This Row],[Tech Start Date]],15),IF(Main[[#This Row],[Class]]="A",WORKDAY(Main[[#This Row],[Tech Start Date]],5),""))))</f>
        <v/>
      </c>
      <c r="P590" s="75" t="str">
        <f>IF(Main[[#This Row],[Tech Start Date]]&lt;1/1/1990,"",IF(Main[[#This Row],[Class]]="C",WORKDAY(Main[[#This Row],[Tech Start Date]],28),IF(Main[[#This Row],[Class]]="B", WORKDAY(Main[[#This Row],[Tech Start Date]],19),IF(Main[[#This Row],[Class]]="A",WORKDAY(Main[[#This Row],[Tech Start Date]],9),""))))</f>
        <v/>
      </c>
      <c r="Q590" s="89">
        <v>40435</v>
      </c>
      <c r="R590" s="121"/>
      <c r="S590" s="99" t="s">
        <v>11</v>
      </c>
      <c r="T590" s="76" t="s">
        <v>4</v>
      </c>
      <c r="U590" s="99" t="s">
        <v>14</v>
      </c>
      <c r="V590" s="99" t="s">
        <v>1916</v>
      </c>
      <c r="W590" s="99" t="s">
        <v>1918</v>
      </c>
      <c r="X590" s="99" t="s">
        <v>2831</v>
      </c>
      <c r="Y590" s="73" t="s">
        <v>2960</v>
      </c>
      <c r="Z590" s="73" t="s">
        <v>530</v>
      </c>
      <c r="AA590" s="99" t="s">
        <v>2828</v>
      </c>
    </row>
    <row r="591" spans="1:27" ht="17.25" customHeight="1">
      <c r="A591" s="65" t="str">
        <f>IF(priority(Main[[#This Row],[Comments]])&lt;&gt;0, priority(Main[[#This Row],[Comments]]),"")</f>
        <v/>
      </c>
      <c r="B591" s="60" t="s">
        <v>1281</v>
      </c>
      <c r="C591" s="105" t="s">
        <v>42</v>
      </c>
      <c r="D591" s="74" t="s">
        <v>355</v>
      </c>
      <c r="E591" s="89"/>
      <c r="F591" s="89"/>
      <c r="G591" s="65" t="str">
        <f>IF(stdProdLT(Main[[#This Row],[Comments]])=0.1,"N/A",IF(stdProdLT(Main[[#This Row],[Comments]])=0,"",TRIM(stdProdLT(Main[[#This Row],[Comments]]))))</f>
        <v/>
      </c>
      <c r="H591" s="98" t="str">
        <f>IF(Main[[#This Row],[Std. Prod. Lead Time]]="N/A", "",IF(AND(Main[[#This Row],[In Stock Date]]&lt;&gt;"",Main[[#This Row],[Revised Due Date]]&lt;&gt;"",Main[[#This Row],[In Stock Date]]&lt;&gt;""),Main[[#This Row],[In Stock Date]]-Main[[#This Row],[Revised Due Date]],""))</f>
        <v/>
      </c>
      <c r="I591" s="110" t="s">
        <v>4</v>
      </c>
      <c r="J591" s="99" t="s">
        <v>4</v>
      </c>
      <c r="K591" s="99" t="s">
        <v>4</v>
      </c>
      <c r="L591" s="89"/>
      <c r="M591" s="75" t="str">
        <f>IF(Main[[#This Row],[Tech Start Date]]&lt;1/1/1990,"",IF(Main[[#This Row],[Class]]="C",WORKDAY(Main[[#This Row],[Tech Start Date]],9),IF(Main[[#This Row],[Class]]="B", WORKDAY(Main[[#This Row],[Tech Start Date]],6),IF(Main[[#This Row],[Class]]="A",WORKDAY(Main[[#This Row],[Tech Start Date]],2),""))))</f>
        <v/>
      </c>
      <c r="N591" s="75" t="str">
        <f>IF(Main[[#This Row],[Tech Start Date]]&lt;1/1/1990,"",IF(Main[[#This Row],[Class]]="C",WORKDAY(Main[[#This Row],[Tech Start Date]],19),IF(Main[[#This Row],[Class]]="B", WORKDAY(Main[[#This Row],[Tech Start Date]],12),IF(Main[[#This Row],[Class]]="A",WORKDAY(Main[[#This Row],[Tech Start Date]],4),""))))</f>
        <v/>
      </c>
      <c r="O591" s="75" t="str">
        <f>IF(Main[[#This Row],[Tech Start Date]]&lt;1/1/1990,"",IF(Main[[#This Row],[Class]]="C",WORKDAY(Main[[#This Row],[Tech Start Date]],23),IF(Main[[#This Row],[Class]]="B", WORKDAY(Main[[#This Row],[Tech Start Date]],15),IF(Main[[#This Row],[Class]]="A",WORKDAY(Main[[#This Row],[Tech Start Date]],5),""))))</f>
        <v/>
      </c>
      <c r="P591" s="75" t="str">
        <f>IF(Main[[#This Row],[Tech Start Date]]&lt;1/1/1990,"",IF(Main[[#This Row],[Class]]="C",WORKDAY(Main[[#This Row],[Tech Start Date]],28),IF(Main[[#This Row],[Class]]="B", WORKDAY(Main[[#This Row],[Tech Start Date]],19),IF(Main[[#This Row],[Class]]="A",WORKDAY(Main[[#This Row],[Tech Start Date]],9),""))))</f>
        <v/>
      </c>
      <c r="Q591" s="89"/>
      <c r="R591" s="121"/>
      <c r="S591" s="99" t="s">
        <v>17</v>
      </c>
      <c r="T591" s="76" t="s">
        <v>4</v>
      </c>
      <c r="U591" s="99" t="s">
        <v>14</v>
      </c>
      <c r="V591" s="99" t="s">
        <v>1916</v>
      </c>
      <c r="W591" s="99" t="s">
        <v>4</v>
      </c>
      <c r="X591" s="99" t="s">
        <v>399</v>
      </c>
      <c r="Y591" s="73" t="s">
        <v>4</v>
      </c>
      <c r="Z591" s="73" t="s">
        <v>4</v>
      </c>
      <c r="AA591" s="99" t="s">
        <v>3411</v>
      </c>
    </row>
    <row r="592" spans="1:27" ht="17.25" customHeight="1">
      <c r="A592" s="12" t="str">
        <f>IF(priority(Main[[#This Row],[Comments]])&lt;&gt;0, priority(Main[[#This Row],[Comments]]),"")</f>
        <v/>
      </c>
      <c r="B592" s="60" t="s">
        <v>1415</v>
      </c>
      <c r="C592" s="104" t="s">
        <v>499</v>
      </c>
      <c r="D592" s="78" t="s">
        <v>500</v>
      </c>
      <c r="E592" s="90"/>
      <c r="F592" s="90">
        <v>40296</v>
      </c>
      <c r="G592" s="12" t="str">
        <f>IF(stdProdLT(Main[[#This Row],[Comments]])=0.1,"N/A",IF(stdProdLT(Main[[#This Row],[Comments]])=0,"",TRIM(stdProdLT(Main[[#This Row],[Comments]]))))</f>
        <v/>
      </c>
      <c r="H592" s="101" t="str">
        <f>IF(Main[[#This Row],[Std. Prod. Lead Time]]="N/A", "",IF(AND(Main[[#This Row],[In Stock Date]]&lt;&gt;"",Main[[#This Row],[Revised Due Date]]&lt;&gt;"",Main[[#This Row],[In Stock Date]]&lt;&gt;""),Main[[#This Row],[In Stock Date]]-Main[[#This Row],[Revised Due Date]],""))</f>
        <v/>
      </c>
      <c r="I592" s="111" t="s">
        <v>4</v>
      </c>
      <c r="J592" s="12" t="s">
        <v>4</v>
      </c>
      <c r="K592" s="12" t="s">
        <v>4</v>
      </c>
      <c r="L592" s="90"/>
      <c r="M592" s="75" t="str">
        <f>IF(Main[[#This Row],[Tech Start Date]]&lt;1/1/1990,"",IF(Main[[#This Row],[Class]]="C",WORKDAY(Main[[#This Row],[Tech Start Date]],9),IF(Main[[#This Row],[Class]]="B", WORKDAY(Main[[#This Row],[Tech Start Date]],6),IF(Main[[#This Row],[Class]]="A",WORKDAY(Main[[#This Row],[Tech Start Date]],2),""))))</f>
        <v/>
      </c>
      <c r="N592" s="75" t="str">
        <f>IF(Main[[#This Row],[Tech Start Date]]&lt;1/1/1990,"",IF(Main[[#This Row],[Class]]="C",WORKDAY(Main[[#This Row],[Tech Start Date]],19),IF(Main[[#This Row],[Class]]="B", WORKDAY(Main[[#This Row],[Tech Start Date]],12),IF(Main[[#This Row],[Class]]="A",WORKDAY(Main[[#This Row],[Tech Start Date]],4),""))))</f>
        <v/>
      </c>
      <c r="O592" s="75" t="str">
        <f>IF(Main[[#This Row],[Tech Start Date]]&lt;1/1/1990,"",IF(Main[[#This Row],[Class]]="C",WORKDAY(Main[[#This Row],[Tech Start Date]],23),IF(Main[[#This Row],[Class]]="B", WORKDAY(Main[[#This Row],[Tech Start Date]],15),IF(Main[[#This Row],[Class]]="A",WORKDAY(Main[[#This Row],[Tech Start Date]],5),""))))</f>
        <v/>
      </c>
      <c r="P592" s="75" t="str">
        <f>IF(Main[[#This Row],[Tech Start Date]]&lt;1/1/1990,"",IF(Main[[#This Row],[Class]]="C",WORKDAY(Main[[#This Row],[Tech Start Date]],28),IF(Main[[#This Row],[Class]]="B", WORKDAY(Main[[#This Row],[Tech Start Date]],19),IF(Main[[#This Row],[Class]]="A",WORKDAY(Main[[#This Row],[Tech Start Date]],9),""))))</f>
        <v/>
      </c>
      <c r="Q592" s="90"/>
      <c r="R592" s="124"/>
      <c r="S592" s="12" t="s">
        <v>11</v>
      </c>
      <c r="T592" s="79" t="s">
        <v>4</v>
      </c>
      <c r="U592" s="12" t="s">
        <v>14</v>
      </c>
      <c r="V592" s="12" t="s">
        <v>1923</v>
      </c>
      <c r="W592" s="12" t="s">
        <v>1919</v>
      </c>
      <c r="X592" s="12" t="s">
        <v>2862</v>
      </c>
      <c r="Y592" s="77" t="s">
        <v>3006</v>
      </c>
      <c r="Z592" s="77" t="s">
        <v>4</v>
      </c>
      <c r="AA592" s="99" t="s">
        <v>2862</v>
      </c>
    </row>
    <row r="593" spans="1:27" ht="17.25" customHeight="1">
      <c r="A593" s="65" t="str">
        <f>IF(priority(Main[[#This Row],[Comments]])&lt;&gt;0, priority(Main[[#This Row],[Comments]]),"")</f>
        <v/>
      </c>
      <c r="B593" s="60" t="s">
        <v>1856</v>
      </c>
      <c r="C593" s="105" t="s">
        <v>47</v>
      </c>
      <c r="D593" s="74" t="s">
        <v>914</v>
      </c>
      <c r="E593" s="89">
        <v>39937.592280092591</v>
      </c>
      <c r="F593" s="89"/>
      <c r="G593" s="65" t="str">
        <f>IF(stdProdLT(Main[[#This Row],[Comments]])=0.1,"N/A",IF(stdProdLT(Main[[#This Row],[Comments]])=0,"",TRIM(stdProdLT(Main[[#This Row],[Comments]]))))</f>
        <v/>
      </c>
      <c r="H593" s="98" t="str">
        <f>IF(Main[[#This Row],[Std. Prod. Lead Time]]="N/A", "",IF(AND(Main[[#This Row],[In Stock Date]]&lt;&gt;"",Main[[#This Row],[Revised Due Date]]&lt;&gt;"",Main[[#This Row],[In Stock Date]]&lt;&gt;""),Main[[#This Row],[In Stock Date]]-Main[[#This Row],[Revised Due Date]],""))</f>
        <v/>
      </c>
      <c r="I593" s="110" t="s">
        <v>889</v>
      </c>
      <c r="J593" s="99" t="s">
        <v>4</v>
      </c>
      <c r="K593" s="99" t="s">
        <v>1925</v>
      </c>
      <c r="L593" s="89"/>
      <c r="M593" s="75" t="str">
        <f>IF(Main[[#This Row],[Tech Start Date]]&lt;1/1/1990,"",IF(Main[[#This Row],[Class]]="C",WORKDAY(Main[[#This Row],[Tech Start Date]],9),IF(Main[[#This Row],[Class]]="B", WORKDAY(Main[[#This Row],[Tech Start Date]],6),IF(Main[[#This Row],[Class]]="A",WORKDAY(Main[[#This Row],[Tech Start Date]],2),""))))</f>
        <v/>
      </c>
      <c r="N593" s="75" t="str">
        <f>IF(Main[[#This Row],[Tech Start Date]]&lt;1/1/1990,"",IF(Main[[#This Row],[Class]]="C",WORKDAY(Main[[#This Row],[Tech Start Date]],19),IF(Main[[#This Row],[Class]]="B", WORKDAY(Main[[#This Row],[Tech Start Date]],12),IF(Main[[#This Row],[Class]]="A",WORKDAY(Main[[#This Row],[Tech Start Date]],4),""))))</f>
        <v/>
      </c>
      <c r="O593" s="75" t="str">
        <f>IF(Main[[#This Row],[Tech Start Date]]&lt;1/1/1990,"",IF(Main[[#This Row],[Class]]="C",WORKDAY(Main[[#This Row],[Tech Start Date]],23),IF(Main[[#This Row],[Class]]="B", WORKDAY(Main[[#This Row],[Tech Start Date]],15),IF(Main[[#This Row],[Class]]="A",WORKDAY(Main[[#This Row],[Tech Start Date]],5),""))))</f>
        <v/>
      </c>
      <c r="P593" s="75" t="str">
        <f>IF(Main[[#This Row],[Tech Start Date]]&lt;1/1/1990,"",IF(Main[[#This Row],[Class]]="C",WORKDAY(Main[[#This Row],[Tech Start Date]],28),IF(Main[[#This Row],[Class]]="B", WORKDAY(Main[[#This Row],[Tech Start Date]],19),IF(Main[[#This Row],[Class]]="A",WORKDAY(Main[[#This Row],[Tech Start Date]],9),""))))</f>
        <v/>
      </c>
      <c r="Q593" s="89">
        <v>40209</v>
      </c>
      <c r="R593" s="121">
        <v>40574</v>
      </c>
      <c r="S593" s="99" t="s">
        <v>17</v>
      </c>
      <c r="T593" s="76" t="s">
        <v>4</v>
      </c>
      <c r="U593" s="99" t="s">
        <v>29</v>
      </c>
      <c r="V593" s="99" t="s">
        <v>1913</v>
      </c>
      <c r="W593" s="99" t="s">
        <v>1917</v>
      </c>
      <c r="X593" s="99" t="s">
        <v>2821</v>
      </c>
      <c r="Y593" s="73" t="s">
        <v>2942</v>
      </c>
      <c r="Z593" s="73" t="s">
        <v>4</v>
      </c>
      <c r="AA593" s="99" t="s">
        <v>2821</v>
      </c>
    </row>
    <row r="594" spans="1:27" ht="17.25" customHeight="1">
      <c r="A594" s="65" t="str">
        <f>IF(priority(Main[[#This Row],[Comments]])&lt;&gt;0, priority(Main[[#This Row],[Comments]]),"")</f>
        <v/>
      </c>
      <c r="B594" s="60" t="s">
        <v>1416</v>
      </c>
      <c r="C594" s="105" t="s">
        <v>501</v>
      </c>
      <c r="D594" s="74" t="s">
        <v>502</v>
      </c>
      <c r="E594" s="89"/>
      <c r="F594" s="89">
        <v>40848</v>
      </c>
      <c r="G594" s="65" t="str">
        <f>IF(stdProdLT(Main[[#This Row],[Comments]])=0.1,"N/A",IF(stdProdLT(Main[[#This Row],[Comments]])=0,"",TRIM(stdProdLT(Main[[#This Row],[Comments]]))))</f>
        <v/>
      </c>
      <c r="H594" s="98" t="str">
        <f>IF(Main[[#This Row],[Std. Prod. Lead Time]]="N/A", "",IF(AND(Main[[#This Row],[In Stock Date]]&lt;&gt;"",Main[[#This Row],[Revised Due Date]]&lt;&gt;"",Main[[#This Row],[In Stock Date]]&lt;&gt;""),Main[[#This Row],[In Stock Date]]-Main[[#This Row],[Revised Due Date]],""))</f>
        <v/>
      </c>
      <c r="I594" s="110" t="s">
        <v>4</v>
      </c>
      <c r="J594" s="99" t="s">
        <v>28</v>
      </c>
      <c r="K594" s="100" t="s">
        <v>4</v>
      </c>
      <c r="L594" s="89"/>
      <c r="M594" s="75" t="str">
        <f>IF(Main[[#This Row],[Tech Start Date]]&lt;1/1/1990,"",IF(Main[[#This Row],[Class]]="C",WORKDAY(Main[[#This Row],[Tech Start Date]],9),IF(Main[[#This Row],[Class]]="B", WORKDAY(Main[[#This Row],[Tech Start Date]],6),IF(Main[[#This Row],[Class]]="A",WORKDAY(Main[[#This Row],[Tech Start Date]],2),""))))</f>
        <v/>
      </c>
      <c r="N594" s="75" t="str">
        <f>IF(Main[[#This Row],[Tech Start Date]]&lt;1/1/1990,"",IF(Main[[#This Row],[Class]]="C",WORKDAY(Main[[#This Row],[Tech Start Date]],19),IF(Main[[#This Row],[Class]]="B", WORKDAY(Main[[#This Row],[Tech Start Date]],12),IF(Main[[#This Row],[Class]]="A",WORKDAY(Main[[#This Row],[Tech Start Date]],4),""))))</f>
        <v/>
      </c>
      <c r="O594" s="75" t="str">
        <f>IF(Main[[#This Row],[Tech Start Date]]&lt;1/1/1990,"",IF(Main[[#This Row],[Class]]="C",WORKDAY(Main[[#This Row],[Tech Start Date]],23),IF(Main[[#This Row],[Class]]="B", WORKDAY(Main[[#This Row],[Tech Start Date]],15),IF(Main[[#This Row],[Class]]="A",WORKDAY(Main[[#This Row],[Tech Start Date]],5),""))))</f>
        <v/>
      </c>
      <c r="P594" s="75" t="str">
        <f>IF(Main[[#This Row],[Tech Start Date]]&lt;1/1/1990,"",IF(Main[[#This Row],[Class]]="C",WORKDAY(Main[[#This Row],[Tech Start Date]],28),IF(Main[[#This Row],[Class]]="B", WORKDAY(Main[[#This Row],[Tech Start Date]],19),IF(Main[[#This Row],[Class]]="A",WORKDAY(Main[[#This Row],[Tech Start Date]],9),""))))</f>
        <v/>
      </c>
      <c r="Q594" s="89">
        <v>40627</v>
      </c>
      <c r="R594" s="121"/>
      <c r="S594" s="99" t="s">
        <v>11</v>
      </c>
      <c r="T594" s="76" t="s">
        <v>4</v>
      </c>
      <c r="U594" s="99" t="s">
        <v>14</v>
      </c>
      <c r="V594" s="99" t="s">
        <v>1916</v>
      </c>
      <c r="W594" s="99" t="s">
        <v>1919</v>
      </c>
      <c r="X594" s="99" t="s">
        <v>50</v>
      </c>
      <c r="Y594" s="73" t="s">
        <v>3057</v>
      </c>
      <c r="Z594" s="73" t="s">
        <v>81</v>
      </c>
      <c r="AA594" s="99" t="s">
        <v>3412</v>
      </c>
    </row>
    <row r="595" spans="1:27" ht="17.25" customHeight="1">
      <c r="A595" s="65" t="str">
        <f>IF(priority(Main[[#This Row],[Comments]])&lt;&gt;0, priority(Main[[#This Row],[Comments]]),"")</f>
        <v/>
      </c>
      <c r="B595" s="60" t="s">
        <v>1417</v>
      </c>
      <c r="C595" s="105" t="s">
        <v>4</v>
      </c>
      <c r="D595" s="74" t="s">
        <v>1948</v>
      </c>
      <c r="E595" s="89"/>
      <c r="F595" s="89"/>
      <c r="G595" s="65" t="str">
        <f>IF(stdProdLT(Main[[#This Row],[Comments]])=0.1,"N/A",IF(stdProdLT(Main[[#This Row],[Comments]])=0,"",TRIM(stdProdLT(Main[[#This Row],[Comments]]))))</f>
        <v/>
      </c>
      <c r="H595" s="98" t="str">
        <f>IF(Main[[#This Row],[Std. Prod. Lead Time]]="N/A", "",IF(AND(Main[[#This Row],[In Stock Date]]&lt;&gt;"",Main[[#This Row],[Revised Due Date]]&lt;&gt;"",Main[[#This Row],[In Stock Date]]&lt;&gt;""),Main[[#This Row],[In Stock Date]]-Main[[#This Row],[Revised Due Date]],""))</f>
        <v/>
      </c>
      <c r="I595" s="110" t="s">
        <v>4</v>
      </c>
      <c r="J595" s="99" t="s">
        <v>28</v>
      </c>
      <c r="K595" s="99" t="s">
        <v>1920</v>
      </c>
      <c r="L595" s="89"/>
      <c r="M595" s="75" t="str">
        <f>IF(Main[[#This Row],[Tech Start Date]]&lt;1/1/1990,"",IF(Main[[#This Row],[Class]]="C",WORKDAY(Main[[#This Row],[Tech Start Date]],9),IF(Main[[#This Row],[Class]]="B", WORKDAY(Main[[#This Row],[Tech Start Date]],6),IF(Main[[#This Row],[Class]]="A",WORKDAY(Main[[#This Row],[Tech Start Date]],2),""))))</f>
        <v/>
      </c>
      <c r="N595" s="75" t="str">
        <f>IF(Main[[#This Row],[Tech Start Date]]&lt;1/1/1990,"",IF(Main[[#This Row],[Class]]="C",WORKDAY(Main[[#This Row],[Tech Start Date]],19),IF(Main[[#This Row],[Class]]="B", WORKDAY(Main[[#This Row],[Tech Start Date]],12),IF(Main[[#This Row],[Class]]="A",WORKDAY(Main[[#This Row],[Tech Start Date]],4),""))))</f>
        <v/>
      </c>
      <c r="O595" s="75" t="str">
        <f>IF(Main[[#This Row],[Tech Start Date]]&lt;1/1/1990,"",IF(Main[[#This Row],[Class]]="C",WORKDAY(Main[[#This Row],[Tech Start Date]],23),IF(Main[[#This Row],[Class]]="B", WORKDAY(Main[[#This Row],[Tech Start Date]],15),IF(Main[[#This Row],[Class]]="A",WORKDAY(Main[[#This Row],[Tech Start Date]],5),""))))</f>
        <v/>
      </c>
      <c r="P595" s="75" t="str">
        <f>IF(Main[[#This Row],[Tech Start Date]]&lt;1/1/1990,"",IF(Main[[#This Row],[Class]]="C",WORKDAY(Main[[#This Row],[Tech Start Date]],28),IF(Main[[#This Row],[Class]]="B", WORKDAY(Main[[#This Row],[Tech Start Date]],19),IF(Main[[#This Row],[Class]]="A",WORKDAY(Main[[#This Row],[Tech Start Date]],9),""))))</f>
        <v/>
      </c>
      <c r="Q595" s="89"/>
      <c r="R595" s="121"/>
      <c r="S595" s="99" t="s">
        <v>6</v>
      </c>
      <c r="T595" s="76" t="s">
        <v>4</v>
      </c>
      <c r="U595" s="99" t="s">
        <v>14</v>
      </c>
      <c r="V595" s="99" t="s">
        <v>1914</v>
      </c>
      <c r="W595" s="99" t="s">
        <v>1915</v>
      </c>
      <c r="X595" s="99" t="s">
        <v>2891</v>
      </c>
      <c r="Y595" s="73" t="s">
        <v>3058</v>
      </c>
      <c r="Z595" s="73" t="s">
        <v>4</v>
      </c>
      <c r="AA595" s="99" t="s">
        <v>3413</v>
      </c>
    </row>
    <row r="596" spans="1:27" ht="17.25" customHeight="1">
      <c r="A596" s="65" t="str">
        <f>IF(priority(Main[[#This Row],[Comments]])&lt;&gt;0, priority(Main[[#This Row],[Comments]]),"")</f>
        <v/>
      </c>
      <c r="B596" s="60" t="s">
        <v>1418</v>
      </c>
      <c r="C596" s="105" t="s">
        <v>83</v>
      </c>
      <c r="D596" s="74" t="s">
        <v>503</v>
      </c>
      <c r="E596" s="89"/>
      <c r="F596" s="89"/>
      <c r="G596" s="65" t="str">
        <f>IF(stdProdLT(Main[[#This Row],[Comments]])=0.1,"N/A",IF(stdProdLT(Main[[#This Row],[Comments]])=0,"",TRIM(stdProdLT(Main[[#This Row],[Comments]]))))</f>
        <v/>
      </c>
      <c r="H596" s="98" t="str">
        <f>IF(Main[[#This Row],[Std. Prod. Lead Time]]="N/A", "",IF(AND(Main[[#This Row],[In Stock Date]]&lt;&gt;"",Main[[#This Row],[Revised Due Date]]&lt;&gt;"",Main[[#This Row],[In Stock Date]]&lt;&gt;""),Main[[#This Row],[In Stock Date]]-Main[[#This Row],[Revised Due Date]],""))</f>
        <v/>
      </c>
      <c r="I596" s="110" t="s">
        <v>4</v>
      </c>
      <c r="J596" s="99" t="s">
        <v>4</v>
      </c>
      <c r="K596" s="99" t="s">
        <v>4</v>
      </c>
      <c r="L596" s="89"/>
      <c r="M596" s="75" t="str">
        <f>IF(Main[[#This Row],[Tech Start Date]]&lt;1/1/1990,"",IF(Main[[#This Row],[Class]]="C",WORKDAY(Main[[#This Row],[Tech Start Date]],9),IF(Main[[#This Row],[Class]]="B", WORKDAY(Main[[#This Row],[Tech Start Date]],6),IF(Main[[#This Row],[Class]]="A",WORKDAY(Main[[#This Row],[Tech Start Date]],2),""))))</f>
        <v/>
      </c>
      <c r="N596" s="75" t="str">
        <f>IF(Main[[#This Row],[Tech Start Date]]&lt;1/1/1990,"",IF(Main[[#This Row],[Class]]="C",WORKDAY(Main[[#This Row],[Tech Start Date]],19),IF(Main[[#This Row],[Class]]="B", WORKDAY(Main[[#This Row],[Tech Start Date]],12),IF(Main[[#This Row],[Class]]="A",WORKDAY(Main[[#This Row],[Tech Start Date]],4),""))))</f>
        <v/>
      </c>
      <c r="O596" s="75" t="str">
        <f>IF(Main[[#This Row],[Tech Start Date]]&lt;1/1/1990,"",IF(Main[[#This Row],[Class]]="C",WORKDAY(Main[[#This Row],[Tech Start Date]],23),IF(Main[[#This Row],[Class]]="B", WORKDAY(Main[[#This Row],[Tech Start Date]],15),IF(Main[[#This Row],[Class]]="A",WORKDAY(Main[[#This Row],[Tech Start Date]],5),""))))</f>
        <v/>
      </c>
      <c r="P596" s="75" t="str">
        <f>IF(Main[[#This Row],[Tech Start Date]]&lt;1/1/1990,"",IF(Main[[#This Row],[Class]]="C",WORKDAY(Main[[#This Row],[Tech Start Date]],28),IF(Main[[#This Row],[Class]]="B", WORKDAY(Main[[#This Row],[Tech Start Date]],19),IF(Main[[#This Row],[Class]]="A",WORKDAY(Main[[#This Row],[Tech Start Date]],9),""))))</f>
        <v/>
      </c>
      <c r="Q596" s="89">
        <v>40259</v>
      </c>
      <c r="R596" s="121"/>
      <c r="S596" s="99" t="s">
        <v>11</v>
      </c>
      <c r="T596" s="76" t="s">
        <v>4</v>
      </c>
      <c r="U596" s="99" t="s">
        <v>14</v>
      </c>
      <c r="V596" s="99" t="s">
        <v>1913</v>
      </c>
      <c r="W596" s="99" t="s">
        <v>1924</v>
      </c>
      <c r="X596" s="99" t="s">
        <v>2811</v>
      </c>
      <c r="Y596" s="73" t="s">
        <v>4</v>
      </c>
      <c r="Z596" s="73" t="s">
        <v>4</v>
      </c>
      <c r="AA596" s="99" t="s">
        <v>2811</v>
      </c>
    </row>
    <row r="597" spans="1:27" ht="17.25" customHeight="1">
      <c r="A597" s="65" t="str">
        <f>IF(priority(Main[[#This Row],[Comments]])&lt;&gt;0, priority(Main[[#This Row],[Comments]]),"")</f>
        <v/>
      </c>
      <c r="B597" s="60" t="s">
        <v>1419</v>
      </c>
      <c r="C597" s="105" t="s">
        <v>4</v>
      </c>
      <c r="D597" s="74" t="s">
        <v>504</v>
      </c>
      <c r="E597" s="89">
        <v>40582.330949074072</v>
      </c>
      <c r="F597" s="89">
        <v>40664</v>
      </c>
      <c r="G597" s="65" t="str">
        <f>IF(stdProdLT(Main[[#This Row],[Comments]])=0.1,"N/A",IF(stdProdLT(Main[[#This Row],[Comments]])=0,"",TRIM(stdProdLT(Main[[#This Row],[Comments]]))))</f>
        <v/>
      </c>
      <c r="H597" s="98" t="str">
        <f>IF(Main[[#This Row],[Std. Prod. Lead Time]]="N/A", "",IF(AND(Main[[#This Row],[In Stock Date]]&lt;&gt;"",Main[[#This Row],[Revised Due Date]]&lt;&gt;"",Main[[#This Row],[In Stock Date]]&lt;&gt;""),Main[[#This Row],[In Stock Date]]-Main[[#This Row],[Revised Due Date]],""))</f>
        <v/>
      </c>
      <c r="I597" s="110" t="s">
        <v>4</v>
      </c>
      <c r="J597" s="99" t="s">
        <v>28</v>
      </c>
      <c r="K597" s="100" t="s">
        <v>1920</v>
      </c>
      <c r="L597" s="89"/>
      <c r="M597" s="75" t="str">
        <f>IF(Main[[#This Row],[Tech Start Date]]&lt;1/1/1990,"",IF(Main[[#This Row],[Class]]="C",WORKDAY(Main[[#This Row],[Tech Start Date]],9),IF(Main[[#This Row],[Class]]="B", WORKDAY(Main[[#This Row],[Tech Start Date]],6),IF(Main[[#This Row],[Class]]="A",WORKDAY(Main[[#This Row],[Tech Start Date]],2),""))))</f>
        <v/>
      </c>
      <c r="N597" s="75" t="str">
        <f>IF(Main[[#This Row],[Tech Start Date]]&lt;1/1/1990,"",IF(Main[[#This Row],[Class]]="C",WORKDAY(Main[[#This Row],[Tech Start Date]],19),IF(Main[[#This Row],[Class]]="B", WORKDAY(Main[[#This Row],[Tech Start Date]],12),IF(Main[[#This Row],[Class]]="A",WORKDAY(Main[[#This Row],[Tech Start Date]],4),""))))</f>
        <v/>
      </c>
      <c r="O597" s="75" t="str">
        <f>IF(Main[[#This Row],[Tech Start Date]]&lt;1/1/1990,"",IF(Main[[#This Row],[Class]]="C",WORKDAY(Main[[#This Row],[Tech Start Date]],23),IF(Main[[#This Row],[Class]]="B", WORKDAY(Main[[#This Row],[Tech Start Date]],15),IF(Main[[#This Row],[Class]]="A",WORKDAY(Main[[#This Row],[Tech Start Date]],5),""))))</f>
        <v/>
      </c>
      <c r="P597" s="75" t="str">
        <f>IF(Main[[#This Row],[Tech Start Date]]&lt;1/1/1990,"",IF(Main[[#This Row],[Class]]="C",WORKDAY(Main[[#This Row],[Tech Start Date]],28),IF(Main[[#This Row],[Class]]="B", WORKDAY(Main[[#This Row],[Tech Start Date]],19),IF(Main[[#This Row],[Class]]="A",WORKDAY(Main[[#This Row],[Tech Start Date]],9),""))))</f>
        <v/>
      </c>
      <c r="Q597" s="89">
        <v>40664</v>
      </c>
      <c r="R597" s="121"/>
      <c r="S597" s="99" t="s">
        <v>6</v>
      </c>
      <c r="T597" s="76" t="s">
        <v>4</v>
      </c>
      <c r="U597" s="99" t="s">
        <v>7</v>
      </c>
      <c r="V597" s="99" t="s">
        <v>1913</v>
      </c>
      <c r="W597" s="99" t="s">
        <v>1915</v>
      </c>
      <c r="X597" s="99" t="s">
        <v>2839</v>
      </c>
      <c r="Y597" s="73" t="s">
        <v>3059</v>
      </c>
      <c r="Z597" s="73" t="s">
        <v>129</v>
      </c>
      <c r="AA597" s="99" t="s">
        <v>2839</v>
      </c>
    </row>
    <row r="598" spans="1:27" ht="17.25" customHeight="1">
      <c r="A598" s="65" t="str">
        <f>IF(priority(Main[[#This Row],[Comments]])&lt;&gt;0, priority(Main[[#This Row],[Comments]]),"")</f>
        <v/>
      </c>
      <c r="B598" s="60" t="s">
        <v>1420</v>
      </c>
      <c r="C598" s="105" t="s">
        <v>4</v>
      </c>
      <c r="D598" s="74" t="s">
        <v>505</v>
      </c>
      <c r="E598" s="89"/>
      <c r="F598" s="89"/>
      <c r="G598" s="65" t="str">
        <f>IF(stdProdLT(Main[[#This Row],[Comments]])=0.1,"N/A",IF(stdProdLT(Main[[#This Row],[Comments]])=0,"",TRIM(stdProdLT(Main[[#This Row],[Comments]]))))</f>
        <v/>
      </c>
      <c r="H598" s="98" t="str">
        <f>IF(Main[[#This Row],[Std. Prod. Lead Time]]="N/A", "",IF(AND(Main[[#This Row],[In Stock Date]]&lt;&gt;"",Main[[#This Row],[Revised Due Date]]&lt;&gt;"",Main[[#This Row],[In Stock Date]]&lt;&gt;""),Main[[#This Row],[In Stock Date]]-Main[[#This Row],[Revised Due Date]],""))</f>
        <v/>
      </c>
      <c r="I598" s="110" t="s">
        <v>4</v>
      </c>
      <c r="J598" s="99" t="s">
        <v>4</v>
      </c>
      <c r="K598" s="99" t="s">
        <v>4</v>
      </c>
      <c r="L598" s="89"/>
      <c r="M598" s="75" t="str">
        <f>IF(Main[[#This Row],[Tech Start Date]]&lt;1/1/1990,"",IF(Main[[#This Row],[Class]]="C",WORKDAY(Main[[#This Row],[Tech Start Date]],9),IF(Main[[#This Row],[Class]]="B", WORKDAY(Main[[#This Row],[Tech Start Date]],6),IF(Main[[#This Row],[Class]]="A",WORKDAY(Main[[#This Row],[Tech Start Date]],2),""))))</f>
        <v/>
      </c>
      <c r="N598" s="75" t="str">
        <f>IF(Main[[#This Row],[Tech Start Date]]&lt;1/1/1990,"",IF(Main[[#This Row],[Class]]="C",WORKDAY(Main[[#This Row],[Tech Start Date]],19),IF(Main[[#This Row],[Class]]="B", WORKDAY(Main[[#This Row],[Tech Start Date]],12),IF(Main[[#This Row],[Class]]="A",WORKDAY(Main[[#This Row],[Tech Start Date]],4),""))))</f>
        <v/>
      </c>
      <c r="O598" s="75" t="str">
        <f>IF(Main[[#This Row],[Tech Start Date]]&lt;1/1/1990,"",IF(Main[[#This Row],[Class]]="C",WORKDAY(Main[[#This Row],[Tech Start Date]],23),IF(Main[[#This Row],[Class]]="B", WORKDAY(Main[[#This Row],[Tech Start Date]],15),IF(Main[[#This Row],[Class]]="A",WORKDAY(Main[[#This Row],[Tech Start Date]],5),""))))</f>
        <v/>
      </c>
      <c r="P598" s="75" t="str">
        <f>IF(Main[[#This Row],[Tech Start Date]]&lt;1/1/1990,"",IF(Main[[#This Row],[Class]]="C",WORKDAY(Main[[#This Row],[Tech Start Date]],28),IF(Main[[#This Row],[Class]]="B", WORKDAY(Main[[#This Row],[Tech Start Date]],19),IF(Main[[#This Row],[Class]]="A",WORKDAY(Main[[#This Row],[Tech Start Date]],9),""))))</f>
        <v/>
      </c>
      <c r="Q598" s="89"/>
      <c r="R598" s="121"/>
      <c r="S598" s="99" t="s">
        <v>11</v>
      </c>
      <c r="T598" s="76" t="s">
        <v>4</v>
      </c>
      <c r="U598" s="99" t="s">
        <v>14</v>
      </c>
      <c r="V598" s="99" t="s">
        <v>1916</v>
      </c>
      <c r="W598" s="99" t="s">
        <v>1921</v>
      </c>
      <c r="X598" s="99" t="s">
        <v>2841</v>
      </c>
      <c r="Y598" s="73" t="s">
        <v>2972</v>
      </c>
      <c r="Z598" s="73" t="s">
        <v>4</v>
      </c>
      <c r="AA598" s="99" t="s">
        <v>2841</v>
      </c>
    </row>
    <row r="599" spans="1:27" ht="17.25" customHeight="1">
      <c r="A599" s="65" t="str">
        <f>IF(priority(Main[[#This Row],[Comments]])&lt;&gt;0, priority(Main[[#This Row],[Comments]]),"")</f>
        <v/>
      </c>
      <c r="B599" s="60" t="s">
        <v>1421</v>
      </c>
      <c r="C599" s="105" t="s">
        <v>506</v>
      </c>
      <c r="D599" s="74" t="s">
        <v>507</v>
      </c>
      <c r="E599" s="89"/>
      <c r="F599" s="89"/>
      <c r="G599" s="65" t="str">
        <f>IF(stdProdLT(Main[[#This Row],[Comments]])=0.1,"N/A",IF(stdProdLT(Main[[#This Row],[Comments]])=0,"",TRIM(stdProdLT(Main[[#This Row],[Comments]]))))</f>
        <v/>
      </c>
      <c r="H599" s="98" t="str">
        <f>IF(Main[[#This Row],[Std. Prod. Lead Time]]="N/A", "",IF(AND(Main[[#This Row],[In Stock Date]]&lt;&gt;"",Main[[#This Row],[Revised Due Date]]&lt;&gt;"",Main[[#This Row],[In Stock Date]]&lt;&gt;""),Main[[#This Row],[In Stock Date]]-Main[[#This Row],[Revised Due Date]],""))</f>
        <v/>
      </c>
      <c r="I599" s="110" t="s">
        <v>4</v>
      </c>
      <c r="J599" s="99" t="s">
        <v>4</v>
      </c>
      <c r="K599" s="99" t="s">
        <v>4</v>
      </c>
      <c r="L599" s="89"/>
      <c r="M599" s="75" t="str">
        <f>IF(Main[[#This Row],[Tech Start Date]]&lt;1/1/1990,"",IF(Main[[#This Row],[Class]]="C",WORKDAY(Main[[#This Row],[Tech Start Date]],9),IF(Main[[#This Row],[Class]]="B", WORKDAY(Main[[#This Row],[Tech Start Date]],6),IF(Main[[#This Row],[Class]]="A",WORKDAY(Main[[#This Row],[Tech Start Date]],2),""))))</f>
        <v/>
      </c>
      <c r="N599" s="75" t="str">
        <f>IF(Main[[#This Row],[Tech Start Date]]&lt;1/1/1990,"",IF(Main[[#This Row],[Class]]="C",WORKDAY(Main[[#This Row],[Tech Start Date]],19),IF(Main[[#This Row],[Class]]="B", WORKDAY(Main[[#This Row],[Tech Start Date]],12),IF(Main[[#This Row],[Class]]="A",WORKDAY(Main[[#This Row],[Tech Start Date]],4),""))))</f>
        <v/>
      </c>
      <c r="O599" s="75" t="str">
        <f>IF(Main[[#This Row],[Tech Start Date]]&lt;1/1/1990,"",IF(Main[[#This Row],[Class]]="C",WORKDAY(Main[[#This Row],[Tech Start Date]],23),IF(Main[[#This Row],[Class]]="B", WORKDAY(Main[[#This Row],[Tech Start Date]],15),IF(Main[[#This Row],[Class]]="A",WORKDAY(Main[[#This Row],[Tech Start Date]],5),""))))</f>
        <v/>
      </c>
      <c r="P599" s="75" t="str">
        <f>IF(Main[[#This Row],[Tech Start Date]]&lt;1/1/1990,"",IF(Main[[#This Row],[Class]]="C",WORKDAY(Main[[#This Row],[Tech Start Date]],28),IF(Main[[#This Row],[Class]]="B", WORKDAY(Main[[#This Row],[Tech Start Date]],19),IF(Main[[#This Row],[Class]]="A",WORKDAY(Main[[#This Row],[Tech Start Date]],9),""))))</f>
        <v/>
      </c>
      <c r="Q599" s="89">
        <v>40042</v>
      </c>
      <c r="R599" s="121"/>
      <c r="S599" s="99" t="s">
        <v>11</v>
      </c>
      <c r="T599" s="76" t="s">
        <v>4</v>
      </c>
      <c r="U599" s="99" t="s">
        <v>14</v>
      </c>
      <c r="V599" s="99" t="s">
        <v>1914</v>
      </c>
      <c r="W599" s="99" t="s">
        <v>1927</v>
      </c>
      <c r="X599" s="99" t="s">
        <v>745</v>
      </c>
      <c r="Y599" s="73" t="s">
        <v>3060</v>
      </c>
      <c r="Z599" s="73" t="s">
        <v>4</v>
      </c>
      <c r="AA599" s="99" t="s">
        <v>745</v>
      </c>
    </row>
    <row r="600" spans="1:27" ht="17.25" customHeight="1">
      <c r="A600" s="65" t="str">
        <f>IF(priority(Main[[#This Row],[Comments]])&lt;&gt;0, priority(Main[[#This Row],[Comments]]),"")</f>
        <v/>
      </c>
      <c r="B600" s="60" t="s">
        <v>1961</v>
      </c>
      <c r="C600" s="105" t="s">
        <v>4</v>
      </c>
      <c r="D600" s="74" t="s">
        <v>1962</v>
      </c>
      <c r="E600" s="89"/>
      <c r="F600" s="89"/>
      <c r="G600" s="65" t="str">
        <f>IF(stdProdLT(Main[[#This Row],[Comments]])=0.1,"N/A",IF(stdProdLT(Main[[#This Row],[Comments]])=0,"",TRIM(stdProdLT(Main[[#This Row],[Comments]]))))</f>
        <v/>
      </c>
      <c r="H600" s="98" t="str">
        <f>IF(Main[[#This Row],[Std. Prod. Lead Time]]="N/A", "",IF(AND(Main[[#This Row],[In Stock Date]]&lt;&gt;"",Main[[#This Row],[Revised Due Date]]&lt;&gt;"",Main[[#This Row],[In Stock Date]]&lt;&gt;""),Main[[#This Row],[In Stock Date]]-Main[[#This Row],[Revised Due Date]],""))</f>
        <v/>
      </c>
      <c r="I600" s="110" t="s">
        <v>4</v>
      </c>
      <c r="J600" s="99" t="s">
        <v>4</v>
      </c>
      <c r="K600" s="100" t="s">
        <v>4</v>
      </c>
      <c r="L600" s="89"/>
      <c r="M600" s="75" t="str">
        <f>IF(Main[[#This Row],[Tech Start Date]]&lt;1/1/1990,"",IF(Main[[#This Row],[Class]]="C",WORKDAY(Main[[#This Row],[Tech Start Date]],9),IF(Main[[#This Row],[Class]]="B", WORKDAY(Main[[#This Row],[Tech Start Date]],6),IF(Main[[#This Row],[Class]]="A",WORKDAY(Main[[#This Row],[Tech Start Date]],2),""))))</f>
        <v/>
      </c>
      <c r="N600" s="75" t="str">
        <f>IF(Main[[#This Row],[Tech Start Date]]&lt;1/1/1990,"",IF(Main[[#This Row],[Class]]="C",WORKDAY(Main[[#This Row],[Tech Start Date]],19),IF(Main[[#This Row],[Class]]="B", WORKDAY(Main[[#This Row],[Tech Start Date]],12),IF(Main[[#This Row],[Class]]="A",WORKDAY(Main[[#This Row],[Tech Start Date]],4),""))))</f>
        <v/>
      </c>
      <c r="O600" s="75" t="str">
        <f>IF(Main[[#This Row],[Tech Start Date]]&lt;1/1/1990,"",IF(Main[[#This Row],[Class]]="C",WORKDAY(Main[[#This Row],[Tech Start Date]],23),IF(Main[[#This Row],[Class]]="B", WORKDAY(Main[[#This Row],[Tech Start Date]],15),IF(Main[[#This Row],[Class]]="A",WORKDAY(Main[[#This Row],[Tech Start Date]],5),""))))</f>
        <v/>
      </c>
      <c r="P600" s="75" t="str">
        <f>IF(Main[[#This Row],[Tech Start Date]]&lt;1/1/1990,"",IF(Main[[#This Row],[Class]]="C",WORKDAY(Main[[#This Row],[Tech Start Date]],28),IF(Main[[#This Row],[Class]]="B", WORKDAY(Main[[#This Row],[Tech Start Date]],19),IF(Main[[#This Row],[Class]]="A",WORKDAY(Main[[#This Row],[Tech Start Date]],9),""))))</f>
        <v/>
      </c>
      <c r="Q600" s="89"/>
      <c r="R600" s="121"/>
      <c r="S600" s="99" t="s">
        <v>23</v>
      </c>
      <c r="T600" s="76" t="s">
        <v>4</v>
      </c>
      <c r="U600" s="99" t="s">
        <v>14</v>
      </c>
      <c r="V600" s="99" t="s">
        <v>1913</v>
      </c>
      <c r="W600" s="99" t="s">
        <v>1917</v>
      </c>
      <c r="X600" s="99" t="s">
        <v>102</v>
      </c>
      <c r="Y600" s="73" t="s">
        <v>3061</v>
      </c>
      <c r="Z600" s="73" t="s">
        <v>4</v>
      </c>
      <c r="AA600" s="99" t="s">
        <v>3410</v>
      </c>
    </row>
    <row r="601" spans="1:27" ht="17.25" customHeight="1">
      <c r="A601" s="65" t="str">
        <f>IF(priority(Main[[#This Row],[Comments]])&lt;&gt;0, priority(Main[[#This Row],[Comments]]),"")</f>
        <v/>
      </c>
      <c r="B601" s="60" t="s">
        <v>1422</v>
      </c>
      <c r="C601" s="105" t="s">
        <v>4</v>
      </c>
      <c r="D601" s="74" t="s">
        <v>508</v>
      </c>
      <c r="E601" s="89">
        <v>40322.154652777775</v>
      </c>
      <c r="F601" s="89"/>
      <c r="G601" s="65" t="str">
        <f>IF(stdProdLT(Main[[#This Row],[Comments]])=0.1,"N/A",IF(stdProdLT(Main[[#This Row],[Comments]])=0,"",TRIM(stdProdLT(Main[[#This Row],[Comments]]))))</f>
        <v/>
      </c>
      <c r="H601" s="98" t="str">
        <f>IF(Main[[#This Row],[Std. Prod. Lead Time]]="N/A", "",IF(AND(Main[[#This Row],[In Stock Date]]&lt;&gt;"",Main[[#This Row],[Revised Due Date]]&lt;&gt;"",Main[[#This Row],[In Stock Date]]&lt;&gt;""),Main[[#This Row],[In Stock Date]]-Main[[#This Row],[Revised Due Date]],""))</f>
        <v/>
      </c>
      <c r="I601" s="110" t="s">
        <v>129</v>
      </c>
      <c r="J601" s="99" t="s">
        <v>4</v>
      </c>
      <c r="K601" s="100" t="s">
        <v>4</v>
      </c>
      <c r="L601" s="89"/>
      <c r="M601" s="75" t="str">
        <f>IF(Main[[#This Row],[Tech Start Date]]&lt;1/1/1990,"",IF(Main[[#This Row],[Class]]="C",WORKDAY(Main[[#This Row],[Tech Start Date]],9),IF(Main[[#This Row],[Class]]="B", WORKDAY(Main[[#This Row],[Tech Start Date]],6),IF(Main[[#This Row],[Class]]="A",WORKDAY(Main[[#This Row],[Tech Start Date]],2),""))))</f>
        <v/>
      </c>
      <c r="N601" s="75" t="str">
        <f>IF(Main[[#This Row],[Tech Start Date]]&lt;1/1/1990,"",IF(Main[[#This Row],[Class]]="C",WORKDAY(Main[[#This Row],[Tech Start Date]],19),IF(Main[[#This Row],[Class]]="B", WORKDAY(Main[[#This Row],[Tech Start Date]],12),IF(Main[[#This Row],[Class]]="A",WORKDAY(Main[[#This Row],[Tech Start Date]],4),""))))</f>
        <v/>
      </c>
      <c r="O601" s="75" t="str">
        <f>IF(Main[[#This Row],[Tech Start Date]]&lt;1/1/1990,"",IF(Main[[#This Row],[Class]]="C",WORKDAY(Main[[#This Row],[Tech Start Date]],23),IF(Main[[#This Row],[Class]]="B", WORKDAY(Main[[#This Row],[Tech Start Date]],15),IF(Main[[#This Row],[Class]]="A",WORKDAY(Main[[#This Row],[Tech Start Date]],5),""))))</f>
        <v/>
      </c>
      <c r="P601" s="75" t="str">
        <f>IF(Main[[#This Row],[Tech Start Date]]&lt;1/1/1990,"",IF(Main[[#This Row],[Class]]="C",WORKDAY(Main[[#This Row],[Tech Start Date]],28),IF(Main[[#This Row],[Class]]="B", WORKDAY(Main[[#This Row],[Tech Start Date]],19),IF(Main[[#This Row],[Class]]="A",WORKDAY(Main[[#This Row],[Tech Start Date]],9),""))))</f>
        <v/>
      </c>
      <c r="Q601" s="89">
        <v>40353</v>
      </c>
      <c r="R601" s="121"/>
      <c r="S601" s="99" t="s">
        <v>6</v>
      </c>
      <c r="T601" s="76" t="s">
        <v>4</v>
      </c>
      <c r="U601" s="99" t="s">
        <v>7</v>
      </c>
      <c r="V601" s="99" t="s">
        <v>1913</v>
      </c>
      <c r="W601" s="99" t="s">
        <v>1915</v>
      </c>
      <c r="X601" s="99" t="s">
        <v>2816</v>
      </c>
      <c r="Y601" s="73" t="s">
        <v>2932</v>
      </c>
      <c r="Z601" s="73" t="s">
        <v>4</v>
      </c>
      <c r="AA601" s="99" t="s">
        <v>2816</v>
      </c>
    </row>
    <row r="602" spans="1:27" ht="17.25" customHeight="1">
      <c r="A602" s="65" t="str">
        <f>IF(priority(Main[[#This Row],[Comments]])&lt;&gt;0, priority(Main[[#This Row],[Comments]]),"")</f>
        <v/>
      </c>
      <c r="B602" s="60" t="s">
        <v>1423</v>
      </c>
      <c r="C602" s="105" t="s">
        <v>4</v>
      </c>
      <c r="D602" s="74" t="s">
        <v>509</v>
      </c>
      <c r="E602" s="89"/>
      <c r="F602" s="89"/>
      <c r="G602" s="65" t="str">
        <f>IF(stdProdLT(Main[[#This Row],[Comments]])=0.1,"N/A",IF(stdProdLT(Main[[#This Row],[Comments]])=0,"",TRIM(stdProdLT(Main[[#This Row],[Comments]]))))</f>
        <v/>
      </c>
      <c r="H602" s="98" t="str">
        <f>IF(Main[[#This Row],[Std. Prod. Lead Time]]="N/A", "",IF(AND(Main[[#This Row],[In Stock Date]]&lt;&gt;"",Main[[#This Row],[Revised Due Date]]&lt;&gt;"",Main[[#This Row],[In Stock Date]]&lt;&gt;""),Main[[#This Row],[In Stock Date]]-Main[[#This Row],[Revised Due Date]],""))</f>
        <v/>
      </c>
      <c r="I602" s="110" t="s">
        <v>4</v>
      </c>
      <c r="J602" s="99" t="s">
        <v>4</v>
      </c>
      <c r="K602" s="99" t="s">
        <v>4</v>
      </c>
      <c r="L602" s="89"/>
      <c r="M602" s="75" t="str">
        <f>IF(Main[[#This Row],[Tech Start Date]]&lt;1/1/1990,"",IF(Main[[#This Row],[Class]]="C",WORKDAY(Main[[#This Row],[Tech Start Date]],9),IF(Main[[#This Row],[Class]]="B", WORKDAY(Main[[#This Row],[Tech Start Date]],6),IF(Main[[#This Row],[Class]]="A",WORKDAY(Main[[#This Row],[Tech Start Date]],2),""))))</f>
        <v/>
      </c>
      <c r="N602" s="75" t="str">
        <f>IF(Main[[#This Row],[Tech Start Date]]&lt;1/1/1990,"",IF(Main[[#This Row],[Class]]="C",WORKDAY(Main[[#This Row],[Tech Start Date]],19),IF(Main[[#This Row],[Class]]="B", WORKDAY(Main[[#This Row],[Tech Start Date]],12),IF(Main[[#This Row],[Class]]="A",WORKDAY(Main[[#This Row],[Tech Start Date]],4),""))))</f>
        <v/>
      </c>
      <c r="O602" s="75" t="str">
        <f>IF(Main[[#This Row],[Tech Start Date]]&lt;1/1/1990,"",IF(Main[[#This Row],[Class]]="C",WORKDAY(Main[[#This Row],[Tech Start Date]],23),IF(Main[[#This Row],[Class]]="B", WORKDAY(Main[[#This Row],[Tech Start Date]],15),IF(Main[[#This Row],[Class]]="A",WORKDAY(Main[[#This Row],[Tech Start Date]],5),""))))</f>
        <v/>
      </c>
      <c r="P602" s="75" t="str">
        <f>IF(Main[[#This Row],[Tech Start Date]]&lt;1/1/1990,"",IF(Main[[#This Row],[Class]]="C",WORKDAY(Main[[#This Row],[Tech Start Date]],28),IF(Main[[#This Row],[Class]]="B", WORKDAY(Main[[#This Row],[Tech Start Date]],19),IF(Main[[#This Row],[Class]]="A",WORKDAY(Main[[#This Row],[Tech Start Date]],9),""))))</f>
        <v/>
      </c>
      <c r="Q602" s="89"/>
      <c r="R602" s="121"/>
      <c r="S602" s="99" t="s">
        <v>4</v>
      </c>
      <c r="T602" s="76" t="s">
        <v>4</v>
      </c>
      <c r="U602" s="99" t="s">
        <v>14</v>
      </c>
      <c r="V602" s="99" t="s">
        <v>1913</v>
      </c>
      <c r="W602" s="99" t="s">
        <v>4</v>
      </c>
      <c r="X602" s="99" t="s">
        <v>2882</v>
      </c>
      <c r="Y602" s="73" t="s">
        <v>3038</v>
      </c>
      <c r="Z602" s="73" t="s">
        <v>4</v>
      </c>
      <c r="AA602" s="99" t="s">
        <v>2882</v>
      </c>
    </row>
    <row r="603" spans="1:27" ht="17.25" customHeight="1">
      <c r="A603" s="65" t="str">
        <f>IF(priority(Main[[#This Row],[Comments]])&lt;&gt;0, priority(Main[[#This Row],[Comments]]),"")</f>
        <v/>
      </c>
      <c r="B603" s="60" t="s">
        <v>1426</v>
      </c>
      <c r="C603" s="105" t="s">
        <v>31</v>
      </c>
      <c r="D603" s="74" t="s">
        <v>510</v>
      </c>
      <c r="E603" s="89"/>
      <c r="F603" s="89"/>
      <c r="G603" s="65" t="str">
        <f>IF(stdProdLT(Main[[#This Row],[Comments]])=0.1,"N/A",IF(stdProdLT(Main[[#This Row],[Comments]])=0,"",TRIM(stdProdLT(Main[[#This Row],[Comments]]))))</f>
        <v/>
      </c>
      <c r="H603" s="98" t="str">
        <f>IF(Main[[#This Row],[Std. Prod. Lead Time]]="N/A", "",IF(AND(Main[[#This Row],[In Stock Date]]&lt;&gt;"",Main[[#This Row],[Revised Due Date]]&lt;&gt;"",Main[[#This Row],[In Stock Date]]&lt;&gt;""),Main[[#This Row],[In Stock Date]]-Main[[#This Row],[Revised Due Date]],""))</f>
        <v/>
      </c>
      <c r="I603" s="110" t="s">
        <v>4</v>
      </c>
      <c r="J603" s="99" t="s">
        <v>4</v>
      </c>
      <c r="K603" s="99" t="s">
        <v>4</v>
      </c>
      <c r="L603" s="89"/>
      <c r="M603" s="75" t="str">
        <f>IF(Main[[#This Row],[Tech Start Date]]&lt;1/1/1990,"",IF(Main[[#This Row],[Class]]="C",WORKDAY(Main[[#This Row],[Tech Start Date]],9),IF(Main[[#This Row],[Class]]="B", WORKDAY(Main[[#This Row],[Tech Start Date]],6),IF(Main[[#This Row],[Class]]="A",WORKDAY(Main[[#This Row],[Tech Start Date]],2),""))))</f>
        <v/>
      </c>
      <c r="N603" s="75" t="str">
        <f>IF(Main[[#This Row],[Tech Start Date]]&lt;1/1/1990,"",IF(Main[[#This Row],[Class]]="C",WORKDAY(Main[[#This Row],[Tech Start Date]],19),IF(Main[[#This Row],[Class]]="B", WORKDAY(Main[[#This Row],[Tech Start Date]],12),IF(Main[[#This Row],[Class]]="A",WORKDAY(Main[[#This Row],[Tech Start Date]],4),""))))</f>
        <v/>
      </c>
      <c r="O603" s="75" t="str">
        <f>IF(Main[[#This Row],[Tech Start Date]]&lt;1/1/1990,"",IF(Main[[#This Row],[Class]]="C",WORKDAY(Main[[#This Row],[Tech Start Date]],23),IF(Main[[#This Row],[Class]]="B", WORKDAY(Main[[#This Row],[Tech Start Date]],15),IF(Main[[#This Row],[Class]]="A",WORKDAY(Main[[#This Row],[Tech Start Date]],5),""))))</f>
        <v/>
      </c>
      <c r="P603" s="75" t="str">
        <f>IF(Main[[#This Row],[Tech Start Date]]&lt;1/1/1990,"",IF(Main[[#This Row],[Class]]="C",WORKDAY(Main[[#This Row],[Tech Start Date]],28),IF(Main[[#This Row],[Class]]="B", WORKDAY(Main[[#This Row],[Tech Start Date]],19),IF(Main[[#This Row],[Class]]="A",WORKDAY(Main[[#This Row],[Tech Start Date]],9),""))))</f>
        <v/>
      </c>
      <c r="Q603" s="89">
        <v>40318</v>
      </c>
      <c r="R603" s="121"/>
      <c r="S603" s="99" t="s">
        <v>11</v>
      </c>
      <c r="T603" s="85" t="s">
        <v>4</v>
      </c>
      <c r="U603" s="99" t="s">
        <v>14</v>
      </c>
      <c r="V603" s="99" t="s">
        <v>1916</v>
      </c>
      <c r="W603" s="99" t="s">
        <v>1924</v>
      </c>
      <c r="X603" s="99" t="s">
        <v>2824</v>
      </c>
      <c r="Y603" s="73" t="s">
        <v>4</v>
      </c>
      <c r="Z603" s="73" t="s">
        <v>4</v>
      </c>
      <c r="AA603" s="99" t="s">
        <v>2824</v>
      </c>
    </row>
    <row r="604" spans="1:27" ht="17.25" customHeight="1">
      <c r="A604" s="65" t="str">
        <f>IF(priority(Main[[#This Row],[Comments]])&lt;&gt;0, priority(Main[[#This Row],[Comments]]),"")</f>
        <v/>
      </c>
      <c r="B604" s="60" t="s">
        <v>1427</v>
      </c>
      <c r="C604" s="105" t="s">
        <v>47</v>
      </c>
      <c r="D604" s="74" t="s">
        <v>511</v>
      </c>
      <c r="E604" s="89"/>
      <c r="F604" s="89"/>
      <c r="G604" s="65" t="str">
        <f>IF(stdProdLT(Main[[#This Row],[Comments]])=0.1,"N/A",IF(stdProdLT(Main[[#This Row],[Comments]])=0,"",TRIM(stdProdLT(Main[[#This Row],[Comments]]))))</f>
        <v/>
      </c>
      <c r="H604" s="98" t="str">
        <f>IF(Main[[#This Row],[Std. Prod. Lead Time]]="N/A", "",IF(AND(Main[[#This Row],[In Stock Date]]&lt;&gt;"",Main[[#This Row],[Revised Due Date]]&lt;&gt;"",Main[[#This Row],[In Stock Date]]&lt;&gt;""),Main[[#This Row],[In Stock Date]]-Main[[#This Row],[Revised Due Date]],""))</f>
        <v/>
      </c>
      <c r="I604" s="110" t="s">
        <v>4</v>
      </c>
      <c r="J604" s="99" t="s">
        <v>4</v>
      </c>
      <c r="K604" s="99" t="s">
        <v>4</v>
      </c>
      <c r="L604" s="89"/>
      <c r="M604" s="75" t="str">
        <f>IF(Main[[#This Row],[Tech Start Date]]&lt;1/1/1990,"",IF(Main[[#This Row],[Class]]="C",WORKDAY(Main[[#This Row],[Tech Start Date]],9),IF(Main[[#This Row],[Class]]="B", WORKDAY(Main[[#This Row],[Tech Start Date]],6),IF(Main[[#This Row],[Class]]="A",WORKDAY(Main[[#This Row],[Tech Start Date]],2),""))))</f>
        <v/>
      </c>
      <c r="N604" s="75" t="str">
        <f>IF(Main[[#This Row],[Tech Start Date]]&lt;1/1/1990,"",IF(Main[[#This Row],[Class]]="C",WORKDAY(Main[[#This Row],[Tech Start Date]],19),IF(Main[[#This Row],[Class]]="B", WORKDAY(Main[[#This Row],[Tech Start Date]],12),IF(Main[[#This Row],[Class]]="A",WORKDAY(Main[[#This Row],[Tech Start Date]],4),""))))</f>
        <v/>
      </c>
      <c r="O604" s="75" t="str">
        <f>IF(Main[[#This Row],[Tech Start Date]]&lt;1/1/1990,"",IF(Main[[#This Row],[Class]]="C",WORKDAY(Main[[#This Row],[Tech Start Date]],23),IF(Main[[#This Row],[Class]]="B", WORKDAY(Main[[#This Row],[Tech Start Date]],15),IF(Main[[#This Row],[Class]]="A",WORKDAY(Main[[#This Row],[Tech Start Date]],5),""))))</f>
        <v/>
      </c>
      <c r="P604" s="75" t="str">
        <f>IF(Main[[#This Row],[Tech Start Date]]&lt;1/1/1990,"",IF(Main[[#This Row],[Class]]="C",WORKDAY(Main[[#This Row],[Tech Start Date]],28),IF(Main[[#This Row],[Class]]="B", WORKDAY(Main[[#This Row],[Tech Start Date]],19),IF(Main[[#This Row],[Class]]="A",WORKDAY(Main[[#This Row],[Tech Start Date]],9),""))))</f>
        <v/>
      </c>
      <c r="Q604" s="89"/>
      <c r="R604" s="121"/>
      <c r="S604" s="99" t="s">
        <v>11</v>
      </c>
      <c r="T604" s="76" t="s">
        <v>4</v>
      </c>
      <c r="U604" s="99" t="s">
        <v>14</v>
      </c>
      <c r="V604" s="99" t="s">
        <v>1914</v>
      </c>
      <c r="W604" s="99" t="s">
        <v>1917</v>
      </c>
      <c r="X604" s="99" t="s">
        <v>306</v>
      </c>
      <c r="Y604" s="73" t="s">
        <v>2935</v>
      </c>
      <c r="Z604" s="73" t="s">
        <v>4</v>
      </c>
      <c r="AA604" s="99" t="s">
        <v>3369</v>
      </c>
    </row>
    <row r="605" spans="1:27" ht="17.25" customHeight="1">
      <c r="A605" s="65" t="str">
        <f>IF(priority(Main[[#This Row],[Comments]])&lt;&gt;0, priority(Main[[#This Row],[Comments]]),"")</f>
        <v/>
      </c>
      <c r="B605" s="60" t="s">
        <v>1428</v>
      </c>
      <c r="C605" s="105" t="s">
        <v>4</v>
      </c>
      <c r="D605" s="74" t="s">
        <v>512</v>
      </c>
      <c r="E605" s="89">
        <v>40465.986851851849</v>
      </c>
      <c r="F605" s="89"/>
      <c r="G605" s="65" t="str">
        <f>IF(stdProdLT(Main[[#This Row],[Comments]])=0.1,"N/A",IF(stdProdLT(Main[[#This Row],[Comments]])=0,"",TRIM(stdProdLT(Main[[#This Row],[Comments]]))))</f>
        <v/>
      </c>
      <c r="H605" s="98" t="str">
        <f>IF(Main[[#This Row],[Std. Prod. Lead Time]]="N/A", "",IF(AND(Main[[#This Row],[In Stock Date]]&lt;&gt;"",Main[[#This Row],[Revised Due Date]]&lt;&gt;"",Main[[#This Row],[In Stock Date]]&lt;&gt;""),Main[[#This Row],[In Stock Date]]-Main[[#This Row],[Revised Due Date]],""))</f>
        <v/>
      </c>
      <c r="I605" s="110" t="s">
        <v>4</v>
      </c>
      <c r="J605" s="99" t="s">
        <v>28</v>
      </c>
      <c r="K605" s="99" t="s">
        <v>4</v>
      </c>
      <c r="L605" s="89"/>
      <c r="M605" s="75" t="str">
        <f>IF(Main[[#This Row],[Tech Start Date]]&lt;1/1/1990,"",IF(Main[[#This Row],[Class]]="C",WORKDAY(Main[[#This Row],[Tech Start Date]],9),IF(Main[[#This Row],[Class]]="B", WORKDAY(Main[[#This Row],[Tech Start Date]],6),IF(Main[[#This Row],[Class]]="A",WORKDAY(Main[[#This Row],[Tech Start Date]],2),""))))</f>
        <v/>
      </c>
      <c r="N605" s="75" t="str">
        <f>IF(Main[[#This Row],[Tech Start Date]]&lt;1/1/1990,"",IF(Main[[#This Row],[Class]]="C",WORKDAY(Main[[#This Row],[Tech Start Date]],19),IF(Main[[#This Row],[Class]]="B", WORKDAY(Main[[#This Row],[Tech Start Date]],12),IF(Main[[#This Row],[Class]]="A",WORKDAY(Main[[#This Row],[Tech Start Date]],4),""))))</f>
        <v/>
      </c>
      <c r="O605" s="75" t="str">
        <f>IF(Main[[#This Row],[Tech Start Date]]&lt;1/1/1990,"",IF(Main[[#This Row],[Class]]="C",WORKDAY(Main[[#This Row],[Tech Start Date]],23),IF(Main[[#This Row],[Class]]="B", WORKDAY(Main[[#This Row],[Tech Start Date]],15),IF(Main[[#This Row],[Class]]="A",WORKDAY(Main[[#This Row],[Tech Start Date]],5),""))))</f>
        <v/>
      </c>
      <c r="P605" s="75" t="str">
        <f>IF(Main[[#This Row],[Tech Start Date]]&lt;1/1/1990,"",IF(Main[[#This Row],[Class]]="C",WORKDAY(Main[[#This Row],[Tech Start Date]],28),IF(Main[[#This Row],[Class]]="B", WORKDAY(Main[[#This Row],[Tech Start Date]],19),IF(Main[[#This Row],[Class]]="A",WORKDAY(Main[[#This Row],[Tech Start Date]],9),""))))</f>
        <v/>
      </c>
      <c r="Q605" s="89"/>
      <c r="R605" s="121"/>
      <c r="S605" s="99" t="s">
        <v>6</v>
      </c>
      <c r="T605" s="76" t="s">
        <v>4</v>
      </c>
      <c r="U605" s="99" t="s">
        <v>7</v>
      </c>
      <c r="V605" s="99" t="s">
        <v>1913</v>
      </c>
      <c r="W605" s="99" t="s">
        <v>1917</v>
      </c>
      <c r="X605" s="99" t="s">
        <v>2860</v>
      </c>
      <c r="Y605" s="73" t="s">
        <v>2994</v>
      </c>
      <c r="Z605" s="73" t="s">
        <v>129</v>
      </c>
      <c r="AA605" s="99" t="s">
        <v>2860</v>
      </c>
    </row>
    <row r="606" spans="1:27" ht="17.25" customHeight="1">
      <c r="A606" s="65" t="str">
        <f>IF(priority(Main[[#This Row],[Comments]])&lt;&gt;0, priority(Main[[#This Row],[Comments]]),"")</f>
        <v/>
      </c>
      <c r="B606" s="60" t="s">
        <v>1253</v>
      </c>
      <c r="C606" s="105" t="s">
        <v>4</v>
      </c>
      <c r="D606" s="74" t="s">
        <v>319</v>
      </c>
      <c r="E606" s="89">
        <v>40014.430787037039</v>
      </c>
      <c r="F606" s="89"/>
      <c r="G606" s="65" t="str">
        <f>IF(stdProdLT(Main[[#This Row],[Comments]])=0.1,"N/A",IF(stdProdLT(Main[[#This Row],[Comments]])=0,"",TRIM(stdProdLT(Main[[#This Row],[Comments]]))))</f>
        <v/>
      </c>
      <c r="H606" s="98" t="str">
        <f>IF(Main[[#This Row],[Std. Prod. Lead Time]]="N/A", "",IF(AND(Main[[#This Row],[In Stock Date]]&lt;&gt;"",Main[[#This Row],[Revised Due Date]]&lt;&gt;"",Main[[#This Row],[In Stock Date]]&lt;&gt;""),Main[[#This Row],[In Stock Date]]-Main[[#This Row],[Revised Due Date]],""))</f>
        <v/>
      </c>
      <c r="I606" s="110" t="s">
        <v>2009</v>
      </c>
      <c r="J606" s="99" t="s">
        <v>28</v>
      </c>
      <c r="K606" s="99" t="s">
        <v>4</v>
      </c>
      <c r="L606" s="89"/>
      <c r="M606" s="75" t="str">
        <f>IF(Main[[#This Row],[Tech Start Date]]&lt;1/1/1990,"",IF(Main[[#This Row],[Class]]="C",WORKDAY(Main[[#This Row],[Tech Start Date]],9),IF(Main[[#This Row],[Class]]="B", WORKDAY(Main[[#This Row],[Tech Start Date]],6),IF(Main[[#This Row],[Class]]="A",WORKDAY(Main[[#This Row],[Tech Start Date]],2),""))))</f>
        <v/>
      </c>
      <c r="N606" s="75" t="str">
        <f>IF(Main[[#This Row],[Tech Start Date]]&lt;1/1/1990,"",IF(Main[[#This Row],[Class]]="C",WORKDAY(Main[[#This Row],[Tech Start Date]],19),IF(Main[[#This Row],[Class]]="B", WORKDAY(Main[[#This Row],[Tech Start Date]],12),IF(Main[[#This Row],[Class]]="A",WORKDAY(Main[[#This Row],[Tech Start Date]],4),""))))</f>
        <v/>
      </c>
      <c r="O606" s="75" t="str">
        <f>IF(Main[[#This Row],[Tech Start Date]]&lt;1/1/1990,"",IF(Main[[#This Row],[Class]]="C",WORKDAY(Main[[#This Row],[Tech Start Date]],23),IF(Main[[#This Row],[Class]]="B", WORKDAY(Main[[#This Row],[Tech Start Date]],15),IF(Main[[#This Row],[Class]]="A",WORKDAY(Main[[#This Row],[Tech Start Date]],5),""))))</f>
        <v/>
      </c>
      <c r="P606" s="75" t="str">
        <f>IF(Main[[#This Row],[Tech Start Date]]&lt;1/1/1990,"",IF(Main[[#This Row],[Class]]="C",WORKDAY(Main[[#This Row],[Tech Start Date]],28),IF(Main[[#This Row],[Class]]="B", WORKDAY(Main[[#This Row],[Tech Start Date]],19),IF(Main[[#This Row],[Class]]="A",WORKDAY(Main[[#This Row],[Tech Start Date]],9),""))))</f>
        <v/>
      </c>
      <c r="Q606" s="89">
        <v>40237</v>
      </c>
      <c r="R606" s="121"/>
      <c r="S606" s="99" t="s">
        <v>17</v>
      </c>
      <c r="T606" s="76" t="s">
        <v>4</v>
      </c>
      <c r="U606" s="99" t="s">
        <v>7</v>
      </c>
      <c r="V606" s="99" t="s">
        <v>1928</v>
      </c>
      <c r="W606" s="99" t="s">
        <v>1921</v>
      </c>
      <c r="X606" s="99" t="s">
        <v>2856</v>
      </c>
      <c r="Y606" s="73" t="s">
        <v>3039</v>
      </c>
      <c r="Z606" s="73" t="s">
        <v>2207</v>
      </c>
      <c r="AA606" s="99" t="s">
        <v>2009</v>
      </c>
    </row>
    <row r="607" spans="1:27" ht="17.25" customHeight="1">
      <c r="A607" s="65" t="str">
        <f>IF(priority(Main[[#This Row],[Comments]])&lt;&gt;0, priority(Main[[#This Row],[Comments]]),"")</f>
        <v/>
      </c>
      <c r="B607" s="60" t="s">
        <v>1429</v>
      </c>
      <c r="C607" s="105" t="s">
        <v>72</v>
      </c>
      <c r="D607" s="74" t="s">
        <v>513</v>
      </c>
      <c r="E607" s="89"/>
      <c r="F607" s="89">
        <v>40544</v>
      </c>
      <c r="G607" s="65" t="str">
        <f>IF(stdProdLT(Main[[#This Row],[Comments]])=0.1,"N/A",IF(stdProdLT(Main[[#This Row],[Comments]])=0,"",TRIM(stdProdLT(Main[[#This Row],[Comments]]))))</f>
        <v/>
      </c>
      <c r="H607" s="98" t="str">
        <f>IF(Main[[#This Row],[Std. Prod. Lead Time]]="N/A", "",IF(AND(Main[[#This Row],[In Stock Date]]&lt;&gt;"",Main[[#This Row],[Revised Due Date]]&lt;&gt;"",Main[[#This Row],[In Stock Date]]&lt;&gt;""),Main[[#This Row],[In Stock Date]]-Main[[#This Row],[Revised Due Date]],""))</f>
        <v/>
      </c>
      <c r="I607" s="110" t="s">
        <v>4</v>
      </c>
      <c r="J607" s="99" t="s">
        <v>4</v>
      </c>
      <c r="K607" s="99" t="s">
        <v>4</v>
      </c>
      <c r="L607" s="89"/>
      <c r="M607" s="75" t="str">
        <f>IF(Main[[#This Row],[Tech Start Date]]&lt;1/1/1990,"",IF(Main[[#This Row],[Class]]="C",WORKDAY(Main[[#This Row],[Tech Start Date]],9),IF(Main[[#This Row],[Class]]="B", WORKDAY(Main[[#This Row],[Tech Start Date]],6),IF(Main[[#This Row],[Class]]="A",WORKDAY(Main[[#This Row],[Tech Start Date]],2),""))))</f>
        <v/>
      </c>
      <c r="N607" s="75" t="str">
        <f>IF(Main[[#This Row],[Tech Start Date]]&lt;1/1/1990,"",IF(Main[[#This Row],[Class]]="C",WORKDAY(Main[[#This Row],[Tech Start Date]],19),IF(Main[[#This Row],[Class]]="B", WORKDAY(Main[[#This Row],[Tech Start Date]],12),IF(Main[[#This Row],[Class]]="A",WORKDAY(Main[[#This Row],[Tech Start Date]],4),""))))</f>
        <v/>
      </c>
      <c r="O607" s="75" t="str">
        <f>IF(Main[[#This Row],[Tech Start Date]]&lt;1/1/1990,"",IF(Main[[#This Row],[Class]]="C",WORKDAY(Main[[#This Row],[Tech Start Date]],23),IF(Main[[#This Row],[Class]]="B", WORKDAY(Main[[#This Row],[Tech Start Date]],15),IF(Main[[#This Row],[Class]]="A",WORKDAY(Main[[#This Row],[Tech Start Date]],5),""))))</f>
        <v/>
      </c>
      <c r="P607" s="75" t="str">
        <f>IF(Main[[#This Row],[Tech Start Date]]&lt;1/1/1990,"",IF(Main[[#This Row],[Class]]="C",WORKDAY(Main[[#This Row],[Tech Start Date]],28),IF(Main[[#This Row],[Class]]="B", WORKDAY(Main[[#This Row],[Tech Start Date]],19),IF(Main[[#This Row],[Class]]="A",WORKDAY(Main[[#This Row],[Tech Start Date]],9),""))))</f>
        <v/>
      </c>
      <c r="Q607" s="89"/>
      <c r="R607" s="121"/>
      <c r="S607" s="99" t="s">
        <v>11</v>
      </c>
      <c r="T607" s="76" t="s">
        <v>4</v>
      </c>
      <c r="U607" s="99" t="s">
        <v>14</v>
      </c>
      <c r="V607" s="99" t="s">
        <v>1916</v>
      </c>
      <c r="W607" s="99" t="s">
        <v>1921</v>
      </c>
      <c r="X607" s="99" t="s">
        <v>2841</v>
      </c>
      <c r="Y607" s="73" t="s">
        <v>2972</v>
      </c>
      <c r="Z607" s="73" t="s">
        <v>4</v>
      </c>
      <c r="AA607" s="99" t="s">
        <v>2841</v>
      </c>
    </row>
    <row r="608" spans="1:27" ht="17.25" customHeight="1">
      <c r="A608" s="65" t="str">
        <f>IF(priority(Main[[#This Row],[Comments]])&lt;&gt;0, priority(Main[[#This Row],[Comments]]),"")</f>
        <v/>
      </c>
      <c r="B608" s="60" t="s">
        <v>1638</v>
      </c>
      <c r="C608" s="105" t="s">
        <v>4</v>
      </c>
      <c r="D608" s="74" t="s">
        <v>1989</v>
      </c>
      <c r="E608" s="89"/>
      <c r="F608" s="89"/>
      <c r="G608" s="65" t="str">
        <f>IF(stdProdLT(Main[[#This Row],[Comments]])=0.1,"N/A",IF(stdProdLT(Main[[#This Row],[Comments]])=0,"",TRIM(stdProdLT(Main[[#This Row],[Comments]]))))</f>
        <v/>
      </c>
      <c r="H608" s="98" t="str">
        <f>IF(Main[[#This Row],[Std. Prod. Lead Time]]="N/A", "",IF(AND(Main[[#This Row],[In Stock Date]]&lt;&gt;"",Main[[#This Row],[Revised Due Date]]&lt;&gt;"",Main[[#This Row],[In Stock Date]]&lt;&gt;""),Main[[#This Row],[In Stock Date]]-Main[[#This Row],[Revised Due Date]],""))</f>
        <v/>
      </c>
      <c r="I608" s="110" t="s">
        <v>44</v>
      </c>
      <c r="J608" s="99" t="s">
        <v>28</v>
      </c>
      <c r="K608" s="99" t="s">
        <v>1922</v>
      </c>
      <c r="L608" s="89"/>
      <c r="M608" s="75" t="str">
        <f>IF(Main[[#This Row],[Tech Start Date]]&lt;1/1/1990,"",IF(Main[[#This Row],[Class]]="C",WORKDAY(Main[[#This Row],[Tech Start Date]],9),IF(Main[[#This Row],[Class]]="B", WORKDAY(Main[[#This Row],[Tech Start Date]],6),IF(Main[[#This Row],[Class]]="A",WORKDAY(Main[[#This Row],[Tech Start Date]],2),""))))</f>
        <v/>
      </c>
      <c r="N608" s="75" t="str">
        <f>IF(Main[[#This Row],[Tech Start Date]]&lt;1/1/1990,"",IF(Main[[#This Row],[Class]]="C",WORKDAY(Main[[#This Row],[Tech Start Date]],19),IF(Main[[#This Row],[Class]]="B", WORKDAY(Main[[#This Row],[Tech Start Date]],12),IF(Main[[#This Row],[Class]]="A",WORKDAY(Main[[#This Row],[Tech Start Date]],4),""))))</f>
        <v/>
      </c>
      <c r="O608" s="75" t="str">
        <f>IF(Main[[#This Row],[Tech Start Date]]&lt;1/1/1990,"",IF(Main[[#This Row],[Class]]="C",WORKDAY(Main[[#This Row],[Tech Start Date]],23),IF(Main[[#This Row],[Class]]="B", WORKDAY(Main[[#This Row],[Tech Start Date]],15),IF(Main[[#This Row],[Class]]="A",WORKDAY(Main[[#This Row],[Tech Start Date]],5),""))))</f>
        <v/>
      </c>
      <c r="P608" s="75" t="str">
        <f>IF(Main[[#This Row],[Tech Start Date]]&lt;1/1/1990,"",IF(Main[[#This Row],[Class]]="C",WORKDAY(Main[[#This Row],[Tech Start Date]],28),IF(Main[[#This Row],[Class]]="B", WORKDAY(Main[[#This Row],[Tech Start Date]],19),IF(Main[[#This Row],[Class]]="A",WORKDAY(Main[[#This Row],[Tech Start Date]],9),""))))</f>
        <v/>
      </c>
      <c r="Q608" s="89">
        <v>40755</v>
      </c>
      <c r="R608" s="121"/>
      <c r="S608" s="99" t="s">
        <v>6</v>
      </c>
      <c r="T608" s="76" t="s">
        <v>4</v>
      </c>
      <c r="U608" s="99" t="s">
        <v>14</v>
      </c>
      <c r="V608" s="99" t="s">
        <v>1916</v>
      </c>
      <c r="W608" s="99" t="s">
        <v>1917</v>
      </c>
      <c r="X608" s="99" t="s">
        <v>30</v>
      </c>
      <c r="Y608" s="73" t="s">
        <v>3040</v>
      </c>
      <c r="Z608" s="73" t="s">
        <v>44</v>
      </c>
      <c r="AA608" s="99" t="s">
        <v>3407</v>
      </c>
    </row>
    <row r="609" spans="1:27" ht="17.25" customHeight="1">
      <c r="A609" s="65" t="str">
        <f>IF(priority(Main[[#This Row],[Comments]])&lt;&gt;0, priority(Main[[#This Row],[Comments]]),"")</f>
        <v/>
      </c>
      <c r="B609" s="60" t="s">
        <v>1430</v>
      </c>
      <c r="C609" s="105" t="s">
        <v>4</v>
      </c>
      <c r="D609" s="74" t="s">
        <v>97</v>
      </c>
      <c r="E609" s="89"/>
      <c r="F609" s="89"/>
      <c r="G609" s="65" t="str">
        <f>IF(stdProdLT(Main[[#This Row],[Comments]])=0.1,"N/A",IF(stdProdLT(Main[[#This Row],[Comments]])=0,"",TRIM(stdProdLT(Main[[#This Row],[Comments]]))))</f>
        <v/>
      </c>
      <c r="H609" s="98" t="str">
        <f>IF(Main[[#This Row],[Std. Prod. Lead Time]]="N/A", "",IF(AND(Main[[#This Row],[In Stock Date]]&lt;&gt;"",Main[[#This Row],[Revised Due Date]]&lt;&gt;"",Main[[#This Row],[In Stock Date]]&lt;&gt;""),Main[[#This Row],[In Stock Date]]-Main[[#This Row],[Revised Due Date]],""))</f>
        <v/>
      </c>
      <c r="I609" s="110" t="s">
        <v>4</v>
      </c>
      <c r="J609" s="99" t="s">
        <v>4</v>
      </c>
      <c r="K609" s="99" t="s">
        <v>4</v>
      </c>
      <c r="L609" s="89"/>
      <c r="M609" s="75" t="str">
        <f>IF(Main[[#This Row],[Tech Start Date]]&lt;1/1/1990,"",IF(Main[[#This Row],[Class]]="C",WORKDAY(Main[[#This Row],[Tech Start Date]],9),IF(Main[[#This Row],[Class]]="B", WORKDAY(Main[[#This Row],[Tech Start Date]],6),IF(Main[[#This Row],[Class]]="A",WORKDAY(Main[[#This Row],[Tech Start Date]],2),""))))</f>
        <v/>
      </c>
      <c r="N609" s="75" t="str">
        <f>IF(Main[[#This Row],[Tech Start Date]]&lt;1/1/1990,"",IF(Main[[#This Row],[Class]]="C",WORKDAY(Main[[#This Row],[Tech Start Date]],19),IF(Main[[#This Row],[Class]]="B", WORKDAY(Main[[#This Row],[Tech Start Date]],12),IF(Main[[#This Row],[Class]]="A",WORKDAY(Main[[#This Row],[Tech Start Date]],4),""))))</f>
        <v/>
      </c>
      <c r="O609" s="75" t="str">
        <f>IF(Main[[#This Row],[Tech Start Date]]&lt;1/1/1990,"",IF(Main[[#This Row],[Class]]="C",WORKDAY(Main[[#This Row],[Tech Start Date]],23),IF(Main[[#This Row],[Class]]="B", WORKDAY(Main[[#This Row],[Tech Start Date]],15),IF(Main[[#This Row],[Class]]="A",WORKDAY(Main[[#This Row],[Tech Start Date]],5),""))))</f>
        <v/>
      </c>
      <c r="P609" s="75" t="str">
        <f>IF(Main[[#This Row],[Tech Start Date]]&lt;1/1/1990,"",IF(Main[[#This Row],[Class]]="C",WORKDAY(Main[[#This Row],[Tech Start Date]],28),IF(Main[[#This Row],[Class]]="B", WORKDAY(Main[[#This Row],[Tech Start Date]],19),IF(Main[[#This Row],[Class]]="A",WORKDAY(Main[[#This Row],[Tech Start Date]],9),""))))</f>
        <v/>
      </c>
      <c r="Q609" s="89">
        <v>40858</v>
      </c>
      <c r="R609" s="121"/>
      <c r="S609" s="99" t="s">
        <v>17</v>
      </c>
      <c r="T609" s="76" t="s">
        <v>4</v>
      </c>
      <c r="U609" s="99" t="s">
        <v>14</v>
      </c>
      <c r="V609" s="99" t="s">
        <v>1913</v>
      </c>
      <c r="W609" s="99" t="s">
        <v>1918</v>
      </c>
      <c r="X609" s="99" t="s">
        <v>50</v>
      </c>
      <c r="Y609" s="73" t="s">
        <v>2953</v>
      </c>
      <c r="Z609" s="73" t="s">
        <v>4</v>
      </c>
      <c r="AA609" s="99" t="s">
        <v>2822</v>
      </c>
    </row>
    <row r="610" spans="1:27" ht="17.25" customHeight="1">
      <c r="A610" s="65" t="str">
        <f>IF(priority(Main[[#This Row],[Comments]])&lt;&gt;0, priority(Main[[#This Row],[Comments]]),"")</f>
        <v/>
      </c>
      <c r="B610" s="60" t="s">
        <v>1431</v>
      </c>
      <c r="C610" s="105" t="s">
        <v>47</v>
      </c>
      <c r="D610" s="74" t="s">
        <v>517</v>
      </c>
      <c r="E610" s="89"/>
      <c r="F610" s="89"/>
      <c r="G610" s="65" t="str">
        <f>IF(stdProdLT(Main[[#This Row],[Comments]])=0.1,"N/A",IF(stdProdLT(Main[[#This Row],[Comments]])=0,"",TRIM(stdProdLT(Main[[#This Row],[Comments]]))))</f>
        <v/>
      </c>
      <c r="H610" s="98" t="str">
        <f>IF(Main[[#This Row],[Std. Prod. Lead Time]]="N/A", "",IF(AND(Main[[#This Row],[In Stock Date]]&lt;&gt;"",Main[[#This Row],[Revised Due Date]]&lt;&gt;"",Main[[#This Row],[In Stock Date]]&lt;&gt;""),Main[[#This Row],[In Stock Date]]-Main[[#This Row],[Revised Due Date]],""))</f>
        <v/>
      </c>
      <c r="I610" s="110" t="s">
        <v>4</v>
      </c>
      <c r="J610" s="99" t="s">
        <v>4</v>
      </c>
      <c r="K610" s="99" t="s">
        <v>4</v>
      </c>
      <c r="L610" s="89"/>
      <c r="M610" s="75" t="str">
        <f>IF(Main[[#This Row],[Tech Start Date]]&lt;1/1/1990,"",IF(Main[[#This Row],[Class]]="C",WORKDAY(Main[[#This Row],[Tech Start Date]],9),IF(Main[[#This Row],[Class]]="B", WORKDAY(Main[[#This Row],[Tech Start Date]],6),IF(Main[[#This Row],[Class]]="A",WORKDAY(Main[[#This Row],[Tech Start Date]],2),""))))</f>
        <v/>
      </c>
      <c r="N610" s="75" t="str">
        <f>IF(Main[[#This Row],[Tech Start Date]]&lt;1/1/1990,"",IF(Main[[#This Row],[Class]]="C",WORKDAY(Main[[#This Row],[Tech Start Date]],19),IF(Main[[#This Row],[Class]]="B", WORKDAY(Main[[#This Row],[Tech Start Date]],12),IF(Main[[#This Row],[Class]]="A",WORKDAY(Main[[#This Row],[Tech Start Date]],4),""))))</f>
        <v/>
      </c>
      <c r="O610" s="75" t="str">
        <f>IF(Main[[#This Row],[Tech Start Date]]&lt;1/1/1990,"",IF(Main[[#This Row],[Class]]="C",WORKDAY(Main[[#This Row],[Tech Start Date]],23),IF(Main[[#This Row],[Class]]="B", WORKDAY(Main[[#This Row],[Tech Start Date]],15),IF(Main[[#This Row],[Class]]="A",WORKDAY(Main[[#This Row],[Tech Start Date]],5),""))))</f>
        <v/>
      </c>
      <c r="P610" s="75" t="str">
        <f>IF(Main[[#This Row],[Tech Start Date]]&lt;1/1/1990,"",IF(Main[[#This Row],[Class]]="C",WORKDAY(Main[[#This Row],[Tech Start Date]],28),IF(Main[[#This Row],[Class]]="B", WORKDAY(Main[[#This Row],[Tech Start Date]],19),IF(Main[[#This Row],[Class]]="A",WORKDAY(Main[[#This Row],[Tech Start Date]],9),""))))</f>
        <v/>
      </c>
      <c r="Q610" s="89"/>
      <c r="R610" s="121"/>
      <c r="S610" s="99" t="s">
        <v>49</v>
      </c>
      <c r="T610" s="76" t="s">
        <v>4</v>
      </c>
      <c r="U610" s="99" t="s">
        <v>14</v>
      </c>
      <c r="V610" s="99" t="s">
        <v>1916</v>
      </c>
      <c r="W610" s="99" t="s">
        <v>1917</v>
      </c>
      <c r="X610" s="99" t="s">
        <v>306</v>
      </c>
      <c r="Y610" s="73" t="s">
        <v>4</v>
      </c>
      <c r="Z610" s="73" t="s">
        <v>4</v>
      </c>
      <c r="AA610" s="99" t="s">
        <v>4</v>
      </c>
    </row>
    <row r="611" spans="1:27" ht="17.25" customHeight="1">
      <c r="A611" s="65" t="str">
        <f>IF(priority(Main[[#This Row],[Comments]])&lt;&gt;0, priority(Main[[#This Row],[Comments]]),"")</f>
        <v/>
      </c>
      <c r="B611" s="60" t="s">
        <v>1432</v>
      </c>
      <c r="C611" s="105" t="s">
        <v>518</v>
      </c>
      <c r="D611" s="74" t="s">
        <v>519</v>
      </c>
      <c r="E611" s="89"/>
      <c r="F611" s="89">
        <v>40548</v>
      </c>
      <c r="G611" s="65" t="str">
        <f>IF(stdProdLT(Main[[#This Row],[Comments]])=0.1,"N/A",IF(stdProdLT(Main[[#This Row],[Comments]])=0,"",TRIM(stdProdLT(Main[[#This Row],[Comments]]))))</f>
        <v/>
      </c>
      <c r="H611" s="98" t="str">
        <f>IF(Main[[#This Row],[Std. Prod. Lead Time]]="N/A", "",IF(AND(Main[[#This Row],[In Stock Date]]&lt;&gt;"",Main[[#This Row],[Revised Due Date]]&lt;&gt;"",Main[[#This Row],[In Stock Date]]&lt;&gt;""),Main[[#This Row],[In Stock Date]]-Main[[#This Row],[Revised Due Date]],""))</f>
        <v/>
      </c>
      <c r="I611" s="110" t="s">
        <v>4</v>
      </c>
      <c r="J611" s="99" t="s">
        <v>4</v>
      </c>
      <c r="K611" s="99" t="s">
        <v>1925</v>
      </c>
      <c r="L611" s="89"/>
      <c r="M611" s="75" t="str">
        <f>IF(Main[[#This Row],[Tech Start Date]]&lt;1/1/1990,"",IF(Main[[#This Row],[Class]]="C",WORKDAY(Main[[#This Row],[Tech Start Date]],9),IF(Main[[#This Row],[Class]]="B", WORKDAY(Main[[#This Row],[Tech Start Date]],6),IF(Main[[#This Row],[Class]]="A",WORKDAY(Main[[#This Row],[Tech Start Date]],2),""))))</f>
        <v/>
      </c>
      <c r="N611" s="75" t="str">
        <f>IF(Main[[#This Row],[Tech Start Date]]&lt;1/1/1990,"",IF(Main[[#This Row],[Class]]="C",WORKDAY(Main[[#This Row],[Tech Start Date]],19),IF(Main[[#This Row],[Class]]="B", WORKDAY(Main[[#This Row],[Tech Start Date]],12),IF(Main[[#This Row],[Class]]="A",WORKDAY(Main[[#This Row],[Tech Start Date]],4),""))))</f>
        <v/>
      </c>
      <c r="O611" s="75" t="str">
        <f>IF(Main[[#This Row],[Tech Start Date]]&lt;1/1/1990,"",IF(Main[[#This Row],[Class]]="C",WORKDAY(Main[[#This Row],[Tech Start Date]],23),IF(Main[[#This Row],[Class]]="B", WORKDAY(Main[[#This Row],[Tech Start Date]],15),IF(Main[[#This Row],[Class]]="A",WORKDAY(Main[[#This Row],[Tech Start Date]],5),""))))</f>
        <v/>
      </c>
      <c r="P611" s="75" t="str">
        <f>IF(Main[[#This Row],[Tech Start Date]]&lt;1/1/1990,"",IF(Main[[#This Row],[Class]]="C",WORKDAY(Main[[#This Row],[Tech Start Date]],28),IF(Main[[#This Row],[Class]]="B", WORKDAY(Main[[#This Row],[Tech Start Date]],19),IF(Main[[#This Row],[Class]]="A",WORKDAY(Main[[#This Row],[Tech Start Date]],9),""))))</f>
        <v/>
      </c>
      <c r="Q611" s="89"/>
      <c r="R611" s="121"/>
      <c r="S611" s="99" t="s">
        <v>11</v>
      </c>
      <c r="T611" s="76" t="s">
        <v>4</v>
      </c>
      <c r="U611" s="99" t="s">
        <v>14</v>
      </c>
      <c r="V611" s="99" t="s">
        <v>1914</v>
      </c>
      <c r="W611" s="99" t="s">
        <v>1918</v>
      </c>
      <c r="X611" s="99" t="s">
        <v>2883</v>
      </c>
      <c r="Y611" s="73" t="s">
        <v>4</v>
      </c>
      <c r="Z611" s="73" t="s">
        <v>4</v>
      </c>
      <c r="AA611" s="99" t="s">
        <v>4</v>
      </c>
    </row>
    <row r="612" spans="1:27" ht="17.25" customHeight="1">
      <c r="A612" s="65" t="str">
        <f>IF(priority(Main[[#This Row],[Comments]])&lt;&gt;0, priority(Main[[#This Row],[Comments]]),"")</f>
        <v/>
      </c>
      <c r="B612" s="60" t="s">
        <v>1433</v>
      </c>
      <c r="C612" s="105" t="s">
        <v>122</v>
      </c>
      <c r="D612" s="74" t="s">
        <v>520</v>
      </c>
      <c r="E612" s="89"/>
      <c r="F612" s="89"/>
      <c r="G612" s="65" t="str">
        <f>IF(stdProdLT(Main[[#This Row],[Comments]])=0.1,"N/A",IF(stdProdLT(Main[[#This Row],[Comments]])=0,"",TRIM(stdProdLT(Main[[#This Row],[Comments]]))))</f>
        <v/>
      </c>
      <c r="H612" s="98" t="str">
        <f>IF(Main[[#This Row],[Std. Prod. Lead Time]]="N/A", "",IF(AND(Main[[#This Row],[In Stock Date]]&lt;&gt;"",Main[[#This Row],[Revised Due Date]]&lt;&gt;"",Main[[#This Row],[In Stock Date]]&lt;&gt;""),Main[[#This Row],[In Stock Date]]-Main[[#This Row],[Revised Due Date]],""))</f>
        <v/>
      </c>
      <c r="I612" s="110" t="s">
        <v>4</v>
      </c>
      <c r="J612" s="99" t="s">
        <v>4</v>
      </c>
      <c r="K612" s="99" t="s">
        <v>4</v>
      </c>
      <c r="L612" s="89"/>
      <c r="M612" s="75" t="str">
        <f>IF(Main[[#This Row],[Tech Start Date]]&lt;1/1/1990,"",IF(Main[[#This Row],[Class]]="C",WORKDAY(Main[[#This Row],[Tech Start Date]],9),IF(Main[[#This Row],[Class]]="B", WORKDAY(Main[[#This Row],[Tech Start Date]],6),IF(Main[[#This Row],[Class]]="A",WORKDAY(Main[[#This Row],[Tech Start Date]],2),""))))</f>
        <v/>
      </c>
      <c r="N612" s="75" t="str">
        <f>IF(Main[[#This Row],[Tech Start Date]]&lt;1/1/1990,"",IF(Main[[#This Row],[Class]]="C",WORKDAY(Main[[#This Row],[Tech Start Date]],19),IF(Main[[#This Row],[Class]]="B", WORKDAY(Main[[#This Row],[Tech Start Date]],12),IF(Main[[#This Row],[Class]]="A",WORKDAY(Main[[#This Row],[Tech Start Date]],4),""))))</f>
        <v/>
      </c>
      <c r="O612" s="75" t="str">
        <f>IF(Main[[#This Row],[Tech Start Date]]&lt;1/1/1990,"",IF(Main[[#This Row],[Class]]="C",WORKDAY(Main[[#This Row],[Tech Start Date]],23),IF(Main[[#This Row],[Class]]="B", WORKDAY(Main[[#This Row],[Tech Start Date]],15),IF(Main[[#This Row],[Class]]="A",WORKDAY(Main[[#This Row],[Tech Start Date]],5),""))))</f>
        <v/>
      </c>
      <c r="P612" s="75" t="str">
        <f>IF(Main[[#This Row],[Tech Start Date]]&lt;1/1/1990,"",IF(Main[[#This Row],[Class]]="C",WORKDAY(Main[[#This Row],[Tech Start Date]],28),IF(Main[[#This Row],[Class]]="B", WORKDAY(Main[[#This Row],[Tech Start Date]],19),IF(Main[[#This Row],[Class]]="A",WORKDAY(Main[[#This Row],[Tech Start Date]],9),""))))</f>
        <v/>
      </c>
      <c r="Q612" s="89">
        <v>40245</v>
      </c>
      <c r="R612" s="121"/>
      <c r="S612" s="99" t="s">
        <v>11</v>
      </c>
      <c r="T612" s="76" t="s">
        <v>4</v>
      </c>
      <c r="U612" s="99" t="s">
        <v>14</v>
      </c>
      <c r="V612" s="99" t="s">
        <v>1916</v>
      </c>
      <c r="W612" s="99" t="s">
        <v>1915</v>
      </c>
      <c r="X612" s="99" t="s">
        <v>2866</v>
      </c>
      <c r="Y612" s="73" t="s">
        <v>4</v>
      </c>
      <c r="Z612" s="73" t="s">
        <v>4</v>
      </c>
      <c r="AA612" s="99" t="s">
        <v>2866</v>
      </c>
    </row>
    <row r="613" spans="1:27" ht="17.25" customHeight="1">
      <c r="A613" s="65" t="str">
        <f>IF(priority(Main[[#This Row],[Comments]])&lt;&gt;0, priority(Main[[#This Row],[Comments]]),"")</f>
        <v/>
      </c>
      <c r="B613" s="60" t="s">
        <v>1434</v>
      </c>
      <c r="C613" s="105" t="s">
        <v>4</v>
      </c>
      <c r="D613" s="74" t="s">
        <v>521</v>
      </c>
      <c r="E613" s="89"/>
      <c r="F613" s="89">
        <v>40178</v>
      </c>
      <c r="G613" s="65" t="str">
        <f>IF(stdProdLT(Main[[#This Row],[Comments]])=0.1,"N/A",IF(stdProdLT(Main[[#This Row],[Comments]])=0,"",TRIM(stdProdLT(Main[[#This Row],[Comments]]))))</f>
        <v/>
      </c>
      <c r="H613" s="98" t="str">
        <f>IF(Main[[#This Row],[Std. Prod. Lead Time]]="N/A", "",IF(AND(Main[[#This Row],[In Stock Date]]&lt;&gt;"",Main[[#This Row],[Revised Due Date]]&lt;&gt;"",Main[[#This Row],[In Stock Date]]&lt;&gt;""),Main[[#This Row],[In Stock Date]]-Main[[#This Row],[Revised Due Date]],""))</f>
        <v/>
      </c>
      <c r="I613" s="110" t="s">
        <v>4</v>
      </c>
      <c r="J613" s="99" t="s">
        <v>4</v>
      </c>
      <c r="K613" s="100" t="s">
        <v>4</v>
      </c>
      <c r="L613" s="89"/>
      <c r="M613" s="75" t="str">
        <f>IF(Main[[#This Row],[Tech Start Date]]&lt;1/1/1990,"",IF(Main[[#This Row],[Class]]="C",WORKDAY(Main[[#This Row],[Tech Start Date]],9),IF(Main[[#This Row],[Class]]="B", WORKDAY(Main[[#This Row],[Tech Start Date]],6),IF(Main[[#This Row],[Class]]="A",WORKDAY(Main[[#This Row],[Tech Start Date]],2),""))))</f>
        <v/>
      </c>
      <c r="N613" s="75" t="str">
        <f>IF(Main[[#This Row],[Tech Start Date]]&lt;1/1/1990,"",IF(Main[[#This Row],[Class]]="C",WORKDAY(Main[[#This Row],[Tech Start Date]],19),IF(Main[[#This Row],[Class]]="B", WORKDAY(Main[[#This Row],[Tech Start Date]],12),IF(Main[[#This Row],[Class]]="A",WORKDAY(Main[[#This Row],[Tech Start Date]],4),""))))</f>
        <v/>
      </c>
      <c r="O613" s="75" t="str">
        <f>IF(Main[[#This Row],[Tech Start Date]]&lt;1/1/1990,"",IF(Main[[#This Row],[Class]]="C",WORKDAY(Main[[#This Row],[Tech Start Date]],23),IF(Main[[#This Row],[Class]]="B", WORKDAY(Main[[#This Row],[Tech Start Date]],15),IF(Main[[#This Row],[Class]]="A",WORKDAY(Main[[#This Row],[Tech Start Date]],5),""))))</f>
        <v/>
      </c>
      <c r="P613" s="75" t="str">
        <f>IF(Main[[#This Row],[Tech Start Date]]&lt;1/1/1990,"",IF(Main[[#This Row],[Class]]="C",WORKDAY(Main[[#This Row],[Tech Start Date]],28),IF(Main[[#This Row],[Class]]="B", WORKDAY(Main[[#This Row],[Tech Start Date]],19),IF(Main[[#This Row],[Class]]="A",WORKDAY(Main[[#This Row],[Tech Start Date]],9),""))))</f>
        <v/>
      </c>
      <c r="Q613" s="89">
        <v>40158</v>
      </c>
      <c r="R613" s="121"/>
      <c r="S613" s="99" t="s">
        <v>11</v>
      </c>
      <c r="T613" s="76" t="s">
        <v>4</v>
      </c>
      <c r="U613" s="99" t="s">
        <v>14</v>
      </c>
      <c r="V613" s="99" t="s">
        <v>1913</v>
      </c>
      <c r="W613" s="99" t="s">
        <v>1918</v>
      </c>
      <c r="X613" s="99" t="s">
        <v>2818</v>
      </c>
      <c r="Y613" s="73" t="s">
        <v>2937</v>
      </c>
      <c r="Z613" s="73" t="s">
        <v>4</v>
      </c>
      <c r="AA613" s="99" t="s">
        <v>2818</v>
      </c>
    </row>
    <row r="614" spans="1:27" ht="17.25" customHeight="1">
      <c r="A614" s="65" t="str">
        <f>IF(priority(Main[[#This Row],[Comments]])&lt;&gt;0, priority(Main[[#This Row],[Comments]]),"")</f>
        <v/>
      </c>
      <c r="B614" s="60" t="s">
        <v>2369</v>
      </c>
      <c r="C614" s="105" t="s">
        <v>72</v>
      </c>
      <c r="D614" s="74" t="s">
        <v>2370</v>
      </c>
      <c r="E614" s="89"/>
      <c r="F614" s="89"/>
      <c r="G614" s="65" t="str">
        <f>IF(stdProdLT(Main[[#This Row],[Comments]])=0.1,"N/A",IF(stdProdLT(Main[[#This Row],[Comments]])=0,"",TRIM(stdProdLT(Main[[#This Row],[Comments]]))))</f>
        <v/>
      </c>
      <c r="H614" s="98" t="str">
        <f>IF(Main[[#This Row],[Std. Prod. Lead Time]]="N/A", "",IF(AND(Main[[#This Row],[In Stock Date]]&lt;&gt;"",Main[[#This Row],[Revised Due Date]]&lt;&gt;"",Main[[#This Row],[In Stock Date]]&lt;&gt;""),Main[[#This Row],[In Stock Date]]-Main[[#This Row],[Revised Due Date]],""))</f>
        <v/>
      </c>
      <c r="I614" s="110" t="s">
        <v>4</v>
      </c>
      <c r="J614" s="99" t="s">
        <v>4</v>
      </c>
      <c r="K614" s="100" t="s">
        <v>4</v>
      </c>
      <c r="L614" s="89"/>
      <c r="M614" s="75" t="str">
        <f>IF(Main[[#This Row],[Tech Start Date]]&lt;1/1/1990,"",IF(Main[[#This Row],[Class]]="C",WORKDAY(Main[[#This Row],[Tech Start Date]],9),IF(Main[[#This Row],[Class]]="B", WORKDAY(Main[[#This Row],[Tech Start Date]],6),IF(Main[[#This Row],[Class]]="A",WORKDAY(Main[[#This Row],[Tech Start Date]],2),""))))</f>
        <v/>
      </c>
      <c r="N614" s="75" t="str">
        <f>IF(Main[[#This Row],[Tech Start Date]]&lt;1/1/1990,"",IF(Main[[#This Row],[Class]]="C",WORKDAY(Main[[#This Row],[Tech Start Date]],19),IF(Main[[#This Row],[Class]]="B", WORKDAY(Main[[#This Row],[Tech Start Date]],12),IF(Main[[#This Row],[Class]]="A",WORKDAY(Main[[#This Row],[Tech Start Date]],4),""))))</f>
        <v/>
      </c>
      <c r="O614" s="75" t="str">
        <f>IF(Main[[#This Row],[Tech Start Date]]&lt;1/1/1990,"",IF(Main[[#This Row],[Class]]="C",WORKDAY(Main[[#This Row],[Tech Start Date]],23),IF(Main[[#This Row],[Class]]="B", WORKDAY(Main[[#This Row],[Tech Start Date]],15),IF(Main[[#This Row],[Class]]="A",WORKDAY(Main[[#This Row],[Tech Start Date]],5),""))))</f>
        <v/>
      </c>
      <c r="P614" s="75" t="str">
        <f>IF(Main[[#This Row],[Tech Start Date]]&lt;1/1/1990,"",IF(Main[[#This Row],[Class]]="C",WORKDAY(Main[[#This Row],[Tech Start Date]],28),IF(Main[[#This Row],[Class]]="B", WORKDAY(Main[[#This Row],[Tech Start Date]],19),IF(Main[[#This Row],[Class]]="A",WORKDAY(Main[[#This Row],[Tech Start Date]],9),""))))</f>
        <v/>
      </c>
      <c r="Q614" s="89"/>
      <c r="R614" s="121"/>
      <c r="S614" s="99" t="s">
        <v>17</v>
      </c>
      <c r="T614" s="76" t="s">
        <v>4</v>
      </c>
      <c r="U614" s="99" t="s">
        <v>14</v>
      </c>
      <c r="V614" s="99" t="s">
        <v>1914</v>
      </c>
      <c r="W614" s="99" t="s">
        <v>1915</v>
      </c>
      <c r="X614" s="99" t="s">
        <v>2884</v>
      </c>
      <c r="Y614" s="73" t="s">
        <v>3041</v>
      </c>
      <c r="Z614" s="73" t="s">
        <v>4</v>
      </c>
      <c r="AA614" s="99" t="s">
        <v>2884</v>
      </c>
    </row>
    <row r="615" spans="1:27" ht="17.25" customHeight="1">
      <c r="A615" s="65" t="str">
        <f>IF(priority(Main[[#This Row],[Comments]])&lt;&gt;0, priority(Main[[#This Row],[Comments]]),"")</f>
        <v/>
      </c>
      <c r="B615" s="60" t="s">
        <v>1439</v>
      </c>
      <c r="C615" s="105" t="s">
        <v>113</v>
      </c>
      <c r="D615" s="74" t="s">
        <v>522</v>
      </c>
      <c r="E615" s="89"/>
      <c r="F615" s="89"/>
      <c r="G615" s="65" t="str">
        <f>IF(stdProdLT(Main[[#This Row],[Comments]])=0.1,"N/A",IF(stdProdLT(Main[[#This Row],[Comments]])=0,"",TRIM(stdProdLT(Main[[#This Row],[Comments]]))))</f>
        <v/>
      </c>
      <c r="H615" s="98" t="str">
        <f>IF(Main[[#This Row],[Std. Prod. Lead Time]]="N/A", "",IF(AND(Main[[#This Row],[In Stock Date]]&lt;&gt;"",Main[[#This Row],[Revised Due Date]]&lt;&gt;"",Main[[#This Row],[In Stock Date]]&lt;&gt;""),Main[[#This Row],[In Stock Date]]-Main[[#This Row],[Revised Due Date]],""))</f>
        <v/>
      </c>
      <c r="I615" s="110" t="s">
        <v>4</v>
      </c>
      <c r="J615" s="99" t="s">
        <v>4</v>
      </c>
      <c r="K615" s="100" t="s">
        <v>4</v>
      </c>
      <c r="L615" s="89"/>
      <c r="M615" s="75" t="str">
        <f>IF(Main[[#This Row],[Tech Start Date]]&lt;1/1/1990,"",IF(Main[[#This Row],[Class]]="C",WORKDAY(Main[[#This Row],[Tech Start Date]],9),IF(Main[[#This Row],[Class]]="B", WORKDAY(Main[[#This Row],[Tech Start Date]],6),IF(Main[[#This Row],[Class]]="A",WORKDAY(Main[[#This Row],[Tech Start Date]],2),""))))</f>
        <v/>
      </c>
      <c r="N615" s="75" t="str">
        <f>IF(Main[[#This Row],[Tech Start Date]]&lt;1/1/1990,"",IF(Main[[#This Row],[Class]]="C",WORKDAY(Main[[#This Row],[Tech Start Date]],19),IF(Main[[#This Row],[Class]]="B", WORKDAY(Main[[#This Row],[Tech Start Date]],12),IF(Main[[#This Row],[Class]]="A",WORKDAY(Main[[#This Row],[Tech Start Date]],4),""))))</f>
        <v/>
      </c>
      <c r="O615" s="75" t="str">
        <f>IF(Main[[#This Row],[Tech Start Date]]&lt;1/1/1990,"",IF(Main[[#This Row],[Class]]="C",WORKDAY(Main[[#This Row],[Tech Start Date]],23),IF(Main[[#This Row],[Class]]="B", WORKDAY(Main[[#This Row],[Tech Start Date]],15),IF(Main[[#This Row],[Class]]="A",WORKDAY(Main[[#This Row],[Tech Start Date]],5),""))))</f>
        <v/>
      </c>
      <c r="P615" s="75" t="str">
        <f>IF(Main[[#This Row],[Tech Start Date]]&lt;1/1/1990,"",IF(Main[[#This Row],[Class]]="C",WORKDAY(Main[[#This Row],[Tech Start Date]],28),IF(Main[[#This Row],[Class]]="B", WORKDAY(Main[[#This Row],[Tech Start Date]],19),IF(Main[[#This Row],[Class]]="A",WORKDAY(Main[[#This Row],[Tech Start Date]],9),""))))</f>
        <v/>
      </c>
      <c r="Q615" s="89">
        <v>40505</v>
      </c>
      <c r="R615" s="121"/>
      <c r="S615" s="99" t="s">
        <v>49</v>
      </c>
      <c r="T615" s="76" t="s">
        <v>4</v>
      </c>
      <c r="U615" s="99" t="s">
        <v>12</v>
      </c>
      <c r="V615" s="99" t="s">
        <v>1914</v>
      </c>
      <c r="W615" s="99" t="s">
        <v>1918</v>
      </c>
      <c r="X615" s="99" t="s">
        <v>2885</v>
      </c>
      <c r="Y615" s="73" t="s">
        <v>2975</v>
      </c>
      <c r="Z615" s="73" t="s">
        <v>4</v>
      </c>
      <c r="AA615" s="99" t="s">
        <v>2833</v>
      </c>
    </row>
    <row r="616" spans="1:27" ht="17.25" customHeight="1">
      <c r="A616" s="65" t="str">
        <f>IF(priority(Main[[#This Row],[Comments]])&lt;&gt;0, priority(Main[[#This Row],[Comments]]),"")</f>
        <v/>
      </c>
      <c r="B616" s="60" t="s">
        <v>2255</v>
      </c>
      <c r="C616" s="105" t="s">
        <v>4</v>
      </c>
      <c r="D616" s="74" t="s">
        <v>2289</v>
      </c>
      <c r="E616" s="89">
        <v>40806.662407407406</v>
      </c>
      <c r="F616" s="89"/>
      <c r="G616" s="65" t="str">
        <f>IF(stdProdLT(Main[[#This Row],[Comments]])=0.1,"N/A",IF(stdProdLT(Main[[#This Row],[Comments]])=0,"",TRIM(stdProdLT(Main[[#This Row],[Comments]]))))</f>
        <v/>
      </c>
      <c r="H616" s="98" t="str">
        <f>IF(Main[[#This Row],[Std. Prod. Lead Time]]="N/A", "",IF(AND(Main[[#This Row],[In Stock Date]]&lt;&gt;"",Main[[#This Row],[Revised Due Date]]&lt;&gt;"",Main[[#This Row],[In Stock Date]]&lt;&gt;""),Main[[#This Row],[In Stock Date]]-Main[[#This Row],[Revised Due Date]],""))</f>
        <v/>
      </c>
      <c r="I616" s="110" t="s">
        <v>30</v>
      </c>
      <c r="J616" s="99" t="s">
        <v>21</v>
      </c>
      <c r="K616" s="99" t="s">
        <v>1922</v>
      </c>
      <c r="L616" s="89"/>
      <c r="M616" s="75" t="str">
        <f>IF(Main[[#This Row],[Tech Start Date]]&lt;1/1/1990,"",IF(Main[[#This Row],[Class]]="C",WORKDAY(Main[[#This Row],[Tech Start Date]],9),IF(Main[[#This Row],[Class]]="B", WORKDAY(Main[[#This Row],[Tech Start Date]],6),IF(Main[[#This Row],[Class]]="A",WORKDAY(Main[[#This Row],[Tech Start Date]],2),""))))</f>
        <v/>
      </c>
      <c r="N616" s="75" t="str">
        <f>IF(Main[[#This Row],[Tech Start Date]]&lt;1/1/1990,"",IF(Main[[#This Row],[Class]]="C",WORKDAY(Main[[#This Row],[Tech Start Date]],19),IF(Main[[#This Row],[Class]]="B", WORKDAY(Main[[#This Row],[Tech Start Date]],12),IF(Main[[#This Row],[Class]]="A",WORKDAY(Main[[#This Row],[Tech Start Date]],4),""))))</f>
        <v/>
      </c>
      <c r="O616" s="75" t="str">
        <f>IF(Main[[#This Row],[Tech Start Date]]&lt;1/1/1990,"",IF(Main[[#This Row],[Class]]="C",WORKDAY(Main[[#This Row],[Tech Start Date]],23),IF(Main[[#This Row],[Class]]="B", WORKDAY(Main[[#This Row],[Tech Start Date]],15),IF(Main[[#This Row],[Class]]="A",WORKDAY(Main[[#This Row],[Tech Start Date]],5),""))))</f>
        <v/>
      </c>
      <c r="P616" s="75" t="str">
        <f>IF(Main[[#This Row],[Tech Start Date]]&lt;1/1/1990,"",IF(Main[[#This Row],[Class]]="C",WORKDAY(Main[[#This Row],[Tech Start Date]],28),IF(Main[[#This Row],[Class]]="B", WORKDAY(Main[[#This Row],[Tech Start Date]],19),IF(Main[[#This Row],[Class]]="A",WORKDAY(Main[[#This Row],[Tech Start Date]],9),""))))</f>
        <v/>
      </c>
      <c r="Q616" s="89"/>
      <c r="R616" s="121"/>
      <c r="S616" s="99" t="s">
        <v>6</v>
      </c>
      <c r="T616" s="76" t="s">
        <v>4</v>
      </c>
      <c r="U616" s="99" t="s">
        <v>29</v>
      </c>
      <c r="V616" s="99" t="s">
        <v>1916</v>
      </c>
      <c r="W616" s="99" t="s">
        <v>1917</v>
      </c>
      <c r="X616" s="99" t="s">
        <v>306</v>
      </c>
      <c r="Y616" s="73" t="s">
        <v>4</v>
      </c>
      <c r="Z616" s="73" t="s">
        <v>30</v>
      </c>
      <c r="AA616" s="99" t="s">
        <v>3379</v>
      </c>
    </row>
    <row r="617" spans="1:27" ht="17.25" customHeight="1">
      <c r="A617" s="65" t="str">
        <f>IF(priority(Main[[#This Row],[Comments]])&lt;&gt;0, priority(Main[[#This Row],[Comments]]),"")</f>
        <v/>
      </c>
      <c r="B617" s="60" t="s">
        <v>2536</v>
      </c>
      <c r="C617" s="105" t="s">
        <v>2350</v>
      </c>
      <c r="D617" s="74" t="s">
        <v>2351</v>
      </c>
      <c r="E617" s="89"/>
      <c r="F617" s="89">
        <v>41008</v>
      </c>
      <c r="G617" s="65" t="str">
        <f>IF(stdProdLT(Main[[#This Row],[Comments]])=0.1,"N/A",IF(stdProdLT(Main[[#This Row],[Comments]])=0,"",TRIM(stdProdLT(Main[[#This Row],[Comments]]))))</f>
        <v/>
      </c>
      <c r="H617" s="98" t="str">
        <f>IF(Main[[#This Row],[Std. Prod. Lead Time]]="N/A", "",IF(AND(Main[[#This Row],[In Stock Date]]&lt;&gt;"",Main[[#This Row],[Revised Due Date]]&lt;&gt;"",Main[[#This Row],[In Stock Date]]&lt;&gt;""),Main[[#This Row],[In Stock Date]]-Main[[#This Row],[Revised Due Date]],""))</f>
        <v/>
      </c>
      <c r="I617" s="110" t="s">
        <v>4</v>
      </c>
      <c r="J617" s="99" t="s">
        <v>4</v>
      </c>
      <c r="K617" s="99" t="s">
        <v>4</v>
      </c>
      <c r="L617" s="89"/>
      <c r="M617" s="75" t="str">
        <f>IF(Main[[#This Row],[Tech Start Date]]&lt;1/1/1990,"",IF(Main[[#This Row],[Class]]="C",WORKDAY(Main[[#This Row],[Tech Start Date]],9),IF(Main[[#This Row],[Class]]="B", WORKDAY(Main[[#This Row],[Tech Start Date]],6),IF(Main[[#This Row],[Class]]="A",WORKDAY(Main[[#This Row],[Tech Start Date]],2),""))))</f>
        <v/>
      </c>
      <c r="N617" s="75" t="str">
        <f>IF(Main[[#This Row],[Tech Start Date]]&lt;1/1/1990,"",IF(Main[[#This Row],[Class]]="C",WORKDAY(Main[[#This Row],[Tech Start Date]],19),IF(Main[[#This Row],[Class]]="B", WORKDAY(Main[[#This Row],[Tech Start Date]],12),IF(Main[[#This Row],[Class]]="A",WORKDAY(Main[[#This Row],[Tech Start Date]],4),""))))</f>
        <v/>
      </c>
      <c r="O617" s="75" t="str">
        <f>IF(Main[[#This Row],[Tech Start Date]]&lt;1/1/1990,"",IF(Main[[#This Row],[Class]]="C",WORKDAY(Main[[#This Row],[Tech Start Date]],23),IF(Main[[#This Row],[Class]]="B", WORKDAY(Main[[#This Row],[Tech Start Date]],15),IF(Main[[#This Row],[Class]]="A",WORKDAY(Main[[#This Row],[Tech Start Date]],5),""))))</f>
        <v/>
      </c>
      <c r="P617" s="75" t="str">
        <f>IF(Main[[#This Row],[Tech Start Date]]&lt;1/1/1990,"",IF(Main[[#This Row],[Class]]="C",WORKDAY(Main[[#This Row],[Tech Start Date]],28),IF(Main[[#This Row],[Class]]="B", WORKDAY(Main[[#This Row],[Tech Start Date]],19),IF(Main[[#This Row],[Class]]="A",WORKDAY(Main[[#This Row],[Tech Start Date]],9),""))))</f>
        <v/>
      </c>
      <c r="Q617" s="89">
        <v>40826</v>
      </c>
      <c r="R617" s="121"/>
      <c r="S617" s="99" t="s">
        <v>11</v>
      </c>
      <c r="T617" s="76" t="s">
        <v>4</v>
      </c>
      <c r="U617" s="99" t="s">
        <v>12</v>
      </c>
      <c r="V617" s="99" t="s">
        <v>1916</v>
      </c>
      <c r="W617" s="99" t="s">
        <v>1919</v>
      </c>
      <c r="X617" s="99" t="s">
        <v>2837</v>
      </c>
      <c r="Y617" s="73" t="s">
        <v>4</v>
      </c>
      <c r="Z617" s="73" t="s">
        <v>4</v>
      </c>
      <c r="AA617" s="99" t="s">
        <v>2837</v>
      </c>
    </row>
    <row r="618" spans="1:27" ht="17.25" customHeight="1">
      <c r="A618" s="65" t="str">
        <f>IF(priority(Main[[#This Row],[Comments]])&lt;&gt;0, priority(Main[[#This Row],[Comments]]),"")</f>
        <v/>
      </c>
      <c r="B618" s="60" t="s">
        <v>1456</v>
      </c>
      <c r="C618" s="105" t="s">
        <v>4</v>
      </c>
      <c r="D618" s="74" t="s">
        <v>523</v>
      </c>
      <c r="E618" s="89">
        <v>40371.58488425926</v>
      </c>
      <c r="F618" s="89"/>
      <c r="G618" s="65" t="str">
        <f>IF(stdProdLT(Main[[#This Row],[Comments]])=0.1,"N/A",IF(stdProdLT(Main[[#This Row],[Comments]])=0,"",TRIM(stdProdLT(Main[[#This Row],[Comments]]))))</f>
        <v/>
      </c>
      <c r="H618" s="98" t="str">
        <f>IF(Main[[#This Row],[Std. Prod. Lead Time]]="N/A", "",IF(AND(Main[[#This Row],[In Stock Date]]&lt;&gt;"",Main[[#This Row],[Revised Due Date]]&lt;&gt;"",Main[[#This Row],[In Stock Date]]&lt;&gt;""),Main[[#This Row],[In Stock Date]]-Main[[#This Row],[Revised Due Date]],""))</f>
        <v/>
      </c>
      <c r="I618" s="110" t="s">
        <v>4</v>
      </c>
      <c r="J618" s="99" t="s">
        <v>4</v>
      </c>
      <c r="K618" s="99" t="s">
        <v>4</v>
      </c>
      <c r="L618" s="89"/>
      <c r="M618" s="75" t="str">
        <f>IF(Main[[#This Row],[Tech Start Date]]&lt;1/1/1990,"",IF(Main[[#This Row],[Class]]="C",WORKDAY(Main[[#This Row],[Tech Start Date]],9),IF(Main[[#This Row],[Class]]="B", WORKDAY(Main[[#This Row],[Tech Start Date]],6),IF(Main[[#This Row],[Class]]="A",WORKDAY(Main[[#This Row],[Tech Start Date]],2),""))))</f>
        <v/>
      </c>
      <c r="N618" s="75" t="str">
        <f>IF(Main[[#This Row],[Tech Start Date]]&lt;1/1/1990,"",IF(Main[[#This Row],[Class]]="C",WORKDAY(Main[[#This Row],[Tech Start Date]],19),IF(Main[[#This Row],[Class]]="B", WORKDAY(Main[[#This Row],[Tech Start Date]],12),IF(Main[[#This Row],[Class]]="A",WORKDAY(Main[[#This Row],[Tech Start Date]],4),""))))</f>
        <v/>
      </c>
      <c r="O618" s="75" t="str">
        <f>IF(Main[[#This Row],[Tech Start Date]]&lt;1/1/1990,"",IF(Main[[#This Row],[Class]]="C",WORKDAY(Main[[#This Row],[Tech Start Date]],23),IF(Main[[#This Row],[Class]]="B", WORKDAY(Main[[#This Row],[Tech Start Date]],15),IF(Main[[#This Row],[Class]]="A",WORKDAY(Main[[#This Row],[Tech Start Date]],5),""))))</f>
        <v/>
      </c>
      <c r="P618" s="75" t="str">
        <f>IF(Main[[#This Row],[Tech Start Date]]&lt;1/1/1990,"",IF(Main[[#This Row],[Class]]="C",WORKDAY(Main[[#This Row],[Tech Start Date]],28),IF(Main[[#This Row],[Class]]="B", WORKDAY(Main[[#This Row],[Tech Start Date]],19),IF(Main[[#This Row],[Class]]="A",WORKDAY(Main[[#This Row],[Tech Start Date]],9),""))))</f>
        <v/>
      </c>
      <c r="Q618" s="89">
        <v>40385</v>
      </c>
      <c r="R618" s="121"/>
      <c r="S618" s="99" t="s">
        <v>6</v>
      </c>
      <c r="T618" s="76" t="s">
        <v>4</v>
      </c>
      <c r="U618" s="99" t="s">
        <v>7</v>
      </c>
      <c r="V618" s="99" t="s">
        <v>1913</v>
      </c>
      <c r="W618" s="99" t="s">
        <v>1918</v>
      </c>
      <c r="X618" s="99" t="s">
        <v>102</v>
      </c>
      <c r="Y618" s="73" t="s">
        <v>3042</v>
      </c>
      <c r="Z618" s="73" t="s">
        <v>4</v>
      </c>
      <c r="AA618" s="99" t="s">
        <v>3408</v>
      </c>
    </row>
    <row r="619" spans="1:27" ht="17.25" customHeight="1">
      <c r="A619" s="65" t="str">
        <f>IF(priority(Main[[#This Row],[Comments]])&lt;&gt;0, priority(Main[[#This Row],[Comments]]),"")</f>
        <v/>
      </c>
      <c r="B619" s="60" t="s">
        <v>1459</v>
      </c>
      <c r="C619" s="105" t="s">
        <v>525</v>
      </c>
      <c r="D619" s="74" t="s">
        <v>526</v>
      </c>
      <c r="E619" s="89"/>
      <c r="F619" s="89">
        <v>40276</v>
      </c>
      <c r="G619" s="65" t="str">
        <f>IF(stdProdLT(Main[[#This Row],[Comments]])=0.1,"N/A",IF(stdProdLT(Main[[#This Row],[Comments]])=0,"",TRIM(stdProdLT(Main[[#This Row],[Comments]]))))</f>
        <v/>
      </c>
      <c r="H619" s="98" t="str">
        <f>IF(Main[[#This Row],[Std. Prod. Lead Time]]="N/A", "",IF(AND(Main[[#This Row],[In Stock Date]]&lt;&gt;"",Main[[#This Row],[Revised Due Date]]&lt;&gt;"",Main[[#This Row],[In Stock Date]]&lt;&gt;""),Main[[#This Row],[In Stock Date]]-Main[[#This Row],[Revised Due Date]],""))</f>
        <v/>
      </c>
      <c r="I619" s="110" t="s">
        <v>4</v>
      </c>
      <c r="J619" s="99" t="s">
        <v>4</v>
      </c>
      <c r="K619" s="99" t="s">
        <v>4</v>
      </c>
      <c r="L619" s="89"/>
      <c r="M619" s="75" t="str">
        <f>IF(Main[[#This Row],[Tech Start Date]]&lt;1/1/1990,"",IF(Main[[#This Row],[Class]]="C",WORKDAY(Main[[#This Row],[Tech Start Date]],9),IF(Main[[#This Row],[Class]]="B", WORKDAY(Main[[#This Row],[Tech Start Date]],6),IF(Main[[#This Row],[Class]]="A",WORKDAY(Main[[#This Row],[Tech Start Date]],2),""))))</f>
        <v/>
      </c>
      <c r="N619" s="75" t="str">
        <f>IF(Main[[#This Row],[Tech Start Date]]&lt;1/1/1990,"",IF(Main[[#This Row],[Class]]="C",WORKDAY(Main[[#This Row],[Tech Start Date]],19),IF(Main[[#This Row],[Class]]="B", WORKDAY(Main[[#This Row],[Tech Start Date]],12),IF(Main[[#This Row],[Class]]="A",WORKDAY(Main[[#This Row],[Tech Start Date]],4),""))))</f>
        <v/>
      </c>
      <c r="O619" s="75" t="str">
        <f>IF(Main[[#This Row],[Tech Start Date]]&lt;1/1/1990,"",IF(Main[[#This Row],[Class]]="C",WORKDAY(Main[[#This Row],[Tech Start Date]],23),IF(Main[[#This Row],[Class]]="B", WORKDAY(Main[[#This Row],[Tech Start Date]],15),IF(Main[[#This Row],[Class]]="A",WORKDAY(Main[[#This Row],[Tech Start Date]],5),""))))</f>
        <v/>
      </c>
      <c r="P619" s="75" t="str">
        <f>IF(Main[[#This Row],[Tech Start Date]]&lt;1/1/1990,"",IF(Main[[#This Row],[Class]]="C",WORKDAY(Main[[#This Row],[Tech Start Date]],28),IF(Main[[#This Row],[Class]]="B", WORKDAY(Main[[#This Row],[Tech Start Date]],19),IF(Main[[#This Row],[Class]]="A",WORKDAY(Main[[#This Row],[Tech Start Date]],9),""))))</f>
        <v/>
      </c>
      <c r="Q619" s="89">
        <v>40164</v>
      </c>
      <c r="R619" s="121"/>
      <c r="S619" s="99" t="s">
        <v>11</v>
      </c>
      <c r="T619" s="76" t="s">
        <v>4</v>
      </c>
      <c r="U619" s="99" t="s">
        <v>14</v>
      </c>
      <c r="V619" s="99" t="s">
        <v>1916</v>
      </c>
      <c r="W619" s="99" t="s">
        <v>1919</v>
      </c>
      <c r="X619" s="99" t="s">
        <v>2886</v>
      </c>
      <c r="Y619" s="73" t="s">
        <v>4</v>
      </c>
      <c r="Z619" s="73" t="s">
        <v>4</v>
      </c>
      <c r="AA619" s="99" t="s">
        <v>2886</v>
      </c>
    </row>
    <row r="620" spans="1:27" ht="17.25" customHeight="1">
      <c r="A620" s="65" t="str">
        <f>IF(priority(Main[[#This Row],[Comments]])&lt;&gt;0, priority(Main[[#This Row],[Comments]]),"")</f>
        <v/>
      </c>
      <c r="B620" s="60" t="s">
        <v>1695</v>
      </c>
      <c r="C620" s="105" t="s">
        <v>4</v>
      </c>
      <c r="D620" s="74" t="s">
        <v>752</v>
      </c>
      <c r="E620" s="89">
        <v>40700.558032407411</v>
      </c>
      <c r="F620" s="89"/>
      <c r="G620" s="65" t="str">
        <f>IF(stdProdLT(Main[[#This Row],[Comments]])=0.1,"N/A",IF(stdProdLT(Main[[#This Row],[Comments]])=0,"",TRIM(stdProdLT(Main[[#This Row],[Comments]]))))</f>
        <v/>
      </c>
      <c r="H620" s="98" t="str">
        <f>IF(Main[[#This Row],[Std. Prod. Lead Time]]="N/A", "",IF(AND(Main[[#This Row],[In Stock Date]]&lt;&gt;"",Main[[#This Row],[Revised Due Date]]&lt;&gt;"",Main[[#This Row],[In Stock Date]]&lt;&gt;""),Main[[#This Row],[In Stock Date]]-Main[[#This Row],[Revised Due Date]],""))</f>
        <v/>
      </c>
      <c r="I620" s="110" t="s">
        <v>4</v>
      </c>
      <c r="J620" s="99" t="s">
        <v>4</v>
      </c>
      <c r="K620" s="99" t="s">
        <v>4</v>
      </c>
      <c r="L620" s="89"/>
      <c r="M620" s="75" t="str">
        <f>IF(Main[[#This Row],[Tech Start Date]]&lt;1/1/1990,"",IF(Main[[#This Row],[Class]]="C",WORKDAY(Main[[#This Row],[Tech Start Date]],9),IF(Main[[#This Row],[Class]]="B", WORKDAY(Main[[#This Row],[Tech Start Date]],6),IF(Main[[#This Row],[Class]]="A",WORKDAY(Main[[#This Row],[Tech Start Date]],2),""))))</f>
        <v/>
      </c>
      <c r="N620" s="75" t="str">
        <f>IF(Main[[#This Row],[Tech Start Date]]&lt;1/1/1990,"",IF(Main[[#This Row],[Class]]="C",WORKDAY(Main[[#This Row],[Tech Start Date]],19),IF(Main[[#This Row],[Class]]="B", WORKDAY(Main[[#This Row],[Tech Start Date]],12),IF(Main[[#This Row],[Class]]="A",WORKDAY(Main[[#This Row],[Tech Start Date]],4),""))))</f>
        <v/>
      </c>
      <c r="O620" s="75" t="str">
        <f>IF(Main[[#This Row],[Tech Start Date]]&lt;1/1/1990,"",IF(Main[[#This Row],[Class]]="C",WORKDAY(Main[[#This Row],[Tech Start Date]],23),IF(Main[[#This Row],[Class]]="B", WORKDAY(Main[[#This Row],[Tech Start Date]],15),IF(Main[[#This Row],[Class]]="A",WORKDAY(Main[[#This Row],[Tech Start Date]],5),""))))</f>
        <v/>
      </c>
      <c r="P620" s="75" t="str">
        <f>IF(Main[[#This Row],[Tech Start Date]]&lt;1/1/1990,"",IF(Main[[#This Row],[Class]]="C",WORKDAY(Main[[#This Row],[Tech Start Date]],28),IF(Main[[#This Row],[Class]]="B", WORKDAY(Main[[#This Row],[Tech Start Date]],19),IF(Main[[#This Row],[Class]]="A",WORKDAY(Main[[#This Row],[Tech Start Date]],9),""))))</f>
        <v/>
      </c>
      <c r="Q620" s="89">
        <v>40714</v>
      </c>
      <c r="R620" s="121"/>
      <c r="S620" s="99" t="s">
        <v>6</v>
      </c>
      <c r="T620" s="76" t="s">
        <v>4</v>
      </c>
      <c r="U620" s="99" t="s">
        <v>694</v>
      </c>
      <c r="V620" s="99" t="s">
        <v>1913</v>
      </c>
      <c r="W620" s="99" t="s">
        <v>4</v>
      </c>
      <c r="X620" s="99" t="s">
        <v>2830</v>
      </c>
      <c r="Y620" s="73" t="s">
        <v>2959</v>
      </c>
      <c r="Z620" s="73" t="s">
        <v>4</v>
      </c>
      <c r="AA620" s="99" t="s">
        <v>2830</v>
      </c>
    </row>
    <row r="621" spans="1:27" ht="17.25" customHeight="1">
      <c r="A621" s="65" t="str">
        <f>IF(priority(Main[[#This Row],[Comments]])&lt;&gt;0, priority(Main[[#This Row],[Comments]]),"")</f>
        <v/>
      </c>
      <c r="B621" s="60" t="s">
        <v>1461</v>
      </c>
      <c r="C621" s="105" t="s">
        <v>4</v>
      </c>
      <c r="D621" s="74" t="s">
        <v>527</v>
      </c>
      <c r="E621" s="89"/>
      <c r="F621" s="89">
        <v>40431</v>
      </c>
      <c r="G621" s="65" t="str">
        <f>IF(stdProdLT(Main[[#This Row],[Comments]])=0.1,"N/A",IF(stdProdLT(Main[[#This Row],[Comments]])=0,"",TRIM(stdProdLT(Main[[#This Row],[Comments]]))))</f>
        <v/>
      </c>
      <c r="H621" s="98" t="str">
        <f>IF(Main[[#This Row],[Std. Prod. Lead Time]]="N/A", "",IF(AND(Main[[#This Row],[In Stock Date]]&lt;&gt;"",Main[[#This Row],[Revised Due Date]]&lt;&gt;"",Main[[#This Row],[In Stock Date]]&lt;&gt;""),Main[[#This Row],[In Stock Date]]-Main[[#This Row],[Revised Due Date]],""))</f>
        <v/>
      </c>
      <c r="I621" s="110" t="s">
        <v>4</v>
      </c>
      <c r="J621" s="99" t="s">
        <v>28</v>
      </c>
      <c r="K621" s="99" t="s">
        <v>4</v>
      </c>
      <c r="L621" s="89"/>
      <c r="M621" s="75" t="str">
        <f>IF(Main[[#This Row],[Tech Start Date]]&lt;1/1/1990,"",IF(Main[[#This Row],[Class]]="C",WORKDAY(Main[[#This Row],[Tech Start Date]],9),IF(Main[[#This Row],[Class]]="B", WORKDAY(Main[[#This Row],[Tech Start Date]],6),IF(Main[[#This Row],[Class]]="A",WORKDAY(Main[[#This Row],[Tech Start Date]],2),""))))</f>
        <v/>
      </c>
      <c r="N621" s="75" t="str">
        <f>IF(Main[[#This Row],[Tech Start Date]]&lt;1/1/1990,"",IF(Main[[#This Row],[Class]]="C",WORKDAY(Main[[#This Row],[Tech Start Date]],19),IF(Main[[#This Row],[Class]]="B", WORKDAY(Main[[#This Row],[Tech Start Date]],12),IF(Main[[#This Row],[Class]]="A",WORKDAY(Main[[#This Row],[Tech Start Date]],4),""))))</f>
        <v/>
      </c>
      <c r="O621" s="75" t="str">
        <f>IF(Main[[#This Row],[Tech Start Date]]&lt;1/1/1990,"",IF(Main[[#This Row],[Class]]="C",WORKDAY(Main[[#This Row],[Tech Start Date]],23),IF(Main[[#This Row],[Class]]="B", WORKDAY(Main[[#This Row],[Tech Start Date]],15),IF(Main[[#This Row],[Class]]="A",WORKDAY(Main[[#This Row],[Tech Start Date]],5),""))))</f>
        <v/>
      </c>
      <c r="P621" s="75" t="str">
        <f>IF(Main[[#This Row],[Tech Start Date]]&lt;1/1/1990,"",IF(Main[[#This Row],[Class]]="C",WORKDAY(Main[[#This Row],[Tech Start Date]],28),IF(Main[[#This Row],[Class]]="B", WORKDAY(Main[[#This Row],[Tech Start Date]],19),IF(Main[[#This Row],[Class]]="A",WORKDAY(Main[[#This Row],[Tech Start Date]],9),""))))</f>
        <v/>
      </c>
      <c r="Q621" s="89">
        <v>40410</v>
      </c>
      <c r="R621" s="121"/>
      <c r="S621" s="99" t="s">
        <v>11</v>
      </c>
      <c r="T621" s="76" t="s">
        <v>4</v>
      </c>
      <c r="U621" s="99" t="s">
        <v>14</v>
      </c>
      <c r="V621" s="99" t="s">
        <v>1914</v>
      </c>
      <c r="W621" s="99" t="s">
        <v>1921</v>
      </c>
      <c r="X621" s="99" t="s">
        <v>2818</v>
      </c>
      <c r="Y621" s="73" t="s">
        <v>2937</v>
      </c>
      <c r="Z621" s="73" t="s">
        <v>108</v>
      </c>
      <c r="AA621" s="99" t="s">
        <v>2818</v>
      </c>
    </row>
    <row r="622" spans="1:27" ht="17.25" customHeight="1">
      <c r="A622" s="65" t="str">
        <f>IF(priority(Main[[#This Row],[Comments]])&lt;&gt;0, priority(Main[[#This Row],[Comments]]),"")</f>
        <v/>
      </c>
      <c r="B622" s="60" t="s">
        <v>1462</v>
      </c>
      <c r="C622" s="105" t="s">
        <v>4</v>
      </c>
      <c r="D622" s="74" t="s">
        <v>528</v>
      </c>
      <c r="E622" s="89"/>
      <c r="F622" s="89">
        <v>40786</v>
      </c>
      <c r="G622" s="65" t="str">
        <f>IF(stdProdLT(Main[[#This Row],[Comments]])=0.1,"N/A",IF(stdProdLT(Main[[#This Row],[Comments]])=0,"",TRIM(stdProdLT(Main[[#This Row],[Comments]]))))</f>
        <v/>
      </c>
      <c r="H622" s="98" t="str">
        <f>IF(Main[[#This Row],[Std. Prod. Lead Time]]="N/A", "",IF(AND(Main[[#This Row],[In Stock Date]]&lt;&gt;"",Main[[#This Row],[Revised Due Date]]&lt;&gt;"",Main[[#This Row],[In Stock Date]]&lt;&gt;""),Main[[#This Row],[In Stock Date]]-Main[[#This Row],[Revised Due Date]],""))</f>
        <v/>
      </c>
      <c r="I622" s="110" t="s">
        <v>4</v>
      </c>
      <c r="J622" s="99" t="s">
        <v>4</v>
      </c>
      <c r="K622" s="99" t="s">
        <v>4</v>
      </c>
      <c r="L622" s="89"/>
      <c r="M622" s="75" t="str">
        <f>IF(Main[[#This Row],[Tech Start Date]]&lt;1/1/1990,"",IF(Main[[#This Row],[Class]]="C",WORKDAY(Main[[#This Row],[Tech Start Date]],9),IF(Main[[#This Row],[Class]]="B", WORKDAY(Main[[#This Row],[Tech Start Date]],6),IF(Main[[#This Row],[Class]]="A",WORKDAY(Main[[#This Row],[Tech Start Date]],2),""))))</f>
        <v/>
      </c>
      <c r="N622" s="75" t="str">
        <f>IF(Main[[#This Row],[Tech Start Date]]&lt;1/1/1990,"",IF(Main[[#This Row],[Class]]="C",WORKDAY(Main[[#This Row],[Tech Start Date]],19),IF(Main[[#This Row],[Class]]="B", WORKDAY(Main[[#This Row],[Tech Start Date]],12),IF(Main[[#This Row],[Class]]="A",WORKDAY(Main[[#This Row],[Tech Start Date]],4),""))))</f>
        <v/>
      </c>
      <c r="O622" s="75" t="str">
        <f>IF(Main[[#This Row],[Tech Start Date]]&lt;1/1/1990,"",IF(Main[[#This Row],[Class]]="C",WORKDAY(Main[[#This Row],[Tech Start Date]],23),IF(Main[[#This Row],[Class]]="B", WORKDAY(Main[[#This Row],[Tech Start Date]],15),IF(Main[[#This Row],[Class]]="A",WORKDAY(Main[[#This Row],[Tech Start Date]],5),""))))</f>
        <v/>
      </c>
      <c r="P622" s="75" t="str">
        <f>IF(Main[[#This Row],[Tech Start Date]]&lt;1/1/1990,"",IF(Main[[#This Row],[Class]]="C",WORKDAY(Main[[#This Row],[Tech Start Date]],28),IF(Main[[#This Row],[Class]]="B", WORKDAY(Main[[#This Row],[Tech Start Date]],19),IF(Main[[#This Row],[Class]]="A",WORKDAY(Main[[#This Row],[Tech Start Date]],9),""))))</f>
        <v/>
      </c>
      <c r="Q622" s="89">
        <v>40749</v>
      </c>
      <c r="R622" s="121"/>
      <c r="S622" s="99" t="s">
        <v>11</v>
      </c>
      <c r="T622" s="76" t="s">
        <v>4</v>
      </c>
      <c r="U622" s="99" t="s">
        <v>14</v>
      </c>
      <c r="V622" s="99" t="s">
        <v>1916</v>
      </c>
      <c r="W622" s="99" t="s">
        <v>1921</v>
      </c>
      <c r="X622" s="99" t="s">
        <v>553</v>
      </c>
      <c r="Y622" s="73" t="s">
        <v>3044</v>
      </c>
      <c r="Z622" s="73" t="s">
        <v>4</v>
      </c>
      <c r="AA622" s="99" t="s">
        <v>2854</v>
      </c>
    </row>
    <row r="623" spans="1:27" ht="17.25" customHeight="1">
      <c r="A623" s="65" t="str">
        <f>IF(priority(Main[[#This Row],[Comments]])&lt;&gt;0, priority(Main[[#This Row],[Comments]]),"")</f>
        <v/>
      </c>
      <c r="B623" s="60" t="s">
        <v>3950</v>
      </c>
      <c r="C623" s="105" t="s">
        <v>3951</v>
      </c>
      <c r="D623" s="74" t="s">
        <v>3952</v>
      </c>
      <c r="E623" s="89">
        <v>40969.074282407404</v>
      </c>
      <c r="F623" s="89">
        <v>41144</v>
      </c>
      <c r="G623" s="65" t="str">
        <f>IF(stdProdLT(Main[[#This Row],[Comments]])=0.1,"N/A",IF(stdProdLT(Main[[#This Row],[Comments]])=0,"",TRIM(stdProdLT(Main[[#This Row],[Comments]]))))</f>
        <v/>
      </c>
      <c r="H623" s="98" t="str">
        <f>IF(Main[[#This Row],[Std. Prod. Lead Time]]="N/A", "",IF(AND(Main[[#This Row],[In Stock Date]]&lt;&gt;"",Main[[#This Row],[Revised Due Date]]&lt;&gt;"",Main[[#This Row],[In Stock Date]]&lt;&gt;""),Main[[#This Row],[In Stock Date]]-Main[[#This Row],[Revised Due Date]],""))</f>
        <v/>
      </c>
      <c r="I623" s="110" t="s">
        <v>4</v>
      </c>
      <c r="J623" s="99" t="s">
        <v>4</v>
      </c>
      <c r="K623" s="99" t="s">
        <v>4</v>
      </c>
      <c r="L623" s="89"/>
      <c r="M623" s="75" t="str">
        <f>IF(Main[[#This Row],[Tech Start Date]]&lt;1/1/1990,"",IF(Main[[#This Row],[Class]]="C",WORKDAY(Main[[#This Row],[Tech Start Date]],9),IF(Main[[#This Row],[Class]]="B", WORKDAY(Main[[#This Row],[Tech Start Date]],6),IF(Main[[#This Row],[Class]]="A",WORKDAY(Main[[#This Row],[Tech Start Date]],2),""))))</f>
        <v/>
      </c>
      <c r="N623" s="75" t="str">
        <f>IF(Main[[#This Row],[Tech Start Date]]&lt;1/1/1990,"",IF(Main[[#This Row],[Class]]="C",WORKDAY(Main[[#This Row],[Tech Start Date]],19),IF(Main[[#This Row],[Class]]="B", WORKDAY(Main[[#This Row],[Tech Start Date]],12),IF(Main[[#This Row],[Class]]="A",WORKDAY(Main[[#This Row],[Tech Start Date]],4),""))))</f>
        <v/>
      </c>
      <c r="O623" s="75" t="str">
        <f>IF(Main[[#This Row],[Tech Start Date]]&lt;1/1/1990,"",IF(Main[[#This Row],[Class]]="C",WORKDAY(Main[[#This Row],[Tech Start Date]],23),IF(Main[[#This Row],[Class]]="B", WORKDAY(Main[[#This Row],[Tech Start Date]],15),IF(Main[[#This Row],[Class]]="A",WORKDAY(Main[[#This Row],[Tech Start Date]],5),""))))</f>
        <v/>
      </c>
      <c r="P623" s="75" t="str">
        <f>IF(Main[[#This Row],[Tech Start Date]]&lt;1/1/1990,"",IF(Main[[#This Row],[Class]]="C",WORKDAY(Main[[#This Row],[Tech Start Date]],28),IF(Main[[#This Row],[Class]]="B", WORKDAY(Main[[#This Row],[Tech Start Date]],19),IF(Main[[#This Row],[Class]]="A",WORKDAY(Main[[#This Row],[Tech Start Date]],9),""))))</f>
        <v/>
      </c>
      <c r="Q623" s="89">
        <v>40962</v>
      </c>
      <c r="R623" s="121"/>
      <c r="S623" s="99" t="s">
        <v>11</v>
      </c>
      <c r="T623" s="76" t="s">
        <v>4</v>
      </c>
      <c r="U623" s="99" t="s">
        <v>7</v>
      </c>
      <c r="V623" s="99" t="s">
        <v>1923</v>
      </c>
      <c r="W623" s="99" t="s">
        <v>1919</v>
      </c>
      <c r="X623" s="99" t="s">
        <v>3953</v>
      </c>
      <c r="Y623" s="73" t="s">
        <v>4</v>
      </c>
      <c r="Z623" s="73" t="s">
        <v>4</v>
      </c>
      <c r="AA623" s="99" t="s">
        <v>3953</v>
      </c>
    </row>
    <row r="624" spans="1:27" ht="17.25" customHeight="1">
      <c r="A624" s="65" t="str">
        <f>IF(priority(Main[[#This Row],[Comments]])&lt;&gt;0, priority(Main[[#This Row],[Comments]]),"")</f>
        <v/>
      </c>
      <c r="B624" s="60" t="s">
        <v>1440</v>
      </c>
      <c r="C624" s="105" t="s">
        <v>95</v>
      </c>
      <c r="D624" s="74" t="s">
        <v>529</v>
      </c>
      <c r="E624" s="89"/>
      <c r="F624" s="89"/>
      <c r="G624" s="65" t="str">
        <f>IF(stdProdLT(Main[[#This Row],[Comments]])=0.1,"N/A",IF(stdProdLT(Main[[#This Row],[Comments]])=0,"",TRIM(stdProdLT(Main[[#This Row],[Comments]]))))</f>
        <v/>
      </c>
      <c r="H624" s="98" t="str">
        <f>IF(Main[[#This Row],[Std. Prod. Lead Time]]="N/A", "",IF(AND(Main[[#This Row],[In Stock Date]]&lt;&gt;"",Main[[#This Row],[Revised Due Date]]&lt;&gt;"",Main[[#This Row],[In Stock Date]]&lt;&gt;""),Main[[#This Row],[In Stock Date]]-Main[[#This Row],[Revised Due Date]],""))</f>
        <v/>
      </c>
      <c r="I624" s="110" t="s">
        <v>530</v>
      </c>
      <c r="J624" s="99" t="s">
        <v>4</v>
      </c>
      <c r="K624" s="99" t="s">
        <v>4</v>
      </c>
      <c r="L624" s="89"/>
      <c r="M624" s="75" t="str">
        <f>IF(Main[[#This Row],[Tech Start Date]]&lt;1/1/1990,"",IF(Main[[#This Row],[Class]]="C",WORKDAY(Main[[#This Row],[Tech Start Date]],9),IF(Main[[#This Row],[Class]]="B", WORKDAY(Main[[#This Row],[Tech Start Date]],6),IF(Main[[#This Row],[Class]]="A",WORKDAY(Main[[#This Row],[Tech Start Date]],2),""))))</f>
        <v/>
      </c>
      <c r="N624" s="75" t="str">
        <f>IF(Main[[#This Row],[Tech Start Date]]&lt;1/1/1990,"",IF(Main[[#This Row],[Class]]="C",WORKDAY(Main[[#This Row],[Tech Start Date]],19),IF(Main[[#This Row],[Class]]="B", WORKDAY(Main[[#This Row],[Tech Start Date]],12),IF(Main[[#This Row],[Class]]="A",WORKDAY(Main[[#This Row],[Tech Start Date]],4),""))))</f>
        <v/>
      </c>
      <c r="O624" s="75" t="str">
        <f>IF(Main[[#This Row],[Tech Start Date]]&lt;1/1/1990,"",IF(Main[[#This Row],[Class]]="C",WORKDAY(Main[[#This Row],[Tech Start Date]],23),IF(Main[[#This Row],[Class]]="B", WORKDAY(Main[[#This Row],[Tech Start Date]],15),IF(Main[[#This Row],[Class]]="A",WORKDAY(Main[[#This Row],[Tech Start Date]],5),""))))</f>
        <v/>
      </c>
      <c r="P624" s="75" t="str">
        <f>IF(Main[[#This Row],[Tech Start Date]]&lt;1/1/1990,"",IF(Main[[#This Row],[Class]]="C",WORKDAY(Main[[#This Row],[Tech Start Date]],28),IF(Main[[#This Row],[Class]]="B", WORKDAY(Main[[#This Row],[Tech Start Date]],19),IF(Main[[#This Row],[Class]]="A",WORKDAY(Main[[#This Row],[Tech Start Date]],9),""))))</f>
        <v/>
      </c>
      <c r="Q624" s="89">
        <v>40352</v>
      </c>
      <c r="R624" s="121"/>
      <c r="S624" s="99" t="s">
        <v>11</v>
      </c>
      <c r="T624" s="76" t="s">
        <v>4</v>
      </c>
      <c r="U624" s="99" t="s">
        <v>14</v>
      </c>
      <c r="V624" s="99" t="s">
        <v>1916</v>
      </c>
      <c r="W624" s="99" t="s">
        <v>1915</v>
      </c>
      <c r="X624" s="99" t="s">
        <v>2831</v>
      </c>
      <c r="Y624" s="73" t="s">
        <v>3045</v>
      </c>
      <c r="Z624" s="73" t="s">
        <v>4</v>
      </c>
      <c r="AA624" s="99" t="s">
        <v>3399</v>
      </c>
    </row>
    <row r="625" spans="1:27" ht="17.25" customHeight="1">
      <c r="A625" s="65" t="str">
        <f>IF(priority(Main[[#This Row],[Comments]])&lt;&gt;0, priority(Main[[#This Row],[Comments]]),"")</f>
        <v/>
      </c>
      <c r="B625" s="60" t="s">
        <v>1442</v>
      </c>
      <c r="C625" s="105" t="s">
        <v>169</v>
      </c>
      <c r="D625" s="74" t="s">
        <v>532</v>
      </c>
      <c r="E625" s="89"/>
      <c r="F625" s="89">
        <v>40237</v>
      </c>
      <c r="G625" s="65" t="str">
        <f>IF(stdProdLT(Main[[#This Row],[Comments]])=0.1,"N/A",IF(stdProdLT(Main[[#This Row],[Comments]])=0,"",TRIM(stdProdLT(Main[[#This Row],[Comments]]))))</f>
        <v/>
      </c>
      <c r="H625" s="98" t="str">
        <f>IF(Main[[#This Row],[Std. Prod. Lead Time]]="N/A", "",IF(AND(Main[[#This Row],[In Stock Date]]&lt;&gt;"",Main[[#This Row],[Revised Due Date]]&lt;&gt;"",Main[[#This Row],[In Stock Date]]&lt;&gt;""),Main[[#This Row],[In Stock Date]]-Main[[#This Row],[Revised Due Date]],""))</f>
        <v/>
      </c>
      <c r="I625" s="110" t="s">
        <v>4</v>
      </c>
      <c r="J625" s="99" t="s">
        <v>4</v>
      </c>
      <c r="K625" s="100" t="s">
        <v>4</v>
      </c>
      <c r="L625" s="89"/>
      <c r="M625" s="75" t="str">
        <f>IF(Main[[#This Row],[Tech Start Date]]&lt;1/1/1990,"",IF(Main[[#This Row],[Class]]="C",WORKDAY(Main[[#This Row],[Tech Start Date]],9),IF(Main[[#This Row],[Class]]="B", WORKDAY(Main[[#This Row],[Tech Start Date]],6),IF(Main[[#This Row],[Class]]="A",WORKDAY(Main[[#This Row],[Tech Start Date]],2),""))))</f>
        <v/>
      </c>
      <c r="N625" s="75" t="str">
        <f>IF(Main[[#This Row],[Tech Start Date]]&lt;1/1/1990,"",IF(Main[[#This Row],[Class]]="C",WORKDAY(Main[[#This Row],[Tech Start Date]],19),IF(Main[[#This Row],[Class]]="B", WORKDAY(Main[[#This Row],[Tech Start Date]],12),IF(Main[[#This Row],[Class]]="A",WORKDAY(Main[[#This Row],[Tech Start Date]],4),""))))</f>
        <v/>
      </c>
      <c r="O625" s="75" t="str">
        <f>IF(Main[[#This Row],[Tech Start Date]]&lt;1/1/1990,"",IF(Main[[#This Row],[Class]]="C",WORKDAY(Main[[#This Row],[Tech Start Date]],23),IF(Main[[#This Row],[Class]]="B", WORKDAY(Main[[#This Row],[Tech Start Date]],15),IF(Main[[#This Row],[Class]]="A",WORKDAY(Main[[#This Row],[Tech Start Date]],5),""))))</f>
        <v/>
      </c>
      <c r="P625" s="75" t="str">
        <f>IF(Main[[#This Row],[Tech Start Date]]&lt;1/1/1990,"",IF(Main[[#This Row],[Class]]="C",WORKDAY(Main[[#This Row],[Tech Start Date]],28),IF(Main[[#This Row],[Class]]="B", WORKDAY(Main[[#This Row],[Tech Start Date]],19),IF(Main[[#This Row],[Class]]="A",WORKDAY(Main[[#This Row],[Tech Start Date]],9),""))))</f>
        <v/>
      </c>
      <c r="Q625" s="89">
        <v>40132</v>
      </c>
      <c r="R625" s="121"/>
      <c r="S625" s="99" t="s">
        <v>11</v>
      </c>
      <c r="T625" s="76" t="s">
        <v>4</v>
      </c>
      <c r="U625" s="99" t="s">
        <v>14</v>
      </c>
      <c r="V625" s="99" t="s">
        <v>1913</v>
      </c>
      <c r="W625" s="99" t="s">
        <v>1918</v>
      </c>
      <c r="X625" s="99" t="s">
        <v>2852</v>
      </c>
      <c r="Y625" s="73" t="s">
        <v>4</v>
      </c>
      <c r="Z625" s="73" t="s">
        <v>4</v>
      </c>
      <c r="AA625" s="99" t="s">
        <v>2852</v>
      </c>
    </row>
    <row r="626" spans="1:27" ht="17.25" customHeight="1">
      <c r="A626" s="65" t="str">
        <f>IF(priority(Main[[#This Row],[Comments]])&lt;&gt;0, priority(Main[[#This Row],[Comments]]),"")</f>
        <v/>
      </c>
      <c r="B626" s="60" t="s">
        <v>3254</v>
      </c>
      <c r="C626" s="105" t="s">
        <v>3255</v>
      </c>
      <c r="D626" s="74" t="s">
        <v>3353</v>
      </c>
      <c r="E626" s="89"/>
      <c r="F626" s="89">
        <v>41090</v>
      </c>
      <c r="G626" s="65" t="str">
        <f>IF(stdProdLT(Main[[#This Row],[Comments]])=0.1,"N/A",IF(stdProdLT(Main[[#This Row],[Comments]])=0,"",TRIM(stdProdLT(Main[[#This Row],[Comments]]))))</f>
        <v/>
      </c>
      <c r="H626" s="98" t="str">
        <f>IF(Main[[#This Row],[Std. Prod. Lead Time]]="N/A", "",IF(AND(Main[[#This Row],[In Stock Date]]&lt;&gt;"",Main[[#This Row],[Revised Due Date]]&lt;&gt;"",Main[[#This Row],[In Stock Date]]&lt;&gt;""),Main[[#This Row],[In Stock Date]]-Main[[#This Row],[Revised Due Date]],""))</f>
        <v/>
      </c>
      <c r="I626" s="110" t="s">
        <v>4</v>
      </c>
      <c r="J626" s="99" t="s">
        <v>4</v>
      </c>
      <c r="K626" s="99" t="s">
        <v>4</v>
      </c>
      <c r="L626" s="89"/>
      <c r="M626" s="75" t="str">
        <f>IF(Main[[#This Row],[Tech Start Date]]&lt;1/1/1990,"",IF(Main[[#This Row],[Class]]="C",WORKDAY(Main[[#This Row],[Tech Start Date]],9),IF(Main[[#This Row],[Class]]="B", WORKDAY(Main[[#This Row],[Tech Start Date]],6),IF(Main[[#This Row],[Class]]="A",WORKDAY(Main[[#This Row],[Tech Start Date]],2),""))))</f>
        <v/>
      </c>
      <c r="N626" s="75" t="str">
        <f>IF(Main[[#This Row],[Tech Start Date]]&lt;1/1/1990,"",IF(Main[[#This Row],[Class]]="C",WORKDAY(Main[[#This Row],[Tech Start Date]],19),IF(Main[[#This Row],[Class]]="B", WORKDAY(Main[[#This Row],[Tech Start Date]],12),IF(Main[[#This Row],[Class]]="A",WORKDAY(Main[[#This Row],[Tech Start Date]],4),""))))</f>
        <v/>
      </c>
      <c r="O626" s="75" t="str">
        <f>IF(Main[[#This Row],[Tech Start Date]]&lt;1/1/1990,"",IF(Main[[#This Row],[Class]]="C",WORKDAY(Main[[#This Row],[Tech Start Date]],23),IF(Main[[#This Row],[Class]]="B", WORKDAY(Main[[#This Row],[Tech Start Date]],15),IF(Main[[#This Row],[Class]]="A",WORKDAY(Main[[#This Row],[Tech Start Date]],5),""))))</f>
        <v/>
      </c>
      <c r="P626" s="75" t="str">
        <f>IF(Main[[#This Row],[Tech Start Date]]&lt;1/1/1990,"",IF(Main[[#This Row],[Class]]="C",WORKDAY(Main[[#This Row],[Tech Start Date]],28),IF(Main[[#This Row],[Class]]="B", WORKDAY(Main[[#This Row],[Tech Start Date]],19),IF(Main[[#This Row],[Class]]="A",WORKDAY(Main[[#This Row],[Tech Start Date]],9),""))))</f>
        <v/>
      </c>
      <c r="Q626" s="89"/>
      <c r="R626" s="121"/>
      <c r="S626" s="99" t="s">
        <v>11</v>
      </c>
      <c r="T626" s="76" t="s">
        <v>3256</v>
      </c>
      <c r="U626" s="99" t="s">
        <v>14</v>
      </c>
      <c r="V626" s="99" t="s">
        <v>1914</v>
      </c>
      <c r="W626" s="99" t="s">
        <v>1921</v>
      </c>
      <c r="X626" s="99" t="s">
        <v>2846</v>
      </c>
      <c r="Y626" s="73" t="s">
        <v>2984</v>
      </c>
      <c r="Z626" s="73" t="s">
        <v>4</v>
      </c>
      <c r="AA626" s="99" t="s">
        <v>2846</v>
      </c>
    </row>
    <row r="627" spans="1:27" ht="17.25" customHeight="1">
      <c r="A627" s="65" t="str">
        <f>IF(priority(Main[[#This Row],[Comments]])&lt;&gt;0, priority(Main[[#This Row],[Comments]]),"")</f>
        <v/>
      </c>
      <c r="B627" s="60" t="s">
        <v>1443</v>
      </c>
      <c r="C627" s="105" t="s">
        <v>4</v>
      </c>
      <c r="D627" s="74" t="s">
        <v>533</v>
      </c>
      <c r="E627" s="89">
        <v>40108.684525462966</v>
      </c>
      <c r="F627" s="89"/>
      <c r="G627" s="65" t="str">
        <f>IF(stdProdLT(Main[[#This Row],[Comments]])=0.1,"N/A",IF(stdProdLT(Main[[#This Row],[Comments]])=0,"",TRIM(stdProdLT(Main[[#This Row],[Comments]]))))</f>
        <v/>
      </c>
      <c r="H627" s="98" t="str">
        <f>IF(Main[[#This Row],[Std. Prod. Lead Time]]="N/A", "",IF(AND(Main[[#This Row],[In Stock Date]]&lt;&gt;"",Main[[#This Row],[Revised Due Date]]&lt;&gt;"",Main[[#This Row],[In Stock Date]]&lt;&gt;""),Main[[#This Row],[In Stock Date]]-Main[[#This Row],[Revised Due Date]],""))</f>
        <v/>
      </c>
      <c r="I627" s="110" t="s">
        <v>4</v>
      </c>
      <c r="J627" s="99" t="s">
        <v>4</v>
      </c>
      <c r="K627" s="99" t="s">
        <v>4</v>
      </c>
      <c r="L627" s="89"/>
      <c r="M627" s="75" t="str">
        <f>IF(Main[[#This Row],[Tech Start Date]]&lt;1/1/1990,"",IF(Main[[#This Row],[Class]]="C",WORKDAY(Main[[#This Row],[Tech Start Date]],9),IF(Main[[#This Row],[Class]]="B", WORKDAY(Main[[#This Row],[Tech Start Date]],6),IF(Main[[#This Row],[Class]]="A",WORKDAY(Main[[#This Row],[Tech Start Date]],2),""))))</f>
        <v/>
      </c>
      <c r="N627" s="75" t="str">
        <f>IF(Main[[#This Row],[Tech Start Date]]&lt;1/1/1990,"",IF(Main[[#This Row],[Class]]="C",WORKDAY(Main[[#This Row],[Tech Start Date]],19),IF(Main[[#This Row],[Class]]="B", WORKDAY(Main[[#This Row],[Tech Start Date]],12),IF(Main[[#This Row],[Class]]="A",WORKDAY(Main[[#This Row],[Tech Start Date]],4),""))))</f>
        <v/>
      </c>
      <c r="O627" s="75" t="str">
        <f>IF(Main[[#This Row],[Tech Start Date]]&lt;1/1/1990,"",IF(Main[[#This Row],[Class]]="C",WORKDAY(Main[[#This Row],[Tech Start Date]],23),IF(Main[[#This Row],[Class]]="B", WORKDAY(Main[[#This Row],[Tech Start Date]],15),IF(Main[[#This Row],[Class]]="A",WORKDAY(Main[[#This Row],[Tech Start Date]],5),""))))</f>
        <v/>
      </c>
      <c r="P627" s="75" t="str">
        <f>IF(Main[[#This Row],[Tech Start Date]]&lt;1/1/1990,"",IF(Main[[#This Row],[Class]]="C",WORKDAY(Main[[#This Row],[Tech Start Date]],28),IF(Main[[#This Row],[Class]]="B", WORKDAY(Main[[#This Row],[Tech Start Date]],19),IF(Main[[#This Row],[Class]]="A",WORKDAY(Main[[#This Row],[Tech Start Date]],9),""))))</f>
        <v/>
      </c>
      <c r="Q627" s="89">
        <v>40208</v>
      </c>
      <c r="R627" s="121"/>
      <c r="S627" s="99" t="s">
        <v>17</v>
      </c>
      <c r="T627" s="76" t="s">
        <v>4</v>
      </c>
      <c r="U627" s="99" t="s">
        <v>534</v>
      </c>
      <c r="V627" s="99" t="s">
        <v>1914</v>
      </c>
      <c r="W627" s="99" t="s">
        <v>4</v>
      </c>
      <c r="X627" s="99" t="s">
        <v>2856</v>
      </c>
      <c r="Y627" s="73" t="s">
        <v>3000</v>
      </c>
      <c r="Z627" s="73" t="s">
        <v>4</v>
      </c>
      <c r="AA627" s="99" t="s">
        <v>2856</v>
      </c>
    </row>
    <row r="628" spans="1:27" ht="17.25" customHeight="1">
      <c r="A628" s="65" t="str">
        <f>IF(priority(Main[[#This Row],[Comments]])&lt;&gt;0, priority(Main[[#This Row],[Comments]]),"")</f>
        <v/>
      </c>
      <c r="B628" s="60" t="s">
        <v>1444</v>
      </c>
      <c r="C628" s="105" t="s">
        <v>79</v>
      </c>
      <c r="D628" s="74" t="s">
        <v>535</v>
      </c>
      <c r="E628" s="89"/>
      <c r="F628" s="89"/>
      <c r="G628" s="65" t="str">
        <f>IF(stdProdLT(Main[[#This Row],[Comments]])=0.1,"N/A",IF(stdProdLT(Main[[#This Row],[Comments]])=0,"",TRIM(stdProdLT(Main[[#This Row],[Comments]]))))</f>
        <v/>
      </c>
      <c r="H628" s="98" t="str">
        <f>IF(Main[[#This Row],[Std. Prod. Lead Time]]="N/A", "",IF(AND(Main[[#This Row],[In Stock Date]]&lt;&gt;"",Main[[#This Row],[Revised Due Date]]&lt;&gt;"",Main[[#This Row],[In Stock Date]]&lt;&gt;""),Main[[#This Row],[In Stock Date]]-Main[[#This Row],[Revised Due Date]],""))</f>
        <v/>
      </c>
      <c r="I628" s="110" t="s">
        <v>4</v>
      </c>
      <c r="J628" s="99" t="s">
        <v>4</v>
      </c>
      <c r="K628" s="100" t="s">
        <v>4</v>
      </c>
      <c r="L628" s="89"/>
      <c r="M628" s="75" t="str">
        <f>IF(Main[[#This Row],[Tech Start Date]]&lt;1/1/1990,"",IF(Main[[#This Row],[Class]]="C",WORKDAY(Main[[#This Row],[Tech Start Date]],9),IF(Main[[#This Row],[Class]]="B", WORKDAY(Main[[#This Row],[Tech Start Date]],6),IF(Main[[#This Row],[Class]]="A",WORKDAY(Main[[#This Row],[Tech Start Date]],2),""))))</f>
        <v/>
      </c>
      <c r="N628" s="75" t="str">
        <f>IF(Main[[#This Row],[Tech Start Date]]&lt;1/1/1990,"",IF(Main[[#This Row],[Class]]="C",WORKDAY(Main[[#This Row],[Tech Start Date]],19),IF(Main[[#This Row],[Class]]="B", WORKDAY(Main[[#This Row],[Tech Start Date]],12),IF(Main[[#This Row],[Class]]="A",WORKDAY(Main[[#This Row],[Tech Start Date]],4),""))))</f>
        <v/>
      </c>
      <c r="O628" s="75" t="str">
        <f>IF(Main[[#This Row],[Tech Start Date]]&lt;1/1/1990,"",IF(Main[[#This Row],[Class]]="C",WORKDAY(Main[[#This Row],[Tech Start Date]],23),IF(Main[[#This Row],[Class]]="B", WORKDAY(Main[[#This Row],[Tech Start Date]],15),IF(Main[[#This Row],[Class]]="A",WORKDAY(Main[[#This Row],[Tech Start Date]],5),""))))</f>
        <v/>
      </c>
      <c r="P628" s="75" t="str">
        <f>IF(Main[[#This Row],[Tech Start Date]]&lt;1/1/1990,"",IF(Main[[#This Row],[Class]]="C",WORKDAY(Main[[#This Row],[Tech Start Date]],28),IF(Main[[#This Row],[Class]]="B", WORKDAY(Main[[#This Row],[Tech Start Date]],19),IF(Main[[#This Row],[Class]]="A",WORKDAY(Main[[#This Row],[Tech Start Date]],9),""))))</f>
        <v/>
      </c>
      <c r="Q628" s="89">
        <v>40044</v>
      </c>
      <c r="R628" s="121"/>
      <c r="S628" s="99" t="s">
        <v>11</v>
      </c>
      <c r="T628" s="76" t="s">
        <v>4</v>
      </c>
      <c r="U628" s="99" t="s">
        <v>12</v>
      </c>
      <c r="V628" s="99" t="s">
        <v>1923</v>
      </c>
      <c r="W628" s="99" t="s">
        <v>1924</v>
      </c>
      <c r="X628" s="99" t="s">
        <v>2814</v>
      </c>
      <c r="Y628" s="73" t="s">
        <v>2950</v>
      </c>
      <c r="Z628" s="73" t="s">
        <v>81</v>
      </c>
      <c r="AA628" s="99" t="s">
        <v>2855</v>
      </c>
    </row>
    <row r="629" spans="1:27" ht="17.25" customHeight="1">
      <c r="A629" s="65" t="str">
        <f>IF(priority(Main[[#This Row],[Comments]])&lt;&gt;0, priority(Main[[#This Row],[Comments]]),"")</f>
        <v/>
      </c>
      <c r="B629" s="60" t="s">
        <v>1445</v>
      </c>
      <c r="C629" s="105" t="s">
        <v>4</v>
      </c>
      <c r="D629" s="74" t="s">
        <v>536</v>
      </c>
      <c r="E629" s="89"/>
      <c r="F629" s="89"/>
      <c r="G629" s="65" t="str">
        <f>IF(stdProdLT(Main[[#This Row],[Comments]])=0.1,"N/A",IF(stdProdLT(Main[[#This Row],[Comments]])=0,"",TRIM(stdProdLT(Main[[#This Row],[Comments]]))))</f>
        <v/>
      </c>
      <c r="H629" s="98" t="str">
        <f>IF(Main[[#This Row],[Std. Prod. Lead Time]]="N/A", "",IF(AND(Main[[#This Row],[In Stock Date]]&lt;&gt;"",Main[[#This Row],[Revised Due Date]]&lt;&gt;"",Main[[#This Row],[In Stock Date]]&lt;&gt;""),Main[[#This Row],[In Stock Date]]-Main[[#This Row],[Revised Due Date]],""))</f>
        <v/>
      </c>
      <c r="I629" s="110" t="s">
        <v>4</v>
      </c>
      <c r="J629" s="99" t="s">
        <v>4</v>
      </c>
      <c r="K629" s="99" t="s">
        <v>4</v>
      </c>
      <c r="L629" s="89"/>
      <c r="M629" s="75" t="str">
        <f>IF(Main[[#This Row],[Tech Start Date]]&lt;1/1/1990,"",IF(Main[[#This Row],[Class]]="C",WORKDAY(Main[[#This Row],[Tech Start Date]],9),IF(Main[[#This Row],[Class]]="B", WORKDAY(Main[[#This Row],[Tech Start Date]],6),IF(Main[[#This Row],[Class]]="A",WORKDAY(Main[[#This Row],[Tech Start Date]],2),""))))</f>
        <v/>
      </c>
      <c r="N629" s="75" t="str">
        <f>IF(Main[[#This Row],[Tech Start Date]]&lt;1/1/1990,"",IF(Main[[#This Row],[Class]]="C",WORKDAY(Main[[#This Row],[Tech Start Date]],19),IF(Main[[#This Row],[Class]]="B", WORKDAY(Main[[#This Row],[Tech Start Date]],12),IF(Main[[#This Row],[Class]]="A",WORKDAY(Main[[#This Row],[Tech Start Date]],4),""))))</f>
        <v/>
      </c>
      <c r="O629" s="75" t="str">
        <f>IF(Main[[#This Row],[Tech Start Date]]&lt;1/1/1990,"",IF(Main[[#This Row],[Class]]="C",WORKDAY(Main[[#This Row],[Tech Start Date]],23),IF(Main[[#This Row],[Class]]="B", WORKDAY(Main[[#This Row],[Tech Start Date]],15),IF(Main[[#This Row],[Class]]="A",WORKDAY(Main[[#This Row],[Tech Start Date]],5),""))))</f>
        <v/>
      </c>
      <c r="P629" s="75" t="str">
        <f>IF(Main[[#This Row],[Tech Start Date]]&lt;1/1/1990,"",IF(Main[[#This Row],[Class]]="C",WORKDAY(Main[[#This Row],[Tech Start Date]],28),IF(Main[[#This Row],[Class]]="B", WORKDAY(Main[[#This Row],[Tech Start Date]],19),IF(Main[[#This Row],[Class]]="A",WORKDAY(Main[[#This Row],[Tech Start Date]],9),""))))</f>
        <v/>
      </c>
      <c r="Q629" s="89"/>
      <c r="R629" s="121"/>
      <c r="S629" s="99" t="s">
        <v>6</v>
      </c>
      <c r="T629" s="76" t="s">
        <v>4</v>
      </c>
      <c r="U629" s="99" t="s">
        <v>14</v>
      </c>
      <c r="V629" s="99" t="s">
        <v>1916</v>
      </c>
      <c r="W629" s="99" t="s">
        <v>4</v>
      </c>
      <c r="X629" s="99" t="s">
        <v>2881</v>
      </c>
      <c r="Y629" s="73" t="s">
        <v>3037</v>
      </c>
      <c r="Z629" s="73" t="s">
        <v>4</v>
      </c>
      <c r="AA629" s="99" t="s">
        <v>2881</v>
      </c>
    </row>
    <row r="630" spans="1:27" ht="17.25" customHeight="1">
      <c r="A630" s="65" t="str">
        <f>IF(priority(Main[[#This Row],[Comments]])&lt;&gt;0, priority(Main[[#This Row],[Comments]]),"")</f>
        <v/>
      </c>
      <c r="B630" s="60" t="s">
        <v>1448</v>
      </c>
      <c r="C630" s="105" t="s">
        <v>4</v>
      </c>
      <c r="D630" s="74" t="s">
        <v>538</v>
      </c>
      <c r="E630" s="89"/>
      <c r="F630" s="89">
        <v>40390</v>
      </c>
      <c r="G630" s="65" t="str">
        <f>IF(stdProdLT(Main[[#This Row],[Comments]])=0.1,"N/A",IF(stdProdLT(Main[[#This Row],[Comments]])=0,"",TRIM(stdProdLT(Main[[#This Row],[Comments]]))))</f>
        <v/>
      </c>
      <c r="H630" s="98" t="str">
        <f>IF(Main[[#This Row],[Std. Prod. Lead Time]]="N/A", "",IF(AND(Main[[#This Row],[In Stock Date]]&lt;&gt;"",Main[[#This Row],[Revised Due Date]]&lt;&gt;"",Main[[#This Row],[In Stock Date]]&lt;&gt;""),Main[[#This Row],[In Stock Date]]-Main[[#This Row],[Revised Due Date]],""))</f>
        <v/>
      </c>
      <c r="I630" s="110" t="s">
        <v>4</v>
      </c>
      <c r="J630" s="99" t="s">
        <v>4</v>
      </c>
      <c r="K630" s="99" t="s">
        <v>4</v>
      </c>
      <c r="L630" s="89"/>
      <c r="M630" s="75" t="str">
        <f>IF(Main[[#This Row],[Tech Start Date]]&lt;1/1/1990,"",IF(Main[[#This Row],[Class]]="C",WORKDAY(Main[[#This Row],[Tech Start Date]],9),IF(Main[[#This Row],[Class]]="B", WORKDAY(Main[[#This Row],[Tech Start Date]],6),IF(Main[[#This Row],[Class]]="A",WORKDAY(Main[[#This Row],[Tech Start Date]],2),""))))</f>
        <v/>
      </c>
      <c r="N630" s="75" t="str">
        <f>IF(Main[[#This Row],[Tech Start Date]]&lt;1/1/1990,"",IF(Main[[#This Row],[Class]]="C",WORKDAY(Main[[#This Row],[Tech Start Date]],19),IF(Main[[#This Row],[Class]]="B", WORKDAY(Main[[#This Row],[Tech Start Date]],12),IF(Main[[#This Row],[Class]]="A",WORKDAY(Main[[#This Row],[Tech Start Date]],4),""))))</f>
        <v/>
      </c>
      <c r="O630" s="75" t="str">
        <f>IF(Main[[#This Row],[Tech Start Date]]&lt;1/1/1990,"",IF(Main[[#This Row],[Class]]="C",WORKDAY(Main[[#This Row],[Tech Start Date]],23),IF(Main[[#This Row],[Class]]="B", WORKDAY(Main[[#This Row],[Tech Start Date]],15),IF(Main[[#This Row],[Class]]="A",WORKDAY(Main[[#This Row],[Tech Start Date]],5),""))))</f>
        <v/>
      </c>
      <c r="P630" s="75" t="str">
        <f>IF(Main[[#This Row],[Tech Start Date]]&lt;1/1/1990,"",IF(Main[[#This Row],[Class]]="C",WORKDAY(Main[[#This Row],[Tech Start Date]],28),IF(Main[[#This Row],[Class]]="B", WORKDAY(Main[[#This Row],[Tech Start Date]],19),IF(Main[[#This Row],[Class]]="A",WORKDAY(Main[[#This Row],[Tech Start Date]],9),""))))</f>
        <v/>
      </c>
      <c r="Q630" s="89">
        <v>40329</v>
      </c>
      <c r="R630" s="121"/>
      <c r="S630" s="99" t="s">
        <v>11</v>
      </c>
      <c r="T630" s="76" t="s">
        <v>4</v>
      </c>
      <c r="U630" s="99" t="s">
        <v>12</v>
      </c>
      <c r="V630" s="99" t="s">
        <v>1923</v>
      </c>
      <c r="W630" s="99" t="s">
        <v>1919</v>
      </c>
      <c r="X630" s="99" t="s">
        <v>2866</v>
      </c>
      <c r="Y630" s="73" t="s">
        <v>2990</v>
      </c>
      <c r="Z630" s="73" t="s">
        <v>4</v>
      </c>
      <c r="AA630" s="99" t="s">
        <v>2866</v>
      </c>
    </row>
    <row r="631" spans="1:27" ht="17.25" customHeight="1">
      <c r="A631" s="65" t="str">
        <f>IF(priority(Main[[#This Row],[Comments]])&lt;&gt;0, priority(Main[[#This Row],[Comments]]),"")</f>
        <v/>
      </c>
      <c r="B631" s="60" t="s">
        <v>2712</v>
      </c>
      <c r="C631" s="105" t="s">
        <v>4</v>
      </c>
      <c r="D631" s="74" t="s">
        <v>2713</v>
      </c>
      <c r="E631" s="89">
        <v>40884.602025462962</v>
      </c>
      <c r="F631" s="89"/>
      <c r="G631" s="65" t="str">
        <f>IF(stdProdLT(Main[[#This Row],[Comments]])=0.1,"N/A",IF(stdProdLT(Main[[#This Row],[Comments]])=0,"",TRIM(stdProdLT(Main[[#This Row],[Comments]]))))</f>
        <v/>
      </c>
      <c r="H631" s="98" t="str">
        <f>IF(Main[[#This Row],[Std. Prod. Lead Time]]="N/A", "",IF(AND(Main[[#This Row],[In Stock Date]]&lt;&gt;"",Main[[#This Row],[Revised Due Date]]&lt;&gt;"",Main[[#This Row],[In Stock Date]]&lt;&gt;""),Main[[#This Row],[In Stock Date]]-Main[[#This Row],[Revised Due Date]],""))</f>
        <v/>
      </c>
      <c r="I631" s="110" t="s">
        <v>4</v>
      </c>
      <c r="J631" s="99" t="s">
        <v>4</v>
      </c>
      <c r="K631" s="99" t="s">
        <v>4</v>
      </c>
      <c r="L631" s="89"/>
      <c r="M631" s="75" t="str">
        <f>IF(Main[[#This Row],[Tech Start Date]]&lt;1/1/1990,"",IF(Main[[#This Row],[Class]]="C",WORKDAY(Main[[#This Row],[Tech Start Date]],9),IF(Main[[#This Row],[Class]]="B", WORKDAY(Main[[#This Row],[Tech Start Date]],6),IF(Main[[#This Row],[Class]]="A",WORKDAY(Main[[#This Row],[Tech Start Date]],2),""))))</f>
        <v/>
      </c>
      <c r="N631" s="75" t="str">
        <f>IF(Main[[#This Row],[Tech Start Date]]&lt;1/1/1990,"",IF(Main[[#This Row],[Class]]="C",WORKDAY(Main[[#This Row],[Tech Start Date]],19),IF(Main[[#This Row],[Class]]="B", WORKDAY(Main[[#This Row],[Tech Start Date]],12),IF(Main[[#This Row],[Class]]="A",WORKDAY(Main[[#This Row],[Tech Start Date]],4),""))))</f>
        <v/>
      </c>
      <c r="O631" s="75" t="str">
        <f>IF(Main[[#This Row],[Tech Start Date]]&lt;1/1/1990,"",IF(Main[[#This Row],[Class]]="C",WORKDAY(Main[[#This Row],[Tech Start Date]],23),IF(Main[[#This Row],[Class]]="B", WORKDAY(Main[[#This Row],[Tech Start Date]],15),IF(Main[[#This Row],[Class]]="A",WORKDAY(Main[[#This Row],[Tech Start Date]],5),""))))</f>
        <v/>
      </c>
      <c r="P631" s="75" t="str">
        <f>IF(Main[[#This Row],[Tech Start Date]]&lt;1/1/1990,"",IF(Main[[#This Row],[Class]]="C",WORKDAY(Main[[#This Row],[Tech Start Date]],28),IF(Main[[#This Row],[Class]]="B", WORKDAY(Main[[#This Row],[Tech Start Date]],19),IF(Main[[#This Row],[Class]]="A",WORKDAY(Main[[#This Row],[Tech Start Date]],9),""))))</f>
        <v/>
      </c>
      <c r="Q631" s="89"/>
      <c r="R631" s="121"/>
      <c r="S631" s="99" t="s">
        <v>17</v>
      </c>
      <c r="T631" s="76" t="s">
        <v>4</v>
      </c>
      <c r="U631" s="99" t="s">
        <v>7</v>
      </c>
      <c r="V631" s="99" t="s">
        <v>1928</v>
      </c>
      <c r="W631" s="99" t="s">
        <v>1918</v>
      </c>
      <c r="X631" s="99" t="s">
        <v>922</v>
      </c>
      <c r="Y631" s="73" t="s">
        <v>3011</v>
      </c>
      <c r="Z631" s="73" t="s">
        <v>4</v>
      </c>
      <c r="AA631" s="99" t="s">
        <v>907</v>
      </c>
    </row>
    <row r="632" spans="1:27" ht="17.25" customHeight="1">
      <c r="A632" s="65" t="str">
        <f>IF(priority(Main[[#This Row],[Comments]])&lt;&gt;0, priority(Main[[#This Row],[Comments]]),"")</f>
        <v/>
      </c>
      <c r="B632" s="60" t="s">
        <v>1449</v>
      </c>
      <c r="C632" s="105" t="s">
        <v>4</v>
      </c>
      <c r="D632" s="74" t="s">
        <v>539</v>
      </c>
      <c r="E632" s="89"/>
      <c r="F632" s="89"/>
      <c r="G632" s="65" t="str">
        <f>IF(stdProdLT(Main[[#This Row],[Comments]])=0.1,"N/A",IF(stdProdLT(Main[[#This Row],[Comments]])=0,"",TRIM(stdProdLT(Main[[#This Row],[Comments]]))))</f>
        <v/>
      </c>
      <c r="H632" s="98" t="str">
        <f>IF(Main[[#This Row],[Std. Prod. Lead Time]]="N/A", "",IF(AND(Main[[#This Row],[In Stock Date]]&lt;&gt;"",Main[[#This Row],[Revised Due Date]]&lt;&gt;"",Main[[#This Row],[In Stock Date]]&lt;&gt;""),Main[[#This Row],[In Stock Date]]-Main[[#This Row],[Revised Due Date]],""))</f>
        <v/>
      </c>
      <c r="I632" s="110" t="s">
        <v>4</v>
      </c>
      <c r="J632" s="99" t="s">
        <v>4</v>
      </c>
      <c r="K632" s="99" t="s">
        <v>4</v>
      </c>
      <c r="L632" s="89"/>
      <c r="M632" s="75" t="str">
        <f>IF(Main[[#This Row],[Tech Start Date]]&lt;1/1/1990,"",IF(Main[[#This Row],[Class]]="C",WORKDAY(Main[[#This Row],[Tech Start Date]],9),IF(Main[[#This Row],[Class]]="B", WORKDAY(Main[[#This Row],[Tech Start Date]],6),IF(Main[[#This Row],[Class]]="A",WORKDAY(Main[[#This Row],[Tech Start Date]],2),""))))</f>
        <v/>
      </c>
      <c r="N632" s="75" t="str">
        <f>IF(Main[[#This Row],[Tech Start Date]]&lt;1/1/1990,"",IF(Main[[#This Row],[Class]]="C",WORKDAY(Main[[#This Row],[Tech Start Date]],19),IF(Main[[#This Row],[Class]]="B", WORKDAY(Main[[#This Row],[Tech Start Date]],12),IF(Main[[#This Row],[Class]]="A",WORKDAY(Main[[#This Row],[Tech Start Date]],4),""))))</f>
        <v/>
      </c>
      <c r="O632" s="75" t="str">
        <f>IF(Main[[#This Row],[Tech Start Date]]&lt;1/1/1990,"",IF(Main[[#This Row],[Class]]="C",WORKDAY(Main[[#This Row],[Tech Start Date]],23),IF(Main[[#This Row],[Class]]="B", WORKDAY(Main[[#This Row],[Tech Start Date]],15),IF(Main[[#This Row],[Class]]="A",WORKDAY(Main[[#This Row],[Tech Start Date]],5),""))))</f>
        <v/>
      </c>
      <c r="P632" s="75" t="str">
        <f>IF(Main[[#This Row],[Tech Start Date]]&lt;1/1/1990,"",IF(Main[[#This Row],[Class]]="C",WORKDAY(Main[[#This Row],[Tech Start Date]],28),IF(Main[[#This Row],[Class]]="B", WORKDAY(Main[[#This Row],[Tech Start Date]],19),IF(Main[[#This Row],[Class]]="A",WORKDAY(Main[[#This Row],[Tech Start Date]],9),""))))</f>
        <v/>
      </c>
      <c r="Q632" s="89"/>
      <c r="R632" s="121"/>
      <c r="S632" s="99" t="s">
        <v>11</v>
      </c>
      <c r="T632" s="76" t="s">
        <v>4</v>
      </c>
      <c r="U632" s="99" t="s">
        <v>12</v>
      </c>
      <c r="V632" s="99" t="s">
        <v>1913</v>
      </c>
      <c r="W632" s="99" t="s">
        <v>1921</v>
      </c>
      <c r="X632" s="99" t="s">
        <v>907</v>
      </c>
      <c r="Y632" s="73" t="s">
        <v>4</v>
      </c>
      <c r="Z632" s="73" t="s">
        <v>4</v>
      </c>
      <c r="AA632" s="99" t="s">
        <v>4</v>
      </c>
    </row>
    <row r="633" spans="1:27" ht="17.25" customHeight="1">
      <c r="A633" s="65" t="str">
        <f>IF(priority(Main[[#This Row],[Comments]])&lt;&gt;0, priority(Main[[#This Row],[Comments]]),"")</f>
        <v/>
      </c>
      <c r="B633" s="60" t="s">
        <v>1450</v>
      </c>
      <c r="C633" s="105" t="s">
        <v>284</v>
      </c>
      <c r="D633" s="74" t="s">
        <v>540</v>
      </c>
      <c r="E633" s="89"/>
      <c r="F633" s="89"/>
      <c r="G633" s="65" t="str">
        <f>IF(stdProdLT(Main[[#This Row],[Comments]])=0.1,"N/A",IF(stdProdLT(Main[[#This Row],[Comments]])=0,"",TRIM(stdProdLT(Main[[#This Row],[Comments]]))))</f>
        <v/>
      </c>
      <c r="H633" s="98" t="str">
        <f>IF(Main[[#This Row],[Std. Prod. Lead Time]]="N/A", "",IF(AND(Main[[#This Row],[In Stock Date]]&lt;&gt;"",Main[[#This Row],[Revised Due Date]]&lt;&gt;"",Main[[#This Row],[In Stock Date]]&lt;&gt;""),Main[[#This Row],[In Stock Date]]-Main[[#This Row],[Revised Due Date]],""))</f>
        <v/>
      </c>
      <c r="I633" s="110" t="s">
        <v>4</v>
      </c>
      <c r="J633" s="99" t="s">
        <v>4</v>
      </c>
      <c r="K633" s="100" t="s">
        <v>4</v>
      </c>
      <c r="L633" s="89"/>
      <c r="M633" s="75" t="str">
        <f>IF(Main[[#This Row],[Tech Start Date]]&lt;1/1/1990,"",IF(Main[[#This Row],[Class]]="C",WORKDAY(Main[[#This Row],[Tech Start Date]],9),IF(Main[[#This Row],[Class]]="B", WORKDAY(Main[[#This Row],[Tech Start Date]],6),IF(Main[[#This Row],[Class]]="A",WORKDAY(Main[[#This Row],[Tech Start Date]],2),""))))</f>
        <v/>
      </c>
      <c r="N633" s="75" t="str">
        <f>IF(Main[[#This Row],[Tech Start Date]]&lt;1/1/1990,"",IF(Main[[#This Row],[Class]]="C",WORKDAY(Main[[#This Row],[Tech Start Date]],19),IF(Main[[#This Row],[Class]]="B", WORKDAY(Main[[#This Row],[Tech Start Date]],12),IF(Main[[#This Row],[Class]]="A",WORKDAY(Main[[#This Row],[Tech Start Date]],4),""))))</f>
        <v/>
      </c>
      <c r="O633" s="75" t="str">
        <f>IF(Main[[#This Row],[Tech Start Date]]&lt;1/1/1990,"",IF(Main[[#This Row],[Class]]="C",WORKDAY(Main[[#This Row],[Tech Start Date]],23),IF(Main[[#This Row],[Class]]="B", WORKDAY(Main[[#This Row],[Tech Start Date]],15),IF(Main[[#This Row],[Class]]="A",WORKDAY(Main[[#This Row],[Tech Start Date]],5),""))))</f>
        <v/>
      </c>
      <c r="P633" s="75" t="str">
        <f>IF(Main[[#This Row],[Tech Start Date]]&lt;1/1/1990,"",IF(Main[[#This Row],[Class]]="C",WORKDAY(Main[[#This Row],[Tech Start Date]],28),IF(Main[[#This Row],[Class]]="B", WORKDAY(Main[[#This Row],[Tech Start Date]],19),IF(Main[[#This Row],[Class]]="A",WORKDAY(Main[[#This Row],[Tech Start Date]],9),""))))</f>
        <v/>
      </c>
      <c r="Q633" s="89">
        <v>40147</v>
      </c>
      <c r="R633" s="121"/>
      <c r="S633" s="99" t="s">
        <v>11</v>
      </c>
      <c r="T633" s="76" t="s">
        <v>4</v>
      </c>
      <c r="U633" s="99" t="s">
        <v>14</v>
      </c>
      <c r="V633" s="99" t="s">
        <v>1923</v>
      </c>
      <c r="W633" s="99" t="s">
        <v>1921</v>
      </c>
      <c r="X633" s="99" t="s">
        <v>2811</v>
      </c>
      <c r="Y633" s="73" t="s">
        <v>4</v>
      </c>
      <c r="Z633" s="73" t="s">
        <v>4</v>
      </c>
      <c r="AA633" s="99" t="s">
        <v>2811</v>
      </c>
    </row>
    <row r="634" spans="1:27" ht="17.25" customHeight="1">
      <c r="A634" s="65" t="str">
        <f>IF(priority(Main[[#This Row],[Comments]])&lt;&gt;0, priority(Main[[#This Row],[Comments]]),"")</f>
        <v/>
      </c>
      <c r="B634" s="60" t="s">
        <v>1451</v>
      </c>
      <c r="C634" s="105" t="s">
        <v>31</v>
      </c>
      <c r="D634" s="74" t="s">
        <v>541</v>
      </c>
      <c r="E634" s="89"/>
      <c r="F634" s="89">
        <v>40512</v>
      </c>
      <c r="G634" s="65" t="str">
        <f>IF(stdProdLT(Main[[#This Row],[Comments]])=0.1,"N/A",IF(stdProdLT(Main[[#This Row],[Comments]])=0,"",TRIM(stdProdLT(Main[[#This Row],[Comments]]))))</f>
        <v/>
      </c>
      <c r="H634" s="98" t="str">
        <f>IF(Main[[#This Row],[Std. Prod. Lead Time]]="N/A", "",IF(AND(Main[[#This Row],[In Stock Date]]&lt;&gt;"",Main[[#This Row],[Revised Due Date]]&lt;&gt;"",Main[[#This Row],[In Stock Date]]&lt;&gt;""),Main[[#This Row],[In Stock Date]]-Main[[#This Row],[Revised Due Date]],""))</f>
        <v/>
      </c>
      <c r="I634" s="110" t="s">
        <v>4</v>
      </c>
      <c r="J634" s="99" t="s">
        <v>4</v>
      </c>
      <c r="K634" s="99" t="s">
        <v>4</v>
      </c>
      <c r="L634" s="89"/>
      <c r="M634" s="75" t="str">
        <f>IF(Main[[#This Row],[Tech Start Date]]&lt;1/1/1990,"",IF(Main[[#This Row],[Class]]="C",WORKDAY(Main[[#This Row],[Tech Start Date]],9),IF(Main[[#This Row],[Class]]="B", WORKDAY(Main[[#This Row],[Tech Start Date]],6),IF(Main[[#This Row],[Class]]="A",WORKDAY(Main[[#This Row],[Tech Start Date]],2),""))))</f>
        <v/>
      </c>
      <c r="N634" s="75" t="str">
        <f>IF(Main[[#This Row],[Tech Start Date]]&lt;1/1/1990,"",IF(Main[[#This Row],[Class]]="C",WORKDAY(Main[[#This Row],[Tech Start Date]],19),IF(Main[[#This Row],[Class]]="B", WORKDAY(Main[[#This Row],[Tech Start Date]],12),IF(Main[[#This Row],[Class]]="A",WORKDAY(Main[[#This Row],[Tech Start Date]],4),""))))</f>
        <v/>
      </c>
      <c r="O634" s="75" t="str">
        <f>IF(Main[[#This Row],[Tech Start Date]]&lt;1/1/1990,"",IF(Main[[#This Row],[Class]]="C",WORKDAY(Main[[#This Row],[Tech Start Date]],23),IF(Main[[#This Row],[Class]]="B", WORKDAY(Main[[#This Row],[Tech Start Date]],15),IF(Main[[#This Row],[Class]]="A",WORKDAY(Main[[#This Row],[Tech Start Date]],5),""))))</f>
        <v/>
      </c>
      <c r="P634" s="75" t="str">
        <f>IF(Main[[#This Row],[Tech Start Date]]&lt;1/1/1990,"",IF(Main[[#This Row],[Class]]="C",WORKDAY(Main[[#This Row],[Tech Start Date]],28),IF(Main[[#This Row],[Class]]="B", WORKDAY(Main[[#This Row],[Tech Start Date]],19),IF(Main[[#This Row],[Class]]="A",WORKDAY(Main[[#This Row],[Tech Start Date]],9),""))))</f>
        <v/>
      </c>
      <c r="Q634" s="89">
        <v>40415</v>
      </c>
      <c r="R634" s="121"/>
      <c r="S634" s="99" t="s">
        <v>11</v>
      </c>
      <c r="T634" s="76" t="s">
        <v>4</v>
      </c>
      <c r="U634" s="99" t="s">
        <v>14</v>
      </c>
      <c r="V634" s="99" t="s">
        <v>1916</v>
      </c>
      <c r="W634" s="99" t="s">
        <v>1919</v>
      </c>
      <c r="X634" s="99" t="s">
        <v>2824</v>
      </c>
      <c r="Y634" s="73" t="s">
        <v>2947</v>
      </c>
      <c r="Z634" s="73" t="s">
        <v>4</v>
      </c>
      <c r="AA634" s="99" t="s">
        <v>2824</v>
      </c>
    </row>
    <row r="635" spans="1:27" ht="17.25" customHeight="1">
      <c r="A635" s="65" t="str">
        <f>IF(priority(Main[[#This Row],[Comments]])&lt;&gt;0, priority(Main[[#This Row],[Comments]]),"")</f>
        <v/>
      </c>
      <c r="B635" s="60" t="s">
        <v>1452</v>
      </c>
      <c r="C635" s="105" t="s">
        <v>542</v>
      </c>
      <c r="D635" s="74" t="s">
        <v>543</v>
      </c>
      <c r="E635" s="89"/>
      <c r="F635" s="89">
        <v>40179</v>
      </c>
      <c r="G635" s="65" t="str">
        <f>IF(stdProdLT(Main[[#This Row],[Comments]])=0.1,"N/A",IF(stdProdLT(Main[[#This Row],[Comments]])=0,"",TRIM(stdProdLT(Main[[#This Row],[Comments]]))))</f>
        <v/>
      </c>
      <c r="H635" s="98" t="str">
        <f>IF(Main[[#This Row],[Std. Prod. Lead Time]]="N/A", "",IF(AND(Main[[#This Row],[In Stock Date]]&lt;&gt;"",Main[[#This Row],[Revised Due Date]]&lt;&gt;"",Main[[#This Row],[In Stock Date]]&lt;&gt;""),Main[[#This Row],[In Stock Date]]-Main[[#This Row],[Revised Due Date]],""))</f>
        <v/>
      </c>
      <c r="I635" s="110" t="s">
        <v>4</v>
      </c>
      <c r="J635" s="99" t="s">
        <v>4</v>
      </c>
      <c r="K635" s="100" t="s">
        <v>4</v>
      </c>
      <c r="L635" s="89"/>
      <c r="M635" s="75" t="str">
        <f>IF(Main[[#This Row],[Tech Start Date]]&lt;1/1/1990,"",IF(Main[[#This Row],[Class]]="C",WORKDAY(Main[[#This Row],[Tech Start Date]],9),IF(Main[[#This Row],[Class]]="B", WORKDAY(Main[[#This Row],[Tech Start Date]],6),IF(Main[[#This Row],[Class]]="A",WORKDAY(Main[[#This Row],[Tech Start Date]],2),""))))</f>
        <v/>
      </c>
      <c r="N635" s="75" t="str">
        <f>IF(Main[[#This Row],[Tech Start Date]]&lt;1/1/1990,"",IF(Main[[#This Row],[Class]]="C",WORKDAY(Main[[#This Row],[Tech Start Date]],19),IF(Main[[#This Row],[Class]]="B", WORKDAY(Main[[#This Row],[Tech Start Date]],12),IF(Main[[#This Row],[Class]]="A",WORKDAY(Main[[#This Row],[Tech Start Date]],4),""))))</f>
        <v/>
      </c>
      <c r="O635" s="75" t="str">
        <f>IF(Main[[#This Row],[Tech Start Date]]&lt;1/1/1990,"",IF(Main[[#This Row],[Class]]="C",WORKDAY(Main[[#This Row],[Tech Start Date]],23),IF(Main[[#This Row],[Class]]="B", WORKDAY(Main[[#This Row],[Tech Start Date]],15),IF(Main[[#This Row],[Class]]="A",WORKDAY(Main[[#This Row],[Tech Start Date]],5),""))))</f>
        <v/>
      </c>
      <c r="P635" s="75" t="str">
        <f>IF(Main[[#This Row],[Tech Start Date]]&lt;1/1/1990,"",IF(Main[[#This Row],[Class]]="C",WORKDAY(Main[[#This Row],[Tech Start Date]],28),IF(Main[[#This Row],[Class]]="B", WORKDAY(Main[[#This Row],[Tech Start Date]],19),IF(Main[[#This Row],[Class]]="A",WORKDAY(Main[[#This Row],[Tech Start Date]],9),""))))</f>
        <v/>
      </c>
      <c r="Q635" s="89">
        <v>40179</v>
      </c>
      <c r="R635" s="121"/>
      <c r="S635" s="99" t="s">
        <v>11</v>
      </c>
      <c r="T635" s="76" t="s">
        <v>4</v>
      </c>
      <c r="U635" s="99" t="s">
        <v>14</v>
      </c>
      <c r="V635" s="99" t="s">
        <v>1913</v>
      </c>
      <c r="W635" s="99" t="s">
        <v>1921</v>
      </c>
      <c r="X635" s="99" t="s">
        <v>2844</v>
      </c>
      <c r="Y635" s="73" t="s">
        <v>4</v>
      </c>
      <c r="Z635" s="73" t="s">
        <v>4</v>
      </c>
      <c r="AA635" s="99" t="s">
        <v>2844</v>
      </c>
    </row>
    <row r="636" spans="1:27" ht="17.25" customHeight="1">
      <c r="A636" s="65" t="str">
        <f>IF(priority(Main[[#This Row],[Comments]])&lt;&gt;0, priority(Main[[#This Row],[Comments]]),"")</f>
        <v/>
      </c>
      <c r="B636" s="60" t="s">
        <v>1453</v>
      </c>
      <c r="C636" s="105" t="s">
        <v>4</v>
      </c>
      <c r="D636" s="74" t="s">
        <v>544</v>
      </c>
      <c r="E636" s="89">
        <v>40675.613807870373</v>
      </c>
      <c r="F636" s="89"/>
      <c r="G636" s="65" t="str">
        <f>IF(stdProdLT(Main[[#This Row],[Comments]])=0.1,"N/A",IF(stdProdLT(Main[[#This Row],[Comments]])=0,"",TRIM(stdProdLT(Main[[#This Row],[Comments]]))))</f>
        <v/>
      </c>
      <c r="H636" s="98" t="str">
        <f>IF(Main[[#This Row],[Std. Prod. Lead Time]]="N/A", "",IF(AND(Main[[#This Row],[In Stock Date]]&lt;&gt;"",Main[[#This Row],[Revised Due Date]]&lt;&gt;"",Main[[#This Row],[In Stock Date]]&lt;&gt;""),Main[[#This Row],[In Stock Date]]-Main[[#This Row],[Revised Due Date]],""))</f>
        <v/>
      </c>
      <c r="I636" s="110" t="s">
        <v>4</v>
      </c>
      <c r="J636" s="99" t="s">
        <v>4</v>
      </c>
      <c r="K636" s="99" t="s">
        <v>4</v>
      </c>
      <c r="L636" s="89"/>
      <c r="M636" s="75" t="str">
        <f>IF(Main[[#This Row],[Tech Start Date]]&lt;1/1/1990,"",IF(Main[[#This Row],[Class]]="C",WORKDAY(Main[[#This Row],[Tech Start Date]],9),IF(Main[[#This Row],[Class]]="B", WORKDAY(Main[[#This Row],[Tech Start Date]],6),IF(Main[[#This Row],[Class]]="A",WORKDAY(Main[[#This Row],[Tech Start Date]],2),""))))</f>
        <v/>
      </c>
      <c r="N636" s="75" t="str">
        <f>IF(Main[[#This Row],[Tech Start Date]]&lt;1/1/1990,"",IF(Main[[#This Row],[Class]]="C",WORKDAY(Main[[#This Row],[Tech Start Date]],19),IF(Main[[#This Row],[Class]]="B", WORKDAY(Main[[#This Row],[Tech Start Date]],12),IF(Main[[#This Row],[Class]]="A",WORKDAY(Main[[#This Row],[Tech Start Date]],4),""))))</f>
        <v/>
      </c>
      <c r="O636" s="75" t="str">
        <f>IF(Main[[#This Row],[Tech Start Date]]&lt;1/1/1990,"",IF(Main[[#This Row],[Class]]="C",WORKDAY(Main[[#This Row],[Tech Start Date]],23),IF(Main[[#This Row],[Class]]="B", WORKDAY(Main[[#This Row],[Tech Start Date]],15),IF(Main[[#This Row],[Class]]="A",WORKDAY(Main[[#This Row],[Tech Start Date]],5),""))))</f>
        <v/>
      </c>
      <c r="P636" s="75" t="str">
        <f>IF(Main[[#This Row],[Tech Start Date]]&lt;1/1/1990,"",IF(Main[[#This Row],[Class]]="C",WORKDAY(Main[[#This Row],[Tech Start Date]],28),IF(Main[[#This Row],[Class]]="B", WORKDAY(Main[[#This Row],[Tech Start Date]],19),IF(Main[[#This Row],[Class]]="A",WORKDAY(Main[[#This Row],[Tech Start Date]],9),""))))</f>
        <v/>
      </c>
      <c r="Q636" s="89">
        <v>40676</v>
      </c>
      <c r="R636" s="121"/>
      <c r="S636" s="99" t="s">
        <v>6</v>
      </c>
      <c r="T636" s="76" t="s">
        <v>4</v>
      </c>
      <c r="U636" s="99" t="s">
        <v>7</v>
      </c>
      <c r="V636" s="99" t="s">
        <v>1913</v>
      </c>
      <c r="W636" s="99" t="s">
        <v>1917</v>
      </c>
      <c r="X636" s="99" t="s">
        <v>126</v>
      </c>
      <c r="Y636" s="73" t="s">
        <v>3027</v>
      </c>
      <c r="Z636" s="73" t="s">
        <v>4</v>
      </c>
      <c r="AA636" s="99" t="s">
        <v>126</v>
      </c>
    </row>
    <row r="637" spans="1:27" ht="17.25" customHeight="1">
      <c r="A637" s="65" t="str">
        <f>IF(priority(Main[[#This Row],[Comments]])&lt;&gt;0, priority(Main[[#This Row],[Comments]]),"")</f>
        <v/>
      </c>
      <c r="B637" s="60" t="s">
        <v>1454</v>
      </c>
      <c r="C637" s="105" t="s">
        <v>4</v>
      </c>
      <c r="D637" s="74" t="s">
        <v>545</v>
      </c>
      <c r="E637" s="89">
        <v>40519.5781712963</v>
      </c>
      <c r="F637" s="89"/>
      <c r="G637" s="65" t="str">
        <f>IF(stdProdLT(Main[[#This Row],[Comments]])=0.1,"N/A",IF(stdProdLT(Main[[#This Row],[Comments]])=0,"",TRIM(stdProdLT(Main[[#This Row],[Comments]]))))</f>
        <v/>
      </c>
      <c r="H637" s="98" t="str">
        <f>IF(Main[[#This Row],[Std. Prod. Lead Time]]="N/A", "",IF(AND(Main[[#This Row],[In Stock Date]]&lt;&gt;"",Main[[#This Row],[Revised Due Date]]&lt;&gt;"",Main[[#This Row],[In Stock Date]]&lt;&gt;""),Main[[#This Row],[In Stock Date]]-Main[[#This Row],[Revised Due Date]],""))</f>
        <v/>
      </c>
      <c r="I637" s="110" t="s">
        <v>4</v>
      </c>
      <c r="J637" s="99" t="s">
        <v>28</v>
      </c>
      <c r="K637" s="99" t="s">
        <v>4</v>
      </c>
      <c r="L637" s="89"/>
      <c r="M637" s="75" t="str">
        <f>IF(Main[[#This Row],[Tech Start Date]]&lt;1/1/1990,"",IF(Main[[#This Row],[Class]]="C",WORKDAY(Main[[#This Row],[Tech Start Date]],9),IF(Main[[#This Row],[Class]]="B", WORKDAY(Main[[#This Row],[Tech Start Date]],6),IF(Main[[#This Row],[Class]]="A",WORKDAY(Main[[#This Row],[Tech Start Date]],2),""))))</f>
        <v/>
      </c>
      <c r="N637" s="75" t="str">
        <f>IF(Main[[#This Row],[Tech Start Date]]&lt;1/1/1990,"",IF(Main[[#This Row],[Class]]="C",WORKDAY(Main[[#This Row],[Tech Start Date]],19),IF(Main[[#This Row],[Class]]="B", WORKDAY(Main[[#This Row],[Tech Start Date]],12),IF(Main[[#This Row],[Class]]="A",WORKDAY(Main[[#This Row],[Tech Start Date]],4),""))))</f>
        <v/>
      </c>
      <c r="O637" s="75" t="str">
        <f>IF(Main[[#This Row],[Tech Start Date]]&lt;1/1/1990,"",IF(Main[[#This Row],[Class]]="C",WORKDAY(Main[[#This Row],[Tech Start Date]],23),IF(Main[[#This Row],[Class]]="B", WORKDAY(Main[[#This Row],[Tech Start Date]],15),IF(Main[[#This Row],[Class]]="A",WORKDAY(Main[[#This Row],[Tech Start Date]],5),""))))</f>
        <v/>
      </c>
      <c r="P637" s="75" t="str">
        <f>IF(Main[[#This Row],[Tech Start Date]]&lt;1/1/1990,"",IF(Main[[#This Row],[Class]]="C",WORKDAY(Main[[#This Row],[Tech Start Date]],28),IF(Main[[#This Row],[Class]]="B", WORKDAY(Main[[#This Row],[Tech Start Date]],19),IF(Main[[#This Row],[Class]]="A",WORKDAY(Main[[#This Row],[Tech Start Date]],9),""))))</f>
        <v/>
      </c>
      <c r="Q637" s="89"/>
      <c r="R637" s="121"/>
      <c r="S637" s="99" t="s">
        <v>6</v>
      </c>
      <c r="T637" s="76" t="s">
        <v>4</v>
      </c>
      <c r="U637" s="99" t="s">
        <v>7</v>
      </c>
      <c r="V637" s="99" t="s">
        <v>1913</v>
      </c>
      <c r="W637" s="99" t="s">
        <v>1915</v>
      </c>
      <c r="X637" s="99" t="s">
        <v>2813</v>
      </c>
      <c r="Y637" s="73" t="s">
        <v>2926</v>
      </c>
      <c r="Z637" s="73" t="s">
        <v>129</v>
      </c>
      <c r="AA637" s="99" t="s">
        <v>2813</v>
      </c>
    </row>
    <row r="638" spans="1:27" ht="17.25" customHeight="1">
      <c r="A638" s="65" t="str">
        <f>IF(priority(Main[[#This Row],[Comments]])&lt;&gt;0, priority(Main[[#This Row],[Comments]]),"")</f>
        <v/>
      </c>
      <c r="B638" s="60" t="s">
        <v>1455</v>
      </c>
      <c r="C638" s="105" t="s">
        <v>546</v>
      </c>
      <c r="D638" s="74" t="s">
        <v>547</v>
      </c>
      <c r="E638" s="89"/>
      <c r="F638" s="89">
        <v>40549</v>
      </c>
      <c r="G638" s="65" t="str">
        <f>IF(stdProdLT(Main[[#This Row],[Comments]])=0.1,"N/A",IF(stdProdLT(Main[[#This Row],[Comments]])=0,"",TRIM(stdProdLT(Main[[#This Row],[Comments]]))))</f>
        <v/>
      </c>
      <c r="H638" s="98" t="str">
        <f>IF(Main[[#This Row],[Std. Prod. Lead Time]]="N/A", "",IF(AND(Main[[#This Row],[In Stock Date]]&lt;&gt;"",Main[[#This Row],[Revised Due Date]]&lt;&gt;"",Main[[#This Row],[In Stock Date]]&lt;&gt;""),Main[[#This Row],[In Stock Date]]-Main[[#This Row],[Revised Due Date]],""))</f>
        <v/>
      </c>
      <c r="I638" s="110" t="s">
        <v>4</v>
      </c>
      <c r="J638" s="99" t="s">
        <v>4</v>
      </c>
      <c r="K638" s="100" t="s">
        <v>4</v>
      </c>
      <c r="L638" s="89"/>
      <c r="M638" s="75" t="str">
        <f>IF(Main[[#This Row],[Tech Start Date]]&lt;1/1/1990,"",IF(Main[[#This Row],[Class]]="C",WORKDAY(Main[[#This Row],[Tech Start Date]],9),IF(Main[[#This Row],[Class]]="B", WORKDAY(Main[[#This Row],[Tech Start Date]],6),IF(Main[[#This Row],[Class]]="A",WORKDAY(Main[[#This Row],[Tech Start Date]],2),""))))</f>
        <v/>
      </c>
      <c r="N638" s="75" t="str">
        <f>IF(Main[[#This Row],[Tech Start Date]]&lt;1/1/1990,"",IF(Main[[#This Row],[Class]]="C",WORKDAY(Main[[#This Row],[Tech Start Date]],19),IF(Main[[#This Row],[Class]]="B", WORKDAY(Main[[#This Row],[Tech Start Date]],12),IF(Main[[#This Row],[Class]]="A",WORKDAY(Main[[#This Row],[Tech Start Date]],4),""))))</f>
        <v/>
      </c>
      <c r="O638" s="75" t="str">
        <f>IF(Main[[#This Row],[Tech Start Date]]&lt;1/1/1990,"",IF(Main[[#This Row],[Class]]="C",WORKDAY(Main[[#This Row],[Tech Start Date]],23),IF(Main[[#This Row],[Class]]="B", WORKDAY(Main[[#This Row],[Tech Start Date]],15),IF(Main[[#This Row],[Class]]="A",WORKDAY(Main[[#This Row],[Tech Start Date]],5),""))))</f>
        <v/>
      </c>
      <c r="P638" s="75" t="str">
        <f>IF(Main[[#This Row],[Tech Start Date]]&lt;1/1/1990,"",IF(Main[[#This Row],[Class]]="C",WORKDAY(Main[[#This Row],[Tech Start Date]],28),IF(Main[[#This Row],[Class]]="B", WORKDAY(Main[[#This Row],[Tech Start Date]],19),IF(Main[[#This Row],[Class]]="A",WORKDAY(Main[[#This Row],[Tech Start Date]],9),""))))</f>
        <v/>
      </c>
      <c r="Q638" s="89">
        <v>40464</v>
      </c>
      <c r="R638" s="121"/>
      <c r="S638" s="99" t="s">
        <v>11</v>
      </c>
      <c r="T638" s="76" t="s">
        <v>4</v>
      </c>
      <c r="U638" s="99" t="s">
        <v>14</v>
      </c>
      <c r="V638" s="99" t="s">
        <v>1916</v>
      </c>
      <c r="W638" s="99" t="s">
        <v>1919</v>
      </c>
      <c r="X638" s="99" t="s">
        <v>2824</v>
      </c>
      <c r="Y638" s="73" t="s">
        <v>2947</v>
      </c>
      <c r="Z638" s="73" t="s">
        <v>4</v>
      </c>
      <c r="AA638" s="99" t="s">
        <v>2824</v>
      </c>
    </row>
    <row r="639" spans="1:27" ht="17.25" customHeight="1">
      <c r="A639" s="65" t="str">
        <f>IF(priority(Main[[#This Row],[Comments]])&lt;&gt;0, priority(Main[[#This Row],[Comments]]),"")</f>
        <v/>
      </c>
      <c r="B639" s="60" t="s">
        <v>1467</v>
      </c>
      <c r="C639" s="105" t="s">
        <v>72</v>
      </c>
      <c r="D639" s="74" t="s">
        <v>548</v>
      </c>
      <c r="E639" s="89"/>
      <c r="F639" s="89">
        <v>40030</v>
      </c>
      <c r="G639" s="65" t="str">
        <f>IF(stdProdLT(Main[[#This Row],[Comments]])=0.1,"N/A",IF(stdProdLT(Main[[#This Row],[Comments]])=0,"",TRIM(stdProdLT(Main[[#This Row],[Comments]]))))</f>
        <v/>
      </c>
      <c r="H639" s="98" t="str">
        <f>IF(Main[[#This Row],[Std. Prod. Lead Time]]="N/A", "",IF(AND(Main[[#This Row],[In Stock Date]]&lt;&gt;"",Main[[#This Row],[Revised Due Date]]&lt;&gt;"",Main[[#This Row],[In Stock Date]]&lt;&gt;""),Main[[#This Row],[In Stock Date]]-Main[[#This Row],[Revised Due Date]],""))</f>
        <v/>
      </c>
      <c r="I639" s="110" t="s">
        <v>4</v>
      </c>
      <c r="J639" s="99" t="s">
        <v>4</v>
      </c>
      <c r="K639" s="99" t="s">
        <v>4</v>
      </c>
      <c r="L639" s="89"/>
      <c r="M639" s="75" t="str">
        <f>IF(Main[[#This Row],[Tech Start Date]]&lt;1/1/1990,"",IF(Main[[#This Row],[Class]]="C",WORKDAY(Main[[#This Row],[Tech Start Date]],9),IF(Main[[#This Row],[Class]]="B", WORKDAY(Main[[#This Row],[Tech Start Date]],6),IF(Main[[#This Row],[Class]]="A",WORKDAY(Main[[#This Row],[Tech Start Date]],2),""))))</f>
        <v/>
      </c>
      <c r="N639" s="75" t="str">
        <f>IF(Main[[#This Row],[Tech Start Date]]&lt;1/1/1990,"",IF(Main[[#This Row],[Class]]="C",WORKDAY(Main[[#This Row],[Tech Start Date]],19),IF(Main[[#This Row],[Class]]="B", WORKDAY(Main[[#This Row],[Tech Start Date]],12),IF(Main[[#This Row],[Class]]="A",WORKDAY(Main[[#This Row],[Tech Start Date]],4),""))))</f>
        <v/>
      </c>
      <c r="O639" s="75" t="str">
        <f>IF(Main[[#This Row],[Tech Start Date]]&lt;1/1/1990,"",IF(Main[[#This Row],[Class]]="C",WORKDAY(Main[[#This Row],[Tech Start Date]],23),IF(Main[[#This Row],[Class]]="B", WORKDAY(Main[[#This Row],[Tech Start Date]],15),IF(Main[[#This Row],[Class]]="A",WORKDAY(Main[[#This Row],[Tech Start Date]],5),""))))</f>
        <v/>
      </c>
      <c r="P639" s="75" t="str">
        <f>IF(Main[[#This Row],[Tech Start Date]]&lt;1/1/1990,"",IF(Main[[#This Row],[Class]]="C",WORKDAY(Main[[#This Row],[Tech Start Date]],28),IF(Main[[#This Row],[Class]]="B", WORKDAY(Main[[#This Row],[Tech Start Date]],19),IF(Main[[#This Row],[Class]]="A",WORKDAY(Main[[#This Row],[Tech Start Date]],9),""))))</f>
        <v/>
      </c>
      <c r="Q639" s="89">
        <v>39959</v>
      </c>
      <c r="R639" s="121"/>
      <c r="S639" s="99" t="s">
        <v>11</v>
      </c>
      <c r="T639" s="76" t="s">
        <v>4</v>
      </c>
      <c r="U639" s="99" t="s">
        <v>14</v>
      </c>
      <c r="V639" s="99" t="s">
        <v>1923</v>
      </c>
      <c r="W639" s="99" t="s">
        <v>4</v>
      </c>
      <c r="X639" s="99" t="s">
        <v>2818</v>
      </c>
      <c r="Y639" s="73" t="s">
        <v>2937</v>
      </c>
      <c r="Z639" s="73" t="s">
        <v>4</v>
      </c>
      <c r="AA639" s="99" t="s">
        <v>2818</v>
      </c>
    </row>
    <row r="640" spans="1:27" ht="17.25" customHeight="1">
      <c r="A640" s="65" t="str">
        <f>IF(priority(Main[[#This Row],[Comments]])&lt;&gt;0, priority(Main[[#This Row],[Comments]]),"")</f>
        <v/>
      </c>
      <c r="B640" s="60" t="s">
        <v>1469</v>
      </c>
      <c r="C640" s="105" t="s">
        <v>4</v>
      </c>
      <c r="D640" s="74" t="s">
        <v>549</v>
      </c>
      <c r="E640" s="89"/>
      <c r="F640" s="89"/>
      <c r="G640" s="65" t="str">
        <f>IF(stdProdLT(Main[[#This Row],[Comments]])=0.1,"N/A",IF(stdProdLT(Main[[#This Row],[Comments]])=0,"",TRIM(stdProdLT(Main[[#This Row],[Comments]]))))</f>
        <v/>
      </c>
      <c r="H640" s="98" t="str">
        <f>IF(Main[[#This Row],[Std. Prod. Lead Time]]="N/A", "",IF(AND(Main[[#This Row],[In Stock Date]]&lt;&gt;"",Main[[#This Row],[Revised Due Date]]&lt;&gt;"",Main[[#This Row],[In Stock Date]]&lt;&gt;""),Main[[#This Row],[In Stock Date]]-Main[[#This Row],[Revised Due Date]],""))</f>
        <v/>
      </c>
      <c r="I640" s="110" t="s">
        <v>4</v>
      </c>
      <c r="J640" s="99" t="s">
        <v>4</v>
      </c>
      <c r="K640" s="99" t="s">
        <v>4</v>
      </c>
      <c r="L640" s="89"/>
      <c r="M640" s="75" t="str">
        <f>IF(Main[[#This Row],[Tech Start Date]]&lt;1/1/1990,"",IF(Main[[#This Row],[Class]]="C",WORKDAY(Main[[#This Row],[Tech Start Date]],9),IF(Main[[#This Row],[Class]]="B", WORKDAY(Main[[#This Row],[Tech Start Date]],6),IF(Main[[#This Row],[Class]]="A",WORKDAY(Main[[#This Row],[Tech Start Date]],2),""))))</f>
        <v/>
      </c>
      <c r="N640" s="75" t="str">
        <f>IF(Main[[#This Row],[Tech Start Date]]&lt;1/1/1990,"",IF(Main[[#This Row],[Class]]="C",WORKDAY(Main[[#This Row],[Tech Start Date]],19),IF(Main[[#This Row],[Class]]="B", WORKDAY(Main[[#This Row],[Tech Start Date]],12),IF(Main[[#This Row],[Class]]="A",WORKDAY(Main[[#This Row],[Tech Start Date]],4),""))))</f>
        <v/>
      </c>
      <c r="O640" s="75" t="str">
        <f>IF(Main[[#This Row],[Tech Start Date]]&lt;1/1/1990,"",IF(Main[[#This Row],[Class]]="C",WORKDAY(Main[[#This Row],[Tech Start Date]],23),IF(Main[[#This Row],[Class]]="B", WORKDAY(Main[[#This Row],[Tech Start Date]],15),IF(Main[[#This Row],[Class]]="A",WORKDAY(Main[[#This Row],[Tech Start Date]],5),""))))</f>
        <v/>
      </c>
      <c r="P640" s="75" t="str">
        <f>IF(Main[[#This Row],[Tech Start Date]]&lt;1/1/1990,"",IF(Main[[#This Row],[Class]]="C",WORKDAY(Main[[#This Row],[Tech Start Date]],28),IF(Main[[#This Row],[Class]]="B", WORKDAY(Main[[#This Row],[Tech Start Date]],19),IF(Main[[#This Row],[Class]]="A",WORKDAY(Main[[#This Row],[Tech Start Date]],9),""))))</f>
        <v/>
      </c>
      <c r="Q640" s="89"/>
      <c r="R640" s="121"/>
      <c r="S640" s="99" t="s">
        <v>6</v>
      </c>
      <c r="T640" s="76" t="s">
        <v>4</v>
      </c>
      <c r="U640" s="99" t="s">
        <v>14</v>
      </c>
      <c r="V640" s="99" t="s">
        <v>1916</v>
      </c>
      <c r="W640" s="99" t="s">
        <v>4</v>
      </c>
      <c r="X640" s="99" t="s">
        <v>2881</v>
      </c>
      <c r="Y640" s="73" t="s">
        <v>3037</v>
      </c>
      <c r="Z640" s="73" t="s">
        <v>4</v>
      </c>
      <c r="AA640" s="99" t="s">
        <v>2881</v>
      </c>
    </row>
    <row r="641" spans="1:27" ht="17.25" customHeight="1">
      <c r="A641" s="65" t="str">
        <f>IF(priority(Main[[#This Row],[Comments]])&lt;&gt;0, priority(Main[[#This Row],[Comments]]),"")</f>
        <v/>
      </c>
      <c r="B641" s="60" t="s">
        <v>1470</v>
      </c>
      <c r="C641" s="105" t="s">
        <v>33</v>
      </c>
      <c r="D641" s="74" t="s">
        <v>550</v>
      </c>
      <c r="E641" s="89"/>
      <c r="F641" s="89"/>
      <c r="G641" s="65" t="str">
        <f>IF(stdProdLT(Main[[#This Row],[Comments]])=0.1,"N/A",IF(stdProdLT(Main[[#This Row],[Comments]])=0,"",TRIM(stdProdLT(Main[[#This Row],[Comments]]))))</f>
        <v/>
      </c>
      <c r="H641" s="98" t="str">
        <f>IF(Main[[#This Row],[Std. Prod. Lead Time]]="N/A", "",IF(AND(Main[[#This Row],[In Stock Date]]&lt;&gt;"",Main[[#This Row],[Revised Due Date]]&lt;&gt;"",Main[[#This Row],[In Stock Date]]&lt;&gt;""),Main[[#This Row],[In Stock Date]]-Main[[#This Row],[Revised Due Date]],""))</f>
        <v/>
      </c>
      <c r="I641" s="110" t="s">
        <v>4</v>
      </c>
      <c r="J641" s="99" t="s">
        <v>4</v>
      </c>
      <c r="K641" s="99" t="s">
        <v>4</v>
      </c>
      <c r="L641" s="89"/>
      <c r="M641" s="75" t="str">
        <f>IF(Main[[#This Row],[Tech Start Date]]&lt;1/1/1990,"",IF(Main[[#This Row],[Class]]="C",WORKDAY(Main[[#This Row],[Tech Start Date]],9),IF(Main[[#This Row],[Class]]="B", WORKDAY(Main[[#This Row],[Tech Start Date]],6),IF(Main[[#This Row],[Class]]="A",WORKDAY(Main[[#This Row],[Tech Start Date]],2),""))))</f>
        <v/>
      </c>
      <c r="N641" s="75" t="str">
        <f>IF(Main[[#This Row],[Tech Start Date]]&lt;1/1/1990,"",IF(Main[[#This Row],[Class]]="C",WORKDAY(Main[[#This Row],[Tech Start Date]],19),IF(Main[[#This Row],[Class]]="B", WORKDAY(Main[[#This Row],[Tech Start Date]],12),IF(Main[[#This Row],[Class]]="A",WORKDAY(Main[[#This Row],[Tech Start Date]],4),""))))</f>
        <v/>
      </c>
      <c r="O641" s="75" t="str">
        <f>IF(Main[[#This Row],[Tech Start Date]]&lt;1/1/1990,"",IF(Main[[#This Row],[Class]]="C",WORKDAY(Main[[#This Row],[Tech Start Date]],23),IF(Main[[#This Row],[Class]]="B", WORKDAY(Main[[#This Row],[Tech Start Date]],15),IF(Main[[#This Row],[Class]]="A",WORKDAY(Main[[#This Row],[Tech Start Date]],5),""))))</f>
        <v/>
      </c>
      <c r="P641" s="75" t="str">
        <f>IF(Main[[#This Row],[Tech Start Date]]&lt;1/1/1990,"",IF(Main[[#This Row],[Class]]="C",WORKDAY(Main[[#This Row],[Tech Start Date]],28),IF(Main[[#This Row],[Class]]="B", WORKDAY(Main[[#This Row],[Tech Start Date]],19),IF(Main[[#This Row],[Class]]="A",WORKDAY(Main[[#This Row],[Tech Start Date]],9),""))))</f>
        <v/>
      </c>
      <c r="Q641" s="89">
        <v>40004</v>
      </c>
      <c r="R641" s="121"/>
      <c r="S641" s="99" t="s">
        <v>11</v>
      </c>
      <c r="T641" s="76" t="s">
        <v>4</v>
      </c>
      <c r="U641" s="99" t="s">
        <v>14</v>
      </c>
      <c r="V641" s="99" t="s">
        <v>1913</v>
      </c>
      <c r="W641" s="99" t="s">
        <v>1921</v>
      </c>
      <c r="X641" s="99" t="s">
        <v>2847</v>
      </c>
      <c r="Y641" s="73" t="s">
        <v>2985</v>
      </c>
      <c r="Z641" s="73" t="s">
        <v>4</v>
      </c>
      <c r="AA641" s="99" t="s">
        <v>2847</v>
      </c>
    </row>
    <row r="642" spans="1:27" ht="17.25" customHeight="1">
      <c r="A642" s="65" t="str">
        <f>IF(priority(Main[[#This Row],[Comments]])&lt;&gt;0, priority(Main[[#This Row],[Comments]]),"")</f>
        <v/>
      </c>
      <c r="B642" s="60" t="s">
        <v>1471</v>
      </c>
      <c r="C642" s="105" t="s">
        <v>551</v>
      </c>
      <c r="D642" s="74" t="s">
        <v>552</v>
      </c>
      <c r="E642" s="89"/>
      <c r="F642" s="89"/>
      <c r="G642" s="65" t="str">
        <f>IF(stdProdLT(Main[[#This Row],[Comments]])=0.1,"N/A",IF(stdProdLT(Main[[#This Row],[Comments]])=0,"",TRIM(stdProdLT(Main[[#This Row],[Comments]]))))</f>
        <v/>
      </c>
      <c r="H642" s="98" t="str">
        <f>IF(Main[[#This Row],[Std. Prod. Lead Time]]="N/A", "",IF(AND(Main[[#This Row],[In Stock Date]]&lt;&gt;"",Main[[#This Row],[Revised Due Date]]&lt;&gt;"",Main[[#This Row],[In Stock Date]]&lt;&gt;""),Main[[#This Row],[In Stock Date]]-Main[[#This Row],[Revised Due Date]],""))</f>
        <v/>
      </c>
      <c r="I642" s="110" t="s">
        <v>553</v>
      </c>
      <c r="J642" s="99" t="s">
        <v>28</v>
      </c>
      <c r="K642" s="99" t="s">
        <v>4</v>
      </c>
      <c r="L642" s="89"/>
      <c r="M642" s="75" t="str">
        <f>IF(Main[[#This Row],[Tech Start Date]]&lt;1/1/1990,"",IF(Main[[#This Row],[Class]]="C",WORKDAY(Main[[#This Row],[Tech Start Date]],9),IF(Main[[#This Row],[Class]]="B", WORKDAY(Main[[#This Row],[Tech Start Date]],6),IF(Main[[#This Row],[Class]]="A",WORKDAY(Main[[#This Row],[Tech Start Date]],2),""))))</f>
        <v/>
      </c>
      <c r="N642" s="75" t="str">
        <f>IF(Main[[#This Row],[Tech Start Date]]&lt;1/1/1990,"",IF(Main[[#This Row],[Class]]="C",WORKDAY(Main[[#This Row],[Tech Start Date]],19),IF(Main[[#This Row],[Class]]="B", WORKDAY(Main[[#This Row],[Tech Start Date]],12),IF(Main[[#This Row],[Class]]="A",WORKDAY(Main[[#This Row],[Tech Start Date]],4),""))))</f>
        <v/>
      </c>
      <c r="O642" s="75" t="str">
        <f>IF(Main[[#This Row],[Tech Start Date]]&lt;1/1/1990,"",IF(Main[[#This Row],[Class]]="C",WORKDAY(Main[[#This Row],[Tech Start Date]],23),IF(Main[[#This Row],[Class]]="B", WORKDAY(Main[[#This Row],[Tech Start Date]],15),IF(Main[[#This Row],[Class]]="A",WORKDAY(Main[[#This Row],[Tech Start Date]],5),""))))</f>
        <v/>
      </c>
      <c r="P642" s="75" t="str">
        <f>IF(Main[[#This Row],[Tech Start Date]]&lt;1/1/1990,"",IF(Main[[#This Row],[Class]]="C",WORKDAY(Main[[#This Row],[Tech Start Date]],28),IF(Main[[#This Row],[Class]]="B", WORKDAY(Main[[#This Row],[Tech Start Date]],19),IF(Main[[#This Row],[Class]]="A",WORKDAY(Main[[#This Row],[Tech Start Date]],9),""))))</f>
        <v/>
      </c>
      <c r="Q642" s="89">
        <v>40401</v>
      </c>
      <c r="R642" s="121"/>
      <c r="S642" s="99" t="s">
        <v>11</v>
      </c>
      <c r="T642" s="76" t="s">
        <v>4</v>
      </c>
      <c r="U642" s="99" t="s">
        <v>14</v>
      </c>
      <c r="V642" s="99" t="s">
        <v>1923</v>
      </c>
      <c r="W642" s="99" t="s">
        <v>1915</v>
      </c>
      <c r="X642" s="99" t="s">
        <v>2848</v>
      </c>
      <c r="Y642" s="73" t="s">
        <v>3048</v>
      </c>
      <c r="Z642" s="73" t="s">
        <v>530</v>
      </c>
      <c r="AA642" s="99" t="s">
        <v>2848</v>
      </c>
    </row>
    <row r="643" spans="1:27" ht="17.25" customHeight="1">
      <c r="A643" s="65" t="str">
        <f>IF(priority(Main[[#This Row],[Comments]])&lt;&gt;0, priority(Main[[#This Row],[Comments]]),"")</f>
        <v/>
      </c>
      <c r="B643" s="60" t="s">
        <v>1472</v>
      </c>
      <c r="C643" s="105" t="s">
        <v>4</v>
      </c>
      <c r="D643" s="74" t="s">
        <v>554</v>
      </c>
      <c r="E643" s="89"/>
      <c r="F643" s="89"/>
      <c r="G643" s="65" t="str">
        <f>IF(stdProdLT(Main[[#This Row],[Comments]])=0.1,"N/A",IF(stdProdLT(Main[[#This Row],[Comments]])=0,"",TRIM(stdProdLT(Main[[#This Row],[Comments]]))))</f>
        <v/>
      </c>
      <c r="H643" s="98" t="str">
        <f>IF(Main[[#This Row],[Std. Prod. Lead Time]]="N/A", "",IF(AND(Main[[#This Row],[In Stock Date]]&lt;&gt;"",Main[[#This Row],[Revised Due Date]]&lt;&gt;"",Main[[#This Row],[In Stock Date]]&lt;&gt;""),Main[[#This Row],[In Stock Date]]-Main[[#This Row],[Revised Due Date]],""))</f>
        <v/>
      </c>
      <c r="I643" s="110" t="s">
        <v>4</v>
      </c>
      <c r="J643" s="99" t="s">
        <v>4</v>
      </c>
      <c r="K643" s="99" t="s">
        <v>4</v>
      </c>
      <c r="L643" s="89"/>
      <c r="M643" s="75" t="str">
        <f>IF(Main[[#This Row],[Tech Start Date]]&lt;1/1/1990,"",IF(Main[[#This Row],[Class]]="C",WORKDAY(Main[[#This Row],[Tech Start Date]],9),IF(Main[[#This Row],[Class]]="B", WORKDAY(Main[[#This Row],[Tech Start Date]],6),IF(Main[[#This Row],[Class]]="A",WORKDAY(Main[[#This Row],[Tech Start Date]],2),""))))</f>
        <v/>
      </c>
      <c r="N643" s="75" t="str">
        <f>IF(Main[[#This Row],[Tech Start Date]]&lt;1/1/1990,"",IF(Main[[#This Row],[Class]]="C",WORKDAY(Main[[#This Row],[Tech Start Date]],19),IF(Main[[#This Row],[Class]]="B", WORKDAY(Main[[#This Row],[Tech Start Date]],12),IF(Main[[#This Row],[Class]]="A",WORKDAY(Main[[#This Row],[Tech Start Date]],4),""))))</f>
        <v/>
      </c>
      <c r="O643" s="75" t="str">
        <f>IF(Main[[#This Row],[Tech Start Date]]&lt;1/1/1990,"",IF(Main[[#This Row],[Class]]="C",WORKDAY(Main[[#This Row],[Tech Start Date]],23),IF(Main[[#This Row],[Class]]="B", WORKDAY(Main[[#This Row],[Tech Start Date]],15),IF(Main[[#This Row],[Class]]="A",WORKDAY(Main[[#This Row],[Tech Start Date]],5),""))))</f>
        <v/>
      </c>
      <c r="P643" s="75" t="str">
        <f>IF(Main[[#This Row],[Tech Start Date]]&lt;1/1/1990,"",IF(Main[[#This Row],[Class]]="C",WORKDAY(Main[[#This Row],[Tech Start Date]],28),IF(Main[[#This Row],[Class]]="B", WORKDAY(Main[[#This Row],[Tech Start Date]],19),IF(Main[[#This Row],[Class]]="A",WORKDAY(Main[[#This Row],[Tech Start Date]],9),""))))</f>
        <v/>
      </c>
      <c r="Q643" s="89">
        <v>40385</v>
      </c>
      <c r="R643" s="121"/>
      <c r="S643" s="99" t="s">
        <v>6</v>
      </c>
      <c r="T643" s="76" t="s">
        <v>4</v>
      </c>
      <c r="U643" s="99" t="s">
        <v>14</v>
      </c>
      <c r="V643" s="99" t="s">
        <v>1913</v>
      </c>
      <c r="W643" s="99" t="s">
        <v>1915</v>
      </c>
      <c r="X643" s="99" t="s">
        <v>102</v>
      </c>
      <c r="Y643" s="73" t="s">
        <v>3026</v>
      </c>
      <c r="Z643" s="73" t="s">
        <v>4</v>
      </c>
      <c r="AA643" s="99" t="s">
        <v>3389</v>
      </c>
    </row>
    <row r="644" spans="1:27" ht="17.25" customHeight="1">
      <c r="A644" s="65" t="str">
        <f>IF(priority(Main[[#This Row],[Comments]])&lt;&gt;0, priority(Main[[#This Row],[Comments]]),"")</f>
        <v/>
      </c>
      <c r="B644" s="60" t="s">
        <v>1474</v>
      </c>
      <c r="C644" s="105" t="s">
        <v>4</v>
      </c>
      <c r="D644" s="74" t="s">
        <v>97</v>
      </c>
      <c r="E644" s="89"/>
      <c r="F644" s="89"/>
      <c r="G644" s="65" t="str">
        <f>IF(stdProdLT(Main[[#This Row],[Comments]])=0.1,"N/A",IF(stdProdLT(Main[[#This Row],[Comments]])=0,"",TRIM(stdProdLT(Main[[#This Row],[Comments]]))))</f>
        <v/>
      </c>
      <c r="H644" s="98" t="str">
        <f>IF(Main[[#This Row],[Std. Prod. Lead Time]]="N/A", "",IF(AND(Main[[#This Row],[In Stock Date]]&lt;&gt;"",Main[[#This Row],[Revised Due Date]]&lt;&gt;"",Main[[#This Row],[In Stock Date]]&lt;&gt;""),Main[[#This Row],[In Stock Date]]-Main[[#This Row],[Revised Due Date]],""))</f>
        <v/>
      </c>
      <c r="I644" s="110" t="s">
        <v>4</v>
      </c>
      <c r="J644" s="99" t="s">
        <v>4</v>
      </c>
      <c r="K644" s="100" t="s">
        <v>4</v>
      </c>
      <c r="L644" s="89"/>
      <c r="M644" s="75" t="str">
        <f>IF(Main[[#This Row],[Tech Start Date]]&lt;1/1/1990,"",IF(Main[[#This Row],[Class]]="C",WORKDAY(Main[[#This Row],[Tech Start Date]],9),IF(Main[[#This Row],[Class]]="B", WORKDAY(Main[[#This Row],[Tech Start Date]],6),IF(Main[[#This Row],[Class]]="A",WORKDAY(Main[[#This Row],[Tech Start Date]],2),""))))</f>
        <v/>
      </c>
      <c r="N644" s="75" t="str">
        <f>IF(Main[[#This Row],[Tech Start Date]]&lt;1/1/1990,"",IF(Main[[#This Row],[Class]]="C",WORKDAY(Main[[#This Row],[Tech Start Date]],19),IF(Main[[#This Row],[Class]]="B", WORKDAY(Main[[#This Row],[Tech Start Date]],12),IF(Main[[#This Row],[Class]]="A",WORKDAY(Main[[#This Row],[Tech Start Date]],4),""))))</f>
        <v/>
      </c>
      <c r="O644" s="75" t="str">
        <f>IF(Main[[#This Row],[Tech Start Date]]&lt;1/1/1990,"",IF(Main[[#This Row],[Class]]="C",WORKDAY(Main[[#This Row],[Tech Start Date]],23),IF(Main[[#This Row],[Class]]="B", WORKDAY(Main[[#This Row],[Tech Start Date]],15),IF(Main[[#This Row],[Class]]="A",WORKDAY(Main[[#This Row],[Tech Start Date]],5),""))))</f>
        <v/>
      </c>
      <c r="P644" s="75" t="str">
        <f>IF(Main[[#This Row],[Tech Start Date]]&lt;1/1/1990,"",IF(Main[[#This Row],[Class]]="C",WORKDAY(Main[[#This Row],[Tech Start Date]],28),IF(Main[[#This Row],[Class]]="B", WORKDAY(Main[[#This Row],[Tech Start Date]],19),IF(Main[[#This Row],[Class]]="A",WORKDAY(Main[[#This Row],[Tech Start Date]],9),""))))</f>
        <v/>
      </c>
      <c r="Q644" s="89">
        <v>40858</v>
      </c>
      <c r="R644" s="121"/>
      <c r="S644" s="99" t="s">
        <v>17</v>
      </c>
      <c r="T644" s="76" t="s">
        <v>4</v>
      </c>
      <c r="U644" s="99" t="s">
        <v>14</v>
      </c>
      <c r="V644" s="99" t="s">
        <v>1913</v>
      </c>
      <c r="W644" s="99" t="s">
        <v>1918</v>
      </c>
      <c r="X644" s="99" t="s">
        <v>50</v>
      </c>
      <c r="Y644" s="73" t="s">
        <v>2953</v>
      </c>
      <c r="Z644" s="73" t="s">
        <v>4</v>
      </c>
      <c r="AA644" s="99" t="s">
        <v>2822</v>
      </c>
    </row>
    <row r="645" spans="1:27" ht="17.25" customHeight="1">
      <c r="A645" s="65" t="str">
        <f>IF(priority(Main[[#This Row],[Comments]])&lt;&gt;0, priority(Main[[#This Row],[Comments]]),"")</f>
        <v/>
      </c>
      <c r="B645" s="60" t="s">
        <v>1475</v>
      </c>
      <c r="C645" s="105" t="s">
        <v>4</v>
      </c>
      <c r="D645" s="74" t="s">
        <v>555</v>
      </c>
      <c r="E645" s="89">
        <v>40382.376319444447</v>
      </c>
      <c r="F645" s="89"/>
      <c r="G645" s="65" t="str">
        <f>IF(stdProdLT(Main[[#This Row],[Comments]])=0.1,"N/A",IF(stdProdLT(Main[[#This Row],[Comments]])=0,"",TRIM(stdProdLT(Main[[#This Row],[Comments]]))))</f>
        <v/>
      </c>
      <c r="H645" s="98" t="str">
        <f>IF(Main[[#This Row],[Std. Prod. Lead Time]]="N/A", "",IF(AND(Main[[#This Row],[In Stock Date]]&lt;&gt;"",Main[[#This Row],[Revised Due Date]]&lt;&gt;"",Main[[#This Row],[In Stock Date]]&lt;&gt;""),Main[[#This Row],[In Stock Date]]-Main[[#This Row],[Revised Due Date]],""))</f>
        <v/>
      </c>
      <c r="I645" s="110" t="s">
        <v>4</v>
      </c>
      <c r="J645" s="99" t="s">
        <v>4</v>
      </c>
      <c r="K645" s="99" t="s">
        <v>4</v>
      </c>
      <c r="L645" s="89"/>
      <c r="M645" s="75" t="str">
        <f>IF(Main[[#This Row],[Tech Start Date]]&lt;1/1/1990,"",IF(Main[[#This Row],[Class]]="C",WORKDAY(Main[[#This Row],[Tech Start Date]],9),IF(Main[[#This Row],[Class]]="B", WORKDAY(Main[[#This Row],[Tech Start Date]],6),IF(Main[[#This Row],[Class]]="A",WORKDAY(Main[[#This Row],[Tech Start Date]],2),""))))</f>
        <v/>
      </c>
      <c r="N645" s="75" t="str">
        <f>IF(Main[[#This Row],[Tech Start Date]]&lt;1/1/1990,"",IF(Main[[#This Row],[Class]]="C",WORKDAY(Main[[#This Row],[Tech Start Date]],19),IF(Main[[#This Row],[Class]]="B", WORKDAY(Main[[#This Row],[Tech Start Date]],12),IF(Main[[#This Row],[Class]]="A",WORKDAY(Main[[#This Row],[Tech Start Date]],4),""))))</f>
        <v/>
      </c>
      <c r="O645" s="75" t="str">
        <f>IF(Main[[#This Row],[Tech Start Date]]&lt;1/1/1990,"",IF(Main[[#This Row],[Class]]="C",WORKDAY(Main[[#This Row],[Tech Start Date]],23),IF(Main[[#This Row],[Class]]="B", WORKDAY(Main[[#This Row],[Tech Start Date]],15),IF(Main[[#This Row],[Class]]="A",WORKDAY(Main[[#This Row],[Tech Start Date]],5),""))))</f>
        <v/>
      </c>
      <c r="P645" s="75" t="str">
        <f>IF(Main[[#This Row],[Tech Start Date]]&lt;1/1/1990,"",IF(Main[[#This Row],[Class]]="C",WORKDAY(Main[[#This Row],[Tech Start Date]],28),IF(Main[[#This Row],[Class]]="B", WORKDAY(Main[[#This Row],[Tech Start Date]],19),IF(Main[[#This Row],[Class]]="A",WORKDAY(Main[[#This Row],[Tech Start Date]],9),""))))</f>
        <v/>
      </c>
      <c r="Q645" s="89">
        <v>40451</v>
      </c>
      <c r="R645" s="121"/>
      <c r="S645" s="99" t="s">
        <v>6</v>
      </c>
      <c r="T645" s="76" t="s">
        <v>4</v>
      </c>
      <c r="U645" s="99" t="s">
        <v>7</v>
      </c>
      <c r="V645" s="99" t="s">
        <v>1913</v>
      </c>
      <c r="W645" s="99" t="s">
        <v>4</v>
      </c>
      <c r="X645" s="99" t="s">
        <v>2881</v>
      </c>
      <c r="Y645" s="73" t="s">
        <v>3037</v>
      </c>
      <c r="Z645" s="73" t="s">
        <v>4</v>
      </c>
      <c r="AA645" s="99" t="s">
        <v>2881</v>
      </c>
    </row>
    <row r="646" spans="1:27" ht="17.25" customHeight="1">
      <c r="A646" s="65" t="str">
        <f>IF(priority(Main[[#This Row],[Comments]])&lt;&gt;0, priority(Main[[#This Row],[Comments]]),"")</f>
        <v/>
      </c>
      <c r="B646" s="60" t="s">
        <v>1476</v>
      </c>
      <c r="C646" s="105" t="s">
        <v>180</v>
      </c>
      <c r="D646" s="74" t="s">
        <v>556</v>
      </c>
      <c r="E646" s="89"/>
      <c r="F646" s="89">
        <v>40389</v>
      </c>
      <c r="G646" s="65" t="str">
        <f>IF(stdProdLT(Main[[#This Row],[Comments]])=0.1,"N/A",IF(stdProdLT(Main[[#This Row],[Comments]])=0,"",TRIM(stdProdLT(Main[[#This Row],[Comments]]))))</f>
        <v/>
      </c>
      <c r="H646" s="98" t="str">
        <f>IF(Main[[#This Row],[Std. Prod. Lead Time]]="N/A", "",IF(AND(Main[[#This Row],[In Stock Date]]&lt;&gt;"",Main[[#This Row],[Revised Due Date]]&lt;&gt;"",Main[[#This Row],[In Stock Date]]&lt;&gt;""),Main[[#This Row],[In Stock Date]]-Main[[#This Row],[Revised Due Date]],""))</f>
        <v/>
      </c>
      <c r="I646" s="110" t="s">
        <v>4</v>
      </c>
      <c r="J646" s="99" t="s">
        <v>4</v>
      </c>
      <c r="K646" s="99" t="s">
        <v>4</v>
      </c>
      <c r="L646" s="89"/>
      <c r="M646" s="75" t="str">
        <f>IF(Main[[#This Row],[Tech Start Date]]&lt;1/1/1990,"",IF(Main[[#This Row],[Class]]="C",WORKDAY(Main[[#This Row],[Tech Start Date]],9),IF(Main[[#This Row],[Class]]="B", WORKDAY(Main[[#This Row],[Tech Start Date]],6),IF(Main[[#This Row],[Class]]="A",WORKDAY(Main[[#This Row],[Tech Start Date]],2),""))))</f>
        <v/>
      </c>
      <c r="N646" s="75" t="str">
        <f>IF(Main[[#This Row],[Tech Start Date]]&lt;1/1/1990,"",IF(Main[[#This Row],[Class]]="C",WORKDAY(Main[[#This Row],[Tech Start Date]],19),IF(Main[[#This Row],[Class]]="B", WORKDAY(Main[[#This Row],[Tech Start Date]],12),IF(Main[[#This Row],[Class]]="A",WORKDAY(Main[[#This Row],[Tech Start Date]],4),""))))</f>
        <v/>
      </c>
      <c r="O646" s="75" t="str">
        <f>IF(Main[[#This Row],[Tech Start Date]]&lt;1/1/1990,"",IF(Main[[#This Row],[Class]]="C",WORKDAY(Main[[#This Row],[Tech Start Date]],23),IF(Main[[#This Row],[Class]]="B", WORKDAY(Main[[#This Row],[Tech Start Date]],15),IF(Main[[#This Row],[Class]]="A",WORKDAY(Main[[#This Row],[Tech Start Date]],5),""))))</f>
        <v/>
      </c>
      <c r="P646" s="75" t="str">
        <f>IF(Main[[#This Row],[Tech Start Date]]&lt;1/1/1990,"",IF(Main[[#This Row],[Class]]="C",WORKDAY(Main[[#This Row],[Tech Start Date]],28),IF(Main[[#This Row],[Class]]="B", WORKDAY(Main[[#This Row],[Tech Start Date]],19),IF(Main[[#This Row],[Class]]="A",WORKDAY(Main[[#This Row],[Tech Start Date]],9),""))))</f>
        <v/>
      </c>
      <c r="Q646" s="89">
        <v>40298</v>
      </c>
      <c r="R646" s="121"/>
      <c r="S646" s="99" t="s">
        <v>11</v>
      </c>
      <c r="T646" s="76" t="s">
        <v>4</v>
      </c>
      <c r="U646" s="99" t="s">
        <v>14</v>
      </c>
      <c r="V646" s="99" t="s">
        <v>1913</v>
      </c>
      <c r="W646" s="99" t="s">
        <v>1919</v>
      </c>
      <c r="X646" s="99" t="s">
        <v>2818</v>
      </c>
      <c r="Y646" s="73" t="s">
        <v>2937</v>
      </c>
      <c r="Z646" s="73" t="s">
        <v>4</v>
      </c>
      <c r="AA646" s="99" t="s">
        <v>2818</v>
      </c>
    </row>
    <row r="647" spans="1:27" ht="17.25" customHeight="1">
      <c r="A647" s="65" t="str">
        <f>IF(priority(Main[[#This Row],[Comments]])&lt;&gt;0, priority(Main[[#This Row],[Comments]]),"")</f>
        <v/>
      </c>
      <c r="B647" s="60" t="s">
        <v>1478</v>
      </c>
      <c r="C647" s="105" t="s">
        <v>572</v>
      </c>
      <c r="D647" s="74" t="s">
        <v>573</v>
      </c>
      <c r="E647" s="89"/>
      <c r="F647" s="89"/>
      <c r="G647" s="65" t="str">
        <f>IF(stdProdLT(Main[[#This Row],[Comments]])=0.1,"N/A",IF(stdProdLT(Main[[#This Row],[Comments]])=0,"",TRIM(stdProdLT(Main[[#This Row],[Comments]]))))</f>
        <v/>
      </c>
      <c r="H647" s="98" t="str">
        <f>IF(Main[[#This Row],[Std. Prod. Lead Time]]="N/A", "",IF(AND(Main[[#This Row],[In Stock Date]]&lt;&gt;"",Main[[#This Row],[Revised Due Date]]&lt;&gt;"",Main[[#This Row],[In Stock Date]]&lt;&gt;""),Main[[#This Row],[In Stock Date]]-Main[[#This Row],[Revised Due Date]],""))</f>
        <v/>
      </c>
      <c r="I647" s="110" t="s">
        <v>4</v>
      </c>
      <c r="J647" s="99" t="s">
        <v>4</v>
      </c>
      <c r="K647" s="100" t="s">
        <v>4</v>
      </c>
      <c r="L647" s="89"/>
      <c r="M647" s="75" t="str">
        <f>IF(Main[[#This Row],[Tech Start Date]]&lt;1/1/1990,"",IF(Main[[#This Row],[Class]]="C",WORKDAY(Main[[#This Row],[Tech Start Date]],9),IF(Main[[#This Row],[Class]]="B", WORKDAY(Main[[#This Row],[Tech Start Date]],6),IF(Main[[#This Row],[Class]]="A",WORKDAY(Main[[#This Row],[Tech Start Date]],2),""))))</f>
        <v/>
      </c>
      <c r="N647" s="75" t="str">
        <f>IF(Main[[#This Row],[Tech Start Date]]&lt;1/1/1990,"",IF(Main[[#This Row],[Class]]="C",WORKDAY(Main[[#This Row],[Tech Start Date]],19),IF(Main[[#This Row],[Class]]="B", WORKDAY(Main[[#This Row],[Tech Start Date]],12),IF(Main[[#This Row],[Class]]="A",WORKDAY(Main[[#This Row],[Tech Start Date]],4),""))))</f>
        <v/>
      </c>
      <c r="O647" s="75" t="str">
        <f>IF(Main[[#This Row],[Tech Start Date]]&lt;1/1/1990,"",IF(Main[[#This Row],[Class]]="C",WORKDAY(Main[[#This Row],[Tech Start Date]],23),IF(Main[[#This Row],[Class]]="B", WORKDAY(Main[[#This Row],[Tech Start Date]],15),IF(Main[[#This Row],[Class]]="A",WORKDAY(Main[[#This Row],[Tech Start Date]],5),""))))</f>
        <v/>
      </c>
      <c r="P647" s="75" t="str">
        <f>IF(Main[[#This Row],[Tech Start Date]]&lt;1/1/1990,"",IF(Main[[#This Row],[Class]]="C",WORKDAY(Main[[#This Row],[Tech Start Date]],28),IF(Main[[#This Row],[Class]]="B", WORKDAY(Main[[#This Row],[Tech Start Date]],19),IF(Main[[#This Row],[Class]]="A",WORKDAY(Main[[#This Row],[Tech Start Date]],9),""))))</f>
        <v/>
      </c>
      <c r="Q647" s="89">
        <v>40473</v>
      </c>
      <c r="R647" s="121"/>
      <c r="S647" s="99" t="s">
        <v>11</v>
      </c>
      <c r="T647" s="76" t="s">
        <v>4</v>
      </c>
      <c r="U647" s="99" t="s">
        <v>14</v>
      </c>
      <c r="V647" s="99" t="s">
        <v>1916</v>
      </c>
      <c r="W647" s="99" t="s">
        <v>1915</v>
      </c>
      <c r="X647" s="99" t="s">
        <v>553</v>
      </c>
      <c r="Y647" s="73" t="s">
        <v>4</v>
      </c>
      <c r="Z647" s="73" t="s">
        <v>4</v>
      </c>
      <c r="AA647" s="99" t="s">
        <v>553</v>
      </c>
    </row>
    <row r="648" spans="1:27" ht="17.25" customHeight="1">
      <c r="A648" s="65" t="str">
        <f>IF(priority(Main[[#This Row],[Comments]])&lt;&gt;0, priority(Main[[#This Row],[Comments]]),"")</f>
        <v/>
      </c>
      <c r="B648" s="60" t="s">
        <v>1479</v>
      </c>
      <c r="C648" s="105" t="s">
        <v>4</v>
      </c>
      <c r="D648" s="74" t="s">
        <v>574</v>
      </c>
      <c r="E648" s="89">
        <v>40463.687627314815</v>
      </c>
      <c r="F648" s="89"/>
      <c r="G648" s="65" t="str">
        <f>IF(stdProdLT(Main[[#This Row],[Comments]])=0.1,"N/A",IF(stdProdLT(Main[[#This Row],[Comments]])=0,"",TRIM(stdProdLT(Main[[#This Row],[Comments]]))))</f>
        <v/>
      </c>
      <c r="H648" s="98" t="str">
        <f>IF(Main[[#This Row],[Std. Prod. Lead Time]]="N/A", "",IF(AND(Main[[#This Row],[In Stock Date]]&lt;&gt;"",Main[[#This Row],[Revised Due Date]]&lt;&gt;"",Main[[#This Row],[In Stock Date]]&lt;&gt;""),Main[[#This Row],[In Stock Date]]-Main[[#This Row],[Revised Due Date]],""))</f>
        <v/>
      </c>
      <c r="I648" s="110" t="s">
        <v>4</v>
      </c>
      <c r="J648" s="99" t="s">
        <v>28</v>
      </c>
      <c r="K648" s="99" t="s">
        <v>4</v>
      </c>
      <c r="L648" s="89"/>
      <c r="M648" s="75" t="str">
        <f>IF(Main[[#This Row],[Tech Start Date]]&lt;1/1/1990,"",IF(Main[[#This Row],[Class]]="C",WORKDAY(Main[[#This Row],[Tech Start Date]],9),IF(Main[[#This Row],[Class]]="B", WORKDAY(Main[[#This Row],[Tech Start Date]],6),IF(Main[[#This Row],[Class]]="A",WORKDAY(Main[[#This Row],[Tech Start Date]],2),""))))</f>
        <v/>
      </c>
      <c r="N648" s="75" t="str">
        <f>IF(Main[[#This Row],[Tech Start Date]]&lt;1/1/1990,"",IF(Main[[#This Row],[Class]]="C",WORKDAY(Main[[#This Row],[Tech Start Date]],19),IF(Main[[#This Row],[Class]]="B", WORKDAY(Main[[#This Row],[Tech Start Date]],12),IF(Main[[#This Row],[Class]]="A",WORKDAY(Main[[#This Row],[Tech Start Date]],4),""))))</f>
        <v/>
      </c>
      <c r="O648" s="75" t="str">
        <f>IF(Main[[#This Row],[Tech Start Date]]&lt;1/1/1990,"",IF(Main[[#This Row],[Class]]="C",WORKDAY(Main[[#This Row],[Tech Start Date]],23),IF(Main[[#This Row],[Class]]="B", WORKDAY(Main[[#This Row],[Tech Start Date]],15),IF(Main[[#This Row],[Class]]="A",WORKDAY(Main[[#This Row],[Tech Start Date]],5),""))))</f>
        <v/>
      </c>
      <c r="P648" s="75" t="str">
        <f>IF(Main[[#This Row],[Tech Start Date]]&lt;1/1/1990,"",IF(Main[[#This Row],[Class]]="C",WORKDAY(Main[[#This Row],[Tech Start Date]],28),IF(Main[[#This Row],[Class]]="B", WORKDAY(Main[[#This Row],[Tech Start Date]],19),IF(Main[[#This Row],[Class]]="A",WORKDAY(Main[[#This Row],[Tech Start Date]],9),""))))</f>
        <v/>
      </c>
      <c r="Q648" s="89"/>
      <c r="R648" s="121"/>
      <c r="S648" s="99" t="s">
        <v>6</v>
      </c>
      <c r="T648" s="76" t="s">
        <v>4</v>
      </c>
      <c r="U648" s="99" t="s">
        <v>7</v>
      </c>
      <c r="V648" s="99" t="s">
        <v>1913</v>
      </c>
      <c r="W648" s="99" t="s">
        <v>1921</v>
      </c>
      <c r="X648" s="99" t="s">
        <v>883</v>
      </c>
      <c r="Y648" s="73" t="s">
        <v>2957</v>
      </c>
      <c r="Z648" s="73" t="s">
        <v>129</v>
      </c>
      <c r="AA648" s="99" t="s">
        <v>883</v>
      </c>
    </row>
    <row r="649" spans="1:27" ht="17.25" customHeight="1">
      <c r="A649" s="12" t="str">
        <f>IF(priority(Main[[#This Row],[Comments]])&lt;&gt;0, priority(Main[[#This Row],[Comments]]),"")</f>
        <v/>
      </c>
      <c r="B649" s="60" t="s">
        <v>2717</v>
      </c>
      <c r="C649" s="104" t="s">
        <v>122</v>
      </c>
      <c r="D649" s="78" t="s">
        <v>2718</v>
      </c>
      <c r="E649" s="90">
        <v>40889.572662037041</v>
      </c>
      <c r="F649" s="90"/>
      <c r="G649" s="12" t="str">
        <f>IF(stdProdLT(Main[[#This Row],[Comments]])=0.1,"N/A",IF(stdProdLT(Main[[#This Row],[Comments]])=0,"",TRIM(stdProdLT(Main[[#This Row],[Comments]]))))</f>
        <v/>
      </c>
      <c r="H649" s="101" t="str">
        <f>IF(Main[[#This Row],[Std. Prod. Lead Time]]="N/A", "",IF(AND(Main[[#This Row],[In Stock Date]]&lt;&gt;"",Main[[#This Row],[Revised Due Date]]&lt;&gt;"",Main[[#This Row],[In Stock Date]]&lt;&gt;""),Main[[#This Row],[In Stock Date]]-Main[[#This Row],[Revised Due Date]],""))</f>
        <v/>
      </c>
      <c r="I649" s="111" t="s">
        <v>4</v>
      </c>
      <c r="J649" s="12" t="s">
        <v>4</v>
      </c>
      <c r="K649" s="12" t="s">
        <v>4</v>
      </c>
      <c r="L649" s="90"/>
      <c r="M649" s="75" t="str">
        <f>IF(Main[[#This Row],[Tech Start Date]]&lt;1/1/1990,"",IF(Main[[#This Row],[Class]]="C",WORKDAY(Main[[#This Row],[Tech Start Date]],9),IF(Main[[#This Row],[Class]]="B", WORKDAY(Main[[#This Row],[Tech Start Date]],6),IF(Main[[#This Row],[Class]]="A",WORKDAY(Main[[#This Row],[Tech Start Date]],2),""))))</f>
        <v/>
      </c>
      <c r="N649" s="75" t="str">
        <f>IF(Main[[#This Row],[Tech Start Date]]&lt;1/1/1990,"",IF(Main[[#This Row],[Class]]="C",WORKDAY(Main[[#This Row],[Tech Start Date]],19),IF(Main[[#This Row],[Class]]="B", WORKDAY(Main[[#This Row],[Tech Start Date]],12),IF(Main[[#This Row],[Class]]="A",WORKDAY(Main[[#This Row],[Tech Start Date]],4),""))))</f>
        <v/>
      </c>
      <c r="O649" s="75" t="str">
        <f>IF(Main[[#This Row],[Tech Start Date]]&lt;1/1/1990,"",IF(Main[[#This Row],[Class]]="C",WORKDAY(Main[[#This Row],[Tech Start Date]],23),IF(Main[[#This Row],[Class]]="B", WORKDAY(Main[[#This Row],[Tech Start Date]],15),IF(Main[[#This Row],[Class]]="A",WORKDAY(Main[[#This Row],[Tech Start Date]],5),""))))</f>
        <v/>
      </c>
      <c r="P649" s="75" t="str">
        <f>IF(Main[[#This Row],[Tech Start Date]]&lt;1/1/1990,"",IF(Main[[#This Row],[Class]]="C",WORKDAY(Main[[#This Row],[Tech Start Date]],28),IF(Main[[#This Row],[Class]]="B", WORKDAY(Main[[#This Row],[Tech Start Date]],19),IF(Main[[#This Row],[Class]]="A",WORKDAY(Main[[#This Row],[Tech Start Date]],9),""))))</f>
        <v/>
      </c>
      <c r="Q649" s="90">
        <v>40910</v>
      </c>
      <c r="R649" s="124"/>
      <c r="S649" s="12" t="s">
        <v>6</v>
      </c>
      <c r="T649" s="79" t="s">
        <v>4</v>
      </c>
      <c r="U649" s="12" t="s">
        <v>7</v>
      </c>
      <c r="V649" s="12" t="s">
        <v>1913</v>
      </c>
      <c r="W649" s="12" t="s">
        <v>1919</v>
      </c>
      <c r="X649" s="12" t="s">
        <v>883</v>
      </c>
      <c r="Y649" s="77" t="s">
        <v>2957</v>
      </c>
      <c r="Z649" s="77" t="s">
        <v>4</v>
      </c>
      <c r="AA649" s="99" t="s">
        <v>883</v>
      </c>
    </row>
    <row r="650" spans="1:27" ht="17.25" customHeight="1">
      <c r="A650" s="65" t="str">
        <f>IF(priority(Main[[#This Row],[Comments]])&lt;&gt;0, priority(Main[[#This Row],[Comments]]),"")</f>
        <v/>
      </c>
      <c r="B650" s="60" t="s">
        <v>1123</v>
      </c>
      <c r="C650" s="105" t="s">
        <v>4</v>
      </c>
      <c r="D650" s="74" t="s">
        <v>175</v>
      </c>
      <c r="E650" s="89">
        <v>40421.149710648147</v>
      </c>
      <c r="F650" s="89"/>
      <c r="G650" s="65" t="str">
        <f>IF(stdProdLT(Main[[#This Row],[Comments]])=0.1,"N/A",IF(stdProdLT(Main[[#This Row],[Comments]])=0,"",TRIM(stdProdLT(Main[[#This Row],[Comments]]))))</f>
        <v/>
      </c>
      <c r="H650" s="98" t="str">
        <f>IF(Main[[#This Row],[Std. Prod. Lead Time]]="N/A", "",IF(AND(Main[[#This Row],[In Stock Date]]&lt;&gt;"",Main[[#This Row],[Revised Due Date]]&lt;&gt;"",Main[[#This Row],[In Stock Date]]&lt;&gt;""),Main[[#This Row],[In Stock Date]]-Main[[#This Row],[Revised Due Date]],""))</f>
        <v/>
      </c>
      <c r="I650" s="110" t="s">
        <v>81</v>
      </c>
      <c r="J650" s="99" t="s">
        <v>52</v>
      </c>
      <c r="K650" s="99" t="s">
        <v>4</v>
      </c>
      <c r="L650" s="89"/>
      <c r="M650" s="75" t="str">
        <f>IF(Main[[#This Row],[Tech Start Date]]&lt;1/1/1990,"",IF(Main[[#This Row],[Class]]="C",WORKDAY(Main[[#This Row],[Tech Start Date]],9),IF(Main[[#This Row],[Class]]="B", WORKDAY(Main[[#This Row],[Tech Start Date]],6),IF(Main[[#This Row],[Class]]="A",WORKDAY(Main[[#This Row],[Tech Start Date]],2),""))))</f>
        <v/>
      </c>
      <c r="N650" s="75" t="str">
        <f>IF(Main[[#This Row],[Tech Start Date]]&lt;1/1/1990,"",IF(Main[[#This Row],[Class]]="C",WORKDAY(Main[[#This Row],[Tech Start Date]],19),IF(Main[[#This Row],[Class]]="B", WORKDAY(Main[[#This Row],[Tech Start Date]],12),IF(Main[[#This Row],[Class]]="A",WORKDAY(Main[[#This Row],[Tech Start Date]],4),""))))</f>
        <v/>
      </c>
      <c r="O650" s="75" t="str">
        <f>IF(Main[[#This Row],[Tech Start Date]]&lt;1/1/1990,"",IF(Main[[#This Row],[Class]]="C",WORKDAY(Main[[#This Row],[Tech Start Date]],23),IF(Main[[#This Row],[Class]]="B", WORKDAY(Main[[#This Row],[Tech Start Date]],15),IF(Main[[#This Row],[Class]]="A",WORKDAY(Main[[#This Row],[Tech Start Date]],5),""))))</f>
        <v/>
      </c>
      <c r="P650" s="75" t="str">
        <f>IF(Main[[#This Row],[Tech Start Date]]&lt;1/1/1990,"",IF(Main[[#This Row],[Class]]="C",WORKDAY(Main[[#This Row],[Tech Start Date]],28),IF(Main[[#This Row],[Class]]="B", WORKDAY(Main[[#This Row],[Tech Start Date]],19),IF(Main[[#This Row],[Class]]="A",WORKDAY(Main[[#This Row],[Tech Start Date]],9),""))))</f>
        <v/>
      </c>
      <c r="Q650" s="89">
        <v>40451</v>
      </c>
      <c r="R650" s="121"/>
      <c r="S650" s="99" t="s">
        <v>6</v>
      </c>
      <c r="T650" s="76" t="s">
        <v>4</v>
      </c>
      <c r="U650" s="99" t="s">
        <v>29</v>
      </c>
      <c r="V650" s="99" t="s">
        <v>1923</v>
      </c>
      <c r="W650" s="99" t="s">
        <v>1915</v>
      </c>
      <c r="X650" s="99" t="s">
        <v>2816</v>
      </c>
      <c r="Y650" s="73" t="s">
        <v>2932</v>
      </c>
      <c r="Z650" s="73" t="s">
        <v>415</v>
      </c>
      <c r="AA650" s="99" t="s">
        <v>2816</v>
      </c>
    </row>
    <row r="651" spans="1:27" ht="17.25" customHeight="1">
      <c r="A651" s="65" t="str">
        <f>IF(priority(Main[[#This Row],[Comments]])&lt;&gt;0, priority(Main[[#This Row],[Comments]]),"")</f>
        <v/>
      </c>
      <c r="B651" s="60" t="s">
        <v>1480</v>
      </c>
      <c r="C651" s="105" t="s">
        <v>230</v>
      </c>
      <c r="D651" s="74" t="s">
        <v>563</v>
      </c>
      <c r="E651" s="89"/>
      <c r="F651" s="89">
        <v>40662</v>
      </c>
      <c r="G651" s="65" t="str">
        <f>IF(stdProdLT(Main[[#This Row],[Comments]])=0.1,"N/A",IF(stdProdLT(Main[[#This Row],[Comments]])=0,"",TRIM(stdProdLT(Main[[#This Row],[Comments]]))))</f>
        <v/>
      </c>
      <c r="H651" s="98" t="str">
        <f>IF(Main[[#This Row],[Std. Prod. Lead Time]]="N/A", "",IF(AND(Main[[#This Row],[In Stock Date]]&lt;&gt;"",Main[[#This Row],[Revised Due Date]]&lt;&gt;"",Main[[#This Row],[In Stock Date]]&lt;&gt;""),Main[[#This Row],[In Stock Date]]-Main[[#This Row],[Revised Due Date]],""))</f>
        <v/>
      </c>
      <c r="I651" s="110" t="s">
        <v>4</v>
      </c>
      <c r="J651" s="99" t="s">
        <v>4</v>
      </c>
      <c r="K651" s="99" t="s">
        <v>4</v>
      </c>
      <c r="L651" s="89"/>
      <c r="M651" s="75" t="str">
        <f>IF(Main[[#This Row],[Tech Start Date]]&lt;1/1/1990,"",IF(Main[[#This Row],[Class]]="C",WORKDAY(Main[[#This Row],[Tech Start Date]],9),IF(Main[[#This Row],[Class]]="B", WORKDAY(Main[[#This Row],[Tech Start Date]],6),IF(Main[[#This Row],[Class]]="A",WORKDAY(Main[[#This Row],[Tech Start Date]],2),""))))</f>
        <v/>
      </c>
      <c r="N651" s="75" t="str">
        <f>IF(Main[[#This Row],[Tech Start Date]]&lt;1/1/1990,"",IF(Main[[#This Row],[Class]]="C",WORKDAY(Main[[#This Row],[Tech Start Date]],19),IF(Main[[#This Row],[Class]]="B", WORKDAY(Main[[#This Row],[Tech Start Date]],12),IF(Main[[#This Row],[Class]]="A",WORKDAY(Main[[#This Row],[Tech Start Date]],4),""))))</f>
        <v/>
      </c>
      <c r="O651" s="75" t="str">
        <f>IF(Main[[#This Row],[Tech Start Date]]&lt;1/1/1990,"",IF(Main[[#This Row],[Class]]="C",WORKDAY(Main[[#This Row],[Tech Start Date]],23),IF(Main[[#This Row],[Class]]="B", WORKDAY(Main[[#This Row],[Tech Start Date]],15),IF(Main[[#This Row],[Class]]="A",WORKDAY(Main[[#This Row],[Tech Start Date]],5),""))))</f>
        <v/>
      </c>
      <c r="P651" s="75" t="str">
        <f>IF(Main[[#This Row],[Tech Start Date]]&lt;1/1/1990,"",IF(Main[[#This Row],[Class]]="C",WORKDAY(Main[[#This Row],[Tech Start Date]],28),IF(Main[[#This Row],[Class]]="B", WORKDAY(Main[[#This Row],[Tech Start Date]],19),IF(Main[[#This Row],[Class]]="A",WORKDAY(Main[[#This Row],[Tech Start Date]],9),""))))</f>
        <v/>
      </c>
      <c r="Q651" s="89">
        <v>40480</v>
      </c>
      <c r="R651" s="121"/>
      <c r="S651" s="99" t="s">
        <v>11</v>
      </c>
      <c r="T651" s="76" t="s">
        <v>4</v>
      </c>
      <c r="U651" s="99" t="s">
        <v>14</v>
      </c>
      <c r="V651" s="99" t="s">
        <v>1916</v>
      </c>
      <c r="W651" s="99" t="s">
        <v>1921</v>
      </c>
      <c r="X651" s="99" t="s">
        <v>2854</v>
      </c>
      <c r="Y651" s="73" t="s">
        <v>4</v>
      </c>
      <c r="Z651" s="73" t="s">
        <v>4</v>
      </c>
      <c r="AA651" s="99" t="s">
        <v>2854</v>
      </c>
    </row>
    <row r="652" spans="1:27" ht="17.25" customHeight="1">
      <c r="A652" s="65" t="str">
        <f>IF(priority(Main[[#This Row],[Comments]])&lt;&gt;0, priority(Main[[#This Row],[Comments]]),"")</f>
        <v/>
      </c>
      <c r="B652" s="60" t="s">
        <v>1481</v>
      </c>
      <c r="C652" s="105" t="s">
        <v>4</v>
      </c>
      <c r="D652" s="74" t="s">
        <v>39</v>
      </c>
      <c r="E652" s="89"/>
      <c r="F652" s="89"/>
      <c r="G652" s="65" t="str">
        <f>IF(stdProdLT(Main[[#This Row],[Comments]])=0.1,"N/A",IF(stdProdLT(Main[[#This Row],[Comments]])=0,"",TRIM(stdProdLT(Main[[#This Row],[Comments]]))))</f>
        <v/>
      </c>
      <c r="H652" s="98" t="str">
        <f>IF(Main[[#This Row],[Std. Prod. Lead Time]]="N/A", "",IF(AND(Main[[#This Row],[In Stock Date]]&lt;&gt;"",Main[[#This Row],[Revised Due Date]]&lt;&gt;"",Main[[#This Row],[In Stock Date]]&lt;&gt;""),Main[[#This Row],[In Stock Date]]-Main[[#This Row],[Revised Due Date]],""))</f>
        <v/>
      </c>
      <c r="I652" s="110" t="s">
        <v>4</v>
      </c>
      <c r="J652" s="99" t="s">
        <v>4</v>
      </c>
      <c r="K652" s="99" t="s">
        <v>4</v>
      </c>
      <c r="L652" s="89"/>
      <c r="M652" s="75" t="str">
        <f>IF(Main[[#This Row],[Tech Start Date]]&lt;1/1/1990,"",IF(Main[[#This Row],[Class]]="C",WORKDAY(Main[[#This Row],[Tech Start Date]],9),IF(Main[[#This Row],[Class]]="B", WORKDAY(Main[[#This Row],[Tech Start Date]],6),IF(Main[[#This Row],[Class]]="A",WORKDAY(Main[[#This Row],[Tech Start Date]],2),""))))</f>
        <v/>
      </c>
      <c r="N652" s="75" t="str">
        <f>IF(Main[[#This Row],[Tech Start Date]]&lt;1/1/1990,"",IF(Main[[#This Row],[Class]]="C",WORKDAY(Main[[#This Row],[Tech Start Date]],19),IF(Main[[#This Row],[Class]]="B", WORKDAY(Main[[#This Row],[Tech Start Date]],12),IF(Main[[#This Row],[Class]]="A",WORKDAY(Main[[#This Row],[Tech Start Date]],4),""))))</f>
        <v/>
      </c>
      <c r="O652" s="75" t="str">
        <f>IF(Main[[#This Row],[Tech Start Date]]&lt;1/1/1990,"",IF(Main[[#This Row],[Class]]="C",WORKDAY(Main[[#This Row],[Tech Start Date]],23),IF(Main[[#This Row],[Class]]="B", WORKDAY(Main[[#This Row],[Tech Start Date]],15),IF(Main[[#This Row],[Class]]="A",WORKDAY(Main[[#This Row],[Tech Start Date]],5),""))))</f>
        <v/>
      </c>
      <c r="P652" s="75" t="str">
        <f>IF(Main[[#This Row],[Tech Start Date]]&lt;1/1/1990,"",IF(Main[[#This Row],[Class]]="C",WORKDAY(Main[[#This Row],[Tech Start Date]],28),IF(Main[[#This Row],[Class]]="B", WORKDAY(Main[[#This Row],[Tech Start Date]],19),IF(Main[[#This Row],[Class]]="A",WORKDAY(Main[[#This Row],[Tech Start Date]],9),""))))</f>
        <v/>
      </c>
      <c r="Q652" s="89">
        <v>40669</v>
      </c>
      <c r="R652" s="121"/>
      <c r="S652" s="99" t="s">
        <v>6</v>
      </c>
      <c r="T652" s="76" t="s">
        <v>4</v>
      </c>
      <c r="U652" s="99" t="s">
        <v>14</v>
      </c>
      <c r="V652" s="99" t="s">
        <v>1916</v>
      </c>
      <c r="W652" s="99" t="s">
        <v>4</v>
      </c>
      <c r="X652" s="99" t="s">
        <v>2812</v>
      </c>
      <c r="Y652" s="73" t="s">
        <v>2923</v>
      </c>
      <c r="Z652" s="73" t="s">
        <v>4</v>
      </c>
      <c r="AA652" s="99" t="s">
        <v>2812</v>
      </c>
    </row>
    <row r="653" spans="1:27" ht="17.25" customHeight="1">
      <c r="A653" s="65" t="str">
        <f>IF(priority(Main[[#This Row],[Comments]])&lt;&gt;0, priority(Main[[#This Row],[Comments]]),"")</f>
        <v/>
      </c>
      <c r="B653" s="60" t="s">
        <v>1482</v>
      </c>
      <c r="C653" s="105" t="s">
        <v>564</v>
      </c>
      <c r="D653" s="74" t="s">
        <v>565</v>
      </c>
      <c r="E653" s="89"/>
      <c r="F653" s="89">
        <v>40168</v>
      </c>
      <c r="G653" s="65" t="str">
        <f>IF(stdProdLT(Main[[#This Row],[Comments]])=0.1,"N/A",IF(stdProdLT(Main[[#This Row],[Comments]])=0,"",TRIM(stdProdLT(Main[[#This Row],[Comments]]))))</f>
        <v/>
      </c>
      <c r="H653" s="98" t="str">
        <f>IF(Main[[#This Row],[Std. Prod. Lead Time]]="N/A", "",IF(AND(Main[[#This Row],[In Stock Date]]&lt;&gt;"",Main[[#This Row],[Revised Due Date]]&lt;&gt;"",Main[[#This Row],[In Stock Date]]&lt;&gt;""),Main[[#This Row],[In Stock Date]]-Main[[#This Row],[Revised Due Date]],""))</f>
        <v/>
      </c>
      <c r="I653" s="110" t="s">
        <v>4</v>
      </c>
      <c r="J653" s="99" t="s">
        <v>4</v>
      </c>
      <c r="K653" s="99" t="s">
        <v>4</v>
      </c>
      <c r="L653" s="89"/>
      <c r="M653" s="75" t="str">
        <f>IF(Main[[#This Row],[Tech Start Date]]&lt;1/1/1990,"",IF(Main[[#This Row],[Class]]="C",WORKDAY(Main[[#This Row],[Tech Start Date]],9),IF(Main[[#This Row],[Class]]="B", WORKDAY(Main[[#This Row],[Tech Start Date]],6),IF(Main[[#This Row],[Class]]="A",WORKDAY(Main[[#This Row],[Tech Start Date]],2),""))))</f>
        <v/>
      </c>
      <c r="N653" s="75" t="str">
        <f>IF(Main[[#This Row],[Tech Start Date]]&lt;1/1/1990,"",IF(Main[[#This Row],[Class]]="C",WORKDAY(Main[[#This Row],[Tech Start Date]],19),IF(Main[[#This Row],[Class]]="B", WORKDAY(Main[[#This Row],[Tech Start Date]],12),IF(Main[[#This Row],[Class]]="A",WORKDAY(Main[[#This Row],[Tech Start Date]],4),""))))</f>
        <v/>
      </c>
      <c r="O653" s="75" t="str">
        <f>IF(Main[[#This Row],[Tech Start Date]]&lt;1/1/1990,"",IF(Main[[#This Row],[Class]]="C",WORKDAY(Main[[#This Row],[Tech Start Date]],23),IF(Main[[#This Row],[Class]]="B", WORKDAY(Main[[#This Row],[Tech Start Date]],15),IF(Main[[#This Row],[Class]]="A",WORKDAY(Main[[#This Row],[Tech Start Date]],5),""))))</f>
        <v/>
      </c>
      <c r="P653" s="75" t="str">
        <f>IF(Main[[#This Row],[Tech Start Date]]&lt;1/1/1990,"",IF(Main[[#This Row],[Class]]="C",WORKDAY(Main[[#This Row],[Tech Start Date]],28),IF(Main[[#This Row],[Class]]="B", WORKDAY(Main[[#This Row],[Tech Start Date]],19),IF(Main[[#This Row],[Class]]="A",WORKDAY(Main[[#This Row],[Tech Start Date]],9),""))))</f>
        <v/>
      </c>
      <c r="Q653" s="89"/>
      <c r="R653" s="121"/>
      <c r="S653" s="99" t="s">
        <v>17</v>
      </c>
      <c r="T653" s="76" t="s">
        <v>4</v>
      </c>
      <c r="U653" s="99" t="s">
        <v>14</v>
      </c>
      <c r="V653" s="99" t="s">
        <v>1914</v>
      </c>
      <c r="W653" s="99" t="s">
        <v>4</v>
      </c>
      <c r="X653" s="99" t="s">
        <v>2855</v>
      </c>
      <c r="Y653" s="73" t="s">
        <v>4</v>
      </c>
      <c r="Z653" s="73" t="s">
        <v>4</v>
      </c>
      <c r="AA653" s="99" t="s">
        <v>4</v>
      </c>
    </row>
    <row r="654" spans="1:27" ht="17.25" customHeight="1">
      <c r="A654" s="65" t="str">
        <f>IF(priority(Main[[#This Row],[Comments]])&lt;&gt;0, priority(Main[[#This Row],[Comments]]),"")</f>
        <v/>
      </c>
      <c r="B654" s="60" t="s">
        <v>1483</v>
      </c>
      <c r="C654" s="105" t="s">
        <v>566</v>
      </c>
      <c r="D654" s="74" t="s">
        <v>567</v>
      </c>
      <c r="E654" s="89"/>
      <c r="F654" s="89">
        <v>40389</v>
      </c>
      <c r="G654" s="65" t="str">
        <f>IF(stdProdLT(Main[[#This Row],[Comments]])=0.1,"N/A",IF(stdProdLT(Main[[#This Row],[Comments]])=0,"",TRIM(stdProdLT(Main[[#This Row],[Comments]]))))</f>
        <v/>
      </c>
      <c r="H654" s="98" t="str">
        <f>IF(Main[[#This Row],[Std. Prod. Lead Time]]="N/A", "",IF(AND(Main[[#This Row],[In Stock Date]]&lt;&gt;"",Main[[#This Row],[Revised Due Date]]&lt;&gt;"",Main[[#This Row],[In Stock Date]]&lt;&gt;""),Main[[#This Row],[In Stock Date]]-Main[[#This Row],[Revised Due Date]],""))</f>
        <v/>
      </c>
      <c r="I654" s="110" t="s">
        <v>4</v>
      </c>
      <c r="J654" s="99" t="s">
        <v>75</v>
      </c>
      <c r="K654" s="99" t="s">
        <v>4</v>
      </c>
      <c r="L654" s="89"/>
      <c r="M654" s="75" t="str">
        <f>IF(Main[[#This Row],[Tech Start Date]]&lt;1/1/1990,"",IF(Main[[#This Row],[Class]]="C",WORKDAY(Main[[#This Row],[Tech Start Date]],9),IF(Main[[#This Row],[Class]]="B", WORKDAY(Main[[#This Row],[Tech Start Date]],6),IF(Main[[#This Row],[Class]]="A",WORKDAY(Main[[#This Row],[Tech Start Date]],2),""))))</f>
        <v/>
      </c>
      <c r="N654" s="75" t="str">
        <f>IF(Main[[#This Row],[Tech Start Date]]&lt;1/1/1990,"",IF(Main[[#This Row],[Class]]="C",WORKDAY(Main[[#This Row],[Tech Start Date]],19),IF(Main[[#This Row],[Class]]="B", WORKDAY(Main[[#This Row],[Tech Start Date]],12),IF(Main[[#This Row],[Class]]="A",WORKDAY(Main[[#This Row],[Tech Start Date]],4),""))))</f>
        <v/>
      </c>
      <c r="O654" s="75" t="str">
        <f>IF(Main[[#This Row],[Tech Start Date]]&lt;1/1/1990,"",IF(Main[[#This Row],[Class]]="C",WORKDAY(Main[[#This Row],[Tech Start Date]],23),IF(Main[[#This Row],[Class]]="B", WORKDAY(Main[[#This Row],[Tech Start Date]],15),IF(Main[[#This Row],[Class]]="A",WORKDAY(Main[[#This Row],[Tech Start Date]],5),""))))</f>
        <v/>
      </c>
      <c r="P654" s="75" t="str">
        <f>IF(Main[[#This Row],[Tech Start Date]]&lt;1/1/1990,"",IF(Main[[#This Row],[Class]]="C",WORKDAY(Main[[#This Row],[Tech Start Date]],28),IF(Main[[#This Row],[Class]]="B", WORKDAY(Main[[#This Row],[Tech Start Date]],19),IF(Main[[#This Row],[Class]]="A",WORKDAY(Main[[#This Row],[Tech Start Date]],9),""))))</f>
        <v/>
      </c>
      <c r="Q654" s="89">
        <v>40298</v>
      </c>
      <c r="R654" s="121"/>
      <c r="S654" s="99" t="s">
        <v>11</v>
      </c>
      <c r="T654" s="76" t="s">
        <v>4</v>
      </c>
      <c r="U654" s="99" t="s">
        <v>14</v>
      </c>
      <c r="V654" s="99" t="s">
        <v>1913</v>
      </c>
      <c r="W654" s="99" t="s">
        <v>1919</v>
      </c>
      <c r="X654" s="99" t="s">
        <v>2818</v>
      </c>
      <c r="Y654" s="73" t="s">
        <v>2937</v>
      </c>
      <c r="Z654" s="73" t="s">
        <v>306</v>
      </c>
      <c r="AA654" s="99" t="s">
        <v>2818</v>
      </c>
    </row>
    <row r="655" spans="1:27" ht="17.25" customHeight="1">
      <c r="A655" s="65" t="str">
        <f>IF(priority(Main[[#This Row],[Comments]])&lt;&gt;0, priority(Main[[#This Row],[Comments]]),"")</f>
        <v/>
      </c>
      <c r="B655" s="60" t="s">
        <v>1484</v>
      </c>
      <c r="C655" s="105" t="s">
        <v>93</v>
      </c>
      <c r="D655" s="74" t="s">
        <v>568</v>
      </c>
      <c r="E655" s="89"/>
      <c r="F655" s="89">
        <v>40132</v>
      </c>
      <c r="G655" s="65" t="str">
        <f>IF(stdProdLT(Main[[#This Row],[Comments]])=0.1,"N/A",IF(stdProdLT(Main[[#This Row],[Comments]])=0,"",TRIM(stdProdLT(Main[[#This Row],[Comments]]))))</f>
        <v/>
      </c>
      <c r="H655" s="98" t="str">
        <f>IF(Main[[#This Row],[Std. Prod. Lead Time]]="N/A", "",IF(AND(Main[[#This Row],[In Stock Date]]&lt;&gt;"",Main[[#This Row],[Revised Due Date]]&lt;&gt;"",Main[[#This Row],[In Stock Date]]&lt;&gt;""),Main[[#This Row],[In Stock Date]]-Main[[#This Row],[Revised Due Date]],""))</f>
        <v/>
      </c>
      <c r="I655" s="110" t="s">
        <v>4</v>
      </c>
      <c r="J655" s="99" t="s">
        <v>4</v>
      </c>
      <c r="K655" s="99" t="s">
        <v>4</v>
      </c>
      <c r="L655" s="89"/>
      <c r="M655" s="75" t="str">
        <f>IF(Main[[#This Row],[Tech Start Date]]&lt;1/1/1990,"",IF(Main[[#This Row],[Class]]="C",WORKDAY(Main[[#This Row],[Tech Start Date]],9),IF(Main[[#This Row],[Class]]="B", WORKDAY(Main[[#This Row],[Tech Start Date]],6),IF(Main[[#This Row],[Class]]="A",WORKDAY(Main[[#This Row],[Tech Start Date]],2),""))))</f>
        <v/>
      </c>
      <c r="N655" s="75" t="str">
        <f>IF(Main[[#This Row],[Tech Start Date]]&lt;1/1/1990,"",IF(Main[[#This Row],[Class]]="C",WORKDAY(Main[[#This Row],[Tech Start Date]],19),IF(Main[[#This Row],[Class]]="B", WORKDAY(Main[[#This Row],[Tech Start Date]],12),IF(Main[[#This Row],[Class]]="A",WORKDAY(Main[[#This Row],[Tech Start Date]],4),""))))</f>
        <v/>
      </c>
      <c r="O655" s="75" t="str">
        <f>IF(Main[[#This Row],[Tech Start Date]]&lt;1/1/1990,"",IF(Main[[#This Row],[Class]]="C",WORKDAY(Main[[#This Row],[Tech Start Date]],23),IF(Main[[#This Row],[Class]]="B", WORKDAY(Main[[#This Row],[Tech Start Date]],15),IF(Main[[#This Row],[Class]]="A",WORKDAY(Main[[#This Row],[Tech Start Date]],5),""))))</f>
        <v/>
      </c>
      <c r="P655" s="75" t="str">
        <f>IF(Main[[#This Row],[Tech Start Date]]&lt;1/1/1990,"",IF(Main[[#This Row],[Class]]="C",WORKDAY(Main[[#This Row],[Tech Start Date]],28),IF(Main[[#This Row],[Class]]="B", WORKDAY(Main[[#This Row],[Tech Start Date]],19),IF(Main[[#This Row],[Class]]="A",WORKDAY(Main[[#This Row],[Tech Start Date]],9),""))))</f>
        <v/>
      </c>
      <c r="Q655" s="89">
        <v>40132</v>
      </c>
      <c r="R655" s="121"/>
      <c r="S655" s="99" t="s">
        <v>11</v>
      </c>
      <c r="T655" s="76" t="s">
        <v>4</v>
      </c>
      <c r="U655" s="99" t="s">
        <v>14</v>
      </c>
      <c r="V655" s="99" t="s">
        <v>1923</v>
      </c>
      <c r="W655" s="99" t="s">
        <v>1924</v>
      </c>
      <c r="X655" s="99" t="s">
        <v>2850</v>
      </c>
      <c r="Y655" s="73" t="s">
        <v>4</v>
      </c>
      <c r="Z655" s="73" t="s">
        <v>4</v>
      </c>
      <c r="AA655" s="99" t="s">
        <v>2850</v>
      </c>
    </row>
    <row r="656" spans="1:27" ht="17.25" customHeight="1">
      <c r="A656" s="65" t="str">
        <f>IF(priority(Main[[#This Row],[Comments]])&lt;&gt;0, priority(Main[[#This Row],[Comments]]),"")</f>
        <v/>
      </c>
      <c r="B656" s="60" t="s">
        <v>1485</v>
      </c>
      <c r="C656" s="105" t="s">
        <v>93</v>
      </c>
      <c r="D656" s="74" t="s">
        <v>569</v>
      </c>
      <c r="E656" s="89"/>
      <c r="F656" s="89">
        <v>40132</v>
      </c>
      <c r="G656" s="65" t="str">
        <f>IF(stdProdLT(Main[[#This Row],[Comments]])=0.1,"N/A",IF(stdProdLT(Main[[#This Row],[Comments]])=0,"",TRIM(stdProdLT(Main[[#This Row],[Comments]]))))</f>
        <v/>
      </c>
      <c r="H656" s="98" t="str">
        <f>IF(Main[[#This Row],[Std. Prod. Lead Time]]="N/A", "",IF(AND(Main[[#This Row],[In Stock Date]]&lt;&gt;"",Main[[#This Row],[Revised Due Date]]&lt;&gt;"",Main[[#This Row],[In Stock Date]]&lt;&gt;""),Main[[#This Row],[In Stock Date]]-Main[[#This Row],[Revised Due Date]],""))</f>
        <v/>
      </c>
      <c r="I656" s="110" t="s">
        <v>4</v>
      </c>
      <c r="J656" s="99" t="s">
        <v>4</v>
      </c>
      <c r="K656" s="100" t="s">
        <v>4</v>
      </c>
      <c r="L656" s="89"/>
      <c r="M656" s="75" t="str">
        <f>IF(Main[[#This Row],[Tech Start Date]]&lt;1/1/1990,"",IF(Main[[#This Row],[Class]]="C",WORKDAY(Main[[#This Row],[Tech Start Date]],9),IF(Main[[#This Row],[Class]]="B", WORKDAY(Main[[#This Row],[Tech Start Date]],6),IF(Main[[#This Row],[Class]]="A",WORKDAY(Main[[#This Row],[Tech Start Date]],2),""))))</f>
        <v/>
      </c>
      <c r="N656" s="75" t="str">
        <f>IF(Main[[#This Row],[Tech Start Date]]&lt;1/1/1990,"",IF(Main[[#This Row],[Class]]="C",WORKDAY(Main[[#This Row],[Tech Start Date]],19),IF(Main[[#This Row],[Class]]="B", WORKDAY(Main[[#This Row],[Tech Start Date]],12),IF(Main[[#This Row],[Class]]="A",WORKDAY(Main[[#This Row],[Tech Start Date]],4),""))))</f>
        <v/>
      </c>
      <c r="O656" s="75" t="str">
        <f>IF(Main[[#This Row],[Tech Start Date]]&lt;1/1/1990,"",IF(Main[[#This Row],[Class]]="C",WORKDAY(Main[[#This Row],[Tech Start Date]],23),IF(Main[[#This Row],[Class]]="B", WORKDAY(Main[[#This Row],[Tech Start Date]],15),IF(Main[[#This Row],[Class]]="A",WORKDAY(Main[[#This Row],[Tech Start Date]],5),""))))</f>
        <v/>
      </c>
      <c r="P656" s="75" t="str">
        <f>IF(Main[[#This Row],[Tech Start Date]]&lt;1/1/1990,"",IF(Main[[#This Row],[Class]]="C",WORKDAY(Main[[#This Row],[Tech Start Date]],28),IF(Main[[#This Row],[Class]]="B", WORKDAY(Main[[#This Row],[Tech Start Date]],19),IF(Main[[#This Row],[Class]]="A",WORKDAY(Main[[#This Row],[Tech Start Date]],9),""))))</f>
        <v/>
      </c>
      <c r="Q656" s="89">
        <v>40132</v>
      </c>
      <c r="R656" s="121"/>
      <c r="S656" s="99" t="s">
        <v>11</v>
      </c>
      <c r="T656" s="76" t="s">
        <v>4</v>
      </c>
      <c r="U656" s="99" t="s">
        <v>14</v>
      </c>
      <c r="V656" s="99" t="s">
        <v>1923</v>
      </c>
      <c r="W656" s="99" t="s">
        <v>1924</v>
      </c>
      <c r="X656" s="99" t="s">
        <v>2850</v>
      </c>
      <c r="Y656" s="73" t="s">
        <v>4</v>
      </c>
      <c r="Z656" s="73" t="s">
        <v>4</v>
      </c>
      <c r="AA656" s="99" t="s">
        <v>2850</v>
      </c>
    </row>
    <row r="657" spans="1:27" ht="17.25" customHeight="1">
      <c r="A657" s="65" t="str">
        <f>IF(priority(Main[[#This Row],[Comments]])&lt;&gt;0, priority(Main[[#This Row],[Comments]]),"")</f>
        <v/>
      </c>
      <c r="B657" s="60" t="s">
        <v>1486</v>
      </c>
      <c r="C657" s="105" t="s">
        <v>465</v>
      </c>
      <c r="D657" s="74" t="s">
        <v>570</v>
      </c>
      <c r="E657" s="89"/>
      <c r="F657" s="89">
        <v>40179</v>
      </c>
      <c r="G657" s="65" t="str">
        <f>IF(stdProdLT(Main[[#This Row],[Comments]])=0.1,"N/A",IF(stdProdLT(Main[[#This Row],[Comments]])=0,"",TRIM(stdProdLT(Main[[#This Row],[Comments]]))))</f>
        <v/>
      </c>
      <c r="H657" s="98" t="str">
        <f>IF(Main[[#This Row],[Std. Prod. Lead Time]]="N/A", "",IF(AND(Main[[#This Row],[In Stock Date]]&lt;&gt;"",Main[[#This Row],[Revised Due Date]]&lt;&gt;"",Main[[#This Row],[In Stock Date]]&lt;&gt;""),Main[[#This Row],[In Stock Date]]-Main[[#This Row],[Revised Due Date]],""))</f>
        <v/>
      </c>
      <c r="I657" s="110" t="s">
        <v>4</v>
      </c>
      <c r="J657" s="99" t="s">
        <v>4</v>
      </c>
      <c r="K657" s="99" t="s">
        <v>4</v>
      </c>
      <c r="L657" s="89"/>
      <c r="M657" s="75" t="str">
        <f>IF(Main[[#This Row],[Tech Start Date]]&lt;1/1/1990,"",IF(Main[[#This Row],[Class]]="C",WORKDAY(Main[[#This Row],[Tech Start Date]],9),IF(Main[[#This Row],[Class]]="B", WORKDAY(Main[[#This Row],[Tech Start Date]],6),IF(Main[[#This Row],[Class]]="A",WORKDAY(Main[[#This Row],[Tech Start Date]],2),""))))</f>
        <v/>
      </c>
      <c r="N657" s="75" t="str">
        <f>IF(Main[[#This Row],[Tech Start Date]]&lt;1/1/1990,"",IF(Main[[#This Row],[Class]]="C",WORKDAY(Main[[#This Row],[Tech Start Date]],19),IF(Main[[#This Row],[Class]]="B", WORKDAY(Main[[#This Row],[Tech Start Date]],12),IF(Main[[#This Row],[Class]]="A",WORKDAY(Main[[#This Row],[Tech Start Date]],4),""))))</f>
        <v/>
      </c>
      <c r="O657" s="75" t="str">
        <f>IF(Main[[#This Row],[Tech Start Date]]&lt;1/1/1990,"",IF(Main[[#This Row],[Class]]="C",WORKDAY(Main[[#This Row],[Tech Start Date]],23),IF(Main[[#This Row],[Class]]="B", WORKDAY(Main[[#This Row],[Tech Start Date]],15),IF(Main[[#This Row],[Class]]="A",WORKDAY(Main[[#This Row],[Tech Start Date]],5),""))))</f>
        <v/>
      </c>
      <c r="P657" s="75" t="str">
        <f>IF(Main[[#This Row],[Tech Start Date]]&lt;1/1/1990,"",IF(Main[[#This Row],[Class]]="C",WORKDAY(Main[[#This Row],[Tech Start Date]],28),IF(Main[[#This Row],[Class]]="B", WORKDAY(Main[[#This Row],[Tech Start Date]],19),IF(Main[[#This Row],[Class]]="A",WORKDAY(Main[[#This Row],[Tech Start Date]],9),""))))</f>
        <v/>
      </c>
      <c r="Q657" s="89">
        <v>40164</v>
      </c>
      <c r="R657" s="121"/>
      <c r="S657" s="99" t="s">
        <v>11</v>
      </c>
      <c r="T657" s="76" t="s">
        <v>4</v>
      </c>
      <c r="U657" s="99" t="s">
        <v>14</v>
      </c>
      <c r="V657" s="99" t="s">
        <v>1916</v>
      </c>
      <c r="W657" s="99" t="s">
        <v>1919</v>
      </c>
      <c r="X657" s="99" t="s">
        <v>2857</v>
      </c>
      <c r="Y657" s="73" t="s">
        <v>4</v>
      </c>
      <c r="Z657" s="73" t="s">
        <v>4</v>
      </c>
      <c r="AA657" s="99" t="s">
        <v>2857</v>
      </c>
    </row>
    <row r="658" spans="1:27" ht="17.25" customHeight="1">
      <c r="A658" s="65" t="str">
        <f>IF(priority(Main[[#This Row],[Comments]])&lt;&gt;0, priority(Main[[#This Row],[Comments]]),"")</f>
        <v/>
      </c>
      <c r="B658" s="60" t="s">
        <v>1144</v>
      </c>
      <c r="C658" s="105" t="s">
        <v>4</v>
      </c>
      <c r="D658" s="74" t="s">
        <v>199</v>
      </c>
      <c r="E658" s="89"/>
      <c r="F658" s="89"/>
      <c r="G658" s="65" t="str">
        <f>IF(stdProdLT(Main[[#This Row],[Comments]])=0.1,"N/A",IF(stdProdLT(Main[[#This Row],[Comments]])=0,"",TRIM(stdProdLT(Main[[#This Row],[Comments]]))))</f>
        <v/>
      </c>
      <c r="H658" s="98" t="str">
        <f>IF(Main[[#This Row],[Std. Prod. Lead Time]]="N/A", "",IF(AND(Main[[#This Row],[In Stock Date]]&lt;&gt;"",Main[[#This Row],[Revised Due Date]]&lt;&gt;"",Main[[#This Row],[In Stock Date]]&lt;&gt;""),Main[[#This Row],[In Stock Date]]-Main[[#This Row],[Revised Due Date]],""))</f>
        <v/>
      </c>
      <c r="I658" s="110" t="s">
        <v>4</v>
      </c>
      <c r="J658" s="99" t="s">
        <v>4</v>
      </c>
      <c r="K658" s="99" t="s">
        <v>4</v>
      </c>
      <c r="L658" s="89"/>
      <c r="M658" s="75" t="str">
        <f>IF(Main[[#This Row],[Tech Start Date]]&lt;1/1/1990,"",IF(Main[[#This Row],[Class]]="C",WORKDAY(Main[[#This Row],[Tech Start Date]],9),IF(Main[[#This Row],[Class]]="B", WORKDAY(Main[[#This Row],[Tech Start Date]],6),IF(Main[[#This Row],[Class]]="A",WORKDAY(Main[[#This Row],[Tech Start Date]],2),""))))</f>
        <v/>
      </c>
      <c r="N658" s="75" t="str">
        <f>IF(Main[[#This Row],[Tech Start Date]]&lt;1/1/1990,"",IF(Main[[#This Row],[Class]]="C",WORKDAY(Main[[#This Row],[Tech Start Date]],19),IF(Main[[#This Row],[Class]]="B", WORKDAY(Main[[#This Row],[Tech Start Date]],12),IF(Main[[#This Row],[Class]]="A",WORKDAY(Main[[#This Row],[Tech Start Date]],4),""))))</f>
        <v/>
      </c>
      <c r="O658" s="75" t="str">
        <f>IF(Main[[#This Row],[Tech Start Date]]&lt;1/1/1990,"",IF(Main[[#This Row],[Class]]="C",WORKDAY(Main[[#This Row],[Tech Start Date]],23),IF(Main[[#This Row],[Class]]="B", WORKDAY(Main[[#This Row],[Tech Start Date]],15),IF(Main[[#This Row],[Class]]="A",WORKDAY(Main[[#This Row],[Tech Start Date]],5),""))))</f>
        <v/>
      </c>
      <c r="P658" s="75" t="str">
        <f>IF(Main[[#This Row],[Tech Start Date]]&lt;1/1/1990,"",IF(Main[[#This Row],[Class]]="C",WORKDAY(Main[[#This Row],[Tech Start Date]],28),IF(Main[[#This Row],[Class]]="B", WORKDAY(Main[[#This Row],[Tech Start Date]],19),IF(Main[[#This Row],[Class]]="A",WORKDAY(Main[[#This Row],[Tech Start Date]],9),""))))</f>
        <v/>
      </c>
      <c r="Q658" s="89">
        <v>40597</v>
      </c>
      <c r="R658" s="121"/>
      <c r="S658" s="99" t="s">
        <v>49</v>
      </c>
      <c r="T658" s="76" t="s">
        <v>4</v>
      </c>
      <c r="U658" s="99" t="s">
        <v>12</v>
      </c>
      <c r="V658" s="99" t="s">
        <v>1914</v>
      </c>
      <c r="W658" s="99" t="s">
        <v>1915</v>
      </c>
      <c r="X658" s="99" t="s">
        <v>561</v>
      </c>
      <c r="Y658" s="73" t="s">
        <v>3050</v>
      </c>
      <c r="Z658" s="73" t="s">
        <v>4</v>
      </c>
      <c r="AA658" s="99" t="s">
        <v>561</v>
      </c>
    </row>
    <row r="659" spans="1:27" ht="17.25" customHeight="1">
      <c r="A659" s="65" t="str">
        <f>IF(priority(Main[[#This Row],[Comments]])&lt;&gt;0, priority(Main[[#This Row],[Comments]]),"")</f>
        <v/>
      </c>
      <c r="B659" s="60" t="s">
        <v>1541</v>
      </c>
      <c r="C659" s="105" t="s">
        <v>4</v>
      </c>
      <c r="D659" s="74" t="s">
        <v>575</v>
      </c>
      <c r="E659" s="89"/>
      <c r="F659" s="89"/>
      <c r="G659" s="65" t="str">
        <f>IF(stdProdLT(Main[[#This Row],[Comments]])=0.1,"N/A",IF(stdProdLT(Main[[#This Row],[Comments]])=0,"",TRIM(stdProdLT(Main[[#This Row],[Comments]]))))</f>
        <v/>
      </c>
      <c r="H659" s="98" t="str">
        <f>IF(Main[[#This Row],[Std. Prod. Lead Time]]="N/A", "",IF(AND(Main[[#This Row],[In Stock Date]]&lt;&gt;"",Main[[#This Row],[Revised Due Date]]&lt;&gt;"",Main[[#This Row],[In Stock Date]]&lt;&gt;""),Main[[#This Row],[In Stock Date]]-Main[[#This Row],[Revised Due Date]],""))</f>
        <v/>
      </c>
      <c r="I659" s="110" t="s">
        <v>4</v>
      </c>
      <c r="J659" s="99" t="s">
        <v>4</v>
      </c>
      <c r="K659" s="99" t="s">
        <v>4</v>
      </c>
      <c r="L659" s="89"/>
      <c r="M659" s="75" t="str">
        <f>IF(Main[[#This Row],[Tech Start Date]]&lt;1/1/1990,"",IF(Main[[#This Row],[Class]]="C",WORKDAY(Main[[#This Row],[Tech Start Date]],9),IF(Main[[#This Row],[Class]]="B", WORKDAY(Main[[#This Row],[Tech Start Date]],6),IF(Main[[#This Row],[Class]]="A",WORKDAY(Main[[#This Row],[Tech Start Date]],2),""))))</f>
        <v/>
      </c>
      <c r="N659" s="75" t="str">
        <f>IF(Main[[#This Row],[Tech Start Date]]&lt;1/1/1990,"",IF(Main[[#This Row],[Class]]="C",WORKDAY(Main[[#This Row],[Tech Start Date]],19),IF(Main[[#This Row],[Class]]="B", WORKDAY(Main[[#This Row],[Tech Start Date]],12),IF(Main[[#This Row],[Class]]="A",WORKDAY(Main[[#This Row],[Tech Start Date]],4),""))))</f>
        <v/>
      </c>
      <c r="O659" s="75" t="str">
        <f>IF(Main[[#This Row],[Tech Start Date]]&lt;1/1/1990,"",IF(Main[[#This Row],[Class]]="C",WORKDAY(Main[[#This Row],[Tech Start Date]],23),IF(Main[[#This Row],[Class]]="B", WORKDAY(Main[[#This Row],[Tech Start Date]],15),IF(Main[[#This Row],[Class]]="A",WORKDAY(Main[[#This Row],[Tech Start Date]],5),""))))</f>
        <v/>
      </c>
      <c r="P659" s="75" t="str">
        <f>IF(Main[[#This Row],[Tech Start Date]]&lt;1/1/1990,"",IF(Main[[#This Row],[Class]]="C",WORKDAY(Main[[#This Row],[Tech Start Date]],28),IF(Main[[#This Row],[Class]]="B", WORKDAY(Main[[#This Row],[Tech Start Date]],19),IF(Main[[#This Row],[Class]]="A",WORKDAY(Main[[#This Row],[Tech Start Date]],9),""))))</f>
        <v/>
      </c>
      <c r="Q659" s="89">
        <v>40165</v>
      </c>
      <c r="R659" s="121"/>
      <c r="S659" s="99" t="s">
        <v>11</v>
      </c>
      <c r="T659" s="76" t="s">
        <v>4</v>
      </c>
      <c r="U659" s="99" t="s">
        <v>14</v>
      </c>
      <c r="V659" s="99" t="s">
        <v>1914</v>
      </c>
      <c r="W659" s="99" t="s">
        <v>1918</v>
      </c>
      <c r="X659" s="99" t="s">
        <v>2049</v>
      </c>
      <c r="Y659" s="73" t="s">
        <v>3052</v>
      </c>
      <c r="Z659" s="73" t="s">
        <v>4</v>
      </c>
      <c r="AA659" s="99" t="s">
        <v>2049</v>
      </c>
    </row>
    <row r="660" spans="1:27" ht="17.25" customHeight="1">
      <c r="A660" s="65" t="str">
        <f>IF(priority(Main[[#This Row],[Comments]])&lt;&gt;0, priority(Main[[#This Row],[Comments]]),"")</f>
        <v/>
      </c>
      <c r="B660" s="60" t="s">
        <v>1815</v>
      </c>
      <c r="C660" s="105" t="s">
        <v>72</v>
      </c>
      <c r="D660" s="74" t="s">
        <v>866</v>
      </c>
      <c r="E660" s="89"/>
      <c r="F660" s="89">
        <v>40148</v>
      </c>
      <c r="G660" s="65" t="str">
        <f>IF(stdProdLT(Main[[#This Row],[Comments]])=0.1,"N/A",IF(stdProdLT(Main[[#This Row],[Comments]])=0,"",TRIM(stdProdLT(Main[[#This Row],[Comments]]))))</f>
        <v/>
      </c>
      <c r="H660" s="98">
        <f>IF(Main[[#This Row],[Std. Prod. Lead Time]]="N/A", "",IF(AND(Main[[#This Row],[In Stock Date]]&lt;&gt;"",Main[[#This Row],[Revised Due Date]]&lt;&gt;"",Main[[#This Row],[In Stock Date]]&lt;&gt;""),Main[[#This Row],[In Stock Date]]-Main[[#This Row],[Revised Due Date]],""))</f>
        <v>-143</v>
      </c>
      <c r="I660" s="110" t="s">
        <v>4</v>
      </c>
      <c r="J660" s="99" t="s">
        <v>4</v>
      </c>
      <c r="K660" s="99" t="s">
        <v>4</v>
      </c>
      <c r="L660" s="89"/>
      <c r="M660" s="75" t="str">
        <f>IF(Main[[#This Row],[Tech Start Date]]&lt;1/1/1990,"",IF(Main[[#This Row],[Class]]="C",WORKDAY(Main[[#This Row],[Tech Start Date]],9),IF(Main[[#This Row],[Class]]="B", WORKDAY(Main[[#This Row],[Tech Start Date]],6),IF(Main[[#This Row],[Class]]="A",WORKDAY(Main[[#This Row],[Tech Start Date]],2),""))))</f>
        <v/>
      </c>
      <c r="N660" s="75" t="str">
        <f>IF(Main[[#This Row],[Tech Start Date]]&lt;1/1/1990,"",IF(Main[[#This Row],[Class]]="C",WORKDAY(Main[[#This Row],[Tech Start Date]],19),IF(Main[[#This Row],[Class]]="B", WORKDAY(Main[[#This Row],[Tech Start Date]],12),IF(Main[[#This Row],[Class]]="A",WORKDAY(Main[[#This Row],[Tech Start Date]],4),""))))</f>
        <v/>
      </c>
      <c r="O660" s="75" t="str">
        <f>IF(Main[[#This Row],[Tech Start Date]]&lt;1/1/1990,"",IF(Main[[#This Row],[Class]]="C",WORKDAY(Main[[#This Row],[Tech Start Date]],23),IF(Main[[#This Row],[Class]]="B", WORKDAY(Main[[#This Row],[Tech Start Date]],15),IF(Main[[#This Row],[Class]]="A",WORKDAY(Main[[#This Row],[Tech Start Date]],5),""))))</f>
        <v/>
      </c>
      <c r="P660" s="75" t="str">
        <f>IF(Main[[#This Row],[Tech Start Date]]&lt;1/1/1990,"",IF(Main[[#This Row],[Class]]="C",WORKDAY(Main[[#This Row],[Tech Start Date]],28),IF(Main[[#This Row],[Class]]="B", WORKDAY(Main[[#This Row],[Tech Start Date]],19),IF(Main[[#This Row],[Class]]="A",WORKDAY(Main[[#This Row],[Tech Start Date]],9),""))))</f>
        <v/>
      </c>
      <c r="Q660" s="89">
        <v>40080</v>
      </c>
      <c r="R660" s="121">
        <v>40291</v>
      </c>
      <c r="S660" s="99" t="s">
        <v>6</v>
      </c>
      <c r="T660" s="76" t="s">
        <v>4</v>
      </c>
      <c r="U660" s="99" t="s">
        <v>14</v>
      </c>
      <c r="V660" s="99" t="s">
        <v>1914</v>
      </c>
      <c r="W660" s="99" t="s">
        <v>1921</v>
      </c>
      <c r="X660" s="99" t="s">
        <v>2818</v>
      </c>
      <c r="Y660" s="73" t="s">
        <v>2937</v>
      </c>
      <c r="Z660" s="73" t="s">
        <v>4</v>
      </c>
      <c r="AA660" s="99" t="s">
        <v>2818</v>
      </c>
    </row>
    <row r="661" spans="1:27" ht="17.25" customHeight="1">
      <c r="A661" s="65" t="str">
        <f>IF(priority(Main[[#This Row],[Comments]])&lt;&gt;0, priority(Main[[#This Row],[Comments]]),"")</f>
        <v/>
      </c>
      <c r="B661" s="60" t="s">
        <v>1489</v>
      </c>
      <c r="C661" s="105" t="s">
        <v>4</v>
      </c>
      <c r="D661" s="74" t="s">
        <v>620</v>
      </c>
      <c r="E661" s="89">
        <v>40549.433692129627</v>
      </c>
      <c r="F661" s="89"/>
      <c r="G661" s="65" t="str">
        <f>IF(stdProdLT(Main[[#This Row],[Comments]])=0.1,"N/A",IF(stdProdLT(Main[[#This Row],[Comments]])=0,"",TRIM(stdProdLT(Main[[#This Row],[Comments]]))))</f>
        <v/>
      </c>
      <c r="H661" s="98" t="str">
        <f>IF(Main[[#This Row],[Std. Prod. Lead Time]]="N/A", "",IF(AND(Main[[#This Row],[In Stock Date]]&lt;&gt;"",Main[[#This Row],[Revised Due Date]]&lt;&gt;"",Main[[#This Row],[In Stock Date]]&lt;&gt;""),Main[[#This Row],[In Stock Date]]-Main[[#This Row],[Revised Due Date]],""))</f>
        <v/>
      </c>
      <c r="I661" s="110" t="s">
        <v>4</v>
      </c>
      <c r="J661" s="99" t="s">
        <v>4</v>
      </c>
      <c r="K661" s="99" t="s">
        <v>4</v>
      </c>
      <c r="L661" s="89"/>
      <c r="M661" s="75" t="str">
        <f>IF(Main[[#This Row],[Tech Start Date]]&lt;1/1/1990,"",IF(Main[[#This Row],[Class]]="C",WORKDAY(Main[[#This Row],[Tech Start Date]],9),IF(Main[[#This Row],[Class]]="B", WORKDAY(Main[[#This Row],[Tech Start Date]],6),IF(Main[[#This Row],[Class]]="A",WORKDAY(Main[[#This Row],[Tech Start Date]],2),""))))</f>
        <v/>
      </c>
      <c r="N661" s="75" t="str">
        <f>IF(Main[[#This Row],[Tech Start Date]]&lt;1/1/1990,"",IF(Main[[#This Row],[Class]]="C",WORKDAY(Main[[#This Row],[Tech Start Date]],19),IF(Main[[#This Row],[Class]]="B", WORKDAY(Main[[#This Row],[Tech Start Date]],12),IF(Main[[#This Row],[Class]]="A",WORKDAY(Main[[#This Row],[Tech Start Date]],4),""))))</f>
        <v/>
      </c>
      <c r="O661" s="75" t="str">
        <f>IF(Main[[#This Row],[Tech Start Date]]&lt;1/1/1990,"",IF(Main[[#This Row],[Class]]="C",WORKDAY(Main[[#This Row],[Tech Start Date]],23),IF(Main[[#This Row],[Class]]="B", WORKDAY(Main[[#This Row],[Tech Start Date]],15),IF(Main[[#This Row],[Class]]="A",WORKDAY(Main[[#This Row],[Tech Start Date]],5),""))))</f>
        <v/>
      </c>
      <c r="P661" s="75" t="str">
        <f>IF(Main[[#This Row],[Tech Start Date]]&lt;1/1/1990,"",IF(Main[[#This Row],[Class]]="C",WORKDAY(Main[[#This Row],[Tech Start Date]],28),IF(Main[[#This Row],[Class]]="B", WORKDAY(Main[[#This Row],[Tech Start Date]],19),IF(Main[[#This Row],[Class]]="A",WORKDAY(Main[[#This Row],[Tech Start Date]],9),""))))</f>
        <v/>
      </c>
      <c r="Q661" s="89">
        <v>40577</v>
      </c>
      <c r="R661" s="121"/>
      <c r="S661" s="99" t="s">
        <v>6</v>
      </c>
      <c r="T661" s="76" t="s">
        <v>4</v>
      </c>
      <c r="U661" s="99" t="s">
        <v>7</v>
      </c>
      <c r="V661" s="99" t="s">
        <v>1913</v>
      </c>
      <c r="W661" s="99" t="s">
        <v>1915</v>
      </c>
      <c r="X661" s="99" t="s">
        <v>2815</v>
      </c>
      <c r="Y661" s="73" t="s">
        <v>2930</v>
      </c>
      <c r="Z661" s="73" t="s">
        <v>4</v>
      </c>
      <c r="AA661" s="99" t="s">
        <v>2815</v>
      </c>
    </row>
    <row r="662" spans="1:27" ht="17.25" customHeight="1">
      <c r="A662" s="65" t="str">
        <f>IF(priority(Main[[#This Row],[Comments]])&lt;&gt;0, priority(Main[[#This Row],[Comments]]),"")</f>
        <v/>
      </c>
      <c r="B662" s="60" t="s">
        <v>1490</v>
      </c>
      <c r="C662" s="105" t="s">
        <v>4</v>
      </c>
      <c r="D662" s="74" t="s">
        <v>621</v>
      </c>
      <c r="E662" s="89">
        <v>40371.36078703704</v>
      </c>
      <c r="F662" s="89"/>
      <c r="G662" s="65" t="str">
        <f>IF(stdProdLT(Main[[#This Row],[Comments]])=0.1,"N/A",IF(stdProdLT(Main[[#This Row],[Comments]])=0,"",TRIM(stdProdLT(Main[[#This Row],[Comments]]))))</f>
        <v/>
      </c>
      <c r="H662" s="98" t="str">
        <f>IF(Main[[#This Row],[Std. Prod. Lead Time]]="N/A", "",IF(AND(Main[[#This Row],[In Stock Date]]&lt;&gt;"",Main[[#This Row],[Revised Due Date]]&lt;&gt;"",Main[[#This Row],[In Stock Date]]&lt;&gt;""),Main[[#This Row],[In Stock Date]]-Main[[#This Row],[Revised Due Date]],""))</f>
        <v/>
      </c>
      <c r="I662" s="110" t="s">
        <v>4</v>
      </c>
      <c r="J662" s="99" t="s">
        <v>4</v>
      </c>
      <c r="K662" s="99" t="s">
        <v>4</v>
      </c>
      <c r="L662" s="89"/>
      <c r="M662" s="75" t="str">
        <f>IF(Main[[#This Row],[Tech Start Date]]&lt;1/1/1990,"",IF(Main[[#This Row],[Class]]="C",WORKDAY(Main[[#This Row],[Tech Start Date]],9),IF(Main[[#This Row],[Class]]="B", WORKDAY(Main[[#This Row],[Tech Start Date]],6),IF(Main[[#This Row],[Class]]="A",WORKDAY(Main[[#This Row],[Tech Start Date]],2),""))))</f>
        <v/>
      </c>
      <c r="N662" s="75" t="str">
        <f>IF(Main[[#This Row],[Tech Start Date]]&lt;1/1/1990,"",IF(Main[[#This Row],[Class]]="C",WORKDAY(Main[[#This Row],[Tech Start Date]],19),IF(Main[[#This Row],[Class]]="B", WORKDAY(Main[[#This Row],[Tech Start Date]],12),IF(Main[[#This Row],[Class]]="A",WORKDAY(Main[[#This Row],[Tech Start Date]],4),""))))</f>
        <v/>
      </c>
      <c r="O662" s="75" t="str">
        <f>IF(Main[[#This Row],[Tech Start Date]]&lt;1/1/1990,"",IF(Main[[#This Row],[Class]]="C",WORKDAY(Main[[#This Row],[Tech Start Date]],23),IF(Main[[#This Row],[Class]]="B", WORKDAY(Main[[#This Row],[Tech Start Date]],15),IF(Main[[#This Row],[Class]]="A",WORKDAY(Main[[#This Row],[Tech Start Date]],5),""))))</f>
        <v/>
      </c>
      <c r="P662" s="75" t="str">
        <f>IF(Main[[#This Row],[Tech Start Date]]&lt;1/1/1990,"",IF(Main[[#This Row],[Class]]="C",WORKDAY(Main[[#This Row],[Tech Start Date]],28),IF(Main[[#This Row],[Class]]="B", WORKDAY(Main[[#This Row],[Tech Start Date]],19),IF(Main[[#This Row],[Class]]="A",WORKDAY(Main[[#This Row],[Tech Start Date]],9),""))))</f>
        <v/>
      </c>
      <c r="Q662" s="89">
        <v>40385</v>
      </c>
      <c r="R662" s="121"/>
      <c r="S662" s="99" t="s">
        <v>6</v>
      </c>
      <c r="T662" s="76" t="s">
        <v>4</v>
      </c>
      <c r="U662" s="99" t="s">
        <v>7</v>
      </c>
      <c r="V662" s="99" t="s">
        <v>1913</v>
      </c>
      <c r="W662" s="99" t="s">
        <v>1915</v>
      </c>
      <c r="X662" s="99" t="s">
        <v>102</v>
      </c>
      <c r="Y662" s="73" t="s">
        <v>3026</v>
      </c>
      <c r="Z662" s="73" t="s">
        <v>4</v>
      </c>
      <c r="AA662" s="99" t="s">
        <v>3389</v>
      </c>
    </row>
    <row r="663" spans="1:27" ht="17.25" customHeight="1">
      <c r="A663" s="65" t="str">
        <f>IF(priority(Main[[#This Row],[Comments]])&lt;&gt;0, priority(Main[[#This Row],[Comments]]),"")</f>
        <v/>
      </c>
      <c r="B663" s="60" t="s">
        <v>1491</v>
      </c>
      <c r="C663" s="105" t="s">
        <v>622</v>
      </c>
      <c r="D663" s="74" t="s">
        <v>623</v>
      </c>
      <c r="E663" s="89"/>
      <c r="F663" s="89">
        <v>40396</v>
      </c>
      <c r="G663" s="65" t="str">
        <f>IF(stdProdLT(Main[[#This Row],[Comments]])=0.1,"N/A",IF(stdProdLT(Main[[#This Row],[Comments]])=0,"",TRIM(stdProdLT(Main[[#This Row],[Comments]]))))</f>
        <v/>
      </c>
      <c r="H663" s="98" t="str">
        <f>IF(Main[[#This Row],[Std. Prod. Lead Time]]="N/A", "",IF(AND(Main[[#This Row],[In Stock Date]]&lt;&gt;"",Main[[#This Row],[Revised Due Date]]&lt;&gt;"",Main[[#This Row],[In Stock Date]]&lt;&gt;""),Main[[#This Row],[In Stock Date]]-Main[[#This Row],[Revised Due Date]],""))</f>
        <v/>
      </c>
      <c r="I663" s="110" t="s">
        <v>4</v>
      </c>
      <c r="J663" s="99" t="s">
        <v>4</v>
      </c>
      <c r="K663" s="100" t="s">
        <v>4</v>
      </c>
      <c r="L663" s="89"/>
      <c r="M663" s="75" t="str">
        <f>IF(Main[[#This Row],[Tech Start Date]]&lt;1/1/1990,"",IF(Main[[#This Row],[Class]]="C",WORKDAY(Main[[#This Row],[Tech Start Date]],9),IF(Main[[#This Row],[Class]]="B", WORKDAY(Main[[#This Row],[Tech Start Date]],6),IF(Main[[#This Row],[Class]]="A",WORKDAY(Main[[#This Row],[Tech Start Date]],2),""))))</f>
        <v/>
      </c>
      <c r="N663" s="75" t="str">
        <f>IF(Main[[#This Row],[Tech Start Date]]&lt;1/1/1990,"",IF(Main[[#This Row],[Class]]="C",WORKDAY(Main[[#This Row],[Tech Start Date]],19),IF(Main[[#This Row],[Class]]="B", WORKDAY(Main[[#This Row],[Tech Start Date]],12),IF(Main[[#This Row],[Class]]="A",WORKDAY(Main[[#This Row],[Tech Start Date]],4),""))))</f>
        <v/>
      </c>
      <c r="O663" s="75" t="str">
        <f>IF(Main[[#This Row],[Tech Start Date]]&lt;1/1/1990,"",IF(Main[[#This Row],[Class]]="C",WORKDAY(Main[[#This Row],[Tech Start Date]],23),IF(Main[[#This Row],[Class]]="B", WORKDAY(Main[[#This Row],[Tech Start Date]],15),IF(Main[[#This Row],[Class]]="A",WORKDAY(Main[[#This Row],[Tech Start Date]],5),""))))</f>
        <v/>
      </c>
      <c r="P663" s="75" t="str">
        <f>IF(Main[[#This Row],[Tech Start Date]]&lt;1/1/1990,"",IF(Main[[#This Row],[Class]]="C",WORKDAY(Main[[#This Row],[Tech Start Date]],28),IF(Main[[#This Row],[Class]]="B", WORKDAY(Main[[#This Row],[Tech Start Date]],19),IF(Main[[#This Row],[Class]]="A",WORKDAY(Main[[#This Row],[Tech Start Date]],9),""))))</f>
        <v/>
      </c>
      <c r="Q663" s="89"/>
      <c r="R663" s="121"/>
      <c r="S663" s="99" t="s">
        <v>11</v>
      </c>
      <c r="T663" s="76" t="s">
        <v>4</v>
      </c>
      <c r="U663" s="99" t="s">
        <v>14</v>
      </c>
      <c r="V663" s="99" t="s">
        <v>1913</v>
      </c>
      <c r="W663" s="99" t="s">
        <v>1919</v>
      </c>
      <c r="X663" s="99" t="s">
        <v>2814</v>
      </c>
      <c r="Y663" s="73" t="s">
        <v>3053</v>
      </c>
      <c r="Z663" s="73" t="s">
        <v>4</v>
      </c>
      <c r="AA663" s="99" t="s">
        <v>2814</v>
      </c>
    </row>
    <row r="664" spans="1:27" ht="17.25" customHeight="1">
      <c r="A664" s="65" t="str">
        <f>IF(priority(Main[[#This Row],[Comments]])&lt;&gt;0, priority(Main[[#This Row],[Comments]]),"")</f>
        <v/>
      </c>
      <c r="B664" s="60" t="s">
        <v>1492</v>
      </c>
      <c r="C664" s="105" t="s">
        <v>93</v>
      </c>
      <c r="D664" s="74" t="s">
        <v>624</v>
      </c>
      <c r="E664" s="89"/>
      <c r="F664" s="89">
        <v>40238</v>
      </c>
      <c r="G664" s="65" t="str">
        <f>IF(stdProdLT(Main[[#This Row],[Comments]])=0.1,"N/A",IF(stdProdLT(Main[[#This Row],[Comments]])=0,"",TRIM(stdProdLT(Main[[#This Row],[Comments]]))))</f>
        <v/>
      </c>
      <c r="H664" s="98" t="str">
        <f>IF(Main[[#This Row],[Std. Prod. Lead Time]]="N/A", "",IF(AND(Main[[#This Row],[In Stock Date]]&lt;&gt;"",Main[[#This Row],[Revised Due Date]]&lt;&gt;"",Main[[#This Row],[In Stock Date]]&lt;&gt;""),Main[[#This Row],[In Stock Date]]-Main[[#This Row],[Revised Due Date]],""))</f>
        <v/>
      </c>
      <c r="I664" s="110" t="s">
        <v>4</v>
      </c>
      <c r="J664" s="99" t="s">
        <v>4</v>
      </c>
      <c r="K664" s="100" t="s">
        <v>4</v>
      </c>
      <c r="L664" s="89"/>
      <c r="M664" s="75" t="str">
        <f>IF(Main[[#This Row],[Tech Start Date]]&lt;1/1/1990,"",IF(Main[[#This Row],[Class]]="C",WORKDAY(Main[[#This Row],[Tech Start Date]],9),IF(Main[[#This Row],[Class]]="B", WORKDAY(Main[[#This Row],[Tech Start Date]],6),IF(Main[[#This Row],[Class]]="A",WORKDAY(Main[[#This Row],[Tech Start Date]],2),""))))</f>
        <v/>
      </c>
      <c r="N664" s="75" t="str">
        <f>IF(Main[[#This Row],[Tech Start Date]]&lt;1/1/1990,"",IF(Main[[#This Row],[Class]]="C",WORKDAY(Main[[#This Row],[Tech Start Date]],19),IF(Main[[#This Row],[Class]]="B", WORKDAY(Main[[#This Row],[Tech Start Date]],12),IF(Main[[#This Row],[Class]]="A",WORKDAY(Main[[#This Row],[Tech Start Date]],4),""))))</f>
        <v/>
      </c>
      <c r="O664" s="75" t="str">
        <f>IF(Main[[#This Row],[Tech Start Date]]&lt;1/1/1990,"",IF(Main[[#This Row],[Class]]="C",WORKDAY(Main[[#This Row],[Tech Start Date]],23),IF(Main[[#This Row],[Class]]="B", WORKDAY(Main[[#This Row],[Tech Start Date]],15),IF(Main[[#This Row],[Class]]="A",WORKDAY(Main[[#This Row],[Tech Start Date]],5),""))))</f>
        <v/>
      </c>
      <c r="P664" s="75" t="str">
        <f>IF(Main[[#This Row],[Tech Start Date]]&lt;1/1/1990,"",IF(Main[[#This Row],[Class]]="C",WORKDAY(Main[[#This Row],[Tech Start Date]],28),IF(Main[[#This Row],[Class]]="B", WORKDAY(Main[[#This Row],[Tech Start Date]],19),IF(Main[[#This Row],[Class]]="A",WORKDAY(Main[[#This Row],[Tech Start Date]],9),""))))</f>
        <v/>
      </c>
      <c r="Q664" s="89">
        <v>40173</v>
      </c>
      <c r="R664" s="121"/>
      <c r="S664" s="99" t="s">
        <v>11</v>
      </c>
      <c r="T664" s="76" t="s">
        <v>4</v>
      </c>
      <c r="U664" s="99" t="s">
        <v>14</v>
      </c>
      <c r="V664" s="99" t="s">
        <v>1913</v>
      </c>
      <c r="W664" s="99" t="s">
        <v>1919</v>
      </c>
      <c r="X664" s="99" t="s">
        <v>2865</v>
      </c>
      <c r="Y664" s="73" t="s">
        <v>4</v>
      </c>
      <c r="Z664" s="73" t="s">
        <v>4</v>
      </c>
      <c r="AA664" s="99" t="s">
        <v>2865</v>
      </c>
    </row>
    <row r="665" spans="1:27" ht="17.25" customHeight="1">
      <c r="A665" s="65" t="str">
        <f>IF(priority(Main[[#This Row],[Comments]])&lt;&gt;0, priority(Main[[#This Row],[Comments]]),"")</f>
        <v/>
      </c>
      <c r="B665" s="60" t="s">
        <v>1493</v>
      </c>
      <c r="C665" s="105" t="s">
        <v>4</v>
      </c>
      <c r="D665" s="74" t="s">
        <v>97</v>
      </c>
      <c r="E665" s="89"/>
      <c r="F665" s="89"/>
      <c r="G665" s="65" t="str">
        <f>IF(stdProdLT(Main[[#This Row],[Comments]])=0.1,"N/A",IF(stdProdLT(Main[[#This Row],[Comments]])=0,"",TRIM(stdProdLT(Main[[#This Row],[Comments]]))))</f>
        <v/>
      </c>
      <c r="H665" s="98" t="str">
        <f>IF(Main[[#This Row],[Std. Prod. Lead Time]]="N/A", "",IF(AND(Main[[#This Row],[In Stock Date]]&lt;&gt;"",Main[[#This Row],[Revised Due Date]]&lt;&gt;"",Main[[#This Row],[In Stock Date]]&lt;&gt;""),Main[[#This Row],[In Stock Date]]-Main[[#This Row],[Revised Due Date]],""))</f>
        <v/>
      </c>
      <c r="I665" s="110" t="s">
        <v>4</v>
      </c>
      <c r="J665" s="99" t="s">
        <v>4</v>
      </c>
      <c r="K665" s="100" t="s">
        <v>4</v>
      </c>
      <c r="L665" s="89"/>
      <c r="M665" s="75" t="str">
        <f>IF(Main[[#This Row],[Tech Start Date]]&lt;1/1/1990,"",IF(Main[[#This Row],[Class]]="C",WORKDAY(Main[[#This Row],[Tech Start Date]],9),IF(Main[[#This Row],[Class]]="B", WORKDAY(Main[[#This Row],[Tech Start Date]],6),IF(Main[[#This Row],[Class]]="A",WORKDAY(Main[[#This Row],[Tech Start Date]],2),""))))</f>
        <v/>
      </c>
      <c r="N665" s="75" t="str">
        <f>IF(Main[[#This Row],[Tech Start Date]]&lt;1/1/1990,"",IF(Main[[#This Row],[Class]]="C",WORKDAY(Main[[#This Row],[Tech Start Date]],19),IF(Main[[#This Row],[Class]]="B", WORKDAY(Main[[#This Row],[Tech Start Date]],12),IF(Main[[#This Row],[Class]]="A",WORKDAY(Main[[#This Row],[Tech Start Date]],4),""))))</f>
        <v/>
      </c>
      <c r="O665" s="75" t="str">
        <f>IF(Main[[#This Row],[Tech Start Date]]&lt;1/1/1990,"",IF(Main[[#This Row],[Class]]="C",WORKDAY(Main[[#This Row],[Tech Start Date]],23),IF(Main[[#This Row],[Class]]="B", WORKDAY(Main[[#This Row],[Tech Start Date]],15),IF(Main[[#This Row],[Class]]="A",WORKDAY(Main[[#This Row],[Tech Start Date]],5),""))))</f>
        <v/>
      </c>
      <c r="P665" s="75" t="str">
        <f>IF(Main[[#This Row],[Tech Start Date]]&lt;1/1/1990,"",IF(Main[[#This Row],[Class]]="C",WORKDAY(Main[[#This Row],[Tech Start Date]],28),IF(Main[[#This Row],[Class]]="B", WORKDAY(Main[[#This Row],[Tech Start Date]],19),IF(Main[[#This Row],[Class]]="A",WORKDAY(Main[[#This Row],[Tech Start Date]],9),""))))</f>
        <v/>
      </c>
      <c r="Q665" s="89">
        <v>40858</v>
      </c>
      <c r="R665" s="121"/>
      <c r="S665" s="99" t="s">
        <v>17</v>
      </c>
      <c r="T665" s="76" t="s">
        <v>4</v>
      </c>
      <c r="U665" s="99" t="s">
        <v>14</v>
      </c>
      <c r="V665" s="99" t="s">
        <v>1913</v>
      </c>
      <c r="W665" s="99" t="s">
        <v>1918</v>
      </c>
      <c r="X665" s="99" t="s">
        <v>50</v>
      </c>
      <c r="Y665" s="73" t="s">
        <v>2953</v>
      </c>
      <c r="Z665" s="73" t="s">
        <v>4</v>
      </c>
      <c r="AA665" s="99" t="s">
        <v>2822</v>
      </c>
    </row>
    <row r="666" spans="1:27" ht="17.25" customHeight="1">
      <c r="A666" s="65" t="str">
        <f>IF(priority(Main[[#This Row],[Comments]])&lt;&gt;0, priority(Main[[#This Row],[Comments]]),"")</f>
        <v/>
      </c>
      <c r="B666" s="60" t="s">
        <v>2498</v>
      </c>
      <c r="C666" s="105" t="s">
        <v>2499</v>
      </c>
      <c r="D666" s="74" t="s">
        <v>2658</v>
      </c>
      <c r="E666" s="89"/>
      <c r="F666" s="89"/>
      <c r="G666" s="65" t="str">
        <f>IF(stdProdLT(Main[[#This Row],[Comments]])=0.1,"N/A",IF(stdProdLT(Main[[#This Row],[Comments]])=0,"",TRIM(stdProdLT(Main[[#This Row],[Comments]]))))</f>
        <v/>
      </c>
      <c r="H666" s="98" t="str">
        <f>IF(Main[[#This Row],[Std. Prod. Lead Time]]="N/A", "",IF(AND(Main[[#This Row],[In Stock Date]]&lt;&gt;"",Main[[#This Row],[Revised Due Date]]&lt;&gt;"",Main[[#This Row],[In Stock Date]]&lt;&gt;""),Main[[#This Row],[In Stock Date]]-Main[[#This Row],[Revised Due Date]],""))</f>
        <v/>
      </c>
      <c r="I666" s="110" t="s">
        <v>4</v>
      </c>
      <c r="J666" s="99" t="s">
        <v>4</v>
      </c>
      <c r="K666" s="99" t="s">
        <v>4</v>
      </c>
      <c r="L666" s="89"/>
      <c r="M666" s="75" t="str">
        <f>IF(Main[[#This Row],[Tech Start Date]]&lt;1/1/1990,"",IF(Main[[#This Row],[Class]]="C",WORKDAY(Main[[#This Row],[Tech Start Date]],9),IF(Main[[#This Row],[Class]]="B", WORKDAY(Main[[#This Row],[Tech Start Date]],6),IF(Main[[#This Row],[Class]]="A",WORKDAY(Main[[#This Row],[Tech Start Date]],2),""))))</f>
        <v/>
      </c>
      <c r="N666" s="75" t="str">
        <f>IF(Main[[#This Row],[Tech Start Date]]&lt;1/1/1990,"",IF(Main[[#This Row],[Class]]="C",WORKDAY(Main[[#This Row],[Tech Start Date]],19),IF(Main[[#This Row],[Class]]="B", WORKDAY(Main[[#This Row],[Tech Start Date]],12),IF(Main[[#This Row],[Class]]="A",WORKDAY(Main[[#This Row],[Tech Start Date]],4),""))))</f>
        <v/>
      </c>
      <c r="O666" s="75" t="str">
        <f>IF(Main[[#This Row],[Tech Start Date]]&lt;1/1/1990,"",IF(Main[[#This Row],[Class]]="C",WORKDAY(Main[[#This Row],[Tech Start Date]],23),IF(Main[[#This Row],[Class]]="B", WORKDAY(Main[[#This Row],[Tech Start Date]],15),IF(Main[[#This Row],[Class]]="A",WORKDAY(Main[[#This Row],[Tech Start Date]],5),""))))</f>
        <v/>
      </c>
      <c r="P666" s="75" t="str">
        <f>IF(Main[[#This Row],[Tech Start Date]]&lt;1/1/1990,"",IF(Main[[#This Row],[Class]]="C",WORKDAY(Main[[#This Row],[Tech Start Date]],28),IF(Main[[#This Row],[Class]]="B", WORKDAY(Main[[#This Row],[Tech Start Date]],19),IF(Main[[#This Row],[Class]]="A",WORKDAY(Main[[#This Row],[Tech Start Date]],9),""))))</f>
        <v/>
      </c>
      <c r="Q666" s="89">
        <v>40875</v>
      </c>
      <c r="R666" s="121"/>
      <c r="S666" s="99" t="s">
        <v>11</v>
      </c>
      <c r="T666" s="76" t="s">
        <v>2659</v>
      </c>
      <c r="U666" s="99" t="s">
        <v>14</v>
      </c>
      <c r="V666" s="99" t="s">
        <v>1916</v>
      </c>
      <c r="W666" s="99" t="s">
        <v>1921</v>
      </c>
      <c r="X666" s="99" t="s">
        <v>2905</v>
      </c>
      <c r="Y666" s="73" t="s">
        <v>3122</v>
      </c>
      <c r="Z666" s="73" t="s">
        <v>4</v>
      </c>
      <c r="AA666" s="99" t="s">
        <v>3454</v>
      </c>
    </row>
    <row r="667" spans="1:27" ht="17.25" customHeight="1">
      <c r="A667" s="65" t="str">
        <f>IF(priority(Main[[#This Row],[Comments]])&lt;&gt;0, priority(Main[[#This Row],[Comments]]),"")</f>
        <v/>
      </c>
      <c r="B667" s="60" t="s">
        <v>1494</v>
      </c>
      <c r="C667" s="105" t="s">
        <v>4</v>
      </c>
      <c r="D667" s="74" t="s">
        <v>39</v>
      </c>
      <c r="E667" s="89"/>
      <c r="F667" s="89"/>
      <c r="G667" s="65" t="str">
        <f>IF(stdProdLT(Main[[#This Row],[Comments]])=0.1,"N/A",IF(stdProdLT(Main[[#This Row],[Comments]])=0,"",TRIM(stdProdLT(Main[[#This Row],[Comments]]))))</f>
        <v/>
      </c>
      <c r="H667" s="98" t="str">
        <f>IF(Main[[#This Row],[Std. Prod. Lead Time]]="N/A", "",IF(AND(Main[[#This Row],[In Stock Date]]&lt;&gt;"",Main[[#This Row],[Revised Due Date]]&lt;&gt;"",Main[[#This Row],[In Stock Date]]&lt;&gt;""),Main[[#This Row],[In Stock Date]]-Main[[#This Row],[Revised Due Date]],""))</f>
        <v/>
      </c>
      <c r="I667" s="110" t="s">
        <v>4</v>
      </c>
      <c r="J667" s="99" t="s">
        <v>4</v>
      </c>
      <c r="K667" s="99" t="s">
        <v>4</v>
      </c>
      <c r="L667" s="89"/>
      <c r="M667" s="75" t="str">
        <f>IF(Main[[#This Row],[Tech Start Date]]&lt;1/1/1990,"",IF(Main[[#This Row],[Class]]="C",WORKDAY(Main[[#This Row],[Tech Start Date]],9),IF(Main[[#This Row],[Class]]="B", WORKDAY(Main[[#This Row],[Tech Start Date]],6),IF(Main[[#This Row],[Class]]="A",WORKDAY(Main[[#This Row],[Tech Start Date]],2),""))))</f>
        <v/>
      </c>
      <c r="N667" s="75" t="str">
        <f>IF(Main[[#This Row],[Tech Start Date]]&lt;1/1/1990,"",IF(Main[[#This Row],[Class]]="C",WORKDAY(Main[[#This Row],[Tech Start Date]],19),IF(Main[[#This Row],[Class]]="B", WORKDAY(Main[[#This Row],[Tech Start Date]],12),IF(Main[[#This Row],[Class]]="A",WORKDAY(Main[[#This Row],[Tech Start Date]],4),""))))</f>
        <v/>
      </c>
      <c r="O667" s="75" t="str">
        <f>IF(Main[[#This Row],[Tech Start Date]]&lt;1/1/1990,"",IF(Main[[#This Row],[Class]]="C",WORKDAY(Main[[#This Row],[Tech Start Date]],23),IF(Main[[#This Row],[Class]]="B", WORKDAY(Main[[#This Row],[Tech Start Date]],15),IF(Main[[#This Row],[Class]]="A",WORKDAY(Main[[#This Row],[Tech Start Date]],5),""))))</f>
        <v/>
      </c>
      <c r="P667" s="75" t="str">
        <f>IF(Main[[#This Row],[Tech Start Date]]&lt;1/1/1990,"",IF(Main[[#This Row],[Class]]="C",WORKDAY(Main[[#This Row],[Tech Start Date]],28),IF(Main[[#This Row],[Class]]="B", WORKDAY(Main[[#This Row],[Tech Start Date]],19),IF(Main[[#This Row],[Class]]="A",WORKDAY(Main[[#This Row],[Tech Start Date]],9),""))))</f>
        <v/>
      </c>
      <c r="Q667" s="89">
        <v>40669</v>
      </c>
      <c r="R667" s="121"/>
      <c r="S667" s="99" t="s">
        <v>6</v>
      </c>
      <c r="T667" s="76" t="s">
        <v>4</v>
      </c>
      <c r="U667" s="99" t="s">
        <v>14</v>
      </c>
      <c r="V667" s="99" t="s">
        <v>1916</v>
      </c>
      <c r="W667" s="99" t="s">
        <v>4</v>
      </c>
      <c r="X667" s="99" t="s">
        <v>2812</v>
      </c>
      <c r="Y667" s="73" t="s">
        <v>2923</v>
      </c>
      <c r="Z667" s="73" t="s">
        <v>4</v>
      </c>
      <c r="AA667" s="99" t="s">
        <v>2812</v>
      </c>
    </row>
    <row r="668" spans="1:27" ht="17.25" customHeight="1">
      <c r="A668" s="65" t="str">
        <f>IF(priority(Main[[#This Row],[Comments]])&lt;&gt;0, priority(Main[[#This Row],[Comments]]),"")</f>
        <v/>
      </c>
      <c r="B668" s="60" t="s">
        <v>1495</v>
      </c>
      <c r="C668" s="105" t="s">
        <v>4</v>
      </c>
      <c r="D668" s="74" t="s">
        <v>598</v>
      </c>
      <c r="E668" s="89"/>
      <c r="F668" s="89"/>
      <c r="G668" s="65" t="str">
        <f>IF(stdProdLT(Main[[#This Row],[Comments]])=0.1,"N/A",IF(stdProdLT(Main[[#This Row],[Comments]])=0,"",TRIM(stdProdLT(Main[[#This Row],[Comments]]))))</f>
        <v/>
      </c>
      <c r="H668" s="98" t="str">
        <f>IF(Main[[#This Row],[Std. Prod. Lead Time]]="N/A", "",IF(AND(Main[[#This Row],[In Stock Date]]&lt;&gt;"",Main[[#This Row],[Revised Due Date]]&lt;&gt;"",Main[[#This Row],[In Stock Date]]&lt;&gt;""),Main[[#This Row],[In Stock Date]]-Main[[#This Row],[Revised Due Date]],""))</f>
        <v/>
      </c>
      <c r="I668" s="110" t="s">
        <v>4</v>
      </c>
      <c r="J668" s="99" t="s">
        <v>28</v>
      </c>
      <c r="K668" s="99" t="s">
        <v>4</v>
      </c>
      <c r="L668" s="89"/>
      <c r="M668" s="75" t="str">
        <f>IF(Main[[#This Row],[Tech Start Date]]&lt;1/1/1990,"",IF(Main[[#This Row],[Class]]="C",WORKDAY(Main[[#This Row],[Tech Start Date]],9),IF(Main[[#This Row],[Class]]="B", WORKDAY(Main[[#This Row],[Tech Start Date]],6),IF(Main[[#This Row],[Class]]="A",WORKDAY(Main[[#This Row],[Tech Start Date]],2),""))))</f>
        <v/>
      </c>
      <c r="N668" s="75" t="str">
        <f>IF(Main[[#This Row],[Tech Start Date]]&lt;1/1/1990,"",IF(Main[[#This Row],[Class]]="C",WORKDAY(Main[[#This Row],[Tech Start Date]],19),IF(Main[[#This Row],[Class]]="B", WORKDAY(Main[[#This Row],[Tech Start Date]],12),IF(Main[[#This Row],[Class]]="A",WORKDAY(Main[[#This Row],[Tech Start Date]],4),""))))</f>
        <v/>
      </c>
      <c r="O668" s="75" t="str">
        <f>IF(Main[[#This Row],[Tech Start Date]]&lt;1/1/1990,"",IF(Main[[#This Row],[Class]]="C",WORKDAY(Main[[#This Row],[Tech Start Date]],23),IF(Main[[#This Row],[Class]]="B", WORKDAY(Main[[#This Row],[Tech Start Date]],15),IF(Main[[#This Row],[Class]]="A",WORKDAY(Main[[#This Row],[Tech Start Date]],5),""))))</f>
        <v/>
      </c>
      <c r="P668" s="75" t="str">
        <f>IF(Main[[#This Row],[Tech Start Date]]&lt;1/1/1990,"",IF(Main[[#This Row],[Class]]="C",WORKDAY(Main[[#This Row],[Tech Start Date]],28),IF(Main[[#This Row],[Class]]="B", WORKDAY(Main[[#This Row],[Tech Start Date]],19),IF(Main[[#This Row],[Class]]="A",WORKDAY(Main[[#This Row],[Tech Start Date]],9),""))))</f>
        <v/>
      </c>
      <c r="Q668" s="89">
        <v>40482</v>
      </c>
      <c r="R668" s="121"/>
      <c r="S668" s="99" t="s">
        <v>6</v>
      </c>
      <c r="T668" s="76" t="s">
        <v>4</v>
      </c>
      <c r="U668" s="99" t="s">
        <v>14</v>
      </c>
      <c r="V668" s="99" t="s">
        <v>1916</v>
      </c>
      <c r="W668" s="99" t="s">
        <v>1917</v>
      </c>
      <c r="X668" s="99" t="s">
        <v>2881</v>
      </c>
      <c r="Y668" s="73" t="s">
        <v>3037</v>
      </c>
      <c r="Z668" s="73" t="s">
        <v>530</v>
      </c>
      <c r="AA668" s="99" t="s">
        <v>2881</v>
      </c>
    </row>
    <row r="669" spans="1:27" ht="17.25" customHeight="1">
      <c r="A669" s="65" t="str">
        <f>IF(priority(Main[[#This Row],[Comments]])&lt;&gt;0, priority(Main[[#This Row],[Comments]]),"")</f>
        <v/>
      </c>
      <c r="B669" s="60" t="s">
        <v>2088</v>
      </c>
      <c r="C669" s="105" t="s">
        <v>4</v>
      </c>
      <c r="D669" s="74" t="s">
        <v>2089</v>
      </c>
      <c r="E669" s="89"/>
      <c r="F669" s="89"/>
      <c r="G669" s="65" t="str">
        <f>IF(stdProdLT(Main[[#This Row],[Comments]])=0.1,"N/A",IF(stdProdLT(Main[[#This Row],[Comments]])=0,"",TRIM(stdProdLT(Main[[#This Row],[Comments]]))))</f>
        <v/>
      </c>
      <c r="H669" s="98" t="str">
        <f>IF(Main[[#This Row],[Std. Prod. Lead Time]]="N/A", "",IF(AND(Main[[#This Row],[In Stock Date]]&lt;&gt;"",Main[[#This Row],[Revised Due Date]]&lt;&gt;"",Main[[#This Row],[In Stock Date]]&lt;&gt;""),Main[[#This Row],[In Stock Date]]-Main[[#This Row],[Revised Due Date]],""))</f>
        <v/>
      </c>
      <c r="I669" s="110" t="s">
        <v>4</v>
      </c>
      <c r="J669" s="99" t="s">
        <v>4</v>
      </c>
      <c r="K669" s="99" t="s">
        <v>4</v>
      </c>
      <c r="L669" s="89"/>
      <c r="M669" s="75" t="str">
        <f>IF(Main[[#This Row],[Tech Start Date]]&lt;1/1/1990,"",IF(Main[[#This Row],[Class]]="C",WORKDAY(Main[[#This Row],[Tech Start Date]],9),IF(Main[[#This Row],[Class]]="B", WORKDAY(Main[[#This Row],[Tech Start Date]],6),IF(Main[[#This Row],[Class]]="A",WORKDAY(Main[[#This Row],[Tech Start Date]],2),""))))</f>
        <v/>
      </c>
      <c r="N669" s="75" t="str">
        <f>IF(Main[[#This Row],[Tech Start Date]]&lt;1/1/1990,"",IF(Main[[#This Row],[Class]]="C",WORKDAY(Main[[#This Row],[Tech Start Date]],19),IF(Main[[#This Row],[Class]]="B", WORKDAY(Main[[#This Row],[Tech Start Date]],12),IF(Main[[#This Row],[Class]]="A",WORKDAY(Main[[#This Row],[Tech Start Date]],4),""))))</f>
        <v/>
      </c>
      <c r="O669" s="75" t="str">
        <f>IF(Main[[#This Row],[Tech Start Date]]&lt;1/1/1990,"",IF(Main[[#This Row],[Class]]="C",WORKDAY(Main[[#This Row],[Tech Start Date]],23),IF(Main[[#This Row],[Class]]="B", WORKDAY(Main[[#This Row],[Tech Start Date]],15),IF(Main[[#This Row],[Class]]="A",WORKDAY(Main[[#This Row],[Tech Start Date]],5),""))))</f>
        <v/>
      </c>
      <c r="P669" s="75" t="str">
        <f>IF(Main[[#This Row],[Tech Start Date]]&lt;1/1/1990,"",IF(Main[[#This Row],[Class]]="C",WORKDAY(Main[[#This Row],[Tech Start Date]],28),IF(Main[[#This Row],[Class]]="B", WORKDAY(Main[[#This Row],[Tech Start Date]],19),IF(Main[[#This Row],[Class]]="A",WORKDAY(Main[[#This Row],[Tech Start Date]],9),""))))</f>
        <v/>
      </c>
      <c r="Q669" s="89"/>
      <c r="R669" s="121"/>
      <c r="S669" s="99" t="s">
        <v>6</v>
      </c>
      <c r="T669" s="76" t="s">
        <v>4</v>
      </c>
      <c r="U669" s="99" t="s">
        <v>14</v>
      </c>
      <c r="V669" s="99" t="s">
        <v>1916</v>
      </c>
      <c r="W669" s="99" t="s">
        <v>1917</v>
      </c>
      <c r="X669" s="99" t="s">
        <v>306</v>
      </c>
      <c r="Y669" s="73" t="s">
        <v>4</v>
      </c>
      <c r="Z669" s="73" t="s">
        <v>4</v>
      </c>
      <c r="AA669" s="99" t="s">
        <v>4</v>
      </c>
    </row>
    <row r="670" spans="1:27" ht="17.25" customHeight="1">
      <c r="A670" s="65" t="str">
        <f>IF(priority(Main[[#This Row],[Comments]])&lt;&gt;0, priority(Main[[#This Row],[Comments]]),"")</f>
        <v/>
      </c>
      <c r="B670" s="60" t="s">
        <v>1497</v>
      </c>
      <c r="C670" s="105" t="s">
        <v>600</v>
      </c>
      <c r="D670" s="74" t="s">
        <v>601</v>
      </c>
      <c r="E670" s="89"/>
      <c r="F670" s="89"/>
      <c r="G670" s="65" t="str">
        <f>IF(stdProdLT(Main[[#This Row],[Comments]])=0.1,"N/A",IF(stdProdLT(Main[[#This Row],[Comments]])=0,"",TRIM(stdProdLT(Main[[#This Row],[Comments]]))))</f>
        <v/>
      </c>
      <c r="H670" s="98" t="str">
        <f>IF(Main[[#This Row],[Std. Prod. Lead Time]]="N/A", "",IF(AND(Main[[#This Row],[In Stock Date]]&lt;&gt;"",Main[[#This Row],[Revised Due Date]]&lt;&gt;"",Main[[#This Row],[In Stock Date]]&lt;&gt;""),Main[[#This Row],[In Stock Date]]-Main[[#This Row],[Revised Due Date]],""))</f>
        <v/>
      </c>
      <c r="I670" s="110" t="s">
        <v>4</v>
      </c>
      <c r="J670" s="99" t="s">
        <v>4</v>
      </c>
      <c r="K670" s="100" t="s">
        <v>4</v>
      </c>
      <c r="L670" s="89"/>
      <c r="M670" s="75" t="str">
        <f>IF(Main[[#This Row],[Tech Start Date]]&lt;1/1/1990,"",IF(Main[[#This Row],[Class]]="C",WORKDAY(Main[[#This Row],[Tech Start Date]],9),IF(Main[[#This Row],[Class]]="B", WORKDAY(Main[[#This Row],[Tech Start Date]],6),IF(Main[[#This Row],[Class]]="A",WORKDAY(Main[[#This Row],[Tech Start Date]],2),""))))</f>
        <v/>
      </c>
      <c r="N670" s="75" t="str">
        <f>IF(Main[[#This Row],[Tech Start Date]]&lt;1/1/1990,"",IF(Main[[#This Row],[Class]]="C",WORKDAY(Main[[#This Row],[Tech Start Date]],19),IF(Main[[#This Row],[Class]]="B", WORKDAY(Main[[#This Row],[Tech Start Date]],12),IF(Main[[#This Row],[Class]]="A",WORKDAY(Main[[#This Row],[Tech Start Date]],4),""))))</f>
        <v/>
      </c>
      <c r="O670" s="75" t="str">
        <f>IF(Main[[#This Row],[Tech Start Date]]&lt;1/1/1990,"",IF(Main[[#This Row],[Class]]="C",WORKDAY(Main[[#This Row],[Tech Start Date]],23),IF(Main[[#This Row],[Class]]="B", WORKDAY(Main[[#This Row],[Tech Start Date]],15),IF(Main[[#This Row],[Class]]="A",WORKDAY(Main[[#This Row],[Tech Start Date]],5),""))))</f>
        <v/>
      </c>
      <c r="P670" s="75" t="str">
        <f>IF(Main[[#This Row],[Tech Start Date]]&lt;1/1/1990,"",IF(Main[[#This Row],[Class]]="C",WORKDAY(Main[[#This Row],[Tech Start Date]],28),IF(Main[[#This Row],[Class]]="B", WORKDAY(Main[[#This Row],[Tech Start Date]],19),IF(Main[[#This Row],[Class]]="A",WORKDAY(Main[[#This Row],[Tech Start Date]],9),""))))</f>
        <v/>
      </c>
      <c r="Q670" s="89">
        <v>40219</v>
      </c>
      <c r="R670" s="121"/>
      <c r="S670" s="99" t="s">
        <v>11</v>
      </c>
      <c r="T670" s="76" t="s">
        <v>4</v>
      </c>
      <c r="U670" s="99" t="s">
        <v>14</v>
      </c>
      <c r="V670" s="99" t="s">
        <v>1916</v>
      </c>
      <c r="W670" s="99" t="s">
        <v>1915</v>
      </c>
      <c r="X670" s="99" t="s">
        <v>2888</v>
      </c>
      <c r="Y670" s="73" t="s">
        <v>4</v>
      </c>
      <c r="Z670" s="73" t="s">
        <v>4</v>
      </c>
      <c r="AA670" s="99" t="s">
        <v>2888</v>
      </c>
    </row>
    <row r="671" spans="1:27" ht="17.25" customHeight="1">
      <c r="A671" s="65" t="str">
        <f>IF(priority(Main[[#This Row],[Comments]])&lt;&gt;0, priority(Main[[#This Row],[Comments]]),"")</f>
        <v/>
      </c>
      <c r="B671" s="60" t="s">
        <v>1498</v>
      </c>
      <c r="C671" s="105" t="s">
        <v>4</v>
      </c>
      <c r="D671" s="74" t="s">
        <v>602</v>
      </c>
      <c r="E671" s="89"/>
      <c r="F671" s="89"/>
      <c r="G671" s="65" t="str">
        <f>IF(stdProdLT(Main[[#This Row],[Comments]])=0.1,"N/A",IF(stdProdLT(Main[[#This Row],[Comments]])=0,"",TRIM(stdProdLT(Main[[#This Row],[Comments]]))))</f>
        <v/>
      </c>
      <c r="H671" s="98" t="str">
        <f>IF(Main[[#This Row],[Std. Prod. Lead Time]]="N/A", "",IF(AND(Main[[#This Row],[In Stock Date]]&lt;&gt;"",Main[[#This Row],[Revised Due Date]]&lt;&gt;"",Main[[#This Row],[In Stock Date]]&lt;&gt;""),Main[[#This Row],[In Stock Date]]-Main[[#This Row],[Revised Due Date]],""))</f>
        <v/>
      </c>
      <c r="I671" s="110" t="s">
        <v>81</v>
      </c>
      <c r="J671" s="99" t="s">
        <v>4</v>
      </c>
      <c r="K671" s="99" t="s">
        <v>4</v>
      </c>
      <c r="L671" s="89"/>
      <c r="M671" s="75" t="str">
        <f>IF(Main[[#This Row],[Tech Start Date]]&lt;1/1/1990,"",IF(Main[[#This Row],[Class]]="C",WORKDAY(Main[[#This Row],[Tech Start Date]],9),IF(Main[[#This Row],[Class]]="B", WORKDAY(Main[[#This Row],[Tech Start Date]],6),IF(Main[[#This Row],[Class]]="A",WORKDAY(Main[[#This Row],[Tech Start Date]],2),""))))</f>
        <v/>
      </c>
      <c r="N671" s="75" t="str">
        <f>IF(Main[[#This Row],[Tech Start Date]]&lt;1/1/1990,"",IF(Main[[#This Row],[Class]]="C",WORKDAY(Main[[#This Row],[Tech Start Date]],19),IF(Main[[#This Row],[Class]]="B", WORKDAY(Main[[#This Row],[Tech Start Date]],12),IF(Main[[#This Row],[Class]]="A",WORKDAY(Main[[#This Row],[Tech Start Date]],4),""))))</f>
        <v/>
      </c>
      <c r="O671" s="75" t="str">
        <f>IF(Main[[#This Row],[Tech Start Date]]&lt;1/1/1990,"",IF(Main[[#This Row],[Class]]="C",WORKDAY(Main[[#This Row],[Tech Start Date]],23),IF(Main[[#This Row],[Class]]="B", WORKDAY(Main[[#This Row],[Tech Start Date]],15),IF(Main[[#This Row],[Class]]="A",WORKDAY(Main[[#This Row],[Tech Start Date]],5),""))))</f>
        <v/>
      </c>
      <c r="P671" s="75" t="str">
        <f>IF(Main[[#This Row],[Tech Start Date]]&lt;1/1/1990,"",IF(Main[[#This Row],[Class]]="C",WORKDAY(Main[[#This Row],[Tech Start Date]],28),IF(Main[[#This Row],[Class]]="B", WORKDAY(Main[[#This Row],[Tech Start Date]],19),IF(Main[[#This Row],[Class]]="A",WORKDAY(Main[[#This Row],[Tech Start Date]],9),""))))</f>
        <v/>
      </c>
      <c r="Q671" s="89">
        <v>40390</v>
      </c>
      <c r="R671" s="121"/>
      <c r="S671" s="99" t="s">
        <v>6</v>
      </c>
      <c r="T671" s="76" t="s">
        <v>4</v>
      </c>
      <c r="U671" s="99" t="s">
        <v>14</v>
      </c>
      <c r="V671" s="99" t="s">
        <v>1916</v>
      </c>
      <c r="W671" s="99" t="s">
        <v>4</v>
      </c>
      <c r="X671" s="99" t="s">
        <v>2813</v>
      </c>
      <c r="Y671" s="73" t="s">
        <v>2926</v>
      </c>
      <c r="Z671" s="73" t="s">
        <v>44</v>
      </c>
      <c r="AA671" s="99" t="s">
        <v>2813</v>
      </c>
    </row>
    <row r="672" spans="1:27" ht="17.25" customHeight="1">
      <c r="A672" s="65" t="str">
        <f>IF(priority(Main[[#This Row],[Comments]])&lt;&gt;0, priority(Main[[#This Row],[Comments]]),"")</f>
        <v/>
      </c>
      <c r="B672" s="60" t="s">
        <v>1499</v>
      </c>
      <c r="C672" s="105" t="s">
        <v>93</v>
      </c>
      <c r="D672" s="74" t="s">
        <v>603</v>
      </c>
      <c r="E672" s="89"/>
      <c r="F672" s="89">
        <v>40299</v>
      </c>
      <c r="G672" s="65" t="str">
        <f>IF(stdProdLT(Main[[#This Row],[Comments]])=0.1,"N/A",IF(stdProdLT(Main[[#This Row],[Comments]])=0,"",TRIM(stdProdLT(Main[[#This Row],[Comments]]))))</f>
        <v/>
      </c>
      <c r="H672" s="98" t="str">
        <f>IF(Main[[#This Row],[Std. Prod. Lead Time]]="N/A", "",IF(AND(Main[[#This Row],[In Stock Date]]&lt;&gt;"",Main[[#This Row],[Revised Due Date]]&lt;&gt;"",Main[[#This Row],[In Stock Date]]&lt;&gt;""),Main[[#This Row],[In Stock Date]]-Main[[#This Row],[Revised Due Date]],""))</f>
        <v/>
      </c>
      <c r="I672" s="110" t="s">
        <v>4</v>
      </c>
      <c r="J672" s="99" t="s">
        <v>4</v>
      </c>
      <c r="K672" s="99" t="s">
        <v>4</v>
      </c>
      <c r="L672" s="89"/>
      <c r="M672" s="75" t="str">
        <f>IF(Main[[#This Row],[Tech Start Date]]&lt;1/1/1990,"",IF(Main[[#This Row],[Class]]="C",WORKDAY(Main[[#This Row],[Tech Start Date]],9),IF(Main[[#This Row],[Class]]="B", WORKDAY(Main[[#This Row],[Tech Start Date]],6),IF(Main[[#This Row],[Class]]="A",WORKDAY(Main[[#This Row],[Tech Start Date]],2),""))))</f>
        <v/>
      </c>
      <c r="N672" s="75" t="str">
        <f>IF(Main[[#This Row],[Tech Start Date]]&lt;1/1/1990,"",IF(Main[[#This Row],[Class]]="C",WORKDAY(Main[[#This Row],[Tech Start Date]],19),IF(Main[[#This Row],[Class]]="B", WORKDAY(Main[[#This Row],[Tech Start Date]],12),IF(Main[[#This Row],[Class]]="A",WORKDAY(Main[[#This Row],[Tech Start Date]],4),""))))</f>
        <v/>
      </c>
      <c r="O672" s="75" t="str">
        <f>IF(Main[[#This Row],[Tech Start Date]]&lt;1/1/1990,"",IF(Main[[#This Row],[Class]]="C",WORKDAY(Main[[#This Row],[Tech Start Date]],23),IF(Main[[#This Row],[Class]]="B", WORKDAY(Main[[#This Row],[Tech Start Date]],15),IF(Main[[#This Row],[Class]]="A",WORKDAY(Main[[#This Row],[Tech Start Date]],5),""))))</f>
        <v/>
      </c>
      <c r="P672" s="75" t="str">
        <f>IF(Main[[#This Row],[Tech Start Date]]&lt;1/1/1990,"",IF(Main[[#This Row],[Class]]="C",WORKDAY(Main[[#This Row],[Tech Start Date]],28),IF(Main[[#This Row],[Class]]="B", WORKDAY(Main[[#This Row],[Tech Start Date]],19),IF(Main[[#This Row],[Class]]="A",WORKDAY(Main[[#This Row],[Tech Start Date]],9),""))))</f>
        <v/>
      </c>
      <c r="Q672" s="89">
        <v>40214</v>
      </c>
      <c r="R672" s="121"/>
      <c r="S672" s="99" t="s">
        <v>11</v>
      </c>
      <c r="T672" s="76" t="s">
        <v>4</v>
      </c>
      <c r="U672" s="99" t="s">
        <v>12</v>
      </c>
      <c r="V672" s="99" t="s">
        <v>1913</v>
      </c>
      <c r="W672" s="99" t="s">
        <v>1919</v>
      </c>
      <c r="X672" s="99" t="s">
        <v>2839</v>
      </c>
      <c r="Y672" s="73" t="s">
        <v>4</v>
      </c>
      <c r="Z672" s="73" t="s">
        <v>4</v>
      </c>
      <c r="AA672" s="99" t="s">
        <v>2839</v>
      </c>
    </row>
    <row r="673" spans="1:27" ht="17.25" customHeight="1">
      <c r="A673" s="65" t="str">
        <f>IF(priority(Main[[#This Row],[Comments]])&lt;&gt;0, priority(Main[[#This Row],[Comments]]),"")</f>
        <v/>
      </c>
      <c r="B673" s="60" t="s">
        <v>1186</v>
      </c>
      <c r="C673" s="105" t="s">
        <v>4</v>
      </c>
      <c r="D673" s="74" t="s">
        <v>247</v>
      </c>
      <c r="E673" s="89"/>
      <c r="F673" s="89"/>
      <c r="G673" s="65" t="str">
        <f>IF(stdProdLT(Main[[#This Row],[Comments]])=0.1,"N/A",IF(stdProdLT(Main[[#This Row],[Comments]])=0,"",TRIM(stdProdLT(Main[[#This Row],[Comments]]))))</f>
        <v/>
      </c>
      <c r="H673" s="98" t="str">
        <f>IF(Main[[#This Row],[Std. Prod. Lead Time]]="N/A", "",IF(AND(Main[[#This Row],[In Stock Date]]&lt;&gt;"",Main[[#This Row],[Revised Due Date]]&lt;&gt;"",Main[[#This Row],[In Stock Date]]&lt;&gt;""),Main[[#This Row],[In Stock Date]]-Main[[#This Row],[Revised Due Date]],""))</f>
        <v/>
      </c>
      <c r="I673" s="110" t="s">
        <v>4</v>
      </c>
      <c r="J673" s="99" t="s">
        <v>28</v>
      </c>
      <c r="K673" s="99" t="s">
        <v>4</v>
      </c>
      <c r="L673" s="89"/>
      <c r="M673" s="75" t="str">
        <f>IF(Main[[#This Row],[Tech Start Date]]&lt;1/1/1990,"",IF(Main[[#This Row],[Class]]="C",WORKDAY(Main[[#This Row],[Tech Start Date]],9),IF(Main[[#This Row],[Class]]="B", WORKDAY(Main[[#This Row],[Tech Start Date]],6),IF(Main[[#This Row],[Class]]="A",WORKDAY(Main[[#This Row],[Tech Start Date]],2),""))))</f>
        <v/>
      </c>
      <c r="N673" s="75" t="str">
        <f>IF(Main[[#This Row],[Tech Start Date]]&lt;1/1/1990,"",IF(Main[[#This Row],[Class]]="C",WORKDAY(Main[[#This Row],[Tech Start Date]],19),IF(Main[[#This Row],[Class]]="B", WORKDAY(Main[[#This Row],[Tech Start Date]],12),IF(Main[[#This Row],[Class]]="A",WORKDAY(Main[[#This Row],[Tech Start Date]],4),""))))</f>
        <v/>
      </c>
      <c r="O673" s="75" t="str">
        <f>IF(Main[[#This Row],[Tech Start Date]]&lt;1/1/1990,"",IF(Main[[#This Row],[Class]]="C",WORKDAY(Main[[#This Row],[Tech Start Date]],23),IF(Main[[#This Row],[Class]]="B", WORKDAY(Main[[#This Row],[Tech Start Date]],15),IF(Main[[#This Row],[Class]]="A",WORKDAY(Main[[#This Row],[Tech Start Date]],5),""))))</f>
        <v/>
      </c>
      <c r="P673" s="75" t="str">
        <f>IF(Main[[#This Row],[Tech Start Date]]&lt;1/1/1990,"",IF(Main[[#This Row],[Class]]="C",WORKDAY(Main[[#This Row],[Tech Start Date]],28),IF(Main[[#This Row],[Class]]="B", WORKDAY(Main[[#This Row],[Tech Start Date]],19),IF(Main[[#This Row],[Class]]="A",WORKDAY(Main[[#This Row],[Tech Start Date]],9),""))))</f>
        <v/>
      </c>
      <c r="Q673" s="89">
        <v>40480</v>
      </c>
      <c r="R673" s="121"/>
      <c r="S673" s="99" t="s">
        <v>6</v>
      </c>
      <c r="T673" s="76" t="s">
        <v>4</v>
      </c>
      <c r="U673" s="99" t="s">
        <v>14</v>
      </c>
      <c r="V673" s="99" t="s">
        <v>1913</v>
      </c>
      <c r="W673" s="99" t="s">
        <v>1921</v>
      </c>
      <c r="X673" s="99" t="s">
        <v>2889</v>
      </c>
      <c r="Y673" s="73" t="s">
        <v>3054</v>
      </c>
      <c r="Z673" s="73" t="s">
        <v>129</v>
      </c>
      <c r="AA673" s="99" t="s">
        <v>2889</v>
      </c>
    </row>
    <row r="674" spans="1:27" ht="17.25" customHeight="1">
      <c r="A674" s="65" t="str">
        <f>IF(priority(Main[[#This Row],[Comments]])&lt;&gt;0, priority(Main[[#This Row],[Comments]]),"")</f>
        <v/>
      </c>
      <c r="B674" s="60" t="s">
        <v>1500</v>
      </c>
      <c r="C674" s="105" t="s">
        <v>31</v>
      </c>
      <c r="D674" s="74" t="s">
        <v>604</v>
      </c>
      <c r="E674" s="89"/>
      <c r="F674" s="89">
        <v>40330</v>
      </c>
      <c r="G674" s="65" t="str">
        <f>IF(stdProdLT(Main[[#This Row],[Comments]])=0.1,"N/A",IF(stdProdLT(Main[[#This Row],[Comments]])=0,"",TRIM(stdProdLT(Main[[#This Row],[Comments]]))))</f>
        <v/>
      </c>
      <c r="H674" s="98" t="str">
        <f>IF(Main[[#This Row],[Std. Prod. Lead Time]]="N/A", "",IF(AND(Main[[#This Row],[In Stock Date]]&lt;&gt;"",Main[[#This Row],[Revised Due Date]]&lt;&gt;"",Main[[#This Row],[In Stock Date]]&lt;&gt;""),Main[[#This Row],[In Stock Date]]-Main[[#This Row],[Revised Due Date]],""))</f>
        <v/>
      </c>
      <c r="I674" s="110" t="s">
        <v>417</v>
      </c>
      <c r="J674" s="99" t="s">
        <v>4</v>
      </c>
      <c r="K674" s="99" t="s">
        <v>4</v>
      </c>
      <c r="L674" s="89"/>
      <c r="M674" s="75" t="str">
        <f>IF(Main[[#This Row],[Tech Start Date]]&lt;1/1/1990,"",IF(Main[[#This Row],[Class]]="C",WORKDAY(Main[[#This Row],[Tech Start Date]],9),IF(Main[[#This Row],[Class]]="B", WORKDAY(Main[[#This Row],[Tech Start Date]],6),IF(Main[[#This Row],[Class]]="A",WORKDAY(Main[[#This Row],[Tech Start Date]],2),""))))</f>
        <v/>
      </c>
      <c r="N674" s="75" t="str">
        <f>IF(Main[[#This Row],[Tech Start Date]]&lt;1/1/1990,"",IF(Main[[#This Row],[Class]]="C",WORKDAY(Main[[#This Row],[Tech Start Date]],19),IF(Main[[#This Row],[Class]]="B", WORKDAY(Main[[#This Row],[Tech Start Date]],12),IF(Main[[#This Row],[Class]]="A",WORKDAY(Main[[#This Row],[Tech Start Date]],4),""))))</f>
        <v/>
      </c>
      <c r="O674" s="75" t="str">
        <f>IF(Main[[#This Row],[Tech Start Date]]&lt;1/1/1990,"",IF(Main[[#This Row],[Class]]="C",WORKDAY(Main[[#This Row],[Tech Start Date]],23),IF(Main[[#This Row],[Class]]="B", WORKDAY(Main[[#This Row],[Tech Start Date]],15),IF(Main[[#This Row],[Class]]="A",WORKDAY(Main[[#This Row],[Tech Start Date]],5),""))))</f>
        <v/>
      </c>
      <c r="P674" s="75" t="str">
        <f>IF(Main[[#This Row],[Tech Start Date]]&lt;1/1/1990,"",IF(Main[[#This Row],[Class]]="C",WORKDAY(Main[[#This Row],[Tech Start Date]],28),IF(Main[[#This Row],[Class]]="B", WORKDAY(Main[[#This Row],[Tech Start Date]],19),IF(Main[[#This Row],[Class]]="A",WORKDAY(Main[[#This Row],[Tech Start Date]],9),""))))</f>
        <v/>
      </c>
      <c r="Q674" s="89">
        <v>40210</v>
      </c>
      <c r="R674" s="121"/>
      <c r="S674" s="99" t="s">
        <v>11</v>
      </c>
      <c r="T674" s="76" t="s">
        <v>4</v>
      </c>
      <c r="U674" s="99" t="s">
        <v>14</v>
      </c>
      <c r="V674" s="99" t="s">
        <v>1916</v>
      </c>
      <c r="W674" s="99" t="s">
        <v>1919</v>
      </c>
      <c r="X674" s="99" t="s">
        <v>2818</v>
      </c>
      <c r="Y674" s="73" t="s">
        <v>2937</v>
      </c>
      <c r="Z674" s="73" t="s">
        <v>4</v>
      </c>
      <c r="AA674" s="99" t="s">
        <v>2818</v>
      </c>
    </row>
    <row r="675" spans="1:27" ht="17.25" customHeight="1">
      <c r="A675" s="65" t="str">
        <f>IF(priority(Main[[#This Row],[Comments]])&lt;&gt;0, priority(Main[[#This Row],[Comments]]),"")</f>
        <v/>
      </c>
      <c r="B675" s="60" t="s">
        <v>1501</v>
      </c>
      <c r="C675" s="105" t="s">
        <v>4</v>
      </c>
      <c r="D675" s="74" t="s">
        <v>605</v>
      </c>
      <c r="E675" s="89">
        <v>40312.431608796294</v>
      </c>
      <c r="F675" s="89"/>
      <c r="G675" s="65" t="str">
        <f>IF(stdProdLT(Main[[#This Row],[Comments]])=0.1,"N/A",IF(stdProdLT(Main[[#This Row],[Comments]])=0,"",TRIM(stdProdLT(Main[[#This Row],[Comments]]))))</f>
        <v/>
      </c>
      <c r="H675" s="98" t="str">
        <f>IF(Main[[#This Row],[Std. Prod. Lead Time]]="N/A", "",IF(AND(Main[[#This Row],[In Stock Date]]&lt;&gt;"",Main[[#This Row],[Revised Due Date]]&lt;&gt;"",Main[[#This Row],[In Stock Date]]&lt;&gt;""),Main[[#This Row],[In Stock Date]]-Main[[#This Row],[Revised Due Date]],""))</f>
        <v/>
      </c>
      <c r="I675" s="110" t="s">
        <v>129</v>
      </c>
      <c r="J675" s="99" t="s">
        <v>4</v>
      </c>
      <c r="K675" s="99" t="s">
        <v>4</v>
      </c>
      <c r="L675" s="89"/>
      <c r="M675" s="75" t="str">
        <f>IF(Main[[#This Row],[Tech Start Date]]&lt;1/1/1990,"",IF(Main[[#This Row],[Class]]="C",WORKDAY(Main[[#This Row],[Tech Start Date]],9),IF(Main[[#This Row],[Class]]="B", WORKDAY(Main[[#This Row],[Tech Start Date]],6),IF(Main[[#This Row],[Class]]="A",WORKDAY(Main[[#This Row],[Tech Start Date]],2),""))))</f>
        <v/>
      </c>
      <c r="N675" s="75" t="str">
        <f>IF(Main[[#This Row],[Tech Start Date]]&lt;1/1/1990,"",IF(Main[[#This Row],[Class]]="C",WORKDAY(Main[[#This Row],[Tech Start Date]],19),IF(Main[[#This Row],[Class]]="B", WORKDAY(Main[[#This Row],[Tech Start Date]],12),IF(Main[[#This Row],[Class]]="A",WORKDAY(Main[[#This Row],[Tech Start Date]],4),""))))</f>
        <v/>
      </c>
      <c r="O675" s="75" t="str">
        <f>IF(Main[[#This Row],[Tech Start Date]]&lt;1/1/1990,"",IF(Main[[#This Row],[Class]]="C",WORKDAY(Main[[#This Row],[Tech Start Date]],23),IF(Main[[#This Row],[Class]]="B", WORKDAY(Main[[#This Row],[Tech Start Date]],15),IF(Main[[#This Row],[Class]]="A",WORKDAY(Main[[#This Row],[Tech Start Date]],5),""))))</f>
        <v/>
      </c>
      <c r="P675" s="75" t="str">
        <f>IF(Main[[#This Row],[Tech Start Date]]&lt;1/1/1990,"",IF(Main[[#This Row],[Class]]="C",WORKDAY(Main[[#This Row],[Tech Start Date]],28),IF(Main[[#This Row],[Class]]="B", WORKDAY(Main[[#This Row],[Tech Start Date]],19),IF(Main[[#This Row],[Class]]="A",WORKDAY(Main[[#This Row],[Tech Start Date]],9),""))))</f>
        <v/>
      </c>
      <c r="Q675" s="89">
        <v>40326</v>
      </c>
      <c r="R675" s="121"/>
      <c r="S675" s="99" t="s">
        <v>6</v>
      </c>
      <c r="T675" s="76" t="s">
        <v>4</v>
      </c>
      <c r="U675" s="99" t="s">
        <v>7</v>
      </c>
      <c r="V675" s="99" t="s">
        <v>1913</v>
      </c>
      <c r="W675" s="99" t="s">
        <v>1917</v>
      </c>
      <c r="X675" s="99" t="s">
        <v>102</v>
      </c>
      <c r="Y675" s="73" t="s">
        <v>3005</v>
      </c>
      <c r="Z675" s="73" t="s">
        <v>4</v>
      </c>
      <c r="AA675" s="99" t="s">
        <v>102</v>
      </c>
    </row>
    <row r="676" spans="1:27" ht="17.25" customHeight="1">
      <c r="A676" s="65" t="str">
        <f>IF(priority(Main[[#This Row],[Comments]])&lt;&gt;0, priority(Main[[#This Row],[Comments]]),"")</f>
        <v/>
      </c>
      <c r="B676" s="60" t="s">
        <v>1514</v>
      </c>
      <c r="C676" s="105" t="s">
        <v>4</v>
      </c>
      <c r="D676" s="74" t="s">
        <v>590</v>
      </c>
      <c r="E676" s="89"/>
      <c r="F676" s="89"/>
      <c r="G676" s="65" t="str">
        <f>IF(stdProdLT(Main[[#This Row],[Comments]])=0.1,"N/A",IF(stdProdLT(Main[[#This Row],[Comments]])=0,"",TRIM(stdProdLT(Main[[#This Row],[Comments]]))))</f>
        <v/>
      </c>
      <c r="H676" s="98" t="str">
        <f>IF(Main[[#This Row],[Std. Prod. Lead Time]]="N/A", "",IF(AND(Main[[#This Row],[In Stock Date]]&lt;&gt;"",Main[[#This Row],[Revised Due Date]]&lt;&gt;"",Main[[#This Row],[In Stock Date]]&lt;&gt;""),Main[[#This Row],[In Stock Date]]-Main[[#This Row],[Revised Due Date]],""))</f>
        <v/>
      </c>
      <c r="I676" s="110" t="s">
        <v>4</v>
      </c>
      <c r="J676" s="99" t="s">
        <v>4</v>
      </c>
      <c r="K676" s="99" t="s">
        <v>4</v>
      </c>
      <c r="L676" s="89"/>
      <c r="M676" s="75" t="str">
        <f>IF(Main[[#This Row],[Tech Start Date]]&lt;1/1/1990,"",IF(Main[[#This Row],[Class]]="C",WORKDAY(Main[[#This Row],[Tech Start Date]],9),IF(Main[[#This Row],[Class]]="B", WORKDAY(Main[[#This Row],[Tech Start Date]],6),IF(Main[[#This Row],[Class]]="A",WORKDAY(Main[[#This Row],[Tech Start Date]],2),""))))</f>
        <v/>
      </c>
      <c r="N676" s="75" t="str">
        <f>IF(Main[[#This Row],[Tech Start Date]]&lt;1/1/1990,"",IF(Main[[#This Row],[Class]]="C",WORKDAY(Main[[#This Row],[Tech Start Date]],19),IF(Main[[#This Row],[Class]]="B", WORKDAY(Main[[#This Row],[Tech Start Date]],12),IF(Main[[#This Row],[Class]]="A",WORKDAY(Main[[#This Row],[Tech Start Date]],4),""))))</f>
        <v/>
      </c>
      <c r="O676" s="75" t="str">
        <f>IF(Main[[#This Row],[Tech Start Date]]&lt;1/1/1990,"",IF(Main[[#This Row],[Class]]="C",WORKDAY(Main[[#This Row],[Tech Start Date]],23),IF(Main[[#This Row],[Class]]="B", WORKDAY(Main[[#This Row],[Tech Start Date]],15),IF(Main[[#This Row],[Class]]="A",WORKDAY(Main[[#This Row],[Tech Start Date]],5),""))))</f>
        <v/>
      </c>
      <c r="P676" s="75" t="str">
        <f>IF(Main[[#This Row],[Tech Start Date]]&lt;1/1/1990,"",IF(Main[[#This Row],[Class]]="C",WORKDAY(Main[[#This Row],[Tech Start Date]],28),IF(Main[[#This Row],[Class]]="B", WORKDAY(Main[[#This Row],[Tech Start Date]],19),IF(Main[[#This Row],[Class]]="A",WORKDAY(Main[[#This Row],[Tech Start Date]],9),""))))</f>
        <v/>
      </c>
      <c r="Q676" s="89"/>
      <c r="R676" s="121"/>
      <c r="S676" s="99" t="s">
        <v>23</v>
      </c>
      <c r="T676" s="76" t="s">
        <v>4</v>
      </c>
      <c r="U676" s="99" t="s">
        <v>14</v>
      </c>
      <c r="V676" s="99" t="s">
        <v>1913</v>
      </c>
      <c r="W676" s="99" t="s">
        <v>1917</v>
      </c>
      <c r="X676" s="99" t="s">
        <v>102</v>
      </c>
      <c r="Y676" s="73" t="s">
        <v>3062</v>
      </c>
      <c r="Z676" s="73" t="s">
        <v>4</v>
      </c>
      <c r="AA676" s="99" t="s">
        <v>3414</v>
      </c>
    </row>
    <row r="677" spans="1:27" ht="17.25" customHeight="1">
      <c r="A677" s="65" t="str">
        <f>IF(priority(Main[[#This Row],[Comments]])&lt;&gt;0, priority(Main[[#This Row],[Comments]]),"")</f>
        <v/>
      </c>
      <c r="B677" s="60" t="s">
        <v>1515</v>
      </c>
      <c r="C677" s="105" t="s">
        <v>4</v>
      </c>
      <c r="D677" s="74" t="s">
        <v>591</v>
      </c>
      <c r="E677" s="89"/>
      <c r="F677" s="89">
        <v>40047</v>
      </c>
      <c r="G677" s="65" t="str">
        <f>IF(stdProdLT(Main[[#This Row],[Comments]])=0.1,"N/A",IF(stdProdLT(Main[[#This Row],[Comments]])=0,"",TRIM(stdProdLT(Main[[#This Row],[Comments]]))))</f>
        <v/>
      </c>
      <c r="H677" s="98" t="str">
        <f>IF(Main[[#This Row],[Std. Prod. Lead Time]]="N/A", "",IF(AND(Main[[#This Row],[In Stock Date]]&lt;&gt;"",Main[[#This Row],[Revised Due Date]]&lt;&gt;"",Main[[#This Row],[In Stock Date]]&lt;&gt;""),Main[[#This Row],[In Stock Date]]-Main[[#This Row],[Revised Due Date]],""))</f>
        <v/>
      </c>
      <c r="I677" s="110" t="s">
        <v>4</v>
      </c>
      <c r="J677" s="99" t="s">
        <v>4</v>
      </c>
      <c r="K677" s="99" t="s">
        <v>4</v>
      </c>
      <c r="L677" s="89"/>
      <c r="M677" s="75" t="str">
        <f>IF(Main[[#This Row],[Tech Start Date]]&lt;1/1/1990,"",IF(Main[[#This Row],[Class]]="C",WORKDAY(Main[[#This Row],[Tech Start Date]],9),IF(Main[[#This Row],[Class]]="B", WORKDAY(Main[[#This Row],[Tech Start Date]],6),IF(Main[[#This Row],[Class]]="A",WORKDAY(Main[[#This Row],[Tech Start Date]],2),""))))</f>
        <v/>
      </c>
      <c r="N677" s="75" t="str">
        <f>IF(Main[[#This Row],[Tech Start Date]]&lt;1/1/1990,"",IF(Main[[#This Row],[Class]]="C",WORKDAY(Main[[#This Row],[Tech Start Date]],19),IF(Main[[#This Row],[Class]]="B", WORKDAY(Main[[#This Row],[Tech Start Date]],12),IF(Main[[#This Row],[Class]]="A",WORKDAY(Main[[#This Row],[Tech Start Date]],4),""))))</f>
        <v/>
      </c>
      <c r="O677" s="75" t="str">
        <f>IF(Main[[#This Row],[Tech Start Date]]&lt;1/1/1990,"",IF(Main[[#This Row],[Class]]="C",WORKDAY(Main[[#This Row],[Tech Start Date]],23),IF(Main[[#This Row],[Class]]="B", WORKDAY(Main[[#This Row],[Tech Start Date]],15),IF(Main[[#This Row],[Class]]="A",WORKDAY(Main[[#This Row],[Tech Start Date]],5),""))))</f>
        <v/>
      </c>
      <c r="P677" s="75" t="str">
        <f>IF(Main[[#This Row],[Tech Start Date]]&lt;1/1/1990,"",IF(Main[[#This Row],[Class]]="C",WORKDAY(Main[[#This Row],[Tech Start Date]],28),IF(Main[[#This Row],[Class]]="B", WORKDAY(Main[[#This Row],[Tech Start Date]],19),IF(Main[[#This Row],[Class]]="A",WORKDAY(Main[[#This Row],[Tech Start Date]],9),""))))</f>
        <v/>
      </c>
      <c r="Q677" s="89"/>
      <c r="R677" s="121"/>
      <c r="S677" s="99" t="s">
        <v>11</v>
      </c>
      <c r="T677" s="76" t="s">
        <v>4</v>
      </c>
      <c r="U677" s="99" t="s">
        <v>14</v>
      </c>
      <c r="V677" s="99" t="s">
        <v>1916</v>
      </c>
      <c r="W677" s="99" t="s">
        <v>1919</v>
      </c>
      <c r="X677" s="99" t="s">
        <v>2857</v>
      </c>
      <c r="Y677" s="73" t="s">
        <v>3063</v>
      </c>
      <c r="Z677" s="73" t="s">
        <v>4</v>
      </c>
      <c r="AA677" s="99" t="s">
        <v>2857</v>
      </c>
    </row>
    <row r="678" spans="1:27" ht="17.25" customHeight="1">
      <c r="A678" s="65" t="str">
        <f>IF(priority(Main[[#This Row],[Comments]])&lt;&gt;0, priority(Main[[#This Row],[Comments]]),"")</f>
        <v/>
      </c>
      <c r="B678" s="60" t="s">
        <v>1516</v>
      </c>
      <c r="C678" s="105" t="s">
        <v>4</v>
      </c>
      <c r="D678" s="74" t="s">
        <v>592</v>
      </c>
      <c r="E678" s="89"/>
      <c r="F678" s="89"/>
      <c r="G678" s="65" t="str">
        <f>IF(stdProdLT(Main[[#This Row],[Comments]])=0.1,"N/A",IF(stdProdLT(Main[[#This Row],[Comments]])=0,"",TRIM(stdProdLT(Main[[#This Row],[Comments]]))))</f>
        <v/>
      </c>
      <c r="H678" s="98" t="str">
        <f>IF(Main[[#This Row],[Std. Prod. Lead Time]]="N/A", "",IF(AND(Main[[#This Row],[In Stock Date]]&lt;&gt;"",Main[[#This Row],[Revised Due Date]]&lt;&gt;"",Main[[#This Row],[In Stock Date]]&lt;&gt;""),Main[[#This Row],[In Stock Date]]-Main[[#This Row],[Revised Due Date]],""))</f>
        <v/>
      </c>
      <c r="I678" s="110" t="s">
        <v>4</v>
      </c>
      <c r="J678" s="99" t="s">
        <v>4</v>
      </c>
      <c r="K678" s="99" t="s">
        <v>4</v>
      </c>
      <c r="L678" s="89"/>
      <c r="M678" s="75" t="str">
        <f>IF(Main[[#This Row],[Tech Start Date]]&lt;1/1/1990,"",IF(Main[[#This Row],[Class]]="C",WORKDAY(Main[[#This Row],[Tech Start Date]],9),IF(Main[[#This Row],[Class]]="B", WORKDAY(Main[[#This Row],[Tech Start Date]],6),IF(Main[[#This Row],[Class]]="A",WORKDAY(Main[[#This Row],[Tech Start Date]],2),""))))</f>
        <v/>
      </c>
      <c r="N678" s="75" t="str">
        <f>IF(Main[[#This Row],[Tech Start Date]]&lt;1/1/1990,"",IF(Main[[#This Row],[Class]]="C",WORKDAY(Main[[#This Row],[Tech Start Date]],19),IF(Main[[#This Row],[Class]]="B", WORKDAY(Main[[#This Row],[Tech Start Date]],12),IF(Main[[#This Row],[Class]]="A",WORKDAY(Main[[#This Row],[Tech Start Date]],4),""))))</f>
        <v/>
      </c>
      <c r="O678" s="75" t="str">
        <f>IF(Main[[#This Row],[Tech Start Date]]&lt;1/1/1990,"",IF(Main[[#This Row],[Class]]="C",WORKDAY(Main[[#This Row],[Tech Start Date]],23),IF(Main[[#This Row],[Class]]="B", WORKDAY(Main[[#This Row],[Tech Start Date]],15),IF(Main[[#This Row],[Class]]="A",WORKDAY(Main[[#This Row],[Tech Start Date]],5),""))))</f>
        <v/>
      </c>
      <c r="P678" s="75" t="str">
        <f>IF(Main[[#This Row],[Tech Start Date]]&lt;1/1/1990,"",IF(Main[[#This Row],[Class]]="C",WORKDAY(Main[[#This Row],[Tech Start Date]],28),IF(Main[[#This Row],[Class]]="B", WORKDAY(Main[[#This Row],[Tech Start Date]],19),IF(Main[[#This Row],[Class]]="A",WORKDAY(Main[[#This Row],[Tech Start Date]],9),""))))</f>
        <v/>
      </c>
      <c r="Q678" s="89"/>
      <c r="R678" s="121"/>
      <c r="S678" s="99" t="s">
        <v>6</v>
      </c>
      <c r="T678" s="76" t="s">
        <v>4</v>
      </c>
      <c r="U678" s="99" t="s">
        <v>12</v>
      </c>
      <c r="V678" s="99" t="s">
        <v>1913</v>
      </c>
      <c r="W678" s="99" t="s">
        <v>1917</v>
      </c>
      <c r="X678" s="99" t="s">
        <v>708</v>
      </c>
      <c r="Y678" s="73" t="s">
        <v>3064</v>
      </c>
      <c r="Z678" s="73" t="s">
        <v>4</v>
      </c>
      <c r="AA678" s="99" t="s">
        <v>708</v>
      </c>
    </row>
    <row r="679" spans="1:27" ht="17.25" customHeight="1">
      <c r="A679" s="65" t="str">
        <f>IF(priority(Main[[#This Row],[Comments]])&lt;&gt;0, priority(Main[[#This Row],[Comments]]),"")</f>
        <v/>
      </c>
      <c r="B679" s="60" t="s">
        <v>1517</v>
      </c>
      <c r="C679" s="105" t="s">
        <v>47</v>
      </c>
      <c r="D679" s="74" t="s">
        <v>593</v>
      </c>
      <c r="E679" s="89"/>
      <c r="F679" s="89"/>
      <c r="G679" s="65" t="str">
        <f>IF(stdProdLT(Main[[#This Row],[Comments]])=0.1,"N/A",IF(stdProdLT(Main[[#This Row],[Comments]])=0,"",TRIM(stdProdLT(Main[[#This Row],[Comments]]))))</f>
        <v/>
      </c>
      <c r="H679" s="98" t="str">
        <f>IF(Main[[#This Row],[Std. Prod. Lead Time]]="N/A", "",IF(AND(Main[[#This Row],[In Stock Date]]&lt;&gt;"",Main[[#This Row],[Revised Due Date]]&lt;&gt;"",Main[[#This Row],[In Stock Date]]&lt;&gt;""),Main[[#This Row],[In Stock Date]]-Main[[#This Row],[Revised Due Date]],""))</f>
        <v/>
      </c>
      <c r="I679" s="110" t="s">
        <v>4</v>
      </c>
      <c r="J679" s="99" t="s">
        <v>4</v>
      </c>
      <c r="K679" s="99" t="s">
        <v>4</v>
      </c>
      <c r="L679" s="89"/>
      <c r="M679" s="75" t="str">
        <f>IF(Main[[#This Row],[Tech Start Date]]&lt;1/1/1990,"",IF(Main[[#This Row],[Class]]="C",WORKDAY(Main[[#This Row],[Tech Start Date]],9),IF(Main[[#This Row],[Class]]="B", WORKDAY(Main[[#This Row],[Tech Start Date]],6),IF(Main[[#This Row],[Class]]="A",WORKDAY(Main[[#This Row],[Tech Start Date]],2),""))))</f>
        <v/>
      </c>
      <c r="N679" s="75" t="str">
        <f>IF(Main[[#This Row],[Tech Start Date]]&lt;1/1/1990,"",IF(Main[[#This Row],[Class]]="C",WORKDAY(Main[[#This Row],[Tech Start Date]],19),IF(Main[[#This Row],[Class]]="B", WORKDAY(Main[[#This Row],[Tech Start Date]],12),IF(Main[[#This Row],[Class]]="A",WORKDAY(Main[[#This Row],[Tech Start Date]],4),""))))</f>
        <v/>
      </c>
      <c r="O679" s="75" t="str">
        <f>IF(Main[[#This Row],[Tech Start Date]]&lt;1/1/1990,"",IF(Main[[#This Row],[Class]]="C",WORKDAY(Main[[#This Row],[Tech Start Date]],23),IF(Main[[#This Row],[Class]]="B", WORKDAY(Main[[#This Row],[Tech Start Date]],15),IF(Main[[#This Row],[Class]]="A",WORKDAY(Main[[#This Row],[Tech Start Date]],5),""))))</f>
        <v/>
      </c>
      <c r="P679" s="75" t="str">
        <f>IF(Main[[#This Row],[Tech Start Date]]&lt;1/1/1990,"",IF(Main[[#This Row],[Class]]="C",WORKDAY(Main[[#This Row],[Tech Start Date]],28),IF(Main[[#This Row],[Class]]="B", WORKDAY(Main[[#This Row],[Tech Start Date]],19),IF(Main[[#This Row],[Class]]="A",WORKDAY(Main[[#This Row],[Tech Start Date]],9),""))))</f>
        <v/>
      </c>
      <c r="Q679" s="89"/>
      <c r="R679" s="121"/>
      <c r="S679" s="99" t="s">
        <v>49</v>
      </c>
      <c r="T679" s="76" t="s">
        <v>4</v>
      </c>
      <c r="U679" s="99" t="s">
        <v>14</v>
      </c>
      <c r="V679" s="99" t="s">
        <v>1916</v>
      </c>
      <c r="W679" s="99" t="s">
        <v>1917</v>
      </c>
      <c r="X679" s="99" t="s">
        <v>306</v>
      </c>
      <c r="Y679" s="73" t="s">
        <v>2935</v>
      </c>
      <c r="Z679" s="73" t="s">
        <v>4</v>
      </c>
      <c r="AA679" s="99" t="s">
        <v>3369</v>
      </c>
    </row>
    <row r="680" spans="1:27" ht="17.25" customHeight="1">
      <c r="A680" s="65" t="str">
        <f>IF(priority(Main[[#This Row],[Comments]])&lt;&gt;0, priority(Main[[#This Row],[Comments]]),"")</f>
        <v/>
      </c>
      <c r="B680" s="60" t="s">
        <v>1991</v>
      </c>
      <c r="C680" s="105" t="s">
        <v>1992</v>
      </c>
      <c r="D680" s="74" t="s">
        <v>1993</v>
      </c>
      <c r="E680" s="89"/>
      <c r="F680" s="89">
        <v>40801</v>
      </c>
      <c r="G680" s="65" t="str">
        <f>IF(stdProdLT(Main[[#This Row],[Comments]])=0.1,"N/A",IF(stdProdLT(Main[[#This Row],[Comments]])=0,"",TRIM(stdProdLT(Main[[#This Row],[Comments]]))))</f>
        <v/>
      </c>
      <c r="H680" s="98" t="str">
        <f>IF(Main[[#This Row],[Std. Prod. Lead Time]]="N/A", "",IF(AND(Main[[#This Row],[In Stock Date]]&lt;&gt;"",Main[[#This Row],[Revised Due Date]]&lt;&gt;"",Main[[#This Row],[In Stock Date]]&lt;&gt;""),Main[[#This Row],[In Stock Date]]-Main[[#This Row],[Revised Due Date]],""))</f>
        <v/>
      </c>
      <c r="I680" s="110" t="s">
        <v>4</v>
      </c>
      <c r="J680" s="99" t="s">
        <v>4</v>
      </c>
      <c r="K680" s="99" t="s">
        <v>4</v>
      </c>
      <c r="L680" s="89"/>
      <c r="M680" s="75" t="str">
        <f>IF(Main[[#This Row],[Tech Start Date]]&lt;1/1/1990,"",IF(Main[[#This Row],[Class]]="C",WORKDAY(Main[[#This Row],[Tech Start Date]],9),IF(Main[[#This Row],[Class]]="B", WORKDAY(Main[[#This Row],[Tech Start Date]],6),IF(Main[[#This Row],[Class]]="A",WORKDAY(Main[[#This Row],[Tech Start Date]],2),""))))</f>
        <v/>
      </c>
      <c r="N680" s="75" t="str">
        <f>IF(Main[[#This Row],[Tech Start Date]]&lt;1/1/1990,"",IF(Main[[#This Row],[Class]]="C",WORKDAY(Main[[#This Row],[Tech Start Date]],19),IF(Main[[#This Row],[Class]]="B", WORKDAY(Main[[#This Row],[Tech Start Date]],12),IF(Main[[#This Row],[Class]]="A",WORKDAY(Main[[#This Row],[Tech Start Date]],4),""))))</f>
        <v/>
      </c>
      <c r="O680" s="75" t="str">
        <f>IF(Main[[#This Row],[Tech Start Date]]&lt;1/1/1990,"",IF(Main[[#This Row],[Class]]="C",WORKDAY(Main[[#This Row],[Tech Start Date]],23),IF(Main[[#This Row],[Class]]="B", WORKDAY(Main[[#This Row],[Tech Start Date]],15),IF(Main[[#This Row],[Class]]="A",WORKDAY(Main[[#This Row],[Tech Start Date]],5),""))))</f>
        <v/>
      </c>
      <c r="P680" s="75" t="str">
        <f>IF(Main[[#This Row],[Tech Start Date]]&lt;1/1/1990,"",IF(Main[[#This Row],[Class]]="C",WORKDAY(Main[[#This Row],[Tech Start Date]],28),IF(Main[[#This Row],[Class]]="B", WORKDAY(Main[[#This Row],[Tech Start Date]],19),IF(Main[[#This Row],[Class]]="A",WORKDAY(Main[[#This Row],[Tech Start Date]],9),""))))</f>
        <v/>
      </c>
      <c r="Q680" s="89"/>
      <c r="R680" s="121"/>
      <c r="S680" s="99" t="s">
        <v>6</v>
      </c>
      <c r="T680" s="76" t="s">
        <v>4</v>
      </c>
      <c r="U680" s="99" t="s">
        <v>12</v>
      </c>
      <c r="V680" s="99" t="s">
        <v>1916</v>
      </c>
      <c r="W680" s="99" t="s">
        <v>1917</v>
      </c>
      <c r="X680" s="99" t="s">
        <v>2893</v>
      </c>
      <c r="Y680" s="73" t="s">
        <v>3065</v>
      </c>
      <c r="Z680" s="73" t="s">
        <v>4</v>
      </c>
      <c r="AA680" s="99" t="s">
        <v>3415</v>
      </c>
    </row>
    <row r="681" spans="1:27" ht="17.25" customHeight="1">
      <c r="A681" s="65" t="str">
        <f>IF(priority(Main[[#This Row],[Comments]])&lt;&gt;0, priority(Main[[#This Row],[Comments]]),"")</f>
        <v/>
      </c>
      <c r="B681" s="60" t="s">
        <v>1518</v>
      </c>
      <c r="C681" s="105" t="s">
        <v>4</v>
      </c>
      <c r="D681" s="74" t="s">
        <v>594</v>
      </c>
      <c r="E681" s="89">
        <v>40270.342719907407</v>
      </c>
      <c r="F681" s="89"/>
      <c r="G681" s="65" t="str">
        <f>IF(stdProdLT(Main[[#This Row],[Comments]])=0.1,"N/A",IF(stdProdLT(Main[[#This Row],[Comments]])=0,"",TRIM(stdProdLT(Main[[#This Row],[Comments]]))))</f>
        <v/>
      </c>
      <c r="H681" s="98" t="str">
        <f>IF(Main[[#This Row],[Std. Prod. Lead Time]]="N/A", "",IF(AND(Main[[#This Row],[In Stock Date]]&lt;&gt;"",Main[[#This Row],[Revised Due Date]]&lt;&gt;"",Main[[#This Row],[In Stock Date]]&lt;&gt;""),Main[[#This Row],[In Stock Date]]-Main[[#This Row],[Revised Due Date]],""))</f>
        <v/>
      </c>
      <c r="I681" s="110" t="s">
        <v>4</v>
      </c>
      <c r="J681" s="99" t="s">
        <v>4</v>
      </c>
      <c r="K681" s="99" t="s">
        <v>4</v>
      </c>
      <c r="L681" s="89"/>
      <c r="M681" s="75" t="str">
        <f>IF(Main[[#This Row],[Tech Start Date]]&lt;1/1/1990,"",IF(Main[[#This Row],[Class]]="C",WORKDAY(Main[[#This Row],[Tech Start Date]],9),IF(Main[[#This Row],[Class]]="B", WORKDAY(Main[[#This Row],[Tech Start Date]],6),IF(Main[[#This Row],[Class]]="A",WORKDAY(Main[[#This Row],[Tech Start Date]],2),""))))</f>
        <v/>
      </c>
      <c r="N681" s="75" t="str">
        <f>IF(Main[[#This Row],[Tech Start Date]]&lt;1/1/1990,"",IF(Main[[#This Row],[Class]]="C",WORKDAY(Main[[#This Row],[Tech Start Date]],19),IF(Main[[#This Row],[Class]]="B", WORKDAY(Main[[#This Row],[Tech Start Date]],12),IF(Main[[#This Row],[Class]]="A",WORKDAY(Main[[#This Row],[Tech Start Date]],4),""))))</f>
        <v/>
      </c>
      <c r="O681" s="75" t="str">
        <f>IF(Main[[#This Row],[Tech Start Date]]&lt;1/1/1990,"",IF(Main[[#This Row],[Class]]="C",WORKDAY(Main[[#This Row],[Tech Start Date]],23),IF(Main[[#This Row],[Class]]="B", WORKDAY(Main[[#This Row],[Tech Start Date]],15),IF(Main[[#This Row],[Class]]="A",WORKDAY(Main[[#This Row],[Tech Start Date]],5),""))))</f>
        <v/>
      </c>
      <c r="P681" s="75" t="str">
        <f>IF(Main[[#This Row],[Tech Start Date]]&lt;1/1/1990,"",IF(Main[[#This Row],[Class]]="C",WORKDAY(Main[[#This Row],[Tech Start Date]],28),IF(Main[[#This Row],[Class]]="B", WORKDAY(Main[[#This Row],[Tech Start Date]],19),IF(Main[[#This Row],[Class]]="A",WORKDAY(Main[[#This Row],[Tech Start Date]],9),""))))</f>
        <v/>
      </c>
      <c r="Q681" s="89">
        <v>40359</v>
      </c>
      <c r="R681" s="121"/>
      <c r="S681" s="99" t="s">
        <v>6</v>
      </c>
      <c r="T681" s="76" t="s">
        <v>4</v>
      </c>
      <c r="U681" s="99" t="s">
        <v>7</v>
      </c>
      <c r="V681" s="99" t="s">
        <v>1913</v>
      </c>
      <c r="W681" s="99" t="s">
        <v>4</v>
      </c>
      <c r="X681" s="99" t="s">
        <v>2881</v>
      </c>
      <c r="Y681" s="73" t="s">
        <v>3037</v>
      </c>
      <c r="Z681" s="73" t="s">
        <v>4</v>
      </c>
      <c r="AA681" s="99" t="s">
        <v>2881</v>
      </c>
    </row>
    <row r="682" spans="1:27" ht="17.25" customHeight="1">
      <c r="A682" s="65" t="str">
        <f>IF(priority(Main[[#This Row],[Comments]])&lt;&gt;0, priority(Main[[#This Row],[Comments]]),"")</f>
        <v/>
      </c>
      <c r="B682" s="60" t="s">
        <v>1519</v>
      </c>
      <c r="C682" s="105" t="s">
        <v>351</v>
      </c>
      <c r="D682" s="74" t="s">
        <v>595</v>
      </c>
      <c r="E682" s="89"/>
      <c r="F682" s="89">
        <v>40452</v>
      </c>
      <c r="G682" s="65" t="str">
        <f>IF(stdProdLT(Main[[#This Row],[Comments]])=0.1,"N/A",IF(stdProdLT(Main[[#This Row],[Comments]])=0,"",TRIM(stdProdLT(Main[[#This Row],[Comments]]))))</f>
        <v/>
      </c>
      <c r="H682" s="98" t="str">
        <f>IF(Main[[#This Row],[Std. Prod. Lead Time]]="N/A", "",IF(AND(Main[[#This Row],[In Stock Date]]&lt;&gt;"",Main[[#This Row],[Revised Due Date]]&lt;&gt;"",Main[[#This Row],[In Stock Date]]&lt;&gt;""),Main[[#This Row],[In Stock Date]]-Main[[#This Row],[Revised Due Date]],""))</f>
        <v/>
      </c>
      <c r="I682" s="110" t="s">
        <v>4</v>
      </c>
      <c r="J682" s="99" t="s">
        <v>4</v>
      </c>
      <c r="K682" s="99" t="s">
        <v>4</v>
      </c>
      <c r="L682" s="89"/>
      <c r="M682" s="75" t="str">
        <f>IF(Main[[#This Row],[Tech Start Date]]&lt;1/1/1990,"",IF(Main[[#This Row],[Class]]="C",WORKDAY(Main[[#This Row],[Tech Start Date]],9),IF(Main[[#This Row],[Class]]="B", WORKDAY(Main[[#This Row],[Tech Start Date]],6),IF(Main[[#This Row],[Class]]="A",WORKDAY(Main[[#This Row],[Tech Start Date]],2),""))))</f>
        <v/>
      </c>
      <c r="N682" s="75" t="str">
        <f>IF(Main[[#This Row],[Tech Start Date]]&lt;1/1/1990,"",IF(Main[[#This Row],[Class]]="C",WORKDAY(Main[[#This Row],[Tech Start Date]],19),IF(Main[[#This Row],[Class]]="B", WORKDAY(Main[[#This Row],[Tech Start Date]],12),IF(Main[[#This Row],[Class]]="A",WORKDAY(Main[[#This Row],[Tech Start Date]],4),""))))</f>
        <v/>
      </c>
      <c r="O682" s="75" t="str">
        <f>IF(Main[[#This Row],[Tech Start Date]]&lt;1/1/1990,"",IF(Main[[#This Row],[Class]]="C",WORKDAY(Main[[#This Row],[Tech Start Date]],23),IF(Main[[#This Row],[Class]]="B", WORKDAY(Main[[#This Row],[Tech Start Date]],15),IF(Main[[#This Row],[Class]]="A",WORKDAY(Main[[#This Row],[Tech Start Date]],5),""))))</f>
        <v/>
      </c>
      <c r="P682" s="75" t="str">
        <f>IF(Main[[#This Row],[Tech Start Date]]&lt;1/1/1990,"",IF(Main[[#This Row],[Class]]="C",WORKDAY(Main[[#This Row],[Tech Start Date]],28),IF(Main[[#This Row],[Class]]="B", WORKDAY(Main[[#This Row],[Tech Start Date]],19),IF(Main[[#This Row],[Class]]="A",WORKDAY(Main[[#This Row],[Tech Start Date]],9),""))))</f>
        <v/>
      </c>
      <c r="Q682" s="89">
        <v>40344</v>
      </c>
      <c r="R682" s="121"/>
      <c r="S682" s="99" t="s">
        <v>11</v>
      </c>
      <c r="T682" s="76" t="s">
        <v>4</v>
      </c>
      <c r="U682" s="99" t="s">
        <v>14</v>
      </c>
      <c r="V682" s="99" t="s">
        <v>1916</v>
      </c>
      <c r="W682" s="99" t="s">
        <v>1919</v>
      </c>
      <c r="X682" s="99" t="s">
        <v>2866</v>
      </c>
      <c r="Y682" s="73" t="s">
        <v>2990</v>
      </c>
      <c r="Z682" s="73" t="s">
        <v>530</v>
      </c>
      <c r="AA682" s="99" t="s">
        <v>2866</v>
      </c>
    </row>
    <row r="683" spans="1:27" ht="17.25" customHeight="1">
      <c r="A683" s="65" t="str">
        <f>IF(priority(Main[[#This Row],[Comments]])&lt;&gt;0, priority(Main[[#This Row],[Comments]]),"")</f>
        <v/>
      </c>
      <c r="B683" s="60" t="s">
        <v>1520</v>
      </c>
      <c r="C683" s="105" t="s">
        <v>4</v>
      </c>
      <c r="D683" s="74" t="s">
        <v>596</v>
      </c>
      <c r="E683" s="89">
        <v>40645.435763888891</v>
      </c>
      <c r="F683" s="89"/>
      <c r="G683" s="65" t="str">
        <f>IF(stdProdLT(Main[[#This Row],[Comments]])=0.1,"N/A",IF(stdProdLT(Main[[#This Row],[Comments]])=0,"",TRIM(stdProdLT(Main[[#This Row],[Comments]]))))</f>
        <v/>
      </c>
      <c r="H683" s="98" t="str">
        <f>IF(Main[[#This Row],[Std. Prod. Lead Time]]="N/A", "",IF(AND(Main[[#This Row],[In Stock Date]]&lt;&gt;"",Main[[#This Row],[Revised Due Date]]&lt;&gt;"",Main[[#This Row],[In Stock Date]]&lt;&gt;""),Main[[#This Row],[In Stock Date]]-Main[[#This Row],[Revised Due Date]],""))</f>
        <v/>
      </c>
      <c r="I683" s="110" t="s">
        <v>561</v>
      </c>
      <c r="J683" s="99" t="s">
        <v>70</v>
      </c>
      <c r="K683" s="99" t="s">
        <v>4</v>
      </c>
      <c r="L683" s="89"/>
      <c r="M683" s="75" t="str">
        <f>IF(Main[[#This Row],[Tech Start Date]]&lt;1/1/1990,"",IF(Main[[#This Row],[Class]]="C",WORKDAY(Main[[#This Row],[Tech Start Date]],9),IF(Main[[#This Row],[Class]]="B", WORKDAY(Main[[#This Row],[Tech Start Date]],6),IF(Main[[#This Row],[Class]]="A",WORKDAY(Main[[#This Row],[Tech Start Date]],2),""))))</f>
        <v/>
      </c>
      <c r="N683" s="75" t="str">
        <f>IF(Main[[#This Row],[Tech Start Date]]&lt;1/1/1990,"",IF(Main[[#This Row],[Class]]="C",WORKDAY(Main[[#This Row],[Tech Start Date]],19),IF(Main[[#This Row],[Class]]="B", WORKDAY(Main[[#This Row],[Tech Start Date]],12),IF(Main[[#This Row],[Class]]="A",WORKDAY(Main[[#This Row],[Tech Start Date]],4),""))))</f>
        <v/>
      </c>
      <c r="O683" s="75" t="str">
        <f>IF(Main[[#This Row],[Tech Start Date]]&lt;1/1/1990,"",IF(Main[[#This Row],[Class]]="C",WORKDAY(Main[[#This Row],[Tech Start Date]],23),IF(Main[[#This Row],[Class]]="B", WORKDAY(Main[[#This Row],[Tech Start Date]],15),IF(Main[[#This Row],[Class]]="A",WORKDAY(Main[[#This Row],[Tech Start Date]],5),""))))</f>
        <v/>
      </c>
      <c r="P683" s="75" t="str">
        <f>IF(Main[[#This Row],[Tech Start Date]]&lt;1/1/1990,"",IF(Main[[#This Row],[Class]]="C",WORKDAY(Main[[#This Row],[Tech Start Date]],28),IF(Main[[#This Row],[Class]]="B", WORKDAY(Main[[#This Row],[Tech Start Date]],19),IF(Main[[#This Row],[Class]]="A",WORKDAY(Main[[#This Row],[Tech Start Date]],9),""))))</f>
        <v/>
      </c>
      <c r="Q683" s="89">
        <v>40669</v>
      </c>
      <c r="R683" s="121"/>
      <c r="S683" s="99" t="s">
        <v>6</v>
      </c>
      <c r="T683" s="76" t="s">
        <v>4</v>
      </c>
      <c r="U683" s="99" t="s">
        <v>29</v>
      </c>
      <c r="V683" s="99" t="s">
        <v>1913</v>
      </c>
      <c r="W683" s="99" t="s">
        <v>4</v>
      </c>
      <c r="X683" s="99" t="s">
        <v>126</v>
      </c>
      <c r="Y683" s="73" t="s">
        <v>3027</v>
      </c>
      <c r="Z683" s="73" t="s">
        <v>4</v>
      </c>
      <c r="AA683" s="99" t="s">
        <v>126</v>
      </c>
    </row>
    <row r="684" spans="1:27" ht="17.25" customHeight="1">
      <c r="A684" s="65" t="str">
        <f>IF(priority(Main[[#This Row],[Comments]])&lt;&gt;0, priority(Main[[#This Row],[Comments]]),"")</f>
        <v/>
      </c>
      <c r="B684" s="60" t="s">
        <v>1522</v>
      </c>
      <c r="C684" s="105" t="s">
        <v>401</v>
      </c>
      <c r="D684" s="74" t="s">
        <v>597</v>
      </c>
      <c r="E684" s="89"/>
      <c r="F684" s="89">
        <v>40447</v>
      </c>
      <c r="G684" s="65" t="str">
        <f>IF(stdProdLT(Main[[#This Row],[Comments]])=0.1,"N/A",IF(stdProdLT(Main[[#This Row],[Comments]])=0,"",TRIM(stdProdLT(Main[[#This Row],[Comments]]))))</f>
        <v/>
      </c>
      <c r="H684" s="98" t="str">
        <f>IF(Main[[#This Row],[Std. Prod. Lead Time]]="N/A", "",IF(AND(Main[[#This Row],[In Stock Date]]&lt;&gt;"",Main[[#This Row],[Revised Due Date]]&lt;&gt;"",Main[[#This Row],[In Stock Date]]&lt;&gt;""),Main[[#This Row],[In Stock Date]]-Main[[#This Row],[Revised Due Date]],""))</f>
        <v/>
      </c>
      <c r="I684" s="110" t="s">
        <v>4</v>
      </c>
      <c r="J684" s="99" t="s">
        <v>4</v>
      </c>
      <c r="K684" s="99" t="s">
        <v>4</v>
      </c>
      <c r="L684" s="89"/>
      <c r="M684" s="75" t="str">
        <f>IF(Main[[#This Row],[Tech Start Date]]&lt;1/1/1990,"",IF(Main[[#This Row],[Class]]="C",WORKDAY(Main[[#This Row],[Tech Start Date]],9),IF(Main[[#This Row],[Class]]="B", WORKDAY(Main[[#This Row],[Tech Start Date]],6),IF(Main[[#This Row],[Class]]="A",WORKDAY(Main[[#This Row],[Tech Start Date]],2),""))))</f>
        <v/>
      </c>
      <c r="N684" s="75" t="str">
        <f>IF(Main[[#This Row],[Tech Start Date]]&lt;1/1/1990,"",IF(Main[[#This Row],[Class]]="C",WORKDAY(Main[[#This Row],[Tech Start Date]],19),IF(Main[[#This Row],[Class]]="B", WORKDAY(Main[[#This Row],[Tech Start Date]],12),IF(Main[[#This Row],[Class]]="A",WORKDAY(Main[[#This Row],[Tech Start Date]],4),""))))</f>
        <v/>
      </c>
      <c r="O684" s="75" t="str">
        <f>IF(Main[[#This Row],[Tech Start Date]]&lt;1/1/1990,"",IF(Main[[#This Row],[Class]]="C",WORKDAY(Main[[#This Row],[Tech Start Date]],23),IF(Main[[#This Row],[Class]]="B", WORKDAY(Main[[#This Row],[Tech Start Date]],15),IF(Main[[#This Row],[Class]]="A",WORKDAY(Main[[#This Row],[Tech Start Date]],5),""))))</f>
        <v/>
      </c>
      <c r="P684" s="75" t="str">
        <f>IF(Main[[#This Row],[Tech Start Date]]&lt;1/1/1990,"",IF(Main[[#This Row],[Class]]="C",WORKDAY(Main[[#This Row],[Tech Start Date]],28),IF(Main[[#This Row],[Class]]="B", WORKDAY(Main[[#This Row],[Tech Start Date]],19),IF(Main[[#This Row],[Class]]="A",WORKDAY(Main[[#This Row],[Tech Start Date]],9),""))))</f>
        <v/>
      </c>
      <c r="Q684" s="89">
        <v>40349</v>
      </c>
      <c r="R684" s="121"/>
      <c r="S684" s="99" t="s">
        <v>11</v>
      </c>
      <c r="T684" s="76" t="s">
        <v>4</v>
      </c>
      <c r="U684" s="99" t="s">
        <v>14</v>
      </c>
      <c r="V684" s="99" t="s">
        <v>1923</v>
      </c>
      <c r="W684" s="99" t="s">
        <v>1918</v>
      </c>
      <c r="X684" s="99" t="s">
        <v>2844</v>
      </c>
      <c r="Y684" s="73" t="s">
        <v>4</v>
      </c>
      <c r="Z684" s="73" t="s">
        <v>4</v>
      </c>
      <c r="AA684" s="99" t="s">
        <v>2844</v>
      </c>
    </row>
    <row r="685" spans="1:27" ht="17.25" customHeight="1">
      <c r="A685" s="65" t="str">
        <f>IF(priority(Main[[#This Row],[Comments]])&lt;&gt;0, priority(Main[[#This Row],[Comments]]),"")</f>
        <v/>
      </c>
      <c r="B685" s="60" t="s">
        <v>1542</v>
      </c>
      <c r="C685" s="105" t="s">
        <v>436</v>
      </c>
      <c r="D685" s="74" t="s">
        <v>625</v>
      </c>
      <c r="E685" s="89"/>
      <c r="F685" s="89">
        <v>40056</v>
      </c>
      <c r="G685" s="65" t="str">
        <f>IF(stdProdLT(Main[[#This Row],[Comments]])=0.1,"N/A",IF(stdProdLT(Main[[#This Row],[Comments]])=0,"",TRIM(stdProdLT(Main[[#This Row],[Comments]]))))</f>
        <v/>
      </c>
      <c r="H685" s="98" t="str">
        <f>IF(Main[[#This Row],[Std. Prod. Lead Time]]="N/A", "",IF(AND(Main[[#This Row],[In Stock Date]]&lt;&gt;"",Main[[#This Row],[Revised Due Date]]&lt;&gt;"",Main[[#This Row],[In Stock Date]]&lt;&gt;""),Main[[#This Row],[In Stock Date]]-Main[[#This Row],[Revised Due Date]],""))</f>
        <v/>
      </c>
      <c r="I685" s="110" t="s">
        <v>4</v>
      </c>
      <c r="J685" s="99" t="s">
        <v>4</v>
      </c>
      <c r="K685" s="100" t="s">
        <v>4</v>
      </c>
      <c r="L685" s="89"/>
      <c r="M685" s="75" t="str">
        <f>IF(Main[[#This Row],[Tech Start Date]]&lt;1/1/1990,"",IF(Main[[#This Row],[Class]]="C",WORKDAY(Main[[#This Row],[Tech Start Date]],9),IF(Main[[#This Row],[Class]]="B", WORKDAY(Main[[#This Row],[Tech Start Date]],6),IF(Main[[#This Row],[Class]]="A",WORKDAY(Main[[#This Row],[Tech Start Date]],2),""))))</f>
        <v/>
      </c>
      <c r="N685" s="75" t="str">
        <f>IF(Main[[#This Row],[Tech Start Date]]&lt;1/1/1990,"",IF(Main[[#This Row],[Class]]="C",WORKDAY(Main[[#This Row],[Tech Start Date]],19),IF(Main[[#This Row],[Class]]="B", WORKDAY(Main[[#This Row],[Tech Start Date]],12),IF(Main[[#This Row],[Class]]="A",WORKDAY(Main[[#This Row],[Tech Start Date]],4),""))))</f>
        <v/>
      </c>
      <c r="O685" s="75" t="str">
        <f>IF(Main[[#This Row],[Tech Start Date]]&lt;1/1/1990,"",IF(Main[[#This Row],[Class]]="C",WORKDAY(Main[[#This Row],[Tech Start Date]],23),IF(Main[[#This Row],[Class]]="B", WORKDAY(Main[[#This Row],[Tech Start Date]],15),IF(Main[[#This Row],[Class]]="A",WORKDAY(Main[[#This Row],[Tech Start Date]],5),""))))</f>
        <v/>
      </c>
      <c r="P685" s="75" t="str">
        <f>IF(Main[[#This Row],[Tech Start Date]]&lt;1/1/1990,"",IF(Main[[#This Row],[Class]]="C",WORKDAY(Main[[#This Row],[Tech Start Date]],28),IF(Main[[#This Row],[Class]]="B", WORKDAY(Main[[#This Row],[Tech Start Date]],19),IF(Main[[#This Row],[Class]]="A",WORKDAY(Main[[#This Row],[Tech Start Date]],9),""))))</f>
        <v/>
      </c>
      <c r="Q685" s="89"/>
      <c r="R685" s="121"/>
      <c r="S685" s="99" t="s">
        <v>11</v>
      </c>
      <c r="T685" s="76" t="s">
        <v>4</v>
      </c>
      <c r="U685" s="99" t="s">
        <v>14</v>
      </c>
      <c r="V685" s="99" t="s">
        <v>1913</v>
      </c>
      <c r="W685" s="99" t="s">
        <v>1921</v>
      </c>
      <c r="X685" s="99" t="s">
        <v>2847</v>
      </c>
      <c r="Y685" s="73" t="s">
        <v>2985</v>
      </c>
      <c r="Z685" s="73" t="s">
        <v>4</v>
      </c>
      <c r="AA685" s="99" t="s">
        <v>2847</v>
      </c>
    </row>
    <row r="686" spans="1:27" ht="17.25" customHeight="1">
      <c r="A686" s="65" t="str">
        <f>IF(priority(Main[[#This Row],[Comments]])&lt;&gt;0, priority(Main[[#This Row],[Comments]]),"")</f>
        <v/>
      </c>
      <c r="B686" s="60" t="s">
        <v>1543</v>
      </c>
      <c r="C686" s="105" t="s">
        <v>4</v>
      </c>
      <c r="D686" s="74" t="s">
        <v>626</v>
      </c>
      <c r="E686" s="89"/>
      <c r="F686" s="89"/>
      <c r="G686" s="65" t="str">
        <f>IF(stdProdLT(Main[[#This Row],[Comments]])=0.1,"N/A",IF(stdProdLT(Main[[#This Row],[Comments]])=0,"",TRIM(stdProdLT(Main[[#This Row],[Comments]]))))</f>
        <v/>
      </c>
      <c r="H686" s="98" t="str">
        <f>IF(Main[[#This Row],[Std. Prod. Lead Time]]="N/A", "",IF(AND(Main[[#This Row],[In Stock Date]]&lt;&gt;"",Main[[#This Row],[Revised Due Date]]&lt;&gt;"",Main[[#This Row],[In Stock Date]]&lt;&gt;""),Main[[#This Row],[In Stock Date]]-Main[[#This Row],[Revised Due Date]],""))</f>
        <v/>
      </c>
      <c r="I686" s="110" t="s">
        <v>4</v>
      </c>
      <c r="J686" s="99" t="s">
        <v>4</v>
      </c>
      <c r="K686" s="99" t="s">
        <v>4</v>
      </c>
      <c r="L686" s="89"/>
      <c r="M686" s="75" t="str">
        <f>IF(Main[[#This Row],[Tech Start Date]]&lt;1/1/1990,"",IF(Main[[#This Row],[Class]]="C",WORKDAY(Main[[#This Row],[Tech Start Date]],9),IF(Main[[#This Row],[Class]]="B", WORKDAY(Main[[#This Row],[Tech Start Date]],6),IF(Main[[#This Row],[Class]]="A",WORKDAY(Main[[#This Row],[Tech Start Date]],2),""))))</f>
        <v/>
      </c>
      <c r="N686" s="75" t="str">
        <f>IF(Main[[#This Row],[Tech Start Date]]&lt;1/1/1990,"",IF(Main[[#This Row],[Class]]="C",WORKDAY(Main[[#This Row],[Tech Start Date]],19),IF(Main[[#This Row],[Class]]="B", WORKDAY(Main[[#This Row],[Tech Start Date]],12),IF(Main[[#This Row],[Class]]="A",WORKDAY(Main[[#This Row],[Tech Start Date]],4),""))))</f>
        <v/>
      </c>
      <c r="O686" s="75" t="str">
        <f>IF(Main[[#This Row],[Tech Start Date]]&lt;1/1/1990,"",IF(Main[[#This Row],[Class]]="C",WORKDAY(Main[[#This Row],[Tech Start Date]],23),IF(Main[[#This Row],[Class]]="B", WORKDAY(Main[[#This Row],[Tech Start Date]],15),IF(Main[[#This Row],[Class]]="A",WORKDAY(Main[[#This Row],[Tech Start Date]],5),""))))</f>
        <v/>
      </c>
      <c r="P686" s="75" t="str">
        <f>IF(Main[[#This Row],[Tech Start Date]]&lt;1/1/1990,"",IF(Main[[#This Row],[Class]]="C",WORKDAY(Main[[#This Row],[Tech Start Date]],28),IF(Main[[#This Row],[Class]]="B", WORKDAY(Main[[#This Row],[Tech Start Date]],19),IF(Main[[#This Row],[Class]]="A",WORKDAY(Main[[#This Row],[Tech Start Date]],9),""))))</f>
        <v/>
      </c>
      <c r="Q686" s="89"/>
      <c r="R686" s="121"/>
      <c r="S686" s="99" t="s">
        <v>17</v>
      </c>
      <c r="T686" s="76" t="s">
        <v>4</v>
      </c>
      <c r="U686" s="99" t="s">
        <v>12</v>
      </c>
      <c r="V686" s="99" t="s">
        <v>1913</v>
      </c>
      <c r="W686" s="99" t="s">
        <v>1915</v>
      </c>
      <c r="X686" s="99" t="s">
        <v>889</v>
      </c>
      <c r="Y686" s="73" t="s">
        <v>3067</v>
      </c>
      <c r="Z686" s="73" t="s">
        <v>4</v>
      </c>
      <c r="AA686" s="99" t="s">
        <v>889</v>
      </c>
    </row>
    <row r="687" spans="1:27" ht="17.25" customHeight="1">
      <c r="A687" s="65" t="str">
        <f>IF(priority(Main[[#This Row],[Comments]])&lt;&gt;0, priority(Main[[#This Row],[Comments]]),"")</f>
        <v/>
      </c>
      <c r="B687" s="60" t="s">
        <v>1837</v>
      </c>
      <c r="C687" s="105" t="s">
        <v>495</v>
      </c>
      <c r="D687" s="74" t="s">
        <v>893</v>
      </c>
      <c r="E687" s="89"/>
      <c r="F687" s="89"/>
      <c r="G687" s="65" t="str">
        <f>IF(stdProdLT(Main[[#This Row],[Comments]])=0.1,"N/A",IF(stdProdLT(Main[[#This Row],[Comments]])=0,"",TRIM(stdProdLT(Main[[#This Row],[Comments]]))))</f>
        <v/>
      </c>
      <c r="H687" s="98" t="str">
        <f>IF(Main[[#This Row],[Std. Prod. Lead Time]]="N/A", "",IF(AND(Main[[#This Row],[In Stock Date]]&lt;&gt;"",Main[[#This Row],[Revised Due Date]]&lt;&gt;"",Main[[#This Row],[In Stock Date]]&lt;&gt;""),Main[[#This Row],[In Stock Date]]-Main[[#This Row],[Revised Due Date]],""))</f>
        <v/>
      </c>
      <c r="I687" s="110" t="s">
        <v>126</v>
      </c>
      <c r="J687" s="99" t="s">
        <v>28</v>
      </c>
      <c r="K687" s="99" t="s">
        <v>1926</v>
      </c>
      <c r="L687" s="89"/>
      <c r="M687" s="75" t="str">
        <f>IF(Main[[#This Row],[Tech Start Date]]&lt;1/1/1990,"",IF(Main[[#This Row],[Class]]="C",WORKDAY(Main[[#This Row],[Tech Start Date]],9),IF(Main[[#This Row],[Class]]="B", WORKDAY(Main[[#This Row],[Tech Start Date]],6),IF(Main[[#This Row],[Class]]="A",WORKDAY(Main[[#This Row],[Tech Start Date]],2),""))))</f>
        <v/>
      </c>
      <c r="N687" s="75" t="str">
        <f>IF(Main[[#This Row],[Tech Start Date]]&lt;1/1/1990,"",IF(Main[[#This Row],[Class]]="C",WORKDAY(Main[[#This Row],[Tech Start Date]],19),IF(Main[[#This Row],[Class]]="B", WORKDAY(Main[[#This Row],[Tech Start Date]],12),IF(Main[[#This Row],[Class]]="A",WORKDAY(Main[[#This Row],[Tech Start Date]],4),""))))</f>
        <v/>
      </c>
      <c r="O687" s="75" t="str">
        <f>IF(Main[[#This Row],[Tech Start Date]]&lt;1/1/1990,"",IF(Main[[#This Row],[Class]]="C",WORKDAY(Main[[#This Row],[Tech Start Date]],23),IF(Main[[#This Row],[Class]]="B", WORKDAY(Main[[#This Row],[Tech Start Date]],15),IF(Main[[#This Row],[Class]]="A",WORKDAY(Main[[#This Row],[Tech Start Date]],5),""))))</f>
        <v/>
      </c>
      <c r="P687" s="75" t="str">
        <f>IF(Main[[#This Row],[Tech Start Date]]&lt;1/1/1990,"",IF(Main[[#This Row],[Class]]="C",WORKDAY(Main[[#This Row],[Tech Start Date]],28),IF(Main[[#This Row],[Class]]="B", WORKDAY(Main[[#This Row],[Tech Start Date]],19),IF(Main[[#This Row],[Class]]="A",WORKDAY(Main[[#This Row],[Tech Start Date]],9),""))))</f>
        <v/>
      </c>
      <c r="Q687" s="89">
        <v>40469</v>
      </c>
      <c r="R687" s="121">
        <v>40469</v>
      </c>
      <c r="S687" s="99" t="s">
        <v>11</v>
      </c>
      <c r="T687" s="76" t="s">
        <v>4</v>
      </c>
      <c r="U687" s="99" t="s">
        <v>14</v>
      </c>
      <c r="V687" s="99" t="s">
        <v>1913</v>
      </c>
      <c r="W687" s="99" t="s">
        <v>1921</v>
      </c>
      <c r="X687" s="99" t="s">
        <v>50</v>
      </c>
      <c r="Y687" s="73" t="s">
        <v>3056</v>
      </c>
      <c r="Z687" s="73" t="s">
        <v>129</v>
      </c>
      <c r="AA687" s="99" t="s">
        <v>2854</v>
      </c>
    </row>
    <row r="688" spans="1:27" ht="17.25" customHeight="1">
      <c r="A688" s="65" t="str">
        <f>IF(priority(Main[[#This Row],[Comments]])&lt;&gt;0, priority(Main[[#This Row],[Comments]]),"")</f>
        <v/>
      </c>
      <c r="B688" s="60" t="s">
        <v>1523</v>
      </c>
      <c r="C688" s="105" t="s">
        <v>606</v>
      </c>
      <c r="D688" s="74" t="s">
        <v>607</v>
      </c>
      <c r="E688" s="89"/>
      <c r="F688" s="89">
        <v>41275</v>
      </c>
      <c r="G688" s="65" t="str">
        <f>IF(stdProdLT(Main[[#This Row],[Comments]])=0.1,"N/A",IF(stdProdLT(Main[[#This Row],[Comments]])=0,"",TRIM(stdProdLT(Main[[#This Row],[Comments]]))))</f>
        <v/>
      </c>
      <c r="H688" s="98" t="str">
        <f>IF(Main[[#This Row],[Std. Prod. Lead Time]]="N/A", "",IF(AND(Main[[#This Row],[In Stock Date]]&lt;&gt;"",Main[[#This Row],[Revised Due Date]]&lt;&gt;"",Main[[#This Row],[In Stock Date]]&lt;&gt;""),Main[[#This Row],[In Stock Date]]-Main[[#This Row],[Revised Due Date]],""))</f>
        <v/>
      </c>
      <c r="I688" s="110" t="s">
        <v>4</v>
      </c>
      <c r="J688" s="99" t="s">
        <v>4</v>
      </c>
      <c r="K688" s="99" t="s">
        <v>4</v>
      </c>
      <c r="L688" s="89"/>
      <c r="M688" s="75" t="str">
        <f>IF(Main[[#This Row],[Tech Start Date]]&lt;1/1/1990,"",IF(Main[[#This Row],[Class]]="C",WORKDAY(Main[[#This Row],[Tech Start Date]],9),IF(Main[[#This Row],[Class]]="B", WORKDAY(Main[[#This Row],[Tech Start Date]],6),IF(Main[[#This Row],[Class]]="A",WORKDAY(Main[[#This Row],[Tech Start Date]],2),""))))</f>
        <v/>
      </c>
      <c r="N688" s="75" t="str">
        <f>IF(Main[[#This Row],[Tech Start Date]]&lt;1/1/1990,"",IF(Main[[#This Row],[Class]]="C",WORKDAY(Main[[#This Row],[Tech Start Date]],19),IF(Main[[#This Row],[Class]]="B", WORKDAY(Main[[#This Row],[Tech Start Date]],12),IF(Main[[#This Row],[Class]]="A",WORKDAY(Main[[#This Row],[Tech Start Date]],4),""))))</f>
        <v/>
      </c>
      <c r="O688" s="75" t="str">
        <f>IF(Main[[#This Row],[Tech Start Date]]&lt;1/1/1990,"",IF(Main[[#This Row],[Class]]="C",WORKDAY(Main[[#This Row],[Tech Start Date]],23),IF(Main[[#This Row],[Class]]="B", WORKDAY(Main[[#This Row],[Tech Start Date]],15),IF(Main[[#This Row],[Class]]="A",WORKDAY(Main[[#This Row],[Tech Start Date]],5),""))))</f>
        <v/>
      </c>
      <c r="P688" s="75" t="str">
        <f>IF(Main[[#This Row],[Tech Start Date]]&lt;1/1/1990,"",IF(Main[[#This Row],[Class]]="C",WORKDAY(Main[[#This Row],[Tech Start Date]],28),IF(Main[[#This Row],[Class]]="B", WORKDAY(Main[[#This Row],[Tech Start Date]],19),IF(Main[[#This Row],[Class]]="A",WORKDAY(Main[[#This Row],[Tech Start Date]],9),""))))</f>
        <v/>
      </c>
      <c r="Q688" s="89">
        <v>40387</v>
      </c>
      <c r="R688" s="121"/>
      <c r="S688" s="99" t="s">
        <v>11</v>
      </c>
      <c r="T688" s="76" t="s">
        <v>4</v>
      </c>
      <c r="U688" s="99" t="s">
        <v>14</v>
      </c>
      <c r="V688" s="99" t="s">
        <v>1923</v>
      </c>
      <c r="W688" s="99" t="s">
        <v>1918</v>
      </c>
      <c r="X688" s="99" t="s">
        <v>2818</v>
      </c>
      <c r="Y688" s="73" t="s">
        <v>3069</v>
      </c>
      <c r="Z688" s="73" t="s">
        <v>81</v>
      </c>
      <c r="AA688" s="99" t="s">
        <v>3300</v>
      </c>
    </row>
    <row r="689" spans="1:27" ht="17.25" customHeight="1">
      <c r="A689" s="65" t="str">
        <f>IF(priority(Main[[#This Row],[Comments]])&lt;&gt;0, priority(Main[[#This Row],[Comments]]),"")</f>
        <v/>
      </c>
      <c r="B689" s="60" t="s">
        <v>1524</v>
      </c>
      <c r="C689" s="105" t="s">
        <v>606</v>
      </c>
      <c r="D689" s="74" t="s">
        <v>608</v>
      </c>
      <c r="E689" s="89"/>
      <c r="F689" s="89">
        <v>41275</v>
      </c>
      <c r="G689" s="65" t="str">
        <f>IF(stdProdLT(Main[[#This Row],[Comments]])=0.1,"N/A",IF(stdProdLT(Main[[#This Row],[Comments]])=0,"",TRIM(stdProdLT(Main[[#This Row],[Comments]]))))</f>
        <v/>
      </c>
      <c r="H689" s="98" t="str">
        <f>IF(Main[[#This Row],[Std. Prod. Lead Time]]="N/A", "",IF(AND(Main[[#This Row],[In Stock Date]]&lt;&gt;"",Main[[#This Row],[Revised Due Date]]&lt;&gt;"",Main[[#This Row],[In Stock Date]]&lt;&gt;""),Main[[#This Row],[In Stock Date]]-Main[[#This Row],[Revised Due Date]],""))</f>
        <v/>
      </c>
      <c r="I689" s="110" t="s">
        <v>4</v>
      </c>
      <c r="J689" s="99" t="s">
        <v>4</v>
      </c>
      <c r="K689" s="100" t="s">
        <v>4</v>
      </c>
      <c r="L689" s="89"/>
      <c r="M689" s="75" t="str">
        <f>IF(Main[[#This Row],[Tech Start Date]]&lt;1/1/1990,"",IF(Main[[#This Row],[Class]]="C",WORKDAY(Main[[#This Row],[Tech Start Date]],9),IF(Main[[#This Row],[Class]]="B", WORKDAY(Main[[#This Row],[Tech Start Date]],6),IF(Main[[#This Row],[Class]]="A",WORKDAY(Main[[#This Row],[Tech Start Date]],2),""))))</f>
        <v/>
      </c>
      <c r="N689" s="75" t="str">
        <f>IF(Main[[#This Row],[Tech Start Date]]&lt;1/1/1990,"",IF(Main[[#This Row],[Class]]="C",WORKDAY(Main[[#This Row],[Tech Start Date]],19),IF(Main[[#This Row],[Class]]="B", WORKDAY(Main[[#This Row],[Tech Start Date]],12),IF(Main[[#This Row],[Class]]="A",WORKDAY(Main[[#This Row],[Tech Start Date]],4),""))))</f>
        <v/>
      </c>
      <c r="O689" s="75" t="str">
        <f>IF(Main[[#This Row],[Tech Start Date]]&lt;1/1/1990,"",IF(Main[[#This Row],[Class]]="C",WORKDAY(Main[[#This Row],[Tech Start Date]],23),IF(Main[[#This Row],[Class]]="B", WORKDAY(Main[[#This Row],[Tech Start Date]],15),IF(Main[[#This Row],[Class]]="A",WORKDAY(Main[[#This Row],[Tech Start Date]],5),""))))</f>
        <v/>
      </c>
      <c r="P689" s="75" t="str">
        <f>IF(Main[[#This Row],[Tech Start Date]]&lt;1/1/1990,"",IF(Main[[#This Row],[Class]]="C",WORKDAY(Main[[#This Row],[Tech Start Date]],28),IF(Main[[#This Row],[Class]]="B", WORKDAY(Main[[#This Row],[Tech Start Date]],19),IF(Main[[#This Row],[Class]]="A",WORKDAY(Main[[#This Row],[Tech Start Date]],9),""))))</f>
        <v/>
      </c>
      <c r="Q689" s="89">
        <v>40387</v>
      </c>
      <c r="R689" s="121"/>
      <c r="S689" s="99" t="s">
        <v>11</v>
      </c>
      <c r="T689" s="76" t="s">
        <v>4</v>
      </c>
      <c r="U689" s="99" t="s">
        <v>14</v>
      </c>
      <c r="V689" s="99" t="s">
        <v>1923</v>
      </c>
      <c r="W689" s="99" t="s">
        <v>1918</v>
      </c>
      <c r="X689" s="99" t="s">
        <v>2818</v>
      </c>
      <c r="Y689" s="73" t="s">
        <v>3069</v>
      </c>
      <c r="Z689" s="73" t="s">
        <v>4</v>
      </c>
      <c r="AA689" s="99" t="s">
        <v>3300</v>
      </c>
    </row>
    <row r="690" spans="1:27" ht="17.25" customHeight="1">
      <c r="A690" s="65" t="str">
        <f>IF(priority(Main[[#This Row],[Comments]])&lt;&gt;0, priority(Main[[#This Row],[Comments]]),"")</f>
        <v/>
      </c>
      <c r="B690" s="60" t="s">
        <v>1525</v>
      </c>
      <c r="C690" s="105" t="s">
        <v>290</v>
      </c>
      <c r="D690" s="74" t="s">
        <v>291</v>
      </c>
      <c r="E690" s="89"/>
      <c r="F690" s="89"/>
      <c r="G690" s="65" t="str">
        <f>IF(stdProdLT(Main[[#This Row],[Comments]])=0.1,"N/A",IF(stdProdLT(Main[[#This Row],[Comments]])=0,"",TRIM(stdProdLT(Main[[#This Row],[Comments]]))))</f>
        <v/>
      </c>
      <c r="H690" s="98" t="str">
        <f>IF(Main[[#This Row],[Std. Prod. Lead Time]]="N/A", "",IF(AND(Main[[#This Row],[In Stock Date]]&lt;&gt;"",Main[[#This Row],[Revised Due Date]]&lt;&gt;"",Main[[#This Row],[In Stock Date]]&lt;&gt;""),Main[[#This Row],[In Stock Date]]-Main[[#This Row],[Revised Due Date]],""))</f>
        <v/>
      </c>
      <c r="I690" s="110" t="s">
        <v>4</v>
      </c>
      <c r="J690" s="99" t="s">
        <v>4</v>
      </c>
      <c r="K690" s="99" t="s">
        <v>4</v>
      </c>
      <c r="L690" s="89"/>
      <c r="M690" s="75" t="str">
        <f>IF(Main[[#This Row],[Tech Start Date]]&lt;1/1/1990,"",IF(Main[[#This Row],[Class]]="C",WORKDAY(Main[[#This Row],[Tech Start Date]],9),IF(Main[[#This Row],[Class]]="B", WORKDAY(Main[[#This Row],[Tech Start Date]],6),IF(Main[[#This Row],[Class]]="A",WORKDAY(Main[[#This Row],[Tech Start Date]],2),""))))</f>
        <v/>
      </c>
      <c r="N690" s="75" t="str">
        <f>IF(Main[[#This Row],[Tech Start Date]]&lt;1/1/1990,"",IF(Main[[#This Row],[Class]]="C",WORKDAY(Main[[#This Row],[Tech Start Date]],19),IF(Main[[#This Row],[Class]]="B", WORKDAY(Main[[#This Row],[Tech Start Date]],12),IF(Main[[#This Row],[Class]]="A",WORKDAY(Main[[#This Row],[Tech Start Date]],4),""))))</f>
        <v/>
      </c>
      <c r="O690" s="75" t="str">
        <f>IF(Main[[#This Row],[Tech Start Date]]&lt;1/1/1990,"",IF(Main[[#This Row],[Class]]="C",WORKDAY(Main[[#This Row],[Tech Start Date]],23),IF(Main[[#This Row],[Class]]="B", WORKDAY(Main[[#This Row],[Tech Start Date]],15),IF(Main[[#This Row],[Class]]="A",WORKDAY(Main[[#This Row],[Tech Start Date]],5),""))))</f>
        <v/>
      </c>
      <c r="P690" s="75" t="str">
        <f>IF(Main[[#This Row],[Tech Start Date]]&lt;1/1/1990,"",IF(Main[[#This Row],[Class]]="C",WORKDAY(Main[[#This Row],[Tech Start Date]],28),IF(Main[[#This Row],[Class]]="B", WORKDAY(Main[[#This Row],[Tech Start Date]],19),IF(Main[[#This Row],[Class]]="A",WORKDAY(Main[[#This Row],[Tech Start Date]],9),""))))</f>
        <v/>
      </c>
      <c r="Q690" s="89">
        <v>40052</v>
      </c>
      <c r="R690" s="121"/>
      <c r="S690" s="99" t="s">
        <v>11</v>
      </c>
      <c r="T690" s="76" t="s">
        <v>4</v>
      </c>
      <c r="U690" s="99" t="s">
        <v>14</v>
      </c>
      <c r="V690" s="99" t="s">
        <v>1916</v>
      </c>
      <c r="W690" s="99" t="s">
        <v>1915</v>
      </c>
      <c r="X690" s="99" t="s">
        <v>2828</v>
      </c>
      <c r="Y690" s="73" t="s">
        <v>4</v>
      </c>
      <c r="Z690" s="73" t="s">
        <v>4</v>
      </c>
      <c r="AA690" s="99" t="s">
        <v>2828</v>
      </c>
    </row>
    <row r="691" spans="1:27" ht="17.25" customHeight="1">
      <c r="A691" s="65" t="str">
        <f>IF(priority(Main[[#This Row],[Comments]])&lt;&gt;0, priority(Main[[#This Row],[Comments]]),"")</f>
        <v/>
      </c>
      <c r="B691" s="60" t="s">
        <v>1526</v>
      </c>
      <c r="C691" s="105" t="s">
        <v>4</v>
      </c>
      <c r="D691" s="74" t="s">
        <v>609</v>
      </c>
      <c r="E691" s="89">
        <v>40533.617372685185</v>
      </c>
      <c r="F691" s="89">
        <v>40602</v>
      </c>
      <c r="G691" s="65" t="str">
        <f>IF(stdProdLT(Main[[#This Row],[Comments]])=0.1,"N/A",IF(stdProdLT(Main[[#This Row],[Comments]])=0,"",TRIM(stdProdLT(Main[[#This Row],[Comments]]))))</f>
        <v/>
      </c>
      <c r="H691" s="98" t="str">
        <f>IF(Main[[#This Row],[Std. Prod. Lead Time]]="N/A", "",IF(AND(Main[[#This Row],[In Stock Date]]&lt;&gt;"",Main[[#This Row],[Revised Due Date]]&lt;&gt;"",Main[[#This Row],[In Stock Date]]&lt;&gt;""),Main[[#This Row],[In Stock Date]]-Main[[#This Row],[Revised Due Date]],""))</f>
        <v/>
      </c>
      <c r="I691" s="110" t="s">
        <v>4</v>
      </c>
      <c r="J691" s="99" t="s">
        <v>28</v>
      </c>
      <c r="K691" s="99" t="s">
        <v>1922</v>
      </c>
      <c r="L691" s="89"/>
      <c r="M691" s="75" t="str">
        <f>IF(Main[[#This Row],[Tech Start Date]]&lt;1/1/1990,"",IF(Main[[#This Row],[Class]]="C",WORKDAY(Main[[#This Row],[Tech Start Date]],9),IF(Main[[#This Row],[Class]]="B", WORKDAY(Main[[#This Row],[Tech Start Date]],6),IF(Main[[#This Row],[Class]]="A",WORKDAY(Main[[#This Row],[Tech Start Date]],2),""))))</f>
        <v/>
      </c>
      <c r="N691" s="75" t="str">
        <f>IF(Main[[#This Row],[Tech Start Date]]&lt;1/1/1990,"",IF(Main[[#This Row],[Class]]="C",WORKDAY(Main[[#This Row],[Tech Start Date]],19),IF(Main[[#This Row],[Class]]="B", WORKDAY(Main[[#This Row],[Tech Start Date]],12),IF(Main[[#This Row],[Class]]="A",WORKDAY(Main[[#This Row],[Tech Start Date]],4),""))))</f>
        <v/>
      </c>
      <c r="O691" s="75" t="str">
        <f>IF(Main[[#This Row],[Tech Start Date]]&lt;1/1/1990,"",IF(Main[[#This Row],[Class]]="C",WORKDAY(Main[[#This Row],[Tech Start Date]],23),IF(Main[[#This Row],[Class]]="B", WORKDAY(Main[[#This Row],[Tech Start Date]],15),IF(Main[[#This Row],[Class]]="A",WORKDAY(Main[[#This Row],[Tech Start Date]],5),""))))</f>
        <v/>
      </c>
      <c r="P691" s="75" t="str">
        <f>IF(Main[[#This Row],[Tech Start Date]]&lt;1/1/1990,"",IF(Main[[#This Row],[Class]]="C",WORKDAY(Main[[#This Row],[Tech Start Date]],28),IF(Main[[#This Row],[Class]]="B", WORKDAY(Main[[#This Row],[Tech Start Date]],19),IF(Main[[#This Row],[Class]]="A",WORKDAY(Main[[#This Row],[Tech Start Date]],9),""))))</f>
        <v/>
      </c>
      <c r="Q691" s="89">
        <v>40602</v>
      </c>
      <c r="R691" s="121"/>
      <c r="S691" s="99" t="s">
        <v>6</v>
      </c>
      <c r="T691" s="76" t="s">
        <v>4</v>
      </c>
      <c r="U691" s="99" t="s">
        <v>7</v>
      </c>
      <c r="V691" s="99" t="s">
        <v>1913</v>
      </c>
      <c r="W691" s="99" t="s">
        <v>1915</v>
      </c>
      <c r="X691" s="99" t="s">
        <v>2881</v>
      </c>
      <c r="Y691" s="73" t="s">
        <v>3037</v>
      </c>
      <c r="Z691" s="73" t="s">
        <v>129</v>
      </c>
      <c r="AA691" s="99" t="s">
        <v>2881</v>
      </c>
    </row>
    <row r="692" spans="1:27" ht="17.25" customHeight="1">
      <c r="A692" s="65" t="str">
        <f>IF(priority(Main[[#This Row],[Comments]])&lt;&gt;0, priority(Main[[#This Row],[Comments]]),"")</f>
        <v/>
      </c>
      <c r="B692" s="60" t="s">
        <v>1527</v>
      </c>
      <c r="C692" s="105" t="s">
        <v>4</v>
      </c>
      <c r="D692" s="74" t="s">
        <v>610</v>
      </c>
      <c r="E692" s="89">
        <v>40387.693402777775</v>
      </c>
      <c r="F692" s="89"/>
      <c r="G692" s="65" t="str">
        <f>IF(stdProdLT(Main[[#This Row],[Comments]])=0.1,"N/A",IF(stdProdLT(Main[[#This Row],[Comments]])=0,"",TRIM(stdProdLT(Main[[#This Row],[Comments]]))))</f>
        <v/>
      </c>
      <c r="H692" s="98" t="str">
        <f>IF(Main[[#This Row],[Std. Prod. Lead Time]]="N/A", "",IF(AND(Main[[#This Row],[In Stock Date]]&lt;&gt;"",Main[[#This Row],[Revised Due Date]]&lt;&gt;"",Main[[#This Row],[In Stock Date]]&lt;&gt;""),Main[[#This Row],[In Stock Date]]-Main[[#This Row],[Revised Due Date]],""))</f>
        <v/>
      </c>
      <c r="I692" s="110" t="s">
        <v>4</v>
      </c>
      <c r="J692" s="99" t="s">
        <v>28</v>
      </c>
      <c r="K692" s="99" t="s">
        <v>4</v>
      </c>
      <c r="L692" s="89"/>
      <c r="M692" s="75" t="str">
        <f>IF(Main[[#This Row],[Tech Start Date]]&lt;1/1/1990,"",IF(Main[[#This Row],[Class]]="C",WORKDAY(Main[[#This Row],[Tech Start Date]],9),IF(Main[[#This Row],[Class]]="B", WORKDAY(Main[[#This Row],[Tech Start Date]],6),IF(Main[[#This Row],[Class]]="A",WORKDAY(Main[[#This Row],[Tech Start Date]],2),""))))</f>
        <v/>
      </c>
      <c r="N692" s="75" t="str">
        <f>IF(Main[[#This Row],[Tech Start Date]]&lt;1/1/1990,"",IF(Main[[#This Row],[Class]]="C",WORKDAY(Main[[#This Row],[Tech Start Date]],19),IF(Main[[#This Row],[Class]]="B", WORKDAY(Main[[#This Row],[Tech Start Date]],12),IF(Main[[#This Row],[Class]]="A",WORKDAY(Main[[#This Row],[Tech Start Date]],4),""))))</f>
        <v/>
      </c>
      <c r="O692" s="75" t="str">
        <f>IF(Main[[#This Row],[Tech Start Date]]&lt;1/1/1990,"",IF(Main[[#This Row],[Class]]="C",WORKDAY(Main[[#This Row],[Tech Start Date]],23),IF(Main[[#This Row],[Class]]="B", WORKDAY(Main[[#This Row],[Tech Start Date]],15),IF(Main[[#This Row],[Class]]="A",WORKDAY(Main[[#This Row],[Tech Start Date]],5),""))))</f>
        <v/>
      </c>
      <c r="P692" s="75" t="str">
        <f>IF(Main[[#This Row],[Tech Start Date]]&lt;1/1/1990,"",IF(Main[[#This Row],[Class]]="C",WORKDAY(Main[[#This Row],[Tech Start Date]],28),IF(Main[[#This Row],[Class]]="B", WORKDAY(Main[[#This Row],[Tech Start Date]],19),IF(Main[[#This Row],[Class]]="A",WORKDAY(Main[[#This Row],[Tech Start Date]],9),""))))</f>
        <v/>
      </c>
      <c r="Q692" s="89">
        <v>40400</v>
      </c>
      <c r="R692" s="121"/>
      <c r="S692" s="99" t="s">
        <v>6</v>
      </c>
      <c r="T692" s="76" t="s">
        <v>4</v>
      </c>
      <c r="U692" s="99" t="s">
        <v>7</v>
      </c>
      <c r="V692" s="99" t="s">
        <v>1913</v>
      </c>
      <c r="W692" s="99" t="s">
        <v>1915</v>
      </c>
      <c r="X692" s="99" t="s">
        <v>102</v>
      </c>
      <c r="Y692" s="73" t="s">
        <v>3026</v>
      </c>
      <c r="Z692" s="73" t="s">
        <v>129</v>
      </c>
      <c r="AA692" s="99" t="s">
        <v>3389</v>
      </c>
    </row>
    <row r="693" spans="1:27" ht="17.25" customHeight="1">
      <c r="A693" s="65" t="str">
        <f>IF(priority(Main[[#This Row],[Comments]])&lt;&gt;0, priority(Main[[#This Row],[Comments]]),"")</f>
        <v/>
      </c>
      <c r="B693" s="60" t="s">
        <v>1528</v>
      </c>
      <c r="C693" s="105" t="s">
        <v>4</v>
      </c>
      <c r="D693" s="74" t="s">
        <v>611</v>
      </c>
      <c r="E693" s="89">
        <v>40506.643229166664</v>
      </c>
      <c r="F693" s="89"/>
      <c r="G693" s="65" t="str">
        <f>IF(stdProdLT(Main[[#This Row],[Comments]])=0.1,"N/A",IF(stdProdLT(Main[[#This Row],[Comments]])=0,"",TRIM(stdProdLT(Main[[#This Row],[Comments]]))))</f>
        <v/>
      </c>
      <c r="H693" s="98" t="str">
        <f>IF(Main[[#This Row],[Std. Prod. Lead Time]]="N/A", "",IF(AND(Main[[#This Row],[In Stock Date]]&lt;&gt;"",Main[[#This Row],[Revised Due Date]]&lt;&gt;"",Main[[#This Row],[In Stock Date]]&lt;&gt;""),Main[[#This Row],[In Stock Date]]-Main[[#This Row],[Revised Due Date]],""))</f>
        <v/>
      </c>
      <c r="I693" s="110" t="s">
        <v>4</v>
      </c>
      <c r="J693" s="99" t="s">
        <v>28</v>
      </c>
      <c r="K693" s="100" t="s">
        <v>1920</v>
      </c>
      <c r="L693" s="89"/>
      <c r="M693" s="75" t="str">
        <f>IF(Main[[#This Row],[Tech Start Date]]&lt;1/1/1990,"",IF(Main[[#This Row],[Class]]="C",WORKDAY(Main[[#This Row],[Tech Start Date]],9),IF(Main[[#This Row],[Class]]="B", WORKDAY(Main[[#This Row],[Tech Start Date]],6),IF(Main[[#This Row],[Class]]="A",WORKDAY(Main[[#This Row],[Tech Start Date]],2),""))))</f>
        <v/>
      </c>
      <c r="N693" s="75" t="str">
        <f>IF(Main[[#This Row],[Tech Start Date]]&lt;1/1/1990,"",IF(Main[[#This Row],[Class]]="C",WORKDAY(Main[[#This Row],[Tech Start Date]],19),IF(Main[[#This Row],[Class]]="B", WORKDAY(Main[[#This Row],[Tech Start Date]],12),IF(Main[[#This Row],[Class]]="A",WORKDAY(Main[[#This Row],[Tech Start Date]],4),""))))</f>
        <v/>
      </c>
      <c r="O693" s="75" t="str">
        <f>IF(Main[[#This Row],[Tech Start Date]]&lt;1/1/1990,"",IF(Main[[#This Row],[Class]]="C",WORKDAY(Main[[#This Row],[Tech Start Date]],23),IF(Main[[#This Row],[Class]]="B", WORKDAY(Main[[#This Row],[Tech Start Date]],15),IF(Main[[#This Row],[Class]]="A",WORKDAY(Main[[#This Row],[Tech Start Date]],5),""))))</f>
        <v/>
      </c>
      <c r="P693" s="75" t="str">
        <f>IF(Main[[#This Row],[Tech Start Date]]&lt;1/1/1990,"",IF(Main[[#This Row],[Class]]="C",WORKDAY(Main[[#This Row],[Tech Start Date]],28),IF(Main[[#This Row],[Class]]="B", WORKDAY(Main[[#This Row],[Tech Start Date]],19),IF(Main[[#This Row],[Class]]="A",WORKDAY(Main[[#This Row],[Tech Start Date]],9),""))))</f>
        <v/>
      </c>
      <c r="Q693" s="89">
        <v>40548</v>
      </c>
      <c r="R693" s="121"/>
      <c r="S693" s="99" t="s">
        <v>6</v>
      </c>
      <c r="T693" s="76" t="s">
        <v>4</v>
      </c>
      <c r="U693" s="99" t="s">
        <v>7</v>
      </c>
      <c r="V693" s="99" t="s">
        <v>1913</v>
      </c>
      <c r="W693" s="99" t="s">
        <v>1917</v>
      </c>
      <c r="X693" s="99" t="s">
        <v>2815</v>
      </c>
      <c r="Y693" s="73" t="s">
        <v>2930</v>
      </c>
      <c r="Z693" s="73" t="s">
        <v>129</v>
      </c>
      <c r="AA693" s="99" t="s">
        <v>2815</v>
      </c>
    </row>
    <row r="694" spans="1:27" ht="17.25" customHeight="1">
      <c r="A694" s="65" t="str">
        <f>IF(priority(Main[[#This Row],[Comments]])&lt;&gt;0, priority(Main[[#This Row],[Comments]]),"")</f>
        <v/>
      </c>
      <c r="B694" s="60" t="s">
        <v>1529</v>
      </c>
      <c r="C694" s="105" t="s">
        <v>4</v>
      </c>
      <c r="D694" s="74" t="s">
        <v>612</v>
      </c>
      <c r="E694" s="89">
        <v>40371.390138888892</v>
      </c>
      <c r="F694" s="89"/>
      <c r="G694" s="65" t="str">
        <f>IF(stdProdLT(Main[[#This Row],[Comments]])=0.1,"N/A",IF(stdProdLT(Main[[#This Row],[Comments]])=0,"",TRIM(stdProdLT(Main[[#This Row],[Comments]]))))</f>
        <v/>
      </c>
      <c r="H694" s="98" t="str">
        <f>IF(Main[[#This Row],[Std. Prod. Lead Time]]="N/A", "",IF(AND(Main[[#This Row],[In Stock Date]]&lt;&gt;"",Main[[#This Row],[Revised Due Date]]&lt;&gt;"",Main[[#This Row],[In Stock Date]]&lt;&gt;""),Main[[#This Row],[In Stock Date]]-Main[[#This Row],[Revised Due Date]],""))</f>
        <v/>
      </c>
      <c r="I694" s="110" t="s">
        <v>4</v>
      </c>
      <c r="J694" s="99" t="s">
        <v>4</v>
      </c>
      <c r="K694" s="100" t="s">
        <v>4</v>
      </c>
      <c r="L694" s="89"/>
      <c r="M694" s="75" t="str">
        <f>IF(Main[[#This Row],[Tech Start Date]]&lt;1/1/1990,"",IF(Main[[#This Row],[Class]]="C",WORKDAY(Main[[#This Row],[Tech Start Date]],9),IF(Main[[#This Row],[Class]]="B", WORKDAY(Main[[#This Row],[Tech Start Date]],6),IF(Main[[#This Row],[Class]]="A",WORKDAY(Main[[#This Row],[Tech Start Date]],2),""))))</f>
        <v/>
      </c>
      <c r="N694" s="75" t="str">
        <f>IF(Main[[#This Row],[Tech Start Date]]&lt;1/1/1990,"",IF(Main[[#This Row],[Class]]="C",WORKDAY(Main[[#This Row],[Tech Start Date]],19),IF(Main[[#This Row],[Class]]="B", WORKDAY(Main[[#This Row],[Tech Start Date]],12),IF(Main[[#This Row],[Class]]="A",WORKDAY(Main[[#This Row],[Tech Start Date]],4),""))))</f>
        <v/>
      </c>
      <c r="O694" s="75" t="str">
        <f>IF(Main[[#This Row],[Tech Start Date]]&lt;1/1/1990,"",IF(Main[[#This Row],[Class]]="C",WORKDAY(Main[[#This Row],[Tech Start Date]],23),IF(Main[[#This Row],[Class]]="B", WORKDAY(Main[[#This Row],[Tech Start Date]],15),IF(Main[[#This Row],[Class]]="A",WORKDAY(Main[[#This Row],[Tech Start Date]],5),""))))</f>
        <v/>
      </c>
      <c r="P694" s="75" t="str">
        <f>IF(Main[[#This Row],[Tech Start Date]]&lt;1/1/1990,"",IF(Main[[#This Row],[Class]]="C",WORKDAY(Main[[#This Row],[Tech Start Date]],28),IF(Main[[#This Row],[Class]]="B", WORKDAY(Main[[#This Row],[Tech Start Date]],19),IF(Main[[#This Row],[Class]]="A",WORKDAY(Main[[#This Row],[Tech Start Date]],9),""))))</f>
        <v/>
      </c>
      <c r="Q694" s="89">
        <v>40385</v>
      </c>
      <c r="R694" s="121"/>
      <c r="S694" s="99" t="s">
        <v>6</v>
      </c>
      <c r="T694" s="76" t="s">
        <v>4</v>
      </c>
      <c r="U694" s="99" t="s">
        <v>7</v>
      </c>
      <c r="V694" s="99" t="s">
        <v>1913</v>
      </c>
      <c r="W694" s="99" t="s">
        <v>1915</v>
      </c>
      <c r="X694" s="99" t="s">
        <v>102</v>
      </c>
      <c r="Y694" s="73" t="s">
        <v>2986</v>
      </c>
      <c r="Z694" s="73" t="s">
        <v>4</v>
      </c>
      <c r="AA694" s="99" t="s">
        <v>129</v>
      </c>
    </row>
    <row r="695" spans="1:27" ht="17.25" customHeight="1">
      <c r="A695" s="65" t="str">
        <f>IF(priority(Main[[#This Row],[Comments]])&lt;&gt;0, priority(Main[[#This Row],[Comments]]),"")</f>
        <v/>
      </c>
      <c r="B695" s="60" t="s">
        <v>1664</v>
      </c>
      <c r="C695" s="105" t="s">
        <v>4</v>
      </c>
      <c r="D695" s="74" t="s">
        <v>728</v>
      </c>
      <c r="E695" s="89"/>
      <c r="F695" s="89"/>
      <c r="G695" s="65" t="str">
        <f>IF(stdProdLT(Main[[#This Row],[Comments]])=0.1,"N/A",IF(stdProdLT(Main[[#This Row],[Comments]])=0,"",TRIM(stdProdLT(Main[[#This Row],[Comments]]))))</f>
        <v/>
      </c>
      <c r="H695" s="98" t="str">
        <f>IF(Main[[#This Row],[Std. Prod. Lead Time]]="N/A", "",IF(AND(Main[[#This Row],[In Stock Date]]&lt;&gt;"",Main[[#This Row],[Revised Due Date]]&lt;&gt;"",Main[[#This Row],[In Stock Date]]&lt;&gt;""),Main[[#This Row],[In Stock Date]]-Main[[#This Row],[Revised Due Date]],""))</f>
        <v/>
      </c>
      <c r="I695" s="110" t="s">
        <v>4</v>
      </c>
      <c r="J695" s="99" t="s">
        <v>4</v>
      </c>
      <c r="K695" s="99" t="s">
        <v>4</v>
      </c>
      <c r="L695" s="89"/>
      <c r="M695" s="75" t="str">
        <f>IF(Main[[#This Row],[Tech Start Date]]&lt;1/1/1990,"",IF(Main[[#This Row],[Class]]="C",WORKDAY(Main[[#This Row],[Tech Start Date]],9),IF(Main[[#This Row],[Class]]="B", WORKDAY(Main[[#This Row],[Tech Start Date]],6),IF(Main[[#This Row],[Class]]="A",WORKDAY(Main[[#This Row],[Tech Start Date]],2),""))))</f>
        <v/>
      </c>
      <c r="N695" s="75" t="str">
        <f>IF(Main[[#This Row],[Tech Start Date]]&lt;1/1/1990,"",IF(Main[[#This Row],[Class]]="C",WORKDAY(Main[[#This Row],[Tech Start Date]],19),IF(Main[[#This Row],[Class]]="B", WORKDAY(Main[[#This Row],[Tech Start Date]],12),IF(Main[[#This Row],[Class]]="A",WORKDAY(Main[[#This Row],[Tech Start Date]],4),""))))</f>
        <v/>
      </c>
      <c r="O695" s="75" t="str">
        <f>IF(Main[[#This Row],[Tech Start Date]]&lt;1/1/1990,"",IF(Main[[#This Row],[Class]]="C",WORKDAY(Main[[#This Row],[Tech Start Date]],23),IF(Main[[#This Row],[Class]]="B", WORKDAY(Main[[#This Row],[Tech Start Date]],15),IF(Main[[#This Row],[Class]]="A",WORKDAY(Main[[#This Row],[Tech Start Date]],5),""))))</f>
        <v/>
      </c>
      <c r="P695" s="75" t="str">
        <f>IF(Main[[#This Row],[Tech Start Date]]&lt;1/1/1990,"",IF(Main[[#This Row],[Class]]="C",WORKDAY(Main[[#This Row],[Tech Start Date]],28),IF(Main[[#This Row],[Class]]="B", WORKDAY(Main[[#This Row],[Tech Start Date]],19),IF(Main[[#This Row],[Class]]="A",WORKDAY(Main[[#This Row],[Tech Start Date]],9),""))))</f>
        <v/>
      </c>
      <c r="Q695" s="89"/>
      <c r="R695" s="121"/>
      <c r="S695" s="99" t="s">
        <v>23</v>
      </c>
      <c r="T695" s="76" t="s">
        <v>4</v>
      </c>
      <c r="U695" s="99" t="s">
        <v>14</v>
      </c>
      <c r="V695" s="99" t="s">
        <v>1913</v>
      </c>
      <c r="W695" s="99" t="s">
        <v>1917</v>
      </c>
      <c r="X695" s="99" t="s">
        <v>102</v>
      </c>
      <c r="Y695" s="73" t="s">
        <v>3070</v>
      </c>
      <c r="Z695" s="73" t="s">
        <v>4</v>
      </c>
      <c r="AA695" s="99" t="s">
        <v>3416</v>
      </c>
    </row>
    <row r="696" spans="1:27" ht="17.25" customHeight="1">
      <c r="A696" s="65" t="str">
        <f>IF(priority(Main[[#This Row],[Comments]])&lt;&gt;0, priority(Main[[#This Row],[Comments]]),"")</f>
        <v/>
      </c>
      <c r="B696" s="60" t="s">
        <v>1530</v>
      </c>
      <c r="C696" s="105" t="s">
        <v>33</v>
      </c>
      <c r="D696" s="74" t="s">
        <v>613</v>
      </c>
      <c r="E696" s="89"/>
      <c r="F696" s="89">
        <v>40252</v>
      </c>
      <c r="G696" s="65" t="str">
        <f>IF(stdProdLT(Main[[#This Row],[Comments]])=0.1,"N/A",IF(stdProdLT(Main[[#This Row],[Comments]])=0,"",TRIM(stdProdLT(Main[[#This Row],[Comments]]))))</f>
        <v/>
      </c>
      <c r="H696" s="98" t="str">
        <f>IF(Main[[#This Row],[Std. Prod. Lead Time]]="N/A", "",IF(AND(Main[[#This Row],[In Stock Date]]&lt;&gt;"",Main[[#This Row],[Revised Due Date]]&lt;&gt;"",Main[[#This Row],[In Stock Date]]&lt;&gt;""),Main[[#This Row],[In Stock Date]]-Main[[#This Row],[Revised Due Date]],""))</f>
        <v/>
      </c>
      <c r="I696" s="110" t="s">
        <v>4</v>
      </c>
      <c r="J696" s="99" t="s">
        <v>4</v>
      </c>
      <c r="K696" s="99" t="s">
        <v>4</v>
      </c>
      <c r="L696" s="89"/>
      <c r="M696" s="75" t="str">
        <f>IF(Main[[#This Row],[Tech Start Date]]&lt;1/1/1990,"",IF(Main[[#This Row],[Class]]="C",WORKDAY(Main[[#This Row],[Tech Start Date]],9),IF(Main[[#This Row],[Class]]="B", WORKDAY(Main[[#This Row],[Tech Start Date]],6),IF(Main[[#This Row],[Class]]="A",WORKDAY(Main[[#This Row],[Tech Start Date]],2),""))))</f>
        <v/>
      </c>
      <c r="N696" s="75" t="str">
        <f>IF(Main[[#This Row],[Tech Start Date]]&lt;1/1/1990,"",IF(Main[[#This Row],[Class]]="C",WORKDAY(Main[[#This Row],[Tech Start Date]],19),IF(Main[[#This Row],[Class]]="B", WORKDAY(Main[[#This Row],[Tech Start Date]],12),IF(Main[[#This Row],[Class]]="A",WORKDAY(Main[[#This Row],[Tech Start Date]],4),""))))</f>
        <v/>
      </c>
      <c r="O696" s="75" t="str">
        <f>IF(Main[[#This Row],[Tech Start Date]]&lt;1/1/1990,"",IF(Main[[#This Row],[Class]]="C",WORKDAY(Main[[#This Row],[Tech Start Date]],23),IF(Main[[#This Row],[Class]]="B", WORKDAY(Main[[#This Row],[Tech Start Date]],15),IF(Main[[#This Row],[Class]]="A",WORKDAY(Main[[#This Row],[Tech Start Date]],5),""))))</f>
        <v/>
      </c>
      <c r="P696" s="75" t="str">
        <f>IF(Main[[#This Row],[Tech Start Date]]&lt;1/1/1990,"",IF(Main[[#This Row],[Class]]="C",WORKDAY(Main[[#This Row],[Tech Start Date]],28),IF(Main[[#This Row],[Class]]="B", WORKDAY(Main[[#This Row],[Tech Start Date]],19),IF(Main[[#This Row],[Class]]="A",WORKDAY(Main[[#This Row],[Tech Start Date]],9),""))))</f>
        <v/>
      </c>
      <c r="Q696" s="89">
        <v>40227</v>
      </c>
      <c r="R696" s="121"/>
      <c r="S696" s="99" t="s">
        <v>11</v>
      </c>
      <c r="T696" s="76" t="s">
        <v>4</v>
      </c>
      <c r="U696" s="99" t="s">
        <v>14</v>
      </c>
      <c r="V696" s="99" t="s">
        <v>1916</v>
      </c>
      <c r="W696" s="99" t="s">
        <v>1918</v>
      </c>
      <c r="X696" s="99" t="s">
        <v>2844</v>
      </c>
      <c r="Y696" s="73" t="s">
        <v>4</v>
      </c>
      <c r="Z696" s="73" t="s">
        <v>4</v>
      </c>
      <c r="AA696" s="99" t="s">
        <v>2844</v>
      </c>
    </row>
    <row r="697" spans="1:27" ht="17.25" customHeight="1">
      <c r="A697" s="65" t="str">
        <f>IF(priority(Main[[#This Row],[Comments]])&lt;&gt;0, priority(Main[[#This Row],[Comments]]),"")</f>
        <v/>
      </c>
      <c r="B697" s="60" t="s">
        <v>1531</v>
      </c>
      <c r="C697" s="105" t="s">
        <v>4</v>
      </c>
      <c r="D697" s="74" t="s">
        <v>614</v>
      </c>
      <c r="E697" s="89"/>
      <c r="F697" s="89"/>
      <c r="G697" s="65" t="str">
        <f>IF(stdProdLT(Main[[#This Row],[Comments]])=0.1,"N/A",IF(stdProdLT(Main[[#This Row],[Comments]])=0,"",TRIM(stdProdLT(Main[[#This Row],[Comments]]))))</f>
        <v/>
      </c>
      <c r="H697" s="98" t="str">
        <f>IF(Main[[#This Row],[Std. Prod. Lead Time]]="N/A", "",IF(AND(Main[[#This Row],[In Stock Date]]&lt;&gt;"",Main[[#This Row],[Revised Due Date]]&lt;&gt;"",Main[[#This Row],[In Stock Date]]&lt;&gt;""),Main[[#This Row],[In Stock Date]]-Main[[#This Row],[Revised Due Date]],""))</f>
        <v/>
      </c>
      <c r="I697" s="110" t="s">
        <v>4</v>
      </c>
      <c r="J697" s="99" t="s">
        <v>28</v>
      </c>
      <c r="K697" s="99" t="s">
        <v>1922</v>
      </c>
      <c r="L697" s="89"/>
      <c r="M697" s="75" t="str">
        <f>IF(Main[[#This Row],[Tech Start Date]]&lt;1/1/1990,"",IF(Main[[#This Row],[Class]]="C",WORKDAY(Main[[#This Row],[Tech Start Date]],9),IF(Main[[#This Row],[Class]]="B", WORKDAY(Main[[#This Row],[Tech Start Date]],6),IF(Main[[#This Row],[Class]]="A",WORKDAY(Main[[#This Row],[Tech Start Date]],2),""))))</f>
        <v/>
      </c>
      <c r="N697" s="75" t="str">
        <f>IF(Main[[#This Row],[Tech Start Date]]&lt;1/1/1990,"",IF(Main[[#This Row],[Class]]="C",WORKDAY(Main[[#This Row],[Tech Start Date]],19),IF(Main[[#This Row],[Class]]="B", WORKDAY(Main[[#This Row],[Tech Start Date]],12),IF(Main[[#This Row],[Class]]="A",WORKDAY(Main[[#This Row],[Tech Start Date]],4),""))))</f>
        <v/>
      </c>
      <c r="O697" s="75" t="str">
        <f>IF(Main[[#This Row],[Tech Start Date]]&lt;1/1/1990,"",IF(Main[[#This Row],[Class]]="C",WORKDAY(Main[[#This Row],[Tech Start Date]],23),IF(Main[[#This Row],[Class]]="B", WORKDAY(Main[[#This Row],[Tech Start Date]],15),IF(Main[[#This Row],[Class]]="A",WORKDAY(Main[[#This Row],[Tech Start Date]],5),""))))</f>
        <v/>
      </c>
      <c r="P697" s="75" t="str">
        <f>IF(Main[[#This Row],[Tech Start Date]]&lt;1/1/1990,"",IF(Main[[#This Row],[Class]]="C",WORKDAY(Main[[#This Row],[Tech Start Date]],28),IF(Main[[#This Row],[Class]]="B", WORKDAY(Main[[#This Row],[Tech Start Date]],19),IF(Main[[#This Row],[Class]]="A",WORKDAY(Main[[#This Row],[Tech Start Date]],9),""))))</f>
        <v/>
      </c>
      <c r="Q697" s="89">
        <v>40387</v>
      </c>
      <c r="R697" s="121"/>
      <c r="S697" s="99" t="s">
        <v>6</v>
      </c>
      <c r="T697" s="76" t="s">
        <v>4</v>
      </c>
      <c r="U697" s="99" t="s">
        <v>14</v>
      </c>
      <c r="V697" s="99" t="s">
        <v>1913</v>
      </c>
      <c r="W697" s="99" t="s">
        <v>1918</v>
      </c>
      <c r="X697" s="99" t="s">
        <v>129</v>
      </c>
      <c r="Y697" s="73" t="s">
        <v>3071</v>
      </c>
      <c r="Z697" s="73" t="s">
        <v>129</v>
      </c>
      <c r="AA697" s="99" t="s">
        <v>129</v>
      </c>
    </row>
    <row r="698" spans="1:27" ht="17.25" customHeight="1">
      <c r="A698" s="65" t="str">
        <f>IF(priority(Main[[#This Row],[Comments]])&lt;&gt;0, priority(Main[[#This Row],[Comments]]),"")</f>
        <v/>
      </c>
      <c r="B698" s="60" t="s">
        <v>1532</v>
      </c>
      <c r="C698" s="105" t="s">
        <v>211</v>
      </c>
      <c r="D698" s="74" t="s">
        <v>413</v>
      </c>
      <c r="E698" s="89"/>
      <c r="F698" s="89">
        <v>40391</v>
      </c>
      <c r="G698" s="65" t="str">
        <f>IF(stdProdLT(Main[[#This Row],[Comments]])=0.1,"N/A",IF(stdProdLT(Main[[#This Row],[Comments]])=0,"",TRIM(stdProdLT(Main[[#This Row],[Comments]]))))</f>
        <v/>
      </c>
      <c r="H698" s="98" t="str">
        <f>IF(Main[[#This Row],[Std. Prod. Lead Time]]="N/A", "",IF(AND(Main[[#This Row],[In Stock Date]]&lt;&gt;"",Main[[#This Row],[Revised Due Date]]&lt;&gt;"",Main[[#This Row],[In Stock Date]]&lt;&gt;""),Main[[#This Row],[In Stock Date]]-Main[[#This Row],[Revised Due Date]],""))</f>
        <v/>
      </c>
      <c r="I698" s="110" t="s">
        <v>4</v>
      </c>
      <c r="J698" s="99" t="s">
        <v>4</v>
      </c>
      <c r="K698" s="99" t="s">
        <v>4</v>
      </c>
      <c r="L698" s="89"/>
      <c r="M698" s="75" t="str">
        <f>IF(Main[[#This Row],[Tech Start Date]]&lt;1/1/1990,"",IF(Main[[#This Row],[Class]]="C",WORKDAY(Main[[#This Row],[Tech Start Date]],9),IF(Main[[#This Row],[Class]]="B", WORKDAY(Main[[#This Row],[Tech Start Date]],6),IF(Main[[#This Row],[Class]]="A",WORKDAY(Main[[#This Row],[Tech Start Date]],2),""))))</f>
        <v/>
      </c>
      <c r="N698" s="75" t="str">
        <f>IF(Main[[#This Row],[Tech Start Date]]&lt;1/1/1990,"",IF(Main[[#This Row],[Class]]="C",WORKDAY(Main[[#This Row],[Tech Start Date]],19),IF(Main[[#This Row],[Class]]="B", WORKDAY(Main[[#This Row],[Tech Start Date]],12),IF(Main[[#This Row],[Class]]="A",WORKDAY(Main[[#This Row],[Tech Start Date]],4),""))))</f>
        <v/>
      </c>
      <c r="O698" s="75" t="str">
        <f>IF(Main[[#This Row],[Tech Start Date]]&lt;1/1/1990,"",IF(Main[[#This Row],[Class]]="C",WORKDAY(Main[[#This Row],[Tech Start Date]],23),IF(Main[[#This Row],[Class]]="B", WORKDAY(Main[[#This Row],[Tech Start Date]],15),IF(Main[[#This Row],[Class]]="A",WORKDAY(Main[[#This Row],[Tech Start Date]],5),""))))</f>
        <v/>
      </c>
      <c r="P698" s="75" t="str">
        <f>IF(Main[[#This Row],[Tech Start Date]]&lt;1/1/1990,"",IF(Main[[#This Row],[Class]]="C",WORKDAY(Main[[#This Row],[Tech Start Date]],28),IF(Main[[#This Row],[Class]]="B", WORKDAY(Main[[#This Row],[Tech Start Date]],19),IF(Main[[#This Row],[Class]]="A",WORKDAY(Main[[#This Row],[Tech Start Date]],9),""))))</f>
        <v/>
      </c>
      <c r="Q698" s="89">
        <v>40296</v>
      </c>
      <c r="R698" s="121"/>
      <c r="S698" s="99" t="s">
        <v>11</v>
      </c>
      <c r="T698" s="76" t="s">
        <v>4</v>
      </c>
      <c r="U698" s="99" t="s">
        <v>12</v>
      </c>
      <c r="V698" s="99" t="s">
        <v>1913</v>
      </c>
      <c r="W698" s="99" t="s">
        <v>1921</v>
      </c>
      <c r="X698" s="99" t="s">
        <v>2827</v>
      </c>
      <c r="Y698" s="73" t="s">
        <v>4</v>
      </c>
      <c r="Z698" s="73" t="s">
        <v>4</v>
      </c>
      <c r="AA698" s="99" t="s">
        <v>2827</v>
      </c>
    </row>
    <row r="699" spans="1:27" ht="17.25" customHeight="1">
      <c r="A699" s="65" t="str">
        <f>IF(priority(Main[[#This Row],[Comments]])&lt;&gt;0, priority(Main[[#This Row],[Comments]]),"")</f>
        <v/>
      </c>
      <c r="B699" s="60" t="s">
        <v>1533</v>
      </c>
      <c r="C699" s="105" t="s">
        <v>211</v>
      </c>
      <c r="D699" s="74" t="s">
        <v>413</v>
      </c>
      <c r="E699" s="89"/>
      <c r="F699" s="89">
        <v>40452</v>
      </c>
      <c r="G699" s="65" t="str">
        <f>IF(stdProdLT(Main[[#This Row],[Comments]])=0.1,"N/A",IF(stdProdLT(Main[[#This Row],[Comments]])=0,"",TRIM(stdProdLT(Main[[#This Row],[Comments]]))))</f>
        <v/>
      </c>
      <c r="H699" s="98" t="str">
        <f>IF(Main[[#This Row],[Std. Prod. Lead Time]]="N/A", "",IF(AND(Main[[#This Row],[In Stock Date]]&lt;&gt;"",Main[[#This Row],[Revised Due Date]]&lt;&gt;"",Main[[#This Row],[In Stock Date]]&lt;&gt;""),Main[[#This Row],[In Stock Date]]-Main[[#This Row],[Revised Due Date]],""))</f>
        <v/>
      </c>
      <c r="I699" s="110" t="s">
        <v>4</v>
      </c>
      <c r="J699" s="99" t="s">
        <v>4</v>
      </c>
      <c r="K699" s="100" t="s">
        <v>4</v>
      </c>
      <c r="L699" s="89"/>
      <c r="M699" s="75" t="str">
        <f>IF(Main[[#This Row],[Tech Start Date]]&lt;1/1/1990,"",IF(Main[[#This Row],[Class]]="C",WORKDAY(Main[[#This Row],[Tech Start Date]],9),IF(Main[[#This Row],[Class]]="B", WORKDAY(Main[[#This Row],[Tech Start Date]],6),IF(Main[[#This Row],[Class]]="A",WORKDAY(Main[[#This Row],[Tech Start Date]],2),""))))</f>
        <v/>
      </c>
      <c r="N699" s="75" t="str">
        <f>IF(Main[[#This Row],[Tech Start Date]]&lt;1/1/1990,"",IF(Main[[#This Row],[Class]]="C",WORKDAY(Main[[#This Row],[Tech Start Date]],19),IF(Main[[#This Row],[Class]]="B", WORKDAY(Main[[#This Row],[Tech Start Date]],12),IF(Main[[#This Row],[Class]]="A",WORKDAY(Main[[#This Row],[Tech Start Date]],4),""))))</f>
        <v/>
      </c>
      <c r="O699" s="75" t="str">
        <f>IF(Main[[#This Row],[Tech Start Date]]&lt;1/1/1990,"",IF(Main[[#This Row],[Class]]="C",WORKDAY(Main[[#This Row],[Tech Start Date]],23),IF(Main[[#This Row],[Class]]="B", WORKDAY(Main[[#This Row],[Tech Start Date]],15),IF(Main[[#This Row],[Class]]="A",WORKDAY(Main[[#This Row],[Tech Start Date]],5),""))))</f>
        <v/>
      </c>
      <c r="P699" s="75" t="str">
        <f>IF(Main[[#This Row],[Tech Start Date]]&lt;1/1/1990,"",IF(Main[[#This Row],[Class]]="C",WORKDAY(Main[[#This Row],[Tech Start Date]],28),IF(Main[[#This Row],[Class]]="B", WORKDAY(Main[[#This Row],[Tech Start Date]],19),IF(Main[[#This Row],[Class]]="A",WORKDAY(Main[[#This Row],[Tech Start Date]],9),""))))</f>
        <v/>
      </c>
      <c r="Q699" s="89">
        <v>40357</v>
      </c>
      <c r="R699" s="121"/>
      <c r="S699" s="99" t="s">
        <v>11</v>
      </c>
      <c r="T699" s="76" t="s">
        <v>4</v>
      </c>
      <c r="U699" s="99" t="s">
        <v>12</v>
      </c>
      <c r="V699" s="99" t="s">
        <v>1913</v>
      </c>
      <c r="W699" s="99" t="s">
        <v>1921</v>
      </c>
      <c r="X699" s="99" t="s">
        <v>2827</v>
      </c>
      <c r="Y699" s="73" t="s">
        <v>4</v>
      </c>
      <c r="Z699" s="73" t="s">
        <v>4</v>
      </c>
      <c r="AA699" s="99" t="s">
        <v>2827</v>
      </c>
    </row>
    <row r="700" spans="1:27" ht="17.25" customHeight="1">
      <c r="A700" s="65" t="str">
        <f>IF(priority(Main[[#This Row],[Comments]])&lt;&gt;0, priority(Main[[#This Row],[Comments]]),"")</f>
        <v/>
      </c>
      <c r="B700" s="60" t="s">
        <v>1534</v>
      </c>
      <c r="C700" s="105" t="s">
        <v>211</v>
      </c>
      <c r="D700" s="74" t="s">
        <v>212</v>
      </c>
      <c r="E700" s="89"/>
      <c r="F700" s="89">
        <v>40452</v>
      </c>
      <c r="G700" s="65" t="str">
        <f>IF(stdProdLT(Main[[#This Row],[Comments]])=0.1,"N/A",IF(stdProdLT(Main[[#This Row],[Comments]])=0,"",TRIM(stdProdLT(Main[[#This Row],[Comments]]))))</f>
        <v/>
      </c>
      <c r="H700" s="98" t="str">
        <f>IF(Main[[#This Row],[Std. Prod. Lead Time]]="N/A", "",IF(AND(Main[[#This Row],[In Stock Date]]&lt;&gt;"",Main[[#This Row],[Revised Due Date]]&lt;&gt;"",Main[[#This Row],[In Stock Date]]&lt;&gt;""),Main[[#This Row],[In Stock Date]]-Main[[#This Row],[Revised Due Date]],""))</f>
        <v/>
      </c>
      <c r="I700" s="110" t="s">
        <v>4</v>
      </c>
      <c r="J700" s="99" t="s">
        <v>4</v>
      </c>
      <c r="K700" s="99" t="s">
        <v>4</v>
      </c>
      <c r="L700" s="89"/>
      <c r="M700" s="75" t="str">
        <f>IF(Main[[#This Row],[Tech Start Date]]&lt;1/1/1990,"",IF(Main[[#This Row],[Class]]="C",WORKDAY(Main[[#This Row],[Tech Start Date]],9),IF(Main[[#This Row],[Class]]="B", WORKDAY(Main[[#This Row],[Tech Start Date]],6),IF(Main[[#This Row],[Class]]="A",WORKDAY(Main[[#This Row],[Tech Start Date]],2),""))))</f>
        <v/>
      </c>
      <c r="N700" s="75" t="str">
        <f>IF(Main[[#This Row],[Tech Start Date]]&lt;1/1/1990,"",IF(Main[[#This Row],[Class]]="C",WORKDAY(Main[[#This Row],[Tech Start Date]],19),IF(Main[[#This Row],[Class]]="B", WORKDAY(Main[[#This Row],[Tech Start Date]],12),IF(Main[[#This Row],[Class]]="A",WORKDAY(Main[[#This Row],[Tech Start Date]],4),""))))</f>
        <v/>
      </c>
      <c r="O700" s="75" t="str">
        <f>IF(Main[[#This Row],[Tech Start Date]]&lt;1/1/1990,"",IF(Main[[#This Row],[Class]]="C",WORKDAY(Main[[#This Row],[Tech Start Date]],23),IF(Main[[#This Row],[Class]]="B", WORKDAY(Main[[#This Row],[Tech Start Date]],15),IF(Main[[#This Row],[Class]]="A",WORKDAY(Main[[#This Row],[Tech Start Date]],5),""))))</f>
        <v/>
      </c>
      <c r="P700" s="75" t="str">
        <f>IF(Main[[#This Row],[Tech Start Date]]&lt;1/1/1990,"",IF(Main[[#This Row],[Class]]="C",WORKDAY(Main[[#This Row],[Tech Start Date]],28),IF(Main[[#This Row],[Class]]="B", WORKDAY(Main[[#This Row],[Tech Start Date]],19),IF(Main[[#This Row],[Class]]="A",WORKDAY(Main[[#This Row],[Tech Start Date]],9),""))))</f>
        <v/>
      </c>
      <c r="Q700" s="89">
        <v>40357</v>
      </c>
      <c r="R700" s="121"/>
      <c r="S700" s="99" t="s">
        <v>11</v>
      </c>
      <c r="T700" s="76" t="s">
        <v>4</v>
      </c>
      <c r="U700" s="99" t="s">
        <v>12</v>
      </c>
      <c r="V700" s="99" t="s">
        <v>1913</v>
      </c>
      <c r="W700" s="99" t="s">
        <v>1921</v>
      </c>
      <c r="X700" s="99" t="s">
        <v>2827</v>
      </c>
      <c r="Y700" s="73" t="s">
        <v>4</v>
      </c>
      <c r="Z700" s="73" t="s">
        <v>4</v>
      </c>
      <c r="AA700" s="99" t="s">
        <v>2827</v>
      </c>
    </row>
    <row r="701" spans="1:27" ht="17.25" customHeight="1">
      <c r="A701" s="65" t="str">
        <f>IF(priority(Main[[#This Row],[Comments]])&lt;&gt;0, priority(Main[[#This Row],[Comments]]),"")</f>
        <v/>
      </c>
      <c r="B701" s="60" t="s">
        <v>1535</v>
      </c>
      <c r="C701" s="105" t="s">
        <v>211</v>
      </c>
      <c r="D701" s="74" t="s">
        <v>212</v>
      </c>
      <c r="E701" s="89"/>
      <c r="F701" s="89">
        <v>40452</v>
      </c>
      <c r="G701" s="65" t="str">
        <f>IF(stdProdLT(Main[[#This Row],[Comments]])=0.1,"N/A",IF(stdProdLT(Main[[#This Row],[Comments]])=0,"",TRIM(stdProdLT(Main[[#This Row],[Comments]]))))</f>
        <v/>
      </c>
      <c r="H701" s="98" t="str">
        <f>IF(Main[[#This Row],[Std. Prod. Lead Time]]="N/A", "",IF(AND(Main[[#This Row],[In Stock Date]]&lt;&gt;"",Main[[#This Row],[Revised Due Date]]&lt;&gt;"",Main[[#This Row],[In Stock Date]]&lt;&gt;""),Main[[#This Row],[In Stock Date]]-Main[[#This Row],[Revised Due Date]],""))</f>
        <v/>
      </c>
      <c r="I701" s="110" t="s">
        <v>4</v>
      </c>
      <c r="J701" s="99" t="s">
        <v>4</v>
      </c>
      <c r="K701" s="99" t="s">
        <v>4</v>
      </c>
      <c r="L701" s="89"/>
      <c r="M701" s="75" t="str">
        <f>IF(Main[[#This Row],[Tech Start Date]]&lt;1/1/1990,"",IF(Main[[#This Row],[Class]]="C",WORKDAY(Main[[#This Row],[Tech Start Date]],9),IF(Main[[#This Row],[Class]]="B", WORKDAY(Main[[#This Row],[Tech Start Date]],6),IF(Main[[#This Row],[Class]]="A",WORKDAY(Main[[#This Row],[Tech Start Date]],2),""))))</f>
        <v/>
      </c>
      <c r="N701" s="75" t="str">
        <f>IF(Main[[#This Row],[Tech Start Date]]&lt;1/1/1990,"",IF(Main[[#This Row],[Class]]="C",WORKDAY(Main[[#This Row],[Tech Start Date]],19),IF(Main[[#This Row],[Class]]="B", WORKDAY(Main[[#This Row],[Tech Start Date]],12),IF(Main[[#This Row],[Class]]="A",WORKDAY(Main[[#This Row],[Tech Start Date]],4),""))))</f>
        <v/>
      </c>
      <c r="O701" s="75" t="str">
        <f>IF(Main[[#This Row],[Tech Start Date]]&lt;1/1/1990,"",IF(Main[[#This Row],[Class]]="C",WORKDAY(Main[[#This Row],[Tech Start Date]],23),IF(Main[[#This Row],[Class]]="B", WORKDAY(Main[[#This Row],[Tech Start Date]],15),IF(Main[[#This Row],[Class]]="A",WORKDAY(Main[[#This Row],[Tech Start Date]],5),""))))</f>
        <v/>
      </c>
      <c r="P701" s="75" t="str">
        <f>IF(Main[[#This Row],[Tech Start Date]]&lt;1/1/1990,"",IF(Main[[#This Row],[Class]]="C",WORKDAY(Main[[#This Row],[Tech Start Date]],28),IF(Main[[#This Row],[Class]]="B", WORKDAY(Main[[#This Row],[Tech Start Date]],19),IF(Main[[#This Row],[Class]]="A",WORKDAY(Main[[#This Row],[Tech Start Date]],9),""))))</f>
        <v/>
      </c>
      <c r="Q701" s="89">
        <v>40357</v>
      </c>
      <c r="R701" s="121"/>
      <c r="S701" s="99" t="s">
        <v>11</v>
      </c>
      <c r="T701" s="76" t="s">
        <v>4</v>
      </c>
      <c r="U701" s="99" t="s">
        <v>12</v>
      </c>
      <c r="V701" s="99" t="s">
        <v>1913</v>
      </c>
      <c r="W701" s="99" t="s">
        <v>1921</v>
      </c>
      <c r="X701" s="99" t="s">
        <v>2827</v>
      </c>
      <c r="Y701" s="73" t="s">
        <v>4</v>
      </c>
      <c r="Z701" s="73" t="s">
        <v>4</v>
      </c>
      <c r="AA701" s="99" t="s">
        <v>2827</v>
      </c>
    </row>
    <row r="702" spans="1:27" ht="17.25" customHeight="1">
      <c r="A702" s="65" t="str">
        <f>IF(priority(Main[[#This Row],[Comments]])&lt;&gt;0, priority(Main[[#This Row],[Comments]]),"")</f>
        <v/>
      </c>
      <c r="B702" s="60" t="s">
        <v>1536</v>
      </c>
      <c r="C702" s="105" t="s">
        <v>72</v>
      </c>
      <c r="D702" s="74" t="s">
        <v>615</v>
      </c>
      <c r="E702" s="89"/>
      <c r="F702" s="89"/>
      <c r="G702" s="65" t="str">
        <f>IF(stdProdLT(Main[[#This Row],[Comments]])=0.1,"N/A",IF(stdProdLT(Main[[#This Row],[Comments]])=0,"",TRIM(stdProdLT(Main[[#This Row],[Comments]]))))</f>
        <v/>
      </c>
      <c r="H702" s="98" t="str">
        <f>IF(Main[[#This Row],[Std. Prod. Lead Time]]="N/A", "",IF(AND(Main[[#This Row],[In Stock Date]]&lt;&gt;"",Main[[#This Row],[Revised Due Date]]&lt;&gt;"",Main[[#This Row],[In Stock Date]]&lt;&gt;""),Main[[#This Row],[In Stock Date]]-Main[[#This Row],[Revised Due Date]],""))</f>
        <v/>
      </c>
      <c r="I702" s="110" t="s">
        <v>4</v>
      </c>
      <c r="J702" s="99" t="s">
        <v>4</v>
      </c>
      <c r="K702" s="99" t="s">
        <v>4</v>
      </c>
      <c r="L702" s="89"/>
      <c r="M702" s="75" t="str">
        <f>IF(Main[[#This Row],[Tech Start Date]]&lt;1/1/1990,"",IF(Main[[#This Row],[Class]]="C",WORKDAY(Main[[#This Row],[Tech Start Date]],9),IF(Main[[#This Row],[Class]]="B", WORKDAY(Main[[#This Row],[Tech Start Date]],6),IF(Main[[#This Row],[Class]]="A",WORKDAY(Main[[#This Row],[Tech Start Date]],2),""))))</f>
        <v/>
      </c>
      <c r="N702" s="75" t="str">
        <f>IF(Main[[#This Row],[Tech Start Date]]&lt;1/1/1990,"",IF(Main[[#This Row],[Class]]="C",WORKDAY(Main[[#This Row],[Tech Start Date]],19),IF(Main[[#This Row],[Class]]="B", WORKDAY(Main[[#This Row],[Tech Start Date]],12),IF(Main[[#This Row],[Class]]="A",WORKDAY(Main[[#This Row],[Tech Start Date]],4),""))))</f>
        <v/>
      </c>
      <c r="O702" s="75" t="str">
        <f>IF(Main[[#This Row],[Tech Start Date]]&lt;1/1/1990,"",IF(Main[[#This Row],[Class]]="C",WORKDAY(Main[[#This Row],[Tech Start Date]],23),IF(Main[[#This Row],[Class]]="B", WORKDAY(Main[[#This Row],[Tech Start Date]],15),IF(Main[[#This Row],[Class]]="A",WORKDAY(Main[[#This Row],[Tech Start Date]],5),""))))</f>
        <v/>
      </c>
      <c r="P702" s="75" t="str">
        <f>IF(Main[[#This Row],[Tech Start Date]]&lt;1/1/1990,"",IF(Main[[#This Row],[Class]]="C",WORKDAY(Main[[#This Row],[Tech Start Date]],28),IF(Main[[#This Row],[Class]]="B", WORKDAY(Main[[#This Row],[Tech Start Date]],19),IF(Main[[#This Row],[Class]]="A",WORKDAY(Main[[#This Row],[Tech Start Date]],9),""))))</f>
        <v/>
      </c>
      <c r="Q702" s="89"/>
      <c r="R702" s="121"/>
      <c r="S702" s="99" t="s">
        <v>11</v>
      </c>
      <c r="T702" s="76" t="s">
        <v>4</v>
      </c>
      <c r="U702" s="99" t="s">
        <v>14</v>
      </c>
      <c r="V702" s="99" t="s">
        <v>1914</v>
      </c>
      <c r="W702" s="99" t="s">
        <v>1921</v>
      </c>
      <c r="X702" s="99" t="s">
        <v>2821</v>
      </c>
      <c r="Y702" s="73" t="s">
        <v>2942</v>
      </c>
      <c r="Z702" s="73" t="s">
        <v>4</v>
      </c>
      <c r="AA702" s="99" t="s">
        <v>2821</v>
      </c>
    </row>
    <row r="703" spans="1:27" ht="17.25" customHeight="1">
      <c r="A703" s="65" t="str">
        <f>IF(priority(Main[[#This Row],[Comments]])&lt;&gt;0, priority(Main[[#This Row],[Comments]]),"")</f>
        <v/>
      </c>
      <c r="B703" s="60" t="s">
        <v>1537</v>
      </c>
      <c r="C703" s="105" t="s">
        <v>33</v>
      </c>
      <c r="D703" s="74" t="s">
        <v>616</v>
      </c>
      <c r="E703" s="89"/>
      <c r="F703" s="89"/>
      <c r="G703" s="65" t="str">
        <f>IF(stdProdLT(Main[[#This Row],[Comments]])=0.1,"N/A",IF(stdProdLT(Main[[#This Row],[Comments]])=0,"",TRIM(stdProdLT(Main[[#This Row],[Comments]]))))</f>
        <v/>
      </c>
      <c r="H703" s="98" t="str">
        <f>IF(Main[[#This Row],[Std. Prod. Lead Time]]="N/A", "",IF(AND(Main[[#This Row],[In Stock Date]]&lt;&gt;"",Main[[#This Row],[Revised Due Date]]&lt;&gt;"",Main[[#This Row],[In Stock Date]]&lt;&gt;""),Main[[#This Row],[In Stock Date]]-Main[[#This Row],[Revised Due Date]],""))</f>
        <v/>
      </c>
      <c r="I703" s="110" t="s">
        <v>4</v>
      </c>
      <c r="J703" s="99" t="s">
        <v>4</v>
      </c>
      <c r="K703" s="99" t="s">
        <v>4</v>
      </c>
      <c r="L703" s="89"/>
      <c r="M703" s="75" t="str">
        <f>IF(Main[[#This Row],[Tech Start Date]]&lt;1/1/1990,"",IF(Main[[#This Row],[Class]]="C",WORKDAY(Main[[#This Row],[Tech Start Date]],9),IF(Main[[#This Row],[Class]]="B", WORKDAY(Main[[#This Row],[Tech Start Date]],6),IF(Main[[#This Row],[Class]]="A",WORKDAY(Main[[#This Row],[Tech Start Date]],2),""))))</f>
        <v/>
      </c>
      <c r="N703" s="75" t="str">
        <f>IF(Main[[#This Row],[Tech Start Date]]&lt;1/1/1990,"",IF(Main[[#This Row],[Class]]="C",WORKDAY(Main[[#This Row],[Tech Start Date]],19),IF(Main[[#This Row],[Class]]="B", WORKDAY(Main[[#This Row],[Tech Start Date]],12),IF(Main[[#This Row],[Class]]="A",WORKDAY(Main[[#This Row],[Tech Start Date]],4),""))))</f>
        <v/>
      </c>
      <c r="O703" s="75" t="str">
        <f>IF(Main[[#This Row],[Tech Start Date]]&lt;1/1/1990,"",IF(Main[[#This Row],[Class]]="C",WORKDAY(Main[[#This Row],[Tech Start Date]],23),IF(Main[[#This Row],[Class]]="B", WORKDAY(Main[[#This Row],[Tech Start Date]],15),IF(Main[[#This Row],[Class]]="A",WORKDAY(Main[[#This Row],[Tech Start Date]],5),""))))</f>
        <v/>
      </c>
      <c r="P703" s="75" t="str">
        <f>IF(Main[[#This Row],[Tech Start Date]]&lt;1/1/1990,"",IF(Main[[#This Row],[Class]]="C",WORKDAY(Main[[#This Row],[Tech Start Date]],28),IF(Main[[#This Row],[Class]]="B", WORKDAY(Main[[#This Row],[Tech Start Date]],19),IF(Main[[#This Row],[Class]]="A",WORKDAY(Main[[#This Row],[Tech Start Date]],9),""))))</f>
        <v/>
      </c>
      <c r="Q703" s="89"/>
      <c r="R703" s="121"/>
      <c r="S703" s="99" t="s">
        <v>11</v>
      </c>
      <c r="T703" s="76" t="s">
        <v>4</v>
      </c>
      <c r="U703" s="99" t="s">
        <v>14</v>
      </c>
      <c r="V703" s="99" t="s">
        <v>1914</v>
      </c>
      <c r="W703" s="99" t="s">
        <v>1921</v>
      </c>
      <c r="X703" s="99" t="s">
        <v>2821</v>
      </c>
      <c r="Y703" s="73" t="s">
        <v>2942</v>
      </c>
      <c r="Z703" s="73" t="s">
        <v>4</v>
      </c>
      <c r="AA703" s="99" t="s">
        <v>2821</v>
      </c>
    </row>
    <row r="704" spans="1:27" ht="17.25" customHeight="1">
      <c r="A704" s="65" t="str">
        <f>IF(priority(Main[[#This Row],[Comments]])&lt;&gt;0, priority(Main[[#This Row],[Comments]]),"")</f>
        <v/>
      </c>
      <c r="B704" s="60" t="s">
        <v>1538</v>
      </c>
      <c r="C704" s="105" t="s">
        <v>33</v>
      </c>
      <c r="D704" s="74" t="s">
        <v>617</v>
      </c>
      <c r="E704" s="89"/>
      <c r="F704" s="89"/>
      <c r="G704" s="65" t="str">
        <f>IF(stdProdLT(Main[[#This Row],[Comments]])=0.1,"N/A",IF(stdProdLT(Main[[#This Row],[Comments]])=0,"",TRIM(stdProdLT(Main[[#This Row],[Comments]]))))</f>
        <v/>
      </c>
      <c r="H704" s="98" t="str">
        <f>IF(Main[[#This Row],[Std. Prod. Lead Time]]="N/A", "",IF(AND(Main[[#This Row],[In Stock Date]]&lt;&gt;"",Main[[#This Row],[Revised Due Date]]&lt;&gt;"",Main[[#This Row],[In Stock Date]]&lt;&gt;""),Main[[#This Row],[In Stock Date]]-Main[[#This Row],[Revised Due Date]],""))</f>
        <v/>
      </c>
      <c r="I704" s="110" t="s">
        <v>4</v>
      </c>
      <c r="J704" s="99" t="s">
        <v>4</v>
      </c>
      <c r="K704" s="99" t="s">
        <v>4</v>
      </c>
      <c r="L704" s="89"/>
      <c r="M704" s="75" t="str">
        <f>IF(Main[[#This Row],[Tech Start Date]]&lt;1/1/1990,"",IF(Main[[#This Row],[Class]]="C",WORKDAY(Main[[#This Row],[Tech Start Date]],9),IF(Main[[#This Row],[Class]]="B", WORKDAY(Main[[#This Row],[Tech Start Date]],6),IF(Main[[#This Row],[Class]]="A",WORKDAY(Main[[#This Row],[Tech Start Date]],2),""))))</f>
        <v/>
      </c>
      <c r="N704" s="75" t="str">
        <f>IF(Main[[#This Row],[Tech Start Date]]&lt;1/1/1990,"",IF(Main[[#This Row],[Class]]="C",WORKDAY(Main[[#This Row],[Tech Start Date]],19),IF(Main[[#This Row],[Class]]="B", WORKDAY(Main[[#This Row],[Tech Start Date]],12),IF(Main[[#This Row],[Class]]="A",WORKDAY(Main[[#This Row],[Tech Start Date]],4),""))))</f>
        <v/>
      </c>
      <c r="O704" s="75" t="str">
        <f>IF(Main[[#This Row],[Tech Start Date]]&lt;1/1/1990,"",IF(Main[[#This Row],[Class]]="C",WORKDAY(Main[[#This Row],[Tech Start Date]],23),IF(Main[[#This Row],[Class]]="B", WORKDAY(Main[[#This Row],[Tech Start Date]],15),IF(Main[[#This Row],[Class]]="A",WORKDAY(Main[[#This Row],[Tech Start Date]],5),""))))</f>
        <v/>
      </c>
      <c r="P704" s="75" t="str">
        <f>IF(Main[[#This Row],[Tech Start Date]]&lt;1/1/1990,"",IF(Main[[#This Row],[Class]]="C",WORKDAY(Main[[#This Row],[Tech Start Date]],28),IF(Main[[#This Row],[Class]]="B", WORKDAY(Main[[#This Row],[Tech Start Date]],19),IF(Main[[#This Row],[Class]]="A",WORKDAY(Main[[#This Row],[Tech Start Date]],9),""))))</f>
        <v/>
      </c>
      <c r="Q704" s="89"/>
      <c r="R704" s="121"/>
      <c r="S704" s="99" t="s">
        <v>11</v>
      </c>
      <c r="T704" s="76" t="s">
        <v>4</v>
      </c>
      <c r="U704" s="99" t="s">
        <v>14</v>
      </c>
      <c r="V704" s="99" t="s">
        <v>1914</v>
      </c>
      <c r="W704" s="99" t="s">
        <v>1921</v>
      </c>
      <c r="X704" s="99" t="s">
        <v>2821</v>
      </c>
      <c r="Y704" s="73" t="s">
        <v>2942</v>
      </c>
      <c r="Z704" s="73" t="s">
        <v>4</v>
      </c>
      <c r="AA704" s="99" t="s">
        <v>2821</v>
      </c>
    </row>
    <row r="705" spans="1:27" ht="17.25" customHeight="1">
      <c r="A705" s="65" t="str">
        <f>IF(priority(Main[[#This Row],[Comments]])&lt;&gt;0, priority(Main[[#This Row],[Comments]]),"")</f>
        <v/>
      </c>
      <c r="B705" s="60" t="s">
        <v>1539</v>
      </c>
      <c r="C705" s="105" t="s">
        <v>4</v>
      </c>
      <c r="D705" s="74" t="s">
        <v>618</v>
      </c>
      <c r="E705" s="89">
        <v>40294.429988425924</v>
      </c>
      <c r="F705" s="89"/>
      <c r="G705" s="65" t="str">
        <f>IF(stdProdLT(Main[[#This Row],[Comments]])=0.1,"N/A",IF(stdProdLT(Main[[#This Row],[Comments]])=0,"",TRIM(stdProdLT(Main[[#This Row],[Comments]]))))</f>
        <v/>
      </c>
      <c r="H705" s="98" t="str">
        <f>IF(Main[[#This Row],[Std. Prod. Lead Time]]="N/A", "",IF(AND(Main[[#This Row],[In Stock Date]]&lt;&gt;"",Main[[#This Row],[Revised Due Date]]&lt;&gt;"",Main[[#This Row],[In Stock Date]]&lt;&gt;""),Main[[#This Row],[In Stock Date]]-Main[[#This Row],[Revised Due Date]],""))</f>
        <v/>
      </c>
      <c r="I705" s="110" t="s">
        <v>4</v>
      </c>
      <c r="J705" s="99" t="s">
        <v>4</v>
      </c>
      <c r="K705" s="100" t="s">
        <v>4</v>
      </c>
      <c r="L705" s="89"/>
      <c r="M705" s="75" t="str">
        <f>IF(Main[[#This Row],[Tech Start Date]]&lt;1/1/1990,"",IF(Main[[#This Row],[Class]]="C",WORKDAY(Main[[#This Row],[Tech Start Date]],9),IF(Main[[#This Row],[Class]]="B", WORKDAY(Main[[#This Row],[Tech Start Date]],6),IF(Main[[#This Row],[Class]]="A",WORKDAY(Main[[#This Row],[Tech Start Date]],2),""))))</f>
        <v/>
      </c>
      <c r="N705" s="75" t="str">
        <f>IF(Main[[#This Row],[Tech Start Date]]&lt;1/1/1990,"",IF(Main[[#This Row],[Class]]="C",WORKDAY(Main[[#This Row],[Tech Start Date]],19),IF(Main[[#This Row],[Class]]="B", WORKDAY(Main[[#This Row],[Tech Start Date]],12),IF(Main[[#This Row],[Class]]="A",WORKDAY(Main[[#This Row],[Tech Start Date]],4),""))))</f>
        <v/>
      </c>
      <c r="O705" s="75" t="str">
        <f>IF(Main[[#This Row],[Tech Start Date]]&lt;1/1/1990,"",IF(Main[[#This Row],[Class]]="C",WORKDAY(Main[[#This Row],[Tech Start Date]],23),IF(Main[[#This Row],[Class]]="B", WORKDAY(Main[[#This Row],[Tech Start Date]],15),IF(Main[[#This Row],[Class]]="A",WORKDAY(Main[[#This Row],[Tech Start Date]],5),""))))</f>
        <v/>
      </c>
      <c r="P705" s="75" t="str">
        <f>IF(Main[[#This Row],[Tech Start Date]]&lt;1/1/1990,"",IF(Main[[#This Row],[Class]]="C",WORKDAY(Main[[#This Row],[Tech Start Date]],28),IF(Main[[#This Row],[Class]]="B", WORKDAY(Main[[#This Row],[Tech Start Date]],19),IF(Main[[#This Row],[Class]]="A",WORKDAY(Main[[#This Row],[Tech Start Date]],9),""))))</f>
        <v/>
      </c>
      <c r="Q705" s="89">
        <v>40390</v>
      </c>
      <c r="R705" s="121"/>
      <c r="S705" s="99" t="s">
        <v>6</v>
      </c>
      <c r="T705" s="76" t="s">
        <v>4</v>
      </c>
      <c r="U705" s="99" t="s">
        <v>7</v>
      </c>
      <c r="V705" s="99" t="s">
        <v>1913</v>
      </c>
      <c r="W705" s="99" t="s">
        <v>4</v>
      </c>
      <c r="X705" s="99" t="s">
        <v>2813</v>
      </c>
      <c r="Y705" s="73" t="s">
        <v>2926</v>
      </c>
      <c r="Z705" s="73" t="s">
        <v>4</v>
      </c>
      <c r="AA705" s="99" t="s">
        <v>2813</v>
      </c>
    </row>
    <row r="706" spans="1:27" ht="17.25" customHeight="1">
      <c r="A706" s="65" t="str">
        <f>IF(priority(Main[[#This Row],[Comments]])&lt;&gt;0, priority(Main[[#This Row],[Comments]]),"")</f>
        <v/>
      </c>
      <c r="B706" s="60" t="s">
        <v>1540</v>
      </c>
      <c r="C706" s="105" t="s">
        <v>4</v>
      </c>
      <c r="D706" s="74" t="s">
        <v>619</v>
      </c>
      <c r="E706" s="89"/>
      <c r="F706" s="89"/>
      <c r="G706" s="65" t="str">
        <f>IF(stdProdLT(Main[[#This Row],[Comments]])=0.1,"N/A",IF(stdProdLT(Main[[#This Row],[Comments]])=0,"",TRIM(stdProdLT(Main[[#This Row],[Comments]]))))</f>
        <v/>
      </c>
      <c r="H706" s="98" t="str">
        <f>IF(Main[[#This Row],[Std. Prod. Lead Time]]="N/A", "",IF(AND(Main[[#This Row],[In Stock Date]]&lt;&gt;"",Main[[#This Row],[Revised Due Date]]&lt;&gt;"",Main[[#This Row],[In Stock Date]]&lt;&gt;""),Main[[#This Row],[In Stock Date]]-Main[[#This Row],[Revised Due Date]],""))</f>
        <v/>
      </c>
      <c r="I706" s="110" t="s">
        <v>4</v>
      </c>
      <c r="J706" s="99" t="s">
        <v>4</v>
      </c>
      <c r="K706" s="99" t="s">
        <v>4</v>
      </c>
      <c r="L706" s="89"/>
      <c r="M706" s="75" t="str">
        <f>IF(Main[[#This Row],[Tech Start Date]]&lt;1/1/1990,"",IF(Main[[#This Row],[Class]]="C",WORKDAY(Main[[#This Row],[Tech Start Date]],9),IF(Main[[#This Row],[Class]]="B", WORKDAY(Main[[#This Row],[Tech Start Date]],6),IF(Main[[#This Row],[Class]]="A",WORKDAY(Main[[#This Row],[Tech Start Date]],2),""))))</f>
        <v/>
      </c>
      <c r="N706" s="75" t="str">
        <f>IF(Main[[#This Row],[Tech Start Date]]&lt;1/1/1990,"",IF(Main[[#This Row],[Class]]="C",WORKDAY(Main[[#This Row],[Tech Start Date]],19),IF(Main[[#This Row],[Class]]="B", WORKDAY(Main[[#This Row],[Tech Start Date]],12),IF(Main[[#This Row],[Class]]="A",WORKDAY(Main[[#This Row],[Tech Start Date]],4),""))))</f>
        <v/>
      </c>
      <c r="O706" s="75" t="str">
        <f>IF(Main[[#This Row],[Tech Start Date]]&lt;1/1/1990,"",IF(Main[[#This Row],[Class]]="C",WORKDAY(Main[[#This Row],[Tech Start Date]],23),IF(Main[[#This Row],[Class]]="B", WORKDAY(Main[[#This Row],[Tech Start Date]],15),IF(Main[[#This Row],[Class]]="A",WORKDAY(Main[[#This Row],[Tech Start Date]],5),""))))</f>
        <v/>
      </c>
      <c r="P706" s="75" t="str">
        <f>IF(Main[[#This Row],[Tech Start Date]]&lt;1/1/1990,"",IF(Main[[#This Row],[Class]]="C",WORKDAY(Main[[#This Row],[Tech Start Date]],28),IF(Main[[#This Row],[Class]]="B", WORKDAY(Main[[#This Row],[Tech Start Date]],19),IF(Main[[#This Row],[Class]]="A",WORKDAY(Main[[#This Row],[Tech Start Date]],9),""))))</f>
        <v/>
      </c>
      <c r="Q706" s="89"/>
      <c r="R706" s="121"/>
      <c r="S706" s="99" t="s">
        <v>11</v>
      </c>
      <c r="T706" s="76" t="s">
        <v>4</v>
      </c>
      <c r="U706" s="99" t="s">
        <v>14</v>
      </c>
      <c r="V706" s="99" t="s">
        <v>1913</v>
      </c>
      <c r="W706" s="99" t="s">
        <v>1917</v>
      </c>
      <c r="X706" s="99" t="s">
        <v>922</v>
      </c>
      <c r="Y706" s="73" t="s">
        <v>2976</v>
      </c>
      <c r="Z706" s="73" t="s">
        <v>4</v>
      </c>
      <c r="AA706" s="99" t="s">
        <v>922</v>
      </c>
    </row>
    <row r="707" spans="1:27" ht="17.25" customHeight="1">
      <c r="A707" s="65" t="str">
        <f>IF(priority(Main[[#This Row],[Comments]])&lt;&gt;0, priority(Main[[#This Row],[Comments]]),"")</f>
        <v/>
      </c>
      <c r="B707" s="60" t="s">
        <v>1544</v>
      </c>
      <c r="C707" s="105" t="s">
        <v>4</v>
      </c>
      <c r="D707" s="74" t="s">
        <v>627</v>
      </c>
      <c r="E707" s="89"/>
      <c r="F707" s="89"/>
      <c r="G707" s="65" t="str">
        <f>IF(stdProdLT(Main[[#This Row],[Comments]])=0.1,"N/A",IF(stdProdLT(Main[[#This Row],[Comments]])=0,"",TRIM(stdProdLT(Main[[#This Row],[Comments]]))))</f>
        <v/>
      </c>
      <c r="H707" s="98" t="str">
        <f>IF(Main[[#This Row],[Std. Prod. Lead Time]]="N/A", "",IF(AND(Main[[#This Row],[In Stock Date]]&lt;&gt;"",Main[[#This Row],[Revised Due Date]]&lt;&gt;"",Main[[#This Row],[In Stock Date]]&lt;&gt;""),Main[[#This Row],[In Stock Date]]-Main[[#This Row],[Revised Due Date]],""))</f>
        <v/>
      </c>
      <c r="I707" s="110" t="s">
        <v>4</v>
      </c>
      <c r="J707" s="99" t="s">
        <v>4</v>
      </c>
      <c r="K707" s="99" t="s">
        <v>4</v>
      </c>
      <c r="L707" s="89"/>
      <c r="M707" s="75" t="str">
        <f>IF(Main[[#This Row],[Tech Start Date]]&lt;1/1/1990,"",IF(Main[[#This Row],[Class]]="C",WORKDAY(Main[[#This Row],[Tech Start Date]],9),IF(Main[[#This Row],[Class]]="B", WORKDAY(Main[[#This Row],[Tech Start Date]],6),IF(Main[[#This Row],[Class]]="A",WORKDAY(Main[[#This Row],[Tech Start Date]],2),""))))</f>
        <v/>
      </c>
      <c r="N707" s="75" t="str">
        <f>IF(Main[[#This Row],[Tech Start Date]]&lt;1/1/1990,"",IF(Main[[#This Row],[Class]]="C",WORKDAY(Main[[#This Row],[Tech Start Date]],19),IF(Main[[#This Row],[Class]]="B", WORKDAY(Main[[#This Row],[Tech Start Date]],12),IF(Main[[#This Row],[Class]]="A",WORKDAY(Main[[#This Row],[Tech Start Date]],4),""))))</f>
        <v/>
      </c>
      <c r="O707" s="75" t="str">
        <f>IF(Main[[#This Row],[Tech Start Date]]&lt;1/1/1990,"",IF(Main[[#This Row],[Class]]="C",WORKDAY(Main[[#This Row],[Tech Start Date]],23),IF(Main[[#This Row],[Class]]="B", WORKDAY(Main[[#This Row],[Tech Start Date]],15),IF(Main[[#This Row],[Class]]="A",WORKDAY(Main[[#This Row],[Tech Start Date]],5),""))))</f>
        <v/>
      </c>
      <c r="P707" s="75" t="str">
        <f>IF(Main[[#This Row],[Tech Start Date]]&lt;1/1/1990,"",IF(Main[[#This Row],[Class]]="C",WORKDAY(Main[[#This Row],[Tech Start Date]],28),IF(Main[[#This Row],[Class]]="B", WORKDAY(Main[[#This Row],[Tech Start Date]],19),IF(Main[[#This Row],[Class]]="A",WORKDAY(Main[[#This Row],[Tech Start Date]],9),""))))</f>
        <v/>
      </c>
      <c r="Q707" s="89"/>
      <c r="R707" s="121"/>
      <c r="S707" s="99" t="s">
        <v>6</v>
      </c>
      <c r="T707" s="76" t="s">
        <v>4</v>
      </c>
      <c r="U707" s="99" t="s">
        <v>12</v>
      </c>
      <c r="V707" s="99" t="s">
        <v>1913</v>
      </c>
      <c r="W707" s="99" t="s">
        <v>4</v>
      </c>
      <c r="X707" s="99" t="s">
        <v>708</v>
      </c>
      <c r="Y707" s="73" t="s">
        <v>3072</v>
      </c>
      <c r="Z707" s="73" t="s">
        <v>4</v>
      </c>
      <c r="AA707" s="99" t="s">
        <v>3417</v>
      </c>
    </row>
    <row r="708" spans="1:27" ht="17.25" customHeight="1">
      <c r="A708" s="65" t="str">
        <f>IF(priority(Main[[#This Row],[Comments]])&lt;&gt;0, priority(Main[[#This Row],[Comments]]),"")</f>
        <v/>
      </c>
      <c r="B708" s="60" t="s">
        <v>1545</v>
      </c>
      <c r="C708" s="105" t="s">
        <v>93</v>
      </c>
      <c r="D708" s="74" t="s">
        <v>628</v>
      </c>
      <c r="E708" s="89"/>
      <c r="F708" s="89">
        <v>40162</v>
      </c>
      <c r="G708" s="65" t="str">
        <f>IF(stdProdLT(Main[[#This Row],[Comments]])=0.1,"N/A",IF(stdProdLT(Main[[#This Row],[Comments]])=0,"",TRIM(stdProdLT(Main[[#This Row],[Comments]]))))</f>
        <v/>
      </c>
      <c r="H708" s="98" t="str">
        <f>IF(Main[[#This Row],[Std. Prod. Lead Time]]="N/A", "",IF(AND(Main[[#This Row],[In Stock Date]]&lt;&gt;"",Main[[#This Row],[Revised Due Date]]&lt;&gt;"",Main[[#This Row],[In Stock Date]]&lt;&gt;""),Main[[#This Row],[In Stock Date]]-Main[[#This Row],[Revised Due Date]],""))</f>
        <v/>
      </c>
      <c r="I708" s="110" t="s">
        <v>4</v>
      </c>
      <c r="J708" s="99" t="s">
        <v>4</v>
      </c>
      <c r="K708" s="99" t="s">
        <v>4</v>
      </c>
      <c r="L708" s="89"/>
      <c r="M708" s="75" t="str">
        <f>IF(Main[[#This Row],[Tech Start Date]]&lt;1/1/1990,"",IF(Main[[#This Row],[Class]]="C",WORKDAY(Main[[#This Row],[Tech Start Date]],9),IF(Main[[#This Row],[Class]]="B", WORKDAY(Main[[#This Row],[Tech Start Date]],6),IF(Main[[#This Row],[Class]]="A",WORKDAY(Main[[#This Row],[Tech Start Date]],2),""))))</f>
        <v/>
      </c>
      <c r="N708" s="75" t="str">
        <f>IF(Main[[#This Row],[Tech Start Date]]&lt;1/1/1990,"",IF(Main[[#This Row],[Class]]="C",WORKDAY(Main[[#This Row],[Tech Start Date]],19),IF(Main[[#This Row],[Class]]="B", WORKDAY(Main[[#This Row],[Tech Start Date]],12),IF(Main[[#This Row],[Class]]="A",WORKDAY(Main[[#This Row],[Tech Start Date]],4),""))))</f>
        <v/>
      </c>
      <c r="O708" s="75" t="str">
        <f>IF(Main[[#This Row],[Tech Start Date]]&lt;1/1/1990,"",IF(Main[[#This Row],[Class]]="C",WORKDAY(Main[[#This Row],[Tech Start Date]],23),IF(Main[[#This Row],[Class]]="B", WORKDAY(Main[[#This Row],[Tech Start Date]],15),IF(Main[[#This Row],[Class]]="A",WORKDAY(Main[[#This Row],[Tech Start Date]],5),""))))</f>
        <v/>
      </c>
      <c r="P708" s="75" t="str">
        <f>IF(Main[[#This Row],[Tech Start Date]]&lt;1/1/1990,"",IF(Main[[#This Row],[Class]]="C",WORKDAY(Main[[#This Row],[Tech Start Date]],28),IF(Main[[#This Row],[Class]]="B", WORKDAY(Main[[#This Row],[Tech Start Date]],19),IF(Main[[#This Row],[Class]]="A",WORKDAY(Main[[#This Row],[Tech Start Date]],9),""))))</f>
        <v/>
      </c>
      <c r="Q708" s="89">
        <v>40147</v>
      </c>
      <c r="R708" s="121"/>
      <c r="S708" s="99" t="s">
        <v>11</v>
      </c>
      <c r="T708" s="76" t="s">
        <v>4</v>
      </c>
      <c r="U708" s="99" t="s">
        <v>14</v>
      </c>
      <c r="V708" s="99" t="s">
        <v>1923</v>
      </c>
      <c r="W708" s="99" t="s">
        <v>1919</v>
      </c>
      <c r="X708" s="99" t="s">
        <v>2839</v>
      </c>
      <c r="Y708" s="73" t="s">
        <v>4</v>
      </c>
      <c r="Z708" s="73" t="s">
        <v>4</v>
      </c>
      <c r="AA708" s="99" t="s">
        <v>2839</v>
      </c>
    </row>
    <row r="709" spans="1:27" ht="17.25" customHeight="1">
      <c r="A709" s="65" t="str">
        <f>IF(priority(Main[[#This Row],[Comments]])&lt;&gt;0, priority(Main[[#This Row],[Comments]]),"")</f>
        <v/>
      </c>
      <c r="B709" s="60" t="s">
        <v>1546</v>
      </c>
      <c r="C709" s="105" t="s">
        <v>4</v>
      </c>
      <c r="D709" s="74" t="s">
        <v>629</v>
      </c>
      <c r="E709" s="89"/>
      <c r="F709" s="89"/>
      <c r="G709" s="65" t="str">
        <f>IF(stdProdLT(Main[[#This Row],[Comments]])=0.1,"N/A",IF(stdProdLT(Main[[#This Row],[Comments]])=0,"",TRIM(stdProdLT(Main[[#This Row],[Comments]]))))</f>
        <v/>
      </c>
      <c r="H709" s="98" t="str">
        <f>IF(Main[[#This Row],[Std. Prod. Lead Time]]="N/A", "",IF(AND(Main[[#This Row],[In Stock Date]]&lt;&gt;"",Main[[#This Row],[Revised Due Date]]&lt;&gt;"",Main[[#This Row],[In Stock Date]]&lt;&gt;""),Main[[#This Row],[In Stock Date]]-Main[[#This Row],[Revised Due Date]],""))</f>
        <v/>
      </c>
      <c r="I709" s="110" t="s">
        <v>4</v>
      </c>
      <c r="J709" s="99" t="s">
        <v>28</v>
      </c>
      <c r="K709" s="100" t="s">
        <v>1926</v>
      </c>
      <c r="L709" s="89"/>
      <c r="M709" s="75" t="str">
        <f>IF(Main[[#This Row],[Tech Start Date]]&lt;1/1/1990,"",IF(Main[[#This Row],[Class]]="C",WORKDAY(Main[[#This Row],[Tech Start Date]],9),IF(Main[[#This Row],[Class]]="B", WORKDAY(Main[[#This Row],[Tech Start Date]],6),IF(Main[[#This Row],[Class]]="A",WORKDAY(Main[[#This Row],[Tech Start Date]],2),""))))</f>
        <v/>
      </c>
      <c r="N709" s="75" t="str">
        <f>IF(Main[[#This Row],[Tech Start Date]]&lt;1/1/1990,"",IF(Main[[#This Row],[Class]]="C",WORKDAY(Main[[#This Row],[Tech Start Date]],19),IF(Main[[#This Row],[Class]]="B", WORKDAY(Main[[#This Row],[Tech Start Date]],12),IF(Main[[#This Row],[Class]]="A",WORKDAY(Main[[#This Row],[Tech Start Date]],4),""))))</f>
        <v/>
      </c>
      <c r="O709" s="75" t="str">
        <f>IF(Main[[#This Row],[Tech Start Date]]&lt;1/1/1990,"",IF(Main[[#This Row],[Class]]="C",WORKDAY(Main[[#This Row],[Tech Start Date]],23),IF(Main[[#This Row],[Class]]="B", WORKDAY(Main[[#This Row],[Tech Start Date]],15),IF(Main[[#This Row],[Class]]="A",WORKDAY(Main[[#This Row],[Tech Start Date]],5),""))))</f>
        <v/>
      </c>
      <c r="P709" s="75" t="str">
        <f>IF(Main[[#This Row],[Tech Start Date]]&lt;1/1/1990,"",IF(Main[[#This Row],[Class]]="C",WORKDAY(Main[[#This Row],[Tech Start Date]],28),IF(Main[[#This Row],[Class]]="B", WORKDAY(Main[[#This Row],[Tech Start Date]],19),IF(Main[[#This Row],[Class]]="A",WORKDAY(Main[[#This Row],[Tech Start Date]],9),""))))</f>
        <v/>
      </c>
      <c r="Q709" s="89"/>
      <c r="R709" s="121"/>
      <c r="S709" s="99" t="s">
        <v>11</v>
      </c>
      <c r="T709" s="76" t="s">
        <v>4</v>
      </c>
      <c r="U709" s="99" t="s">
        <v>14</v>
      </c>
      <c r="V709" s="99" t="s">
        <v>1913</v>
      </c>
      <c r="W709" s="99" t="s">
        <v>1917</v>
      </c>
      <c r="X709" s="99" t="s">
        <v>2048</v>
      </c>
      <c r="Y709" s="73" t="s">
        <v>2996</v>
      </c>
      <c r="Z709" s="73" t="s">
        <v>129</v>
      </c>
      <c r="AA709" s="99" t="s">
        <v>2048</v>
      </c>
    </row>
    <row r="710" spans="1:27" ht="17.25" customHeight="1">
      <c r="A710" s="65" t="str">
        <f>IF(priority(Main[[#This Row],[Comments]])&lt;&gt;0, priority(Main[[#This Row],[Comments]]),"")</f>
        <v/>
      </c>
      <c r="B710" s="60" t="s">
        <v>1119</v>
      </c>
      <c r="C710" s="105" t="s">
        <v>4</v>
      </c>
      <c r="D710" s="74" t="s">
        <v>168</v>
      </c>
      <c r="E710" s="89"/>
      <c r="F710" s="89"/>
      <c r="G710" s="65" t="str">
        <f>IF(stdProdLT(Main[[#This Row],[Comments]])=0.1,"N/A",IF(stdProdLT(Main[[#This Row],[Comments]])=0,"",TRIM(stdProdLT(Main[[#This Row],[Comments]]))))</f>
        <v/>
      </c>
      <c r="H710" s="98" t="str">
        <f>IF(Main[[#This Row],[Std. Prod. Lead Time]]="N/A", "",IF(AND(Main[[#This Row],[In Stock Date]]&lt;&gt;"",Main[[#This Row],[Revised Due Date]]&lt;&gt;"",Main[[#This Row],[In Stock Date]]&lt;&gt;""),Main[[#This Row],[In Stock Date]]-Main[[#This Row],[Revised Due Date]],""))</f>
        <v/>
      </c>
      <c r="I710" s="110" t="s">
        <v>4</v>
      </c>
      <c r="J710" s="99" t="s">
        <v>4</v>
      </c>
      <c r="K710" s="99" t="s">
        <v>4</v>
      </c>
      <c r="L710" s="89"/>
      <c r="M710" s="75" t="str">
        <f>IF(Main[[#This Row],[Tech Start Date]]&lt;1/1/1990,"",IF(Main[[#This Row],[Class]]="C",WORKDAY(Main[[#This Row],[Tech Start Date]],9),IF(Main[[#This Row],[Class]]="B", WORKDAY(Main[[#This Row],[Tech Start Date]],6),IF(Main[[#This Row],[Class]]="A",WORKDAY(Main[[#This Row],[Tech Start Date]],2),""))))</f>
        <v/>
      </c>
      <c r="N710" s="75" t="str">
        <f>IF(Main[[#This Row],[Tech Start Date]]&lt;1/1/1990,"",IF(Main[[#This Row],[Class]]="C",WORKDAY(Main[[#This Row],[Tech Start Date]],19),IF(Main[[#This Row],[Class]]="B", WORKDAY(Main[[#This Row],[Tech Start Date]],12),IF(Main[[#This Row],[Class]]="A",WORKDAY(Main[[#This Row],[Tech Start Date]],4),""))))</f>
        <v/>
      </c>
      <c r="O710" s="75" t="str">
        <f>IF(Main[[#This Row],[Tech Start Date]]&lt;1/1/1990,"",IF(Main[[#This Row],[Class]]="C",WORKDAY(Main[[#This Row],[Tech Start Date]],23),IF(Main[[#This Row],[Class]]="B", WORKDAY(Main[[#This Row],[Tech Start Date]],15),IF(Main[[#This Row],[Class]]="A",WORKDAY(Main[[#This Row],[Tech Start Date]],5),""))))</f>
        <v/>
      </c>
      <c r="P710" s="75" t="str">
        <f>IF(Main[[#This Row],[Tech Start Date]]&lt;1/1/1990,"",IF(Main[[#This Row],[Class]]="C",WORKDAY(Main[[#This Row],[Tech Start Date]],28),IF(Main[[#This Row],[Class]]="B", WORKDAY(Main[[#This Row],[Tech Start Date]],19),IF(Main[[#This Row],[Class]]="A",WORKDAY(Main[[#This Row],[Tech Start Date]],9),""))))</f>
        <v/>
      </c>
      <c r="Q710" s="89">
        <v>40737</v>
      </c>
      <c r="R710" s="121"/>
      <c r="S710" s="99" t="s">
        <v>6</v>
      </c>
      <c r="T710" s="76" t="s">
        <v>4</v>
      </c>
      <c r="U710" s="99" t="s">
        <v>14</v>
      </c>
      <c r="V710" s="99" t="s">
        <v>1916</v>
      </c>
      <c r="W710" s="99" t="s">
        <v>1917</v>
      </c>
      <c r="X710" s="99" t="s">
        <v>2830</v>
      </c>
      <c r="Y710" s="73" t="s">
        <v>2959</v>
      </c>
      <c r="Z710" s="73" t="s">
        <v>4</v>
      </c>
      <c r="AA710" s="99" t="s">
        <v>2830</v>
      </c>
    </row>
    <row r="711" spans="1:27" ht="17.25" customHeight="1">
      <c r="A711" s="65" t="str">
        <f>IF(priority(Main[[#This Row],[Comments]])&lt;&gt;0, priority(Main[[#This Row],[Comments]]),"")</f>
        <v/>
      </c>
      <c r="B711" s="60" t="s">
        <v>1898</v>
      </c>
      <c r="C711" s="105" t="s">
        <v>72</v>
      </c>
      <c r="D711" s="74" t="s">
        <v>2090</v>
      </c>
      <c r="E711" s="89">
        <v>40469.931226851855</v>
      </c>
      <c r="F711" s="89">
        <v>40487</v>
      </c>
      <c r="G711" s="65" t="str">
        <f>IF(stdProdLT(Main[[#This Row],[Comments]])=0.1,"N/A",IF(stdProdLT(Main[[#This Row],[Comments]])=0,"",TRIM(stdProdLT(Main[[#This Row],[Comments]]))))</f>
        <v/>
      </c>
      <c r="H711" s="98">
        <f>IF(Main[[#This Row],[Std. Prod. Lead Time]]="N/A", "",IF(AND(Main[[#This Row],[In Stock Date]]&lt;&gt;"",Main[[#This Row],[Revised Due Date]]&lt;&gt;"",Main[[#This Row],[In Stock Date]]&lt;&gt;""),Main[[#This Row],[In Stock Date]]-Main[[#This Row],[Revised Due Date]],""))</f>
        <v>-294</v>
      </c>
      <c r="I711" s="110" t="s">
        <v>2049</v>
      </c>
      <c r="J711" s="99" t="s">
        <v>52</v>
      </c>
      <c r="K711" s="100" t="s">
        <v>1920</v>
      </c>
      <c r="L711" s="89"/>
      <c r="M711" s="75" t="str">
        <f>IF(Main[[#This Row],[Tech Start Date]]&lt;1/1/1990,"",IF(Main[[#This Row],[Class]]="C",WORKDAY(Main[[#This Row],[Tech Start Date]],9),IF(Main[[#This Row],[Class]]="B", WORKDAY(Main[[#This Row],[Tech Start Date]],6),IF(Main[[#This Row],[Class]]="A",WORKDAY(Main[[#This Row],[Tech Start Date]],2),""))))</f>
        <v/>
      </c>
      <c r="N711" s="75" t="str">
        <f>IF(Main[[#This Row],[Tech Start Date]]&lt;1/1/1990,"",IF(Main[[#This Row],[Class]]="C",WORKDAY(Main[[#This Row],[Tech Start Date]],19),IF(Main[[#This Row],[Class]]="B", WORKDAY(Main[[#This Row],[Tech Start Date]],12),IF(Main[[#This Row],[Class]]="A",WORKDAY(Main[[#This Row],[Tech Start Date]],4),""))))</f>
        <v/>
      </c>
      <c r="O711" s="75" t="str">
        <f>IF(Main[[#This Row],[Tech Start Date]]&lt;1/1/1990,"",IF(Main[[#This Row],[Class]]="C",WORKDAY(Main[[#This Row],[Tech Start Date]],23),IF(Main[[#This Row],[Class]]="B", WORKDAY(Main[[#This Row],[Tech Start Date]],15),IF(Main[[#This Row],[Class]]="A",WORKDAY(Main[[#This Row],[Tech Start Date]],5),""))))</f>
        <v/>
      </c>
      <c r="P711" s="75" t="str">
        <f>IF(Main[[#This Row],[Tech Start Date]]&lt;1/1/1990,"",IF(Main[[#This Row],[Class]]="C",WORKDAY(Main[[#This Row],[Tech Start Date]],28),IF(Main[[#This Row],[Class]]="B", WORKDAY(Main[[#This Row],[Tech Start Date]],19),IF(Main[[#This Row],[Class]]="A",WORKDAY(Main[[#This Row],[Tech Start Date]],9),""))))</f>
        <v/>
      </c>
      <c r="Q711" s="89"/>
      <c r="R711" s="121">
        <v>40781</v>
      </c>
      <c r="S711" s="99" t="s">
        <v>6</v>
      </c>
      <c r="T711" s="76" t="s">
        <v>2091</v>
      </c>
      <c r="U711" s="99" t="s">
        <v>29</v>
      </c>
      <c r="V711" s="99" t="s">
        <v>1914</v>
      </c>
      <c r="W711" s="99" t="s">
        <v>1915</v>
      </c>
      <c r="X711" s="99" t="s">
        <v>2895</v>
      </c>
      <c r="Y711" s="73" t="s">
        <v>3073</v>
      </c>
      <c r="Z711" s="73" t="s">
        <v>108</v>
      </c>
      <c r="AA711" s="99" t="s">
        <v>2895</v>
      </c>
    </row>
    <row r="712" spans="1:27" ht="17.25" customHeight="1">
      <c r="A712" s="65" t="str">
        <f>IF(priority(Main[[#This Row],[Comments]])&lt;&gt;0, priority(Main[[#This Row],[Comments]]),"")</f>
        <v/>
      </c>
      <c r="B712" s="60" t="s">
        <v>1547</v>
      </c>
      <c r="C712" s="105" t="s">
        <v>4</v>
      </c>
      <c r="D712" s="74" t="s">
        <v>39</v>
      </c>
      <c r="E712" s="89"/>
      <c r="F712" s="89"/>
      <c r="G712" s="65" t="str">
        <f>IF(stdProdLT(Main[[#This Row],[Comments]])=0.1,"N/A",IF(stdProdLT(Main[[#This Row],[Comments]])=0,"",TRIM(stdProdLT(Main[[#This Row],[Comments]]))))</f>
        <v/>
      </c>
      <c r="H712" s="98" t="str">
        <f>IF(Main[[#This Row],[Std. Prod. Lead Time]]="N/A", "",IF(AND(Main[[#This Row],[In Stock Date]]&lt;&gt;"",Main[[#This Row],[Revised Due Date]]&lt;&gt;"",Main[[#This Row],[In Stock Date]]&lt;&gt;""),Main[[#This Row],[In Stock Date]]-Main[[#This Row],[Revised Due Date]],""))</f>
        <v/>
      </c>
      <c r="I712" s="110" t="s">
        <v>4</v>
      </c>
      <c r="J712" s="99" t="s">
        <v>4</v>
      </c>
      <c r="K712" s="100" t="s">
        <v>4</v>
      </c>
      <c r="L712" s="89"/>
      <c r="M712" s="75" t="str">
        <f>IF(Main[[#This Row],[Tech Start Date]]&lt;1/1/1990,"",IF(Main[[#This Row],[Class]]="C",WORKDAY(Main[[#This Row],[Tech Start Date]],9),IF(Main[[#This Row],[Class]]="B", WORKDAY(Main[[#This Row],[Tech Start Date]],6),IF(Main[[#This Row],[Class]]="A",WORKDAY(Main[[#This Row],[Tech Start Date]],2),""))))</f>
        <v/>
      </c>
      <c r="N712" s="75" t="str">
        <f>IF(Main[[#This Row],[Tech Start Date]]&lt;1/1/1990,"",IF(Main[[#This Row],[Class]]="C",WORKDAY(Main[[#This Row],[Tech Start Date]],19),IF(Main[[#This Row],[Class]]="B", WORKDAY(Main[[#This Row],[Tech Start Date]],12),IF(Main[[#This Row],[Class]]="A",WORKDAY(Main[[#This Row],[Tech Start Date]],4),""))))</f>
        <v/>
      </c>
      <c r="O712" s="75" t="str">
        <f>IF(Main[[#This Row],[Tech Start Date]]&lt;1/1/1990,"",IF(Main[[#This Row],[Class]]="C",WORKDAY(Main[[#This Row],[Tech Start Date]],23),IF(Main[[#This Row],[Class]]="B", WORKDAY(Main[[#This Row],[Tech Start Date]],15),IF(Main[[#This Row],[Class]]="A",WORKDAY(Main[[#This Row],[Tech Start Date]],5),""))))</f>
        <v/>
      </c>
      <c r="P712" s="75" t="str">
        <f>IF(Main[[#This Row],[Tech Start Date]]&lt;1/1/1990,"",IF(Main[[#This Row],[Class]]="C",WORKDAY(Main[[#This Row],[Tech Start Date]],28),IF(Main[[#This Row],[Class]]="B", WORKDAY(Main[[#This Row],[Tech Start Date]],19),IF(Main[[#This Row],[Class]]="A",WORKDAY(Main[[#This Row],[Tech Start Date]],9),""))))</f>
        <v/>
      </c>
      <c r="Q712" s="89">
        <v>40669</v>
      </c>
      <c r="R712" s="121"/>
      <c r="S712" s="99" t="s">
        <v>6</v>
      </c>
      <c r="T712" s="76" t="s">
        <v>4</v>
      </c>
      <c r="U712" s="99" t="s">
        <v>14</v>
      </c>
      <c r="V712" s="99" t="s">
        <v>1916</v>
      </c>
      <c r="W712" s="99" t="s">
        <v>4</v>
      </c>
      <c r="X712" s="99" t="s">
        <v>2812</v>
      </c>
      <c r="Y712" s="73" t="s">
        <v>2923</v>
      </c>
      <c r="Z712" s="73" t="s">
        <v>4</v>
      </c>
      <c r="AA712" s="99" t="s">
        <v>2812</v>
      </c>
    </row>
    <row r="713" spans="1:27" ht="17.25" customHeight="1">
      <c r="A713" s="65" t="str">
        <f>IF(priority(Main[[#This Row],[Comments]])&lt;&gt;0, priority(Main[[#This Row],[Comments]]),"")</f>
        <v/>
      </c>
      <c r="B713" s="60" t="s">
        <v>2722</v>
      </c>
      <c r="C713" s="105" t="s">
        <v>4</v>
      </c>
      <c r="D713" s="74" t="s">
        <v>3220</v>
      </c>
      <c r="E713" s="89">
        <v>40917.478506944448</v>
      </c>
      <c r="F713" s="89"/>
      <c r="G713" s="65" t="str">
        <f>IF(stdProdLT(Main[[#This Row],[Comments]])=0.1,"N/A",IF(stdProdLT(Main[[#This Row],[Comments]])=0,"",TRIM(stdProdLT(Main[[#This Row],[Comments]]))))</f>
        <v/>
      </c>
      <c r="H713" s="98" t="str">
        <f>IF(Main[[#This Row],[Std. Prod. Lead Time]]="N/A", "",IF(AND(Main[[#This Row],[In Stock Date]]&lt;&gt;"",Main[[#This Row],[Revised Due Date]]&lt;&gt;"",Main[[#This Row],[In Stock Date]]&lt;&gt;""),Main[[#This Row],[In Stock Date]]-Main[[#This Row],[Revised Due Date]],""))</f>
        <v/>
      </c>
      <c r="I713" s="110" t="s">
        <v>4</v>
      </c>
      <c r="J713" s="99" t="s">
        <v>4</v>
      </c>
      <c r="K713" s="99" t="s">
        <v>4</v>
      </c>
      <c r="L713" s="89"/>
      <c r="M713" s="75" t="str">
        <f>IF(Main[[#This Row],[Tech Start Date]]&lt;1/1/1990,"",IF(Main[[#This Row],[Class]]="C",WORKDAY(Main[[#This Row],[Tech Start Date]],9),IF(Main[[#This Row],[Class]]="B", WORKDAY(Main[[#This Row],[Tech Start Date]],6),IF(Main[[#This Row],[Class]]="A",WORKDAY(Main[[#This Row],[Tech Start Date]],2),""))))</f>
        <v/>
      </c>
      <c r="N713" s="75" t="str">
        <f>IF(Main[[#This Row],[Tech Start Date]]&lt;1/1/1990,"",IF(Main[[#This Row],[Class]]="C",WORKDAY(Main[[#This Row],[Tech Start Date]],19),IF(Main[[#This Row],[Class]]="B", WORKDAY(Main[[#This Row],[Tech Start Date]],12),IF(Main[[#This Row],[Class]]="A",WORKDAY(Main[[#This Row],[Tech Start Date]],4),""))))</f>
        <v/>
      </c>
      <c r="O713" s="75" t="str">
        <f>IF(Main[[#This Row],[Tech Start Date]]&lt;1/1/1990,"",IF(Main[[#This Row],[Class]]="C",WORKDAY(Main[[#This Row],[Tech Start Date]],23),IF(Main[[#This Row],[Class]]="B", WORKDAY(Main[[#This Row],[Tech Start Date]],15),IF(Main[[#This Row],[Class]]="A",WORKDAY(Main[[#This Row],[Tech Start Date]],5),""))))</f>
        <v/>
      </c>
      <c r="P713" s="75" t="str">
        <f>IF(Main[[#This Row],[Tech Start Date]]&lt;1/1/1990,"",IF(Main[[#This Row],[Class]]="C",WORKDAY(Main[[#This Row],[Tech Start Date]],28),IF(Main[[#This Row],[Class]]="B", WORKDAY(Main[[#This Row],[Tech Start Date]],19),IF(Main[[#This Row],[Class]]="A",WORKDAY(Main[[#This Row],[Tech Start Date]],9),""))))</f>
        <v/>
      </c>
      <c r="Q713" s="89"/>
      <c r="R713" s="121"/>
      <c r="S713" s="99" t="s">
        <v>6</v>
      </c>
      <c r="T713" s="76" t="s">
        <v>4</v>
      </c>
      <c r="U713" s="99" t="s">
        <v>7</v>
      </c>
      <c r="V713" s="99" t="s">
        <v>1913</v>
      </c>
      <c r="W713" s="99" t="s">
        <v>1917</v>
      </c>
      <c r="X713" s="99" t="s">
        <v>102</v>
      </c>
      <c r="Y713" s="73" t="s">
        <v>3074</v>
      </c>
      <c r="Z713" s="73" t="s">
        <v>4</v>
      </c>
      <c r="AA713" s="99" t="s">
        <v>3378</v>
      </c>
    </row>
    <row r="714" spans="1:27" ht="17.25" customHeight="1">
      <c r="A714" s="65" t="str">
        <f>IF(priority(Main[[#This Row],[Comments]])&lt;&gt;0, priority(Main[[#This Row],[Comments]]),"")</f>
        <v/>
      </c>
      <c r="B714" s="60" t="s">
        <v>1549</v>
      </c>
      <c r="C714" s="105" t="s">
        <v>4</v>
      </c>
      <c r="D714" s="74" t="s">
        <v>630</v>
      </c>
      <c r="E714" s="89">
        <v>40371.35765046296</v>
      </c>
      <c r="F714" s="89"/>
      <c r="G714" s="65" t="str">
        <f>IF(stdProdLT(Main[[#This Row],[Comments]])=0.1,"N/A",IF(stdProdLT(Main[[#This Row],[Comments]])=0,"",TRIM(stdProdLT(Main[[#This Row],[Comments]]))))</f>
        <v/>
      </c>
      <c r="H714" s="98" t="str">
        <f>IF(Main[[#This Row],[Std. Prod. Lead Time]]="N/A", "",IF(AND(Main[[#This Row],[In Stock Date]]&lt;&gt;"",Main[[#This Row],[Revised Due Date]]&lt;&gt;"",Main[[#This Row],[In Stock Date]]&lt;&gt;""),Main[[#This Row],[In Stock Date]]-Main[[#This Row],[Revised Due Date]],""))</f>
        <v/>
      </c>
      <c r="I714" s="110" t="s">
        <v>4</v>
      </c>
      <c r="J714" s="99" t="s">
        <v>4</v>
      </c>
      <c r="K714" s="99" t="s">
        <v>4</v>
      </c>
      <c r="L714" s="89"/>
      <c r="M714" s="75" t="str">
        <f>IF(Main[[#This Row],[Tech Start Date]]&lt;1/1/1990,"",IF(Main[[#This Row],[Class]]="C",WORKDAY(Main[[#This Row],[Tech Start Date]],9),IF(Main[[#This Row],[Class]]="B", WORKDAY(Main[[#This Row],[Tech Start Date]],6),IF(Main[[#This Row],[Class]]="A",WORKDAY(Main[[#This Row],[Tech Start Date]],2),""))))</f>
        <v/>
      </c>
      <c r="N714" s="75" t="str">
        <f>IF(Main[[#This Row],[Tech Start Date]]&lt;1/1/1990,"",IF(Main[[#This Row],[Class]]="C",WORKDAY(Main[[#This Row],[Tech Start Date]],19),IF(Main[[#This Row],[Class]]="B", WORKDAY(Main[[#This Row],[Tech Start Date]],12),IF(Main[[#This Row],[Class]]="A",WORKDAY(Main[[#This Row],[Tech Start Date]],4),""))))</f>
        <v/>
      </c>
      <c r="O714" s="75" t="str">
        <f>IF(Main[[#This Row],[Tech Start Date]]&lt;1/1/1990,"",IF(Main[[#This Row],[Class]]="C",WORKDAY(Main[[#This Row],[Tech Start Date]],23),IF(Main[[#This Row],[Class]]="B", WORKDAY(Main[[#This Row],[Tech Start Date]],15),IF(Main[[#This Row],[Class]]="A",WORKDAY(Main[[#This Row],[Tech Start Date]],5),""))))</f>
        <v/>
      </c>
      <c r="P714" s="75" t="str">
        <f>IF(Main[[#This Row],[Tech Start Date]]&lt;1/1/1990,"",IF(Main[[#This Row],[Class]]="C",WORKDAY(Main[[#This Row],[Tech Start Date]],28),IF(Main[[#This Row],[Class]]="B", WORKDAY(Main[[#This Row],[Tech Start Date]],19),IF(Main[[#This Row],[Class]]="A",WORKDAY(Main[[#This Row],[Tech Start Date]],9),""))))</f>
        <v/>
      </c>
      <c r="Q714" s="89">
        <v>40385</v>
      </c>
      <c r="R714" s="121"/>
      <c r="S714" s="99" t="s">
        <v>6</v>
      </c>
      <c r="T714" s="76" t="s">
        <v>4</v>
      </c>
      <c r="U714" s="99" t="s">
        <v>7</v>
      </c>
      <c r="V714" s="99" t="s">
        <v>1913</v>
      </c>
      <c r="W714" s="99" t="s">
        <v>1915</v>
      </c>
      <c r="X714" s="99" t="s">
        <v>102</v>
      </c>
      <c r="Y714" s="73" t="s">
        <v>3026</v>
      </c>
      <c r="Z714" s="73" t="s">
        <v>4</v>
      </c>
      <c r="AA714" s="99" t="s">
        <v>3389</v>
      </c>
    </row>
    <row r="715" spans="1:27" ht="17.25" customHeight="1">
      <c r="A715" s="65" t="str">
        <f>IF(priority(Main[[#This Row],[Comments]])&lt;&gt;0, priority(Main[[#This Row],[Comments]]),"")</f>
        <v/>
      </c>
      <c r="B715" s="60" t="s">
        <v>1550</v>
      </c>
      <c r="C715" s="105" t="s">
        <v>4</v>
      </c>
      <c r="D715" s="74" t="s">
        <v>631</v>
      </c>
      <c r="E715" s="89">
        <v>40371.37263888889</v>
      </c>
      <c r="F715" s="89"/>
      <c r="G715" s="65" t="str">
        <f>IF(stdProdLT(Main[[#This Row],[Comments]])=0.1,"N/A",IF(stdProdLT(Main[[#This Row],[Comments]])=0,"",TRIM(stdProdLT(Main[[#This Row],[Comments]]))))</f>
        <v/>
      </c>
      <c r="H715" s="98" t="str">
        <f>IF(Main[[#This Row],[Std. Prod. Lead Time]]="N/A", "",IF(AND(Main[[#This Row],[In Stock Date]]&lt;&gt;"",Main[[#This Row],[Revised Due Date]]&lt;&gt;"",Main[[#This Row],[In Stock Date]]&lt;&gt;""),Main[[#This Row],[In Stock Date]]-Main[[#This Row],[Revised Due Date]],""))</f>
        <v/>
      </c>
      <c r="I715" s="110" t="s">
        <v>4</v>
      </c>
      <c r="J715" s="99" t="s">
        <v>4</v>
      </c>
      <c r="K715" s="99" t="s">
        <v>4</v>
      </c>
      <c r="L715" s="89"/>
      <c r="M715" s="75" t="str">
        <f>IF(Main[[#This Row],[Tech Start Date]]&lt;1/1/1990,"",IF(Main[[#This Row],[Class]]="C",WORKDAY(Main[[#This Row],[Tech Start Date]],9),IF(Main[[#This Row],[Class]]="B", WORKDAY(Main[[#This Row],[Tech Start Date]],6),IF(Main[[#This Row],[Class]]="A",WORKDAY(Main[[#This Row],[Tech Start Date]],2),""))))</f>
        <v/>
      </c>
      <c r="N715" s="75" t="str">
        <f>IF(Main[[#This Row],[Tech Start Date]]&lt;1/1/1990,"",IF(Main[[#This Row],[Class]]="C",WORKDAY(Main[[#This Row],[Tech Start Date]],19),IF(Main[[#This Row],[Class]]="B", WORKDAY(Main[[#This Row],[Tech Start Date]],12),IF(Main[[#This Row],[Class]]="A",WORKDAY(Main[[#This Row],[Tech Start Date]],4),""))))</f>
        <v/>
      </c>
      <c r="O715" s="75" t="str">
        <f>IF(Main[[#This Row],[Tech Start Date]]&lt;1/1/1990,"",IF(Main[[#This Row],[Class]]="C",WORKDAY(Main[[#This Row],[Tech Start Date]],23),IF(Main[[#This Row],[Class]]="B", WORKDAY(Main[[#This Row],[Tech Start Date]],15),IF(Main[[#This Row],[Class]]="A",WORKDAY(Main[[#This Row],[Tech Start Date]],5),""))))</f>
        <v/>
      </c>
      <c r="P715" s="75" t="str">
        <f>IF(Main[[#This Row],[Tech Start Date]]&lt;1/1/1990,"",IF(Main[[#This Row],[Class]]="C",WORKDAY(Main[[#This Row],[Tech Start Date]],28),IF(Main[[#This Row],[Class]]="B", WORKDAY(Main[[#This Row],[Tech Start Date]],19),IF(Main[[#This Row],[Class]]="A",WORKDAY(Main[[#This Row],[Tech Start Date]],9),""))))</f>
        <v/>
      </c>
      <c r="Q715" s="89">
        <v>40385</v>
      </c>
      <c r="R715" s="121"/>
      <c r="S715" s="99" t="s">
        <v>6</v>
      </c>
      <c r="T715" s="76" t="s">
        <v>4</v>
      </c>
      <c r="U715" s="99" t="s">
        <v>7</v>
      </c>
      <c r="V715" s="99" t="s">
        <v>1913</v>
      </c>
      <c r="W715" s="99" t="s">
        <v>1915</v>
      </c>
      <c r="X715" s="99" t="s">
        <v>102</v>
      </c>
      <c r="Y715" s="73" t="s">
        <v>3026</v>
      </c>
      <c r="Z715" s="73" t="s">
        <v>4</v>
      </c>
      <c r="AA715" s="99" t="s">
        <v>3389</v>
      </c>
    </row>
    <row r="716" spans="1:27" ht="17.25" customHeight="1">
      <c r="A716" s="65" t="str">
        <f>IF(priority(Main[[#This Row],[Comments]])&lt;&gt;0, priority(Main[[#This Row],[Comments]]),"")</f>
        <v/>
      </c>
      <c r="B716" s="60" t="s">
        <v>1351</v>
      </c>
      <c r="C716" s="105" t="s">
        <v>4</v>
      </c>
      <c r="D716" s="74" t="s">
        <v>440</v>
      </c>
      <c r="E716" s="89">
        <v>40389.394756944443</v>
      </c>
      <c r="F716" s="89"/>
      <c r="G716" s="65" t="str">
        <f>IF(stdProdLT(Main[[#This Row],[Comments]])=0.1,"N/A",IF(stdProdLT(Main[[#This Row],[Comments]])=0,"",TRIM(stdProdLT(Main[[#This Row],[Comments]]))))</f>
        <v/>
      </c>
      <c r="H716" s="98" t="str">
        <f>IF(Main[[#This Row],[Std. Prod. Lead Time]]="N/A", "",IF(AND(Main[[#This Row],[In Stock Date]]&lt;&gt;"",Main[[#This Row],[Revised Due Date]]&lt;&gt;"",Main[[#This Row],[In Stock Date]]&lt;&gt;""),Main[[#This Row],[In Stock Date]]-Main[[#This Row],[Revised Due Date]],""))</f>
        <v/>
      </c>
      <c r="I716" s="110" t="s">
        <v>4</v>
      </c>
      <c r="J716" s="99" t="s">
        <v>28</v>
      </c>
      <c r="K716" s="99" t="s">
        <v>1925</v>
      </c>
      <c r="L716" s="89"/>
      <c r="M716" s="75" t="str">
        <f>IF(Main[[#This Row],[Tech Start Date]]&lt;1/1/1990,"",IF(Main[[#This Row],[Class]]="C",WORKDAY(Main[[#This Row],[Tech Start Date]],9),IF(Main[[#This Row],[Class]]="B", WORKDAY(Main[[#This Row],[Tech Start Date]],6),IF(Main[[#This Row],[Class]]="A",WORKDAY(Main[[#This Row],[Tech Start Date]],2),""))))</f>
        <v/>
      </c>
      <c r="N716" s="75" t="str">
        <f>IF(Main[[#This Row],[Tech Start Date]]&lt;1/1/1990,"",IF(Main[[#This Row],[Class]]="C",WORKDAY(Main[[#This Row],[Tech Start Date]],19),IF(Main[[#This Row],[Class]]="B", WORKDAY(Main[[#This Row],[Tech Start Date]],12),IF(Main[[#This Row],[Class]]="A",WORKDAY(Main[[#This Row],[Tech Start Date]],4),""))))</f>
        <v/>
      </c>
      <c r="O716" s="75" t="str">
        <f>IF(Main[[#This Row],[Tech Start Date]]&lt;1/1/1990,"",IF(Main[[#This Row],[Class]]="C",WORKDAY(Main[[#This Row],[Tech Start Date]],23),IF(Main[[#This Row],[Class]]="B", WORKDAY(Main[[#This Row],[Tech Start Date]],15),IF(Main[[#This Row],[Class]]="A",WORKDAY(Main[[#This Row],[Tech Start Date]],5),""))))</f>
        <v/>
      </c>
      <c r="P716" s="75" t="str">
        <f>IF(Main[[#This Row],[Tech Start Date]]&lt;1/1/1990,"",IF(Main[[#This Row],[Class]]="C",WORKDAY(Main[[#This Row],[Tech Start Date]],28),IF(Main[[#This Row],[Class]]="B", WORKDAY(Main[[#This Row],[Tech Start Date]],19),IF(Main[[#This Row],[Class]]="A",WORKDAY(Main[[#This Row],[Tech Start Date]],9),""))))</f>
        <v/>
      </c>
      <c r="Q716" s="89">
        <v>40451</v>
      </c>
      <c r="R716" s="121"/>
      <c r="S716" s="99" t="s">
        <v>17</v>
      </c>
      <c r="T716" s="76" t="s">
        <v>4</v>
      </c>
      <c r="U716" s="99" t="s">
        <v>7</v>
      </c>
      <c r="V716" s="99" t="s">
        <v>1913</v>
      </c>
      <c r="W716" s="99" t="s">
        <v>1918</v>
      </c>
      <c r="X716" s="99" t="s">
        <v>129</v>
      </c>
      <c r="Y716" s="73" t="s">
        <v>2953</v>
      </c>
      <c r="Z716" s="73" t="s">
        <v>2822</v>
      </c>
      <c r="AA716" s="99" t="s">
        <v>2822</v>
      </c>
    </row>
    <row r="717" spans="1:27" ht="17.25" customHeight="1">
      <c r="A717" s="65" t="str">
        <f>IF(priority(Main[[#This Row],[Comments]])&lt;&gt;0, priority(Main[[#This Row],[Comments]]),"")</f>
        <v/>
      </c>
      <c r="B717" s="60" t="s">
        <v>1390</v>
      </c>
      <c r="C717" s="105" t="s">
        <v>72</v>
      </c>
      <c r="D717" s="74" t="s">
        <v>477</v>
      </c>
      <c r="E717" s="89"/>
      <c r="F717" s="89">
        <v>40031</v>
      </c>
      <c r="G717" s="65" t="str">
        <f>IF(stdProdLT(Main[[#This Row],[Comments]])=0.1,"N/A",IF(stdProdLT(Main[[#This Row],[Comments]])=0,"",TRIM(stdProdLT(Main[[#This Row],[Comments]]))))</f>
        <v/>
      </c>
      <c r="H717" s="98" t="str">
        <f>IF(Main[[#This Row],[Std. Prod. Lead Time]]="N/A", "",IF(AND(Main[[#This Row],[In Stock Date]]&lt;&gt;"",Main[[#This Row],[Revised Due Date]]&lt;&gt;"",Main[[#This Row],[In Stock Date]]&lt;&gt;""),Main[[#This Row],[In Stock Date]]-Main[[#This Row],[Revised Due Date]],""))</f>
        <v/>
      </c>
      <c r="I717" s="110" t="s">
        <v>4</v>
      </c>
      <c r="J717" s="99" t="s">
        <v>4</v>
      </c>
      <c r="K717" s="100" t="s">
        <v>4</v>
      </c>
      <c r="L717" s="89"/>
      <c r="M717" s="75" t="str">
        <f>IF(Main[[#This Row],[Tech Start Date]]&lt;1/1/1990,"",IF(Main[[#This Row],[Class]]="C",WORKDAY(Main[[#This Row],[Tech Start Date]],9),IF(Main[[#This Row],[Class]]="B", WORKDAY(Main[[#This Row],[Tech Start Date]],6),IF(Main[[#This Row],[Class]]="A",WORKDAY(Main[[#This Row],[Tech Start Date]],2),""))))</f>
        <v/>
      </c>
      <c r="N717" s="75" t="str">
        <f>IF(Main[[#This Row],[Tech Start Date]]&lt;1/1/1990,"",IF(Main[[#This Row],[Class]]="C",WORKDAY(Main[[#This Row],[Tech Start Date]],19),IF(Main[[#This Row],[Class]]="B", WORKDAY(Main[[#This Row],[Tech Start Date]],12),IF(Main[[#This Row],[Class]]="A",WORKDAY(Main[[#This Row],[Tech Start Date]],4),""))))</f>
        <v/>
      </c>
      <c r="O717" s="75" t="str">
        <f>IF(Main[[#This Row],[Tech Start Date]]&lt;1/1/1990,"",IF(Main[[#This Row],[Class]]="C",WORKDAY(Main[[#This Row],[Tech Start Date]],23),IF(Main[[#This Row],[Class]]="B", WORKDAY(Main[[#This Row],[Tech Start Date]],15),IF(Main[[#This Row],[Class]]="A",WORKDAY(Main[[#This Row],[Tech Start Date]],5),""))))</f>
        <v/>
      </c>
      <c r="P717" s="75" t="str">
        <f>IF(Main[[#This Row],[Tech Start Date]]&lt;1/1/1990,"",IF(Main[[#This Row],[Class]]="C",WORKDAY(Main[[#This Row],[Tech Start Date]],28),IF(Main[[#This Row],[Class]]="B", WORKDAY(Main[[#This Row],[Tech Start Date]],19),IF(Main[[#This Row],[Class]]="A",WORKDAY(Main[[#This Row],[Tech Start Date]],9),""))))</f>
        <v/>
      </c>
      <c r="Q717" s="89">
        <v>39976</v>
      </c>
      <c r="R717" s="121"/>
      <c r="S717" s="99" t="s">
        <v>11</v>
      </c>
      <c r="T717" s="76" t="s">
        <v>4</v>
      </c>
      <c r="U717" s="99" t="s">
        <v>14</v>
      </c>
      <c r="V717" s="99" t="s">
        <v>1914</v>
      </c>
      <c r="W717" s="99" t="s">
        <v>1921</v>
      </c>
      <c r="X717" s="99" t="s">
        <v>2818</v>
      </c>
      <c r="Y717" s="73" t="s">
        <v>2937</v>
      </c>
      <c r="Z717" s="73" t="s">
        <v>4</v>
      </c>
      <c r="AA717" s="99" t="s">
        <v>2818</v>
      </c>
    </row>
    <row r="718" spans="1:27" ht="17.25" customHeight="1">
      <c r="A718" s="65" t="str">
        <f>IF(priority(Main[[#This Row],[Comments]])&lt;&gt;0, priority(Main[[#This Row],[Comments]]),"")</f>
        <v/>
      </c>
      <c r="B718" s="60" t="s">
        <v>1391</v>
      </c>
      <c r="C718" s="105" t="s">
        <v>83</v>
      </c>
      <c r="D718" s="74" t="s">
        <v>478</v>
      </c>
      <c r="E718" s="89"/>
      <c r="F718" s="89"/>
      <c r="G718" s="65" t="str">
        <f>IF(stdProdLT(Main[[#This Row],[Comments]])=0.1,"N/A",IF(stdProdLT(Main[[#This Row],[Comments]])=0,"",TRIM(stdProdLT(Main[[#This Row],[Comments]]))))</f>
        <v/>
      </c>
      <c r="H718" s="98" t="str">
        <f>IF(Main[[#This Row],[Std. Prod. Lead Time]]="N/A", "",IF(AND(Main[[#This Row],[In Stock Date]]&lt;&gt;"",Main[[#This Row],[Revised Due Date]]&lt;&gt;"",Main[[#This Row],[In Stock Date]]&lt;&gt;""),Main[[#This Row],[In Stock Date]]-Main[[#This Row],[Revised Due Date]],""))</f>
        <v/>
      </c>
      <c r="I718" s="110" t="s">
        <v>4</v>
      </c>
      <c r="J718" s="99" t="s">
        <v>4</v>
      </c>
      <c r="K718" s="100" t="s">
        <v>4</v>
      </c>
      <c r="L718" s="89"/>
      <c r="M718" s="75" t="str">
        <f>IF(Main[[#This Row],[Tech Start Date]]&lt;1/1/1990,"",IF(Main[[#This Row],[Class]]="C",WORKDAY(Main[[#This Row],[Tech Start Date]],9),IF(Main[[#This Row],[Class]]="B", WORKDAY(Main[[#This Row],[Tech Start Date]],6),IF(Main[[#This Row],[Class]]="A",WORKDAY(Main[[#This Row],[Tech Start Date]],2),""))))</f>
        <v/>
      </c>
      <c r="N718" s="75" t="str">
        <f>IF(Main[[#This Row],[Tech Start Date]]&lt;1/1/1990,"",IF(Main[[#This Row],[Class]]="C",WORKDAY(Main[[#This Row],[Tech Start Date]],19),IF(Main[[#This Row],[Class]]="B", WORKDAY(Main[[#This Row],[Tech Start Date]],12),IF(Main[[#This Row],[Class]]="A",WORKDAY(Main[[#This Row],[Tech Start Date]],4),""))))</f>
        <v/>
      </c>
      <c r="O718" s="75" t="str">
        <f>IF(Main[[#This Row],[Tech Start Date]]&lt;1/1/1990,"",IF(Main[[#This Row],[Class]]="C",WORKDAY(Main[[#This Row],[Tech Start Date]],23),IF(Main[[#This Row],[Class]]="B", WORKDAY(Main[[#This Row],[Tech Start Date]],15),IF(Main[[#This Row],[Class]]="A",WORKDAY(Main[[#This Row],[Tech Start Date]],5),""))))</f>
        <v/>
      </c>
      <c r="P718" s="75" t="str">
        <f>IF(Main[[#This Row],[Tech Start Date]]&lt;1/1/1990,"",IF(Main[[#This Row],[Class]]="C",WORKDAY(Main[[#This Row],[Tech Start Date]],28),IF(Main[[#This Row],[Class]]="B", WORKDAY(Main[[#This Row],[Tech Start Date]],19),IF(Main[[#This Row],[Class]]="A",WORKDAY(Main[[#This Row],[Tech Start Date]],9),""))))</f>
        <v/>
      </c>
      <c r="Q718" s="89">
        <v>40137</v>
      </c>
      <c r="R718" s="121"/>
      <c r="S718" s="99" t="s">
        <v>11</v>
      </c>
      <c r="T718" s="76" t="s">
        <v>4</v>
      </c>
      <c r="U718" s="99" t="s">
        <v>14</v>
      </c>
      <c r="V718" s="99" t="s">
        <v>1913</v>
      </c>
      <c r="W718" s="99" t="s">
        <v>1924</v>
      </c>
      <c r="X718" s="99" t="s">
        <v>2811</v>
      </c>
      <c r="Y718" s="73" t="s">
        <v>4</v>
      </c>
      <c r="Z718" s="73" t="s">
        <v>4</v>
      </c>
      <c r="AA718" s="99" t="s">
        <v>2811</v>
      </c>
    </row>
    <row r="719" spans="1:27" ht="17.25" customHeight="1">
      <c r="A719" s="65" t="str">
        <f>IF(priority(Main[[#This Row],[Comments]])&lt;&gt;0, priority(Main[[#This Row],[Comments]]),"")</f>
        <v/>
      </c>
      <c r="B719" s="60" t="s">
        <v>1392</v>
      </c>
      <c r="C719" s="105" t="s">
        <v>95</v>
      </c>
      <c r="D719" s="74" t="s">
        <v>479</v>
      </c>
      <c r="E719" s="89"/>
      <c r="F719" s="89">
        <v>40196</v>
      </c>
      <c r="G719" s="65" t="str">
        <f>IF(stdProdLT(Main[[#This Row],[Comments]])=0.1,"N/A",IF(stdProdLT(Main[[#This Row],[Comments]])=0,"",TRIM(stdProdLT(Main[[#This Row],[Comments]]))))</f>
        <v/>
      </c>
      <c r="H719" s="98" t="str">
        <f>IF(Main[[#This Row],[Std. Prod. Lead Time]]="N/A", "",IF(AND(Main[[#This Row],[In Stock Date]]&lt;&gt;"",Main[[#This Row],[Revised Due Date]]&lt;&gt;"",Main[[#This Row],[In Stock Date]]&lt;&gt;""),Main[[#This Row],[In Stock Date]]-Main[[#This Row],[Revised Due Date]],""))</f>
        <v/>
      </c>
      <c r="I719" s="110" t="s">
        <v>4</v>
      </c>
      <c r="J719" s="99" t="s">
        <v>4</v>
      </c>
      <c r="K719" s="99" t="s">
        <v>4</v>
      </c>
      <c r="L719" s="89"/>
      <c r="M719" s="75" t="str">
        <f>IF(Main[[#This Row],[Tech Start Date]]&lt;1/1/1990,"",IF(Main[[#This Row],[Class]]="C",WORKDAY(Main[[#This Row],[Tech Start Date]],9),IF(Main[[#This Row],[Class]]="B", WORKDAY(Main[[#This Row],[Tech Start Date]],6),IF(Main[[#This Row],[Class]]="A",WORKDAY(Main[[#This Row],[Tech Start Date]],2),""))))</f>
        <v/>
      </c>
      <c r="N719" s="75" t="str">
        <f>IF(Main[[#This Row],[Tech Start Date]]&lt;1/1/1990,"",IF(Main[[#This Row],[Class]]="C",WORKDAY(Main[[#This Row],[Tech Start Date]],19),IF(Main[[#This Row],[Class]]="B", WORKDAY(Main[[#This Row],[Tech Start Date]],12),IF(Main[[#This Row],[Class]]="A",WORKDAY(Main[[#This Row],[Tech Start Date]],4),""))))</f>
        <v/>
      </c>
      <c r="O719" s="75" t="str">
        <f>IF(Main[[#This Row],[Tech Start Date]]&lt;1/1/1990,"",IF(Main[[#This Row],[Class]]="C",WORKDAY(Main[[#This Row],[Tech Start Date]],23),IF(Main[[#This Row],[Class]]="B", WORKDAY(Main[[#This Row],[Tech Start Date]],15),IF(Main[[#This Row],[Class]]="A",WORKDAY(Main[[#This Row],[Tech Start Date]],5),""))))</f>
        <v/>
      </c>
      <c r="P719" s="75" t="str">
        <f>IF(Main[[#This Row],[Tech Start Date]]&lt;1/1/1990,"",IF(Main[[#This Row],[Class]]="C",WORKDAY(Main[[#This Row],[Tech Start Date]],28),IF(Main[[#This Row],[Class]]="B", WORKDAY(Main[[#This Row],[Tech Start Date]],19),IF(Main[[#This Row],[Class]]="A",WORKDAY(Main[[#This Row],[Tech Start Date]],9),""))))</f>
        <v/>
      </c>
      <c r="Q719" s="89">
        <v>40077</v>
      </c>
      <c r="R719" s="121"/>
      <c r="S719" s="99" t="s">
        <v>11</v>
      </c>
      <c r="T719" s="76" t="s">
        <v>4</v>
      </c>
      <c r="U719" s="99" t="s">
        <v>14</v>
      </c>
      <c r="V719" s="99" t="s">
        <v>1916</v>
      </c>
      <c r="W719" s="99" t="s">
        <v>1921</v>
      </c>
      <c r="X719" s="99" t="s">
        <v>2870</v>
      </c>
      <c r="Y719" s="73" t="s">
        <v>4</v>
      </c>
      <c r="Z719" s="73" t="s">
        <v>4</v>
      </c>
      <c r="AA719" s="99" t="s">
        <v>3399</v>
      </c>
    </row>
    <row r="720" spans="1:27" ht="17.25" customHeight="1">
      <c r="A720" s="65" t="str">
        <f>IF(priority(Main[[#This Row],[Comments]])&lt;&gt;0, priority(Main[[#This Row],[Comments]]),"")</f>
        <v/>
      </c>
      <c r="B720" s="60" t="s">
        <v>1463</v>
      </c>
      <c r="C720" s="105" t="s">
        <v>93</v>
      </c>
      <c r="D720" s="74" t="s">
        <v>557</v>
      </c>
      <c r="E720" s="89"/>
      <c r="F720" s="89">
        <v>40299</v>
      </c>
      <c r="G720" s="65" t="str">
        <f>IF(stdProdLT(Main[[#This Row],[Comments]])=0.1,"N/A",IF(stdProdLT(Main[[#This Row],[Comments]])=0,"",TRIM(stdProdLT(Main[[#This Row],[Comments]]))))</f>
        <v/>
      </c>
      <c r="H720" s="98" t="str">
        <f>IF(Main[[#This Row],[Std. Prod. Lead Time]]="N/A", "",IF(AND(Main[[#This Row],[In Stock Date]]&lt;&gt;"",Main[[#This Row],[Revised Due Date]]&lt;&gt;"",Main[[#This Row],[In Stock Date]]&lt;&gt;""),Main[[#This Row],[In Stock Date]]-Main[[#This Row],[Revised Due Date]],""))</f>
        <v/>
      </c>
      <c r="I720" s="110" t="s">
        <v>4</v>
      </c>
      <c r="J720" s="99" t="s">
        <v>4</v>
      </c>
      <c r="K720" s="99" t="s">
        <v>4</v>
      </c>
      <c r="L720" s="89"/>
      <c r="M720" s="75" t="str">
        <f>IF(Main[[#This Row],[Tech Start Date]]&lt;1/1/1990,"",IF(Main[[#This Row],[Class]]="C",WORKDAY(Main[[#This Row],[Tech Start Date]],9),IF(Main[[#This Row],[Class]]="B", WORKDAY(Main[[#This Row],[Tech Start Date]],6),IF(Main[[#This Row],[Class]]="A",WORKDAY(Main[[#This Row],[Tech Start Date]],2),""))))</f>
        <v/>
      </c>
      <c r="N720" s="75" t="str">
        <f>IF(Main[[#This Row],[Tech Start Date]]&lt;1/1/1990,"",IF(Main[[#This Row],[Class]]="C",WORKDAY(Main[[#This Row],[Tech Start Date]],19),IF(Main[[#This Row],[Class]]="B", WORKDAY(Main[[#This Row],[Tech Start Date]],12),IF(Main[[#This Row],[Class]]="A",WORKDAY(Main[[#This Row],[Tech Start Date]],4),""))))</f>
        <v/>
      </c>
      <c r="O720" s="75" t="str">
        <f>IF(Main[[#This Row],[Tech Start Date]]&lt;1/1/1990,"",IF(Main[[#This Row],[Class]]="C",WORKDAY(Main[[#This Row],[Tech Start Date]],23),IF(Main[[#This Row],[Class]]="B", WORKDAY(Main[[#This Row],[Tech Start Date]],15),IF(Main[[#This Row],[Class]]="A",WORKDAY(Main[[#This Row],[Tech Start Date]],5),""))))</f>
        <v/>
      </c>
      <c r="P720" s="75" t="str">
        <f>IF(Main[[#This Row],[Tech Start Date]]&lt;1/1/1990,"",IF(Main[[#This Row],[Class]]="C",WORKDAY(Main[[#This Row],[Tech Start Date]],28),IF(Main[[#This Row],[Class]]="B", WORKDAY(Main[[#This Row],[Tech Start Date]],19),IF(Main[[#This Row],[Class]]="A",WORKDAY(Main[[#This Row],[Tech Start Date]],9),""))))</f>
        <v/>
      </c>
      <c r="Q720" s="89">
        <v>40171</v>
      </c>
      <c r="R720" s="121"/>
      <c r="S720" s="99" t="s">
        <v>11</v>
      </c>
      <c r="T720" s="76" t="s">
        <v>4</v>
      </c>
      <c r="U720" s="99" t="s">
        <v>14</v>
      </c>
      <c r="V720" s="99" t="s">
        <v>1916</v>
      </c>
      <c r="W720" s="99" t="s">
        <v>1919</v>
      </c>
      <c r="X720" s="99" t="s">
        <v>530</v>
      </c>
      <c r="Y720" s="73" t="s">
        <v>3047</v>
      </c>
      <c r="Z720" s="73" t="s">
        <v>4</v>
      </c>
      <c r="AA720" s="99" t="s">
        <v>3409</v>
      </c>
    </row>
    <row r="721" spans="1:27" ht="17.25" customHeight="1">
      <c r="A721" s="65" t="str">
        <f>IF(priority(Main[[#This Row],[Comments]])&lt;&gt;0, priority(Main[[#This Row],[Comments]]),"")</f>
        <v/>
      </c>
      <c r="B721" s="60" t="s">
        <v>1464</v>
      </c>
      <c r="C721" s="105" t="s">
        <v>47</v>
      </c>
      <c r="D721" s="74" t="s">
        <v>558</v>
      </c>
      <c r="E721" s="89">
        <v>39937.590590277781</v>
      </c>
      <c r="F721" s="89"/>
      <c r="G721" s="65" t="str">
        <f>IF(stdProdLT(Main[[#This Row],[Comments]])=0.1,"N/A",IF(stdProdLT(Main[[#This Row],[Comments]])=0,"",TRIM(stdProdLT(Main[[#This Row],[Comments]]))))</f>
        <v/>
      </c>
      <c r="H721" s="98" t="str">
        <f>IF(Main[[#This Row],[Std. Prod. Lead Time]]="N/A", "",IF(AND(Main[[#This Row],[In Stock Date]]&lt;&gt;"",Main[[#This Row],[Revised Due Date]]&lt;&gt;"",Main[[#This Row],[In Stock Date]]&lt;&gt;""),Main[[#This Row],[In Stock Date]]-Main[[#This Row],[Revised Due Date]],""))</f>
        <v/>
      </c>
      <c r="I721" s="110" t="s">
        <v>4</v>
      </c>
      <c r="J721" s="99" t="s">
        <v>4</v>
      </c>
      <c r="K721" s="99" t="s">
        <v>4</v>
      </c>
      <c r="L721" s="89"/>
      <c r="M721" s="75" t="str">
        <f>IF(Main[[#This Row],[Tech Start Date]]&lt;1/1/1990,"",IF(Main[[#This Row],[Class]]="C",WORKDAY(Main[[#This Row],[Tech Start Date]],9),IF(Main[[#This Row],[Class]]="B", WORKDAY(Main[[#This Row],[Tech Start Date]],6),IF(Main[[#This Row],[Class]]="A",WORKDAY(Main[[#This Row],[Tech Start Date]],2),""))))</f>
        <v/>
      </c>
      <c r="N721" s="75" t="str">
        <f>IF(Main[[#This Row],[Tech Start Date]]&lt;1/1/1990,"",IF(Main[[#This Row],[Class]]="C",WORKDAY(Main[[#This Row],[Tech Start Date]],19),IF(Main[[#This Row],[Class]]="B", WORKDAY(Main[[#This Row],[Tech Start Date]],12),IF(Main[[#This Row],[Class]]="A",WORKDAY(Main[[#This Row],[Tech Start Date]],4),""))))</f>
        <v/>
      </c>
      <c r="O721" s="75" t="str">
        <f>IF(Main[[#This Row],[Tech Start Date]]&lt;1/1/1990,"",IF(Main[[#This Row],[Class]]="C",WORKDAY(Main[[#This Row],[Tech Start Date]],23),IF(Main[[#This Row],[Class]]="B", WORKDAY(Main[[#This Row],[Tech Start Date]],15),IF(Main[[#This Row],[Class]]="A",WORKDAY(Main[[#This Row],[Tech Start Date]],5),""))))</f>
        <v/>
      </c>
      <c r="P721" s="75" t="str">
        <f>IF(Main[[#This Row],[Tech Start Date]]&lt;1/1/1990,"",IF(Main[[#This Row],[Class]]="C",WORKDAY(Main[[#This Row],[Tech Start Date]],28),IF(Main[[#This Row],[Class]]="B", WORKDAY(Main[[#This Row],[Tech Start Date]],19),IF(Main[[#This Row],[Class]]="A",WORKDAY(Main[[#This Row],[Tech Start Date]],9),""))))</f>
        <v/>
      </c>
      <c r="Q721" s="89"/>
      <c r="R721" s="121"/>
      <c r="S721" s="99" t="s">
        <v>17</v>
      </c>
      <c r="T721" s="76" t="s">
        <v>4</v>
      </c>
      <c r="U721" s="99" t="s">
        <v>7</v>
      </c>
      <c r="V721" s="99" t="s">
        <v>1916</v>
      </c>
      <c r="W721" s="99" t="s">
        <v>4</v>
      </c>
      <c r="X721" s="99" t="s">
        <v>2821</v>
      </c>
      <c r="Y721" s="73" t="s">
        <v>2942</v>
      </c>
      <c r="Z721" s="73" t="s">
        <v>4</v>
      </c>
      <c r="AA721" s="99" t="s">
        <v>2821</v>
      </c>
    </row>
    <row r="722" spans="1:27" ht="17.25" customHeight="1">
      <c r="A722" s="65" t="str">
        <f>IF(priority(Main[[#This Row],[Comments]])&lt;&gt;0, priority(Main[[#This Row],[Comments]]),"")</f>
        <v/>
      </c>
      <c r="B722" s="60" t="s">
        <v>1465</v>
      </c>
      <c r="C722" s="105" t="s">
        <v>277</v>
      </c>
      <c r="D722" s="74" t="s">
        <v>559</v>
      </c>
      <c r="E722" s="89"/>
      <c r="F722" s="89">
        <v>40567</v>
      </c>
      <c r="G722" s="65" t="str">
        <f>IF(stdProdLT(Main[[#This Row],[Comments]])=0.1,"N/A",IF(stdProdLT(Main[[#This Row],[Comments]])=0,"",TRIM(stdProdLT(Main[[#This Row],[Comments]]))))</f>
        <v/>
      </c>
      <c r="H722" s="98" t="str">
        <f>IF(Main[[#This Row],[Std. Prod. Lead Time]]="N/A", "",IF(AND(Main[[#This Row],[In Stock Date]]&lt;&gt;"",Main[[#This Row],[Revised Due Date]]&lt;&gt;"",Main[[#This Row],[In Stock Date]]&lt;&gt;""),Main[[#This Row],[In Stock Date]]-Main[[#This Row],[Revised Due Date]],""))</f>
        <v/>
      </c>
      <c r="I722" s="110" t="s">
        <v>4</v>
      </c>
      <c r="J722" s="99" t="s">
        <v>4</v>
      </c>
      <c r="K722" s="99" t="s">
        <v>4</v>
      </c>
      <c r="L722" s="89"/>
      <c r="M722" s="75" t="str">
        <f>IF(Main[[#This Row],[Tech Start Date]]&lt;1/1/1990,"",IF(Main[[#This Row],[Class]]="C",WORKDAY(Main[[#This Row],[Tech Start Date]],9),IF(Main[[#This Row],[Class]]="B", WORKDAY(Main[[#This Row],[Tech Start Date]],6),IF(Main[[#This Row],[Class]]="A",WORKDAY(Main[[#This Row],[Tech Start Date]],2),""))))</f>
        <v/>
      </c>
      <c r="N722" s="75" t="str">
        <f>IF(Main[[#This Row],[Tech Start Date]]&lt;1/1/1990,"",IF(Main[[#This Row],[Class]]="C",WORKDAY(Main[[#This Row],[Tech Start Date]],19),IF(Main[[#This Row],[Class]]="B", WORKDAY(Main[[#This Row],[Tech Start Date]],12),IF(Main[[#This Row],[Class]]="A",WORKDAY(Main[[#This Row],[Tech Start Date]],4),""))))</f>
        <v/>
      </c>
      <c r="O722" s="75" t="str">
        <f>IF(Main[[#This Row],[Tech Start Date]]&lt;1/1/1990,"",IF(Main[[#This Row],[Class]]="C",WORKDAY(Main[[#This Row],[Tech Start Date]],23),IF(Main[[#This Row],[Class]]="B", WORKDAY(Main[[#This Row],[Tech Start Date]],15),IF(Main[[#This Row],[Class]]="A",WORKDAY(Main[[#This Row],[Tech Start Date]],5),""))))</f>
        <v/>
      </c>
      <c r="P722" s="75" t="str">
        <f>IF(Main[[#This Row],[Tech Start Date]]&lt;1/1/1990,"",IF(Main[[#This Row],[Class]]="C",WORKDAY(Main[[#This Row],[Tech Start Date]],28),IF(Main[[#This Row],[Class]]="B", WORKDAY(Main[[#This Row],[Tech Start Date]],19),IF(Main[[#This Row],[Class]]="A",WORKDAY(Main[[#This Row],[Tech Start Date]],9),""))))</f>
        <v/>
      </c>
      <c r="Q722" s="89">
        <v>40427</v>
      </c>
      <c r="R722" s="121"/>
      <c r="S722" s="99" t="s">
        <v>11</v>
      </c>
      <c r="T722" s="76" t="s">
        <v>4</v>
      </c>
      <c r="U722" s="99" t="s">
        <v>14</v>
      </c>
      <c r="V722" s="99" t="s">
        <v>1913</v>
      </c>
      <c r="W722" s="99" t="s">
        <v>1921</v>
      </c>
      <c r="X722" s="99" t="s">
        <v>2837</v>
      </c>
      <c r="Y722" s="73" t="s">
        <v>4</v>
      </c>
      <c r="Z722" s="73" t="s">
        <v>4</v>
      </c>
      <c r="AA722" s="99" t="s">
        <v>2837</v>
      </c>
    </row>
    <row r="723" spans="1:27" ht="17.25" customHeight="1">
      <c r="A723" s="65" t="str">
        <f>IF(priority(Main[[#This Row],[Comments]])&lt;&gt;0, priority(Main[[#This Row],[Comments]]),"")</f>
        <v/>
      </c>
      <c r="B723" s="60" t="s">
        <v>1466</v>
      </c>
      <c r="C723" s="105" t="s">
        <v>4</v>
      </c>
      <c r="D723" s="74" t="s">
        <v>560</v>
      </c>
      <c r="E723" s="89">
        <v>40414.808692129627</v>
      </c>
      <c r="F723" s="89"/>
      <c r="G723" s="65" t="str">
        <f>IF(stdProdLT(Main[[#This Row],[Comments]])=0.1,"N/A",IF(stdProdLT(Main[[#This Row],[Comments]])=0,"",TRIM(stdProdLT(Main[[#This Row],[Comments]]))))</f>
        <v/>
      </c>
      <c r="H723" s="98" t="str">
        <f>IF(Main[[#This Row],[Std. Prod. Lead Time]]="N/A", "",IF(AND(Main[[#This Row],[In Stock Date]]&lt;&gt;"",Main[[#This Row],[Revised Due Date]]&lt;&gt;"",Main[[#This Row],[In Stock Date]]&lt;&gt;""),Main[[#This Row],[In Stock Date]]-Main[[#This Row],[Revised Due Date]],""))</f>
        <v/>
      </c>
      <c r="I723" s="110" t="s">
        <v>4</v>
      </c>
      <c r="J723" s="99" t="s">
        <v>28</v>
      </c>
      <c r="K723" s="99" t="s">
        <v>4</v>
      </c>
      <c r="L723" s="89"/>
      <c r="M723" s="75" t="str">
        <f>IF(Main[[#This Row],[Tech Start Date]]&lt;1/1/1990,"",IF(Main[[#This Row],[Class]]="C",WORKDAY(Main[[#This Row],[Tech Start Date]],9),IF(Main[[#This Row],[Class]]="B", WORKDAY(Main[[#This Row],[Tech Start Date]],6),IF(Main[[#This Row],[Class]]="A",WORKDAY(Main[[#This Row],[Tech Start Date]],2),""))))</f>
        <v/>
      </c>
      <c r="N723" s="75" t="str">
        <f>IF(Main[[#This Row],[Tech Start Date]]&lt;1/1/1990,"",IF(Main[[#This Row],[Class]]="C",WORKDAY(Main[[#This Row],[Tech Start Date]],19),IF(Main[[#This Row],[Class]]="B", WORKDAY(Main[[#This Row],[Tech Start Date]],12),IF(Main[[#This Row],[Class]]="A",WORKDAY(Main[[#This Row],[Tech Start Date]],4),""))))</f>
        <v/>
      </c>
      <c r="O723" s="75" t="str">
        <f>IF(Main[[#This Row],[Tech Start Date]]&lt;1/1/1990,"",IF(Main[[#This Row],[Class]]="C",WORKDAY(Main[[#This Row],[Tech Start Date]],23),IF(Main[[#This Row],[Class]]="B", WORKDAY(Main[[#This Row],[Tech Start Date]],15),IF(Main[[#This Row],[Class]]="A",WORKDAY(Main[[#This Row],[Tech Start Date]],5),""))))</f>
        <v/>
      </c>
      <c r="P723" s="75" t="str">
        <f>IF(Main[[#This Row],[Tech Start Date]]&lt;1/1/1990,"",IF(Main[[#This Row],[Class]]="C",WORKDAY(Main[[#This Row],[Tech Start Date]],28),IF(Main[[#This Row],[Class]]="B", WORKDAY(Main[[#This Row],[Tech Start Date]],19),IF(Main[[#This Row],[Class]]="A",WORKDAY(Main[[#This Row],[Tech Start Date]],9),""))))</f>
        <v/>
      </c>
      <c r="Q723" s="89">
        <v>40429</v>
      </c>
      <c r="R723" s="121"/>
      <c r="S723" s="99" t="s">
        <v>318</v>
      </c>
      <c r="T723" s="76" t="s">
        <v>4</v>
      </c>
      <c r="U723" s="99" t="s">
        <v>7</v>
      </c>
      <c r="V723" s="99" t="s">
        <v>1913</v>
      </c>
      <c r="W723" s="99" t="s">
        <v>1917</v>
      </c>
      <c r="X723" s="99" t="s">
        <v>2815</v>
      </c>
      <c r="Y723" s="73" t="s">
        <v>2930</v>
      </c>
      <c r="Z723" s="73" t="s">
        <v>129</v>
      </c>
      <c r="AA723" s="99" t="s">
        <v>2815</v>
      </c>
    </row>
    <row r="724" spans="1:27" ht="17.25" customHeight="1">
      <c r="A724" s="65" t="str">
        <f>IF(priority(Main[[#This Row],[Comments]])&lt;&gt;0, priority(Main[[#This Row],[Comments]]),"")</f>
        <v/>
      </c>
      <c r="B724" s="60" t="s">
        <v>1502</v>
      </c>
      <c r="C724" s="105" t="s">
        <v>58</v>
      </c>
      <c r="D724" s="74" t="s">
        <v>576</v>
      </c>
      <c r="E724" s="89"/>
      <c r="F724" s="89">
        <v>40697</v>
      </c>
      <c r="G724" s="65" t="str">
        <f>IF(stdProdLT(Main[[#This Row],[Comments]])=0.1,"N/A",IF(stdProdLT(Main[[#This Row],[Comments]])=0,"",TRIM(stdProdLT(Main[[#This Row],[Comments]]))))</f>
        <v/>
      </c>
      <c r="H724" s="98" t="str">
        <f>IF(Main[[#This Row],[Std. Prod. Lead Time]]="N/A", "",IF(AND(Main[[#This Row],[In Stock Date]]&lt;&gt;"",Main[[#This Row],[Revised Due Date]]&lt;&gt;"",Main[[#This Row],[In Stock Date]]&lt;&gt;""),Main[[#This Row],[In Stock Date]]-Main[[#This Row],[Revised Due Date]],""))</f>
        <v/>
      </c>
      <c r="I724" s="110" t="s">
        <v>417</v>
      </c>
      <c r="J724" s="99" t="s">
        <v>75</v>
      </c>
      <c r="K724" s="99" t="s">
        <v>1920</v>
      </c>
      <c r="L724" s="89"/>
      <c r="M724" s="75" t="str">
        <f>IF(Main[[#This Row],[Tech Start Date]]&lt;1/1/1990,"",IF(Main[[#This Row],[Class]]="C",WORKDAY(Main[[#This Row],[Tech Start Date]],9),IF(Main[[#This Row],[Class]]="B", WORKDAY(Main[[#This Row],[Tech Start Date]],6),IF(Main[[#This Row],[Class]]="A",WORKDAY(Main[[#This Row],[Tech Start Date]],2),""))))</f>
        <v/>
      </c>
      <c r="N724" s="75" t="str">
        <f>IF(Main[[#This Row],[Tech Start Date]]&lt;1/1/1990,"",IF(Main[[#This Row],[Class]]="C",WORKDAY(Main[[#This Row],[Tech Start Date]],19),IF(Main[[#This Row],[Class]]="B", WORKDAY(Main[[#This Row],[Tech Start Date]],12),IF(Main[[#This Row],[Class]]="A",WORKDAY(Main[[#This Row],[Tech Start Date]],4),""))))</f>
        <v/>
      </c>
      <c r="O724" s="75" t="str">
        <f>IF(Main[[#This Row],[Tech Start Date]]&lt;1/1/1990,"",IF(Main[[#This Row],[Class]]="C",WORKDAY(Main[[#This Row],[Tech Start Date]],23),IF(Main[[#This Row],[Class]]="B", WORKDAY(Main[[#This Row],[Tech Start Date]],15),IF(Main[[#This Row],[Class]]="A",WORKDAY(Main[[#This Row],[Tech Start Date]],5),""))))</f>
        <v/>
      </c>
      <c r="P724" s="75" t="str">
        <f>IF(Main[[#This Row],[Tech Start Date]]&lt;1/1/1990,"",IF(Main[[#This Row],[Class]]="C",WORKDAY(Main[[#This Row],[Tech Start Date]],28),IF(Main[[#This Row],[Class]]="B", WORKDAY(Main[[#This Row],[Tech Start Date]],19),IF(Main[[#This Row],[Class]]="A",WORKDAY(Main[[#This Row],[Tech Start Date]],9),""))))</f>
        <v/>
      </c>
      <c r="Q724" s="89">
        <v>40539</v>
      </c>
      <c r="R724" s="121"/>
      <c r="S724" s="99" t="s">
        <v>11</v>
      </c>
      <c r="T724" s="76" t="s">
        <v>4</v>
      </c>
      <c r="U724" s="99" t="s">
        <v>14</v>
      </c>
      <c r="V724" s="99" t="s">
        <v>1923</v>
      </c>
      <c r="W724" s="99" t="s">
        <v>1919</v>
      </c>
      <c r="X724" s="99" t="s">
        <v>2823</v>
      </c>
      <c r="Y724" s="73" t="s">
        <v>2945</v>
      </c>
      <c r="Z724" s="73" t="s">
        <v>306</v>
      </c>
      <c r="AA724" s="99" t="s">
        <v>2823</v>
      </c>
    </row>
    <row r="725" spans="1:27" ht="17.25" customHeight="1">
      <c r="A725" s="65" t="str">
        <f>IF(priority(Main[[#This Row],[Comments]])&lt;&gt;0, priority(Main[[#This Row],[Comments]]),"")</f>
        <v/>
      </c>
      <c r="B725" s="60" t="s">
        <v>1504</v>
      </c>
      <c r="C725" s="105" t="s">
        <v>578</v>
      </c>
      <c r="D725" s="74" t="s">
        <v>579</v>
      </c>
      <c r="E725" s="89"/>
      <c r="F725" s="89">
        <v>40596</v>
      </c>
      <c r="G725" s="65" t="str">
        <f>IF(stdProdLT(Main[[#This Row],[Comments]])=0.1,"N/A",IF(stdProdLT(Main[[#This Row],[Comments]])=0,"",TRIM(stdProdLT(Main[[#This Row],[Comments]]))))</f>
        <v/>
      </c>
      <c r="H725" s="98" t="str">
        <f>IF(Main[[#This Row],[Std. Prod. Lead Time]]="N/A", "",IF(AND(Main[[#This Row],[In Stock Date]]&lt;&gt;"",Main[[#This Row],[Revised Due Date]]&lt;&gt;"",Main[[#This Row],[In Stock Date]]&lt;&gt;""),Main[[#This Row],[In Stock Date]]-Main[[#This Row],[Revised Due Date]],""))</f>
        <v/>
      </c>
      <c r="I725" s="110" t="s">
        <v>4</v>
      </c>
      <c r="J725" s="99" t="s">
        <v>28</v>
      </c>
      <c r="K725" s="99" t="s">
        <v>4</v>
      </c>
      <c r="L725" s="89"/>
      <c r="M725" s="75" t="str">
        <f>IF(Main[[#This Row],[Tech Start Date]]&lt;1/1/1990,"",IF(Main[[#This Row],[Class]]="C",WORKDAY(Main[[#This Row],[Tech Start Date]],9),IF(Main[[#This Row],[Class]]="B", WORKDAY(Main[[#This Row],[Tech Start Date]],6),IF(Main[[#This Row],[Class]]="A",WORKDAY(Main[[#This Row],[Tech Start Date]],2),""))))</f>
        <v/>
      </c>
      <c r="N725" s="75" t="str">
        <f>IF(Main[[#This Row],[Tech Start Date]]&lt;1/1/1990,"",IF(Main[[#This Row],[Class]]="C",WORKDAY(Main[[#This Row],[Tech Start Date]],19),IF(Main[[#This Row],[Class]]="B", WORKDAY(Main[[#This Row],[Tech Start Date]],12),IF(Main[[#This Row],[Class]]="A",WORKDAY(Main[[#This Row],[Tech Start Date]],4),""))))</f>
        <v/>
      </c>
      <c r="O725" s="75" t="str">
        <f>IF(Main[[#This Row],[Tech Start Date]]&lt;1/1/1990,"",IF(Main[[#This Row],[Class]]="C",WORKDAY(Main[[#This Row],[Tech Start Date]],23),IF(Main[[#This Row],[Class]]="B", WORKDAY(Main[[#This Row],[Tech Start Date]],15),IF(Main[[#This Row],[Class]]="A",WORKDAY(Main[[#This Row],[Tech Start Date]],5),""))))</f>
        <v/>
      </c>
      <c r="P725" s="75" t="str">
        <f>IF(Main[[#This Row],[Tech Start Date]]&lt;1/1/1990,"",IF(Main[[#This Row],[Class]]="C",WORKDAY(Main[[#This Row],[Tech Start Date]],28),IF(Main[[#This Row],[Class]]="B", WORKDAY(Main[[#This Row],[Tech Start Date]],19),IF(Main[[#This Row],[Class]]="A",WORKDAY(Main[[#This Row],[Tech Start Date]],9),""))))</f>
        <v/>
      </c>
      <c r="Q725" s="89">
        <v>40414</v>
      </c>
      <c r="R725" s="121"/>
      <c r="S725" s="99" t="s">
        <v>11</v>
      </c>
      <c r="T725" s="76" t="s">
        <v>4</v>
      </c>
      <c r="U725" s="99" t="s">
        <v>14</v>
      </c>
      <c r="V725" s="99" t="s">
        <v>1916</v>
      </c>
      <c r="W725" s="99" t="s">
        <v>1918</v>
      </c>
      <c r="X725" s="99" t="s">
        <v>2820</v>
      </c>
      <c r="Y725" s="73" t="s">
        <v>2940</v>
      </c>
      <c r="Z725" s="73" t="s">
        <v>530</v>
      </c>
      <c r="AA725" s="99" t="s">
        <v>2820</v>
      </c>
    </row>
    <row r="726" spans="1:27" ht="17.25" customHeight="1">
      <c r="A726" s="65" t="str">
        <f>IF(priority(Main[[#This Row],[Comments]])&lt;&gt;0, priority(Main[[#This Row],[Comments]]),"")</f>
        <v/>
      </c>
      <c r="B726" s="60" t="s">
        <v>1505</v>
      </c>
      <c r="C726" s="105" t="s">
        <v>580</v>
      </c>
      <c r="D726" s="74" t="s">
        <v>581</v>
      </c>
      <c r="E726" s="89"/>
      <c r="F726" s="89"/>
      <c r="G726" s="65" t="str">
        <f>IF(stdProdLT(Main[[#This Row],[Comments]])=0.1,"N/A",IF(stdProdLT(Main[[#This Row],[Comments]])=0,"",TRIM(stdProdLT(Main[[#This Row],[Comments]]))))</f>
        <v/>
      </c>
      <c r="H726" s="98" t="str">
        <f>IF(Main[[#This Row],[Std. Prod. Lead Time]]="N/A", "",IF(AND(Main[[#This Row],[In Stock Date]]&lt;&gt;"",Main[[#This Row],[Revised Due Date]]&lt;&gt;"",Main[[#This Row],[In Stock Date]]&lt;&gt;""),Main[[#This Row],[In Stock Date]]-Main[[#This Row],[Revised Due Date]],""))</f>
        <v/>
      </c>
      <c r="I726" s="110" t="s">
        <v>4</v>
      </c>
      <c r="J726" s="99" t="s">
        <v>4</v>
      </c>
      <c r="K726" s="99" t="s">
        <v>4</v>
      </c>
      <c r="L726" s="89"/>
      <c r="M726" s="75" t="str">
        <f>IF(Main[[#This Row],[Tech Start Date]]&lt;1/1/1990,"",IF(Main[[#This Row],[Class]]="C",WORKDAY(Main[[#This Row],[Tech Start Date]],9),IF(Main[[#This Row],[Class]]="B", WORKDAY(Main[[#This Row],[Tech Start Date]],6),IF(Main[[#This Row],[Class]]="A",WORKDAY(Main[[#This Row],[Tech Start Date]],2),""))))</f>
        <v/>
      </c>
      <c r="N726" s="75" t="str">
        <f>IF(Main[[#This Row],[Tech Start Date]]&lt;1/1/1990,"",IF(Main[[#This Row],[Class]]="C",WORKDAY(Main[[#This Row],[Tech Start Date]],19),IF(Main[[#This Row],[Class]]="B", WORKDAY(Main[[#This Row],[Tech Start Date]],12),IF(Main[[#This Row],[Class]]="A",WORKDAY(Main[[#This Row],[Tech Start Date]],4),""))))</f>
        <v/>
      </c>
      <c r="O726" s="75" t="str">
        <f>IF(Main[[#This Row],[Tech Start Date]]&lt;1/1/1990,"",IF(Main[[#This Row],[Class]]="C",WORKDAY(Main[[#This Row],[Tech Start Date]],23),IF(Main[[#This Row],[Class]]="B", WORKDAY(Main[[#This Row],[Tech Start Date]],15),IF(Main[[#This Row],[Class]]="A",WORKDAY(Main[[#This Row],[Tech Start Date]],5),""))))</f>
        <v/>
      </c>
      <c r="P726" s="75" t="str">
        <f>IF(Main[[#This Row],[Tech Start Date]]&lt;1/1/1990,"",IF(Main[[#This Row],[Class]]="C",WORKDAY(Main[[#This Row],[Tech Start Date]],28),IF(Main[[#This Row],[Class]]="B", WORKDAY(Main[[#This Row],[Tech Start Date]],19),IF(Main[[#This Row],[Class]]="A",WORKDAY(Main[[#This Row],[Tech Start Date]],9),""))))</f>
        <v/>
      </c>
      <c r="Q726" s="89">
        <v>40476</v>
      </c>
      <c r="R726" s="121"/>
      <c r="S726" s="99" t="s">
        <v>11</v>
      </c>
      <c r="T726" s="76" t="s">
        <v>4</v>
      </c>
      <c r="U726" s="99" t="s">
        <v>14</v>
      </c>
      <c r="V726" s="99" t="s">
        <v>1913</v>
      </c>
      <c r="W726" s="99" t="s">
        <v>1921</v>
      </c>
      <c r="X726" s="99" t="s">
        <v>2873</v>
      </c>
      <c r="Y726" s="73" t="s">
        <v>3021</v>
      </c>
      <c r="Z726" s="73" t="s">
        <v>4</v>
      </c>
      <c r="AA726" s="99" t="s">
        <v>2873</v>
      </c>
    </row>
    <row r="727" spans="1:27" ht="17.25" customHeight="1">
      <c r="A727" s="65" t="str">
        <f>IF(priority(Main[[#This Row],[Comments]])&lt;&gt;0, priority(Main[[#This Row],[Comments]]),"")</f>
        <v/>
      </c>
      <c r="B727" s="60" t="s">
        <v>1506</v>
      </c>
      <c r="C727" s="105" t="s">
        <v>31</v>
      </c>
      <c r="D727" s="74" t="s">
        <v>582</v>
      </c>
      <c r="E727" s="89"/>
      <c r="F727" s="89">
        <v>40330</v>
      </c>
      <c r="G727" s="65" t="str">
        <f>IF(stdProdLT(Main[[#This Row],[Comments]])=0.1,"N/A",IF(stdProdLT(Main[[#This Row],[Comments]])=0,"",TRIM(stdProdLT(Main[[#This Row],[Comments]]))))</f>
        <v/>
      </c>
      <c r="H727" s="98" t="str">
        <f>IF(Main[[#This Row],[Std. Prod. Lead Time]]="N/A", "",IF(AND(Main[[#This Row],[In Stock Date]]&lt;&gt;"",Main[[#This Row],[Revised Due Date]]&lt;&gt;"",Main[[#This Row],[In Stock Date]]&lt;&gt;""),Main[[#This Row],[In Stock Date]]-Main[[#This Row],[Revised Due Date]],""))</f>
        <v/>
      </c>
      <c r="I727" s="110" t="s">
        <v>4</v>
      </c>
      <c r="J727" s="99" t="s">
        <v>4</v>
      </c>
      <c r="K727" s="99" t="s">
        <v>4</v>
      </c>
      <c r="L727" s="89"/>
      <c r="M727" s="75" t="str">
        <f>IF(Main[[#This Row],[Tech Start Date]]&lt;1/1/1990,"",IF(Main[[#This Row],[Class]]="C",WORKDAY(Main[[#This Row],[Tech Start Date]],9),IF(Main[[#This Row],[Class]]="B", WORKDAY(Main[[#This Row],[Tech Start Date]],6),IF(Main[[#This Row],[Class]]="A",WORKDAY(Main[[#This Row],[Tech Start Date]],2),""))))</f>
        <v/>
      </c>
      <c r="N727" s="75" t="str">
        <f>IF(Main[[#This Row],[Tech Start Date]]&lt;1/1/1990,"",IF(Main[[#This Row],[Class]]="C",WORKDAY(Main[[#This Row],[Tech Start Date]],19),IF(Main[[#This Row],[Class]]="B", WORKDAY(Main[[#This Row],[Tech Start Date]],12),IF(Main[[#This Row],[Class]]="A",WORKDAY(Main[[#This Row],[Tech Start Date]],4),""))))</f>
        <v/>
      </c>
      <c r="O727" s="75" t="str">
        <f>IF(Main[[#This Row],[Tech Start Date]]&lt;1/1/1990,"",IF(Main[[#This Row],[Class]]="C",WORKDAY(Main[[#This Row],[Tech Start Date]],23),IF(Main[[#This Row],[Class]]="B", WORKDAY(Main[[#This Row],[Tech Start Date]],15),IF(Main[[#This Row],[Class]]="A",WORKDAY(Main[[#This Row],[Tech Start Date]],5),""))))</f>
        <v/>
      </c>
      <c r="P727" s="75" t="str">
        <f>IF(Main[[#This Row],[Tech Start Date]]&lt;1/1/1990,"",IF(Main[[#This Row],[Class]]="C",WORKDAY(Main[[#This Row],[Tech Start Date]],28),IF(Main[[#This Row],[Class]]="B", WORKDAY(Main[[#This Row],[Tech Start Date]],19),IF(Main[[#This Row],[Class]]="A",WORKDAY(Main[[#This Row],[Tech Start Date]],9),""))))</f>
        <v/>
      </c>
      <c r="Q727" s="89">
        <v>40210</v>
      </c>
      <c r="R727" s="121"/>
      <c r="S727" s="99" t="s">
        <v>11</v>
      </c>
      <c r="T727" s="76" t="s">
        <v>4</v>
      </c>
      <c r="U727" s="99" t="s">
        <v>14</v>
      </c>
      <c r="V727" s="99" t="s">
        <v>1914</v>
      </c>
      <c r="W727" s="99" t="s">
        <v>1919</v>
      </c>
      <c r="X727" s="99" t="s">
        <v>2818</v>
      </c>
      <c r="Y727" s="73" t="s">
        <v>2937</v>
      </c>
      <c r="Z727" s="73" t="s">
        <v>4</v>
      </c>
      <c r="AA727" s="99" t="s">
        <v>2818</v>
      </c>
    </row>
    <row r="728" spans="1:27" ht="17.25" customHeight="1">
      <c r="A728" s="65" t="str">
        <f>IF(priority(Main[[#This Row],[Comments]])&lt;&gt;0, priority(Main[[#This Row],[Comments]]),"")</f>
        <v/>
      </c>
      <c r="B728" s="60" t="s">
        <v>1507</v>
      </c>
      <c r="C728" s="105" t="s">
        <v>4</v>
      </c>
      <c r="D728" s="74" t="s">
        <v>583</v>
      </c>
      <c r="E728" s="89"/>
      <c r="F728" s="89"/>
      <c r="G728" s="65" t="str">
        <f>IF(stdProdLT(Main[[#This Row],[Comments]])=0.1,"N/A",IF(stdProdLT(Main[[#This Row],[Comments]])=0,"",TRIM(stdProdLT(Main[[#This Row],[Comments]]))))</f>
        <v/>
      </c>
      <c r="H728" s="98" t="str">
        <f>IF(Main[[#This Row],[Std. Prod. Lead Time]]="N/A", "",IF(AND(Main[[#This Row],[In Stock Date]]&lt;&gt;"",Main[[#This Row],[Revised Due Date]]&lt;&gt;"",Main[[#This Row],[In Stock Date]]&lt;&gt;""),Main[[#This Row],[In Stock Date]]-Main[[#This Row],[Revised Due Date]],""))</f>
        <v/>
      </c>
      <c r="I728" s="110" t="s">
        <v>4</v>
      </c>
      <c r="J728" s="99" t="s">
        <v>4</v>
      </c>
      <c r="K728" s="99" t="s">
        <v>4</v>
      </c>
      <c r="L728" s="89"/>
      <c r="M728" s="75" t="str">
        <f>IF(Main[[#This Row],[Tech Start Date]]&lt;1/1/1990,"",IF(Main[[#This Row],[Class]]="C",WORKDAY(Main[[#This Row],[Tech Start Date]],9),IF(Main[[#This Row],[Class]]="B", WORKDAY(Main[[#This Row],[Tech Start Date]],6),IF(Main[[#This Row],[Class]]="A",WORKDAY(Main[[#This Row],[Tech Start Date]],2),""))))</f>
        <v/>
      </c>
      <c r="N728" s="75" t="str">
        <f>IF(Main[[#This Row],[Tech Start Date]]&lt;1/1/1990,"",IF(Main[[#This Row],[Class]]="C",WORKDAY(Main[[#This Row],[Tech Start Date]],19),IF(Main[[#This Row],[Class]]="B", WORKDAY(Main[[#This Row],[Tech Start Date]],12),IF(Main[[#This Row],[Class]]="A",WORKDAY(Main[[#This Row],[Tech Start Date]],4),""))))</f>
        <v/>
      </c>
      <c r="O728" s="75" t="str">
        <f>IF(Main[[#This Row],[Tech Start Date]]&lt;1/1/1990,"",IF(Main[[#This Row],[Class]]="C",WORKDAY(Main[[#This Row],[Tech Start Date]],23),IF(Main[[#This Row],[Class]]="B", WORKDAY(Main[[#This Row],[Tech Start Date]],15),IF(Main[[#This Row],[Class]]="A",WORKDAY(Main[[#This Row],[Tech Start Date]],5),""))))</f>
        <v/>
      </c>
      <c r="P728" s="75" t="str">
        <f>IF(Main[[#This Row],[Tech Start Date]]&lt;1/1/1990,"",IF(Main[[#This Row],[Class]]="C",WORKDAY(Main[[#This Row],[Tech Start Date]],28),IF(Main[[#This Row],[Class]]="B", WORKDAY(Main[[#This Row],[Tech Start Date]],19),IF(Main[[#This Row],[Class]]="A",WORKDAY(Main[[#This Row],[Tech Start Date]],9),""))))</f>
        <v/>
      </c>
      <c r="Q728" s="89">
        <v>40543</v>
      </c>
      <c r="R728" s="121"/>
      <c r="S728" s="99" t="s">
        <v>17</v>
      </c>
      <c r="T728" s="76" t="s">
        <v>4</v>
      </c>
      <c r="U728" s="99" t="s">
        <v>14</v>
      </c>
      <c r="V728" s="99" t="s">
        <v>1928</v>
      </c>
      <c r="W728" s="99" t="s">
        <v>1915</v>
      </c>
      <c r="X728" s="99" t="s">
        <v>129</v>
      </c>
      <c r="Y728" s="73" t="s">
        <v>2927</v>
      </c>
      <c r="Z728" s="73" t="s">
        <v>4</v>
      </c>
      <c r="AA728" s="99" t="s">
        <v>129</v>
      </c>
    </row>
    <row r="729" spans="1:27" ht="17.25" customHeight="1">
      <c r="A729" s="65" t="str">
        <f>IF(priority(Main[[#This Row],[Comments]])&lt;&gt;0, priority(Main[[#This Row],[Comments]]),"")</f>
        <v/>
      </c>
      <c r="B729" s="60" t="s">
        <v>1508</v>
      </c>
      <c r="C729" s="105" t="s">
        <v>378</v>
      </c>
      <c r="D729" s="74" t="s">
        <v>584</v>
      </c>
      <c r="E729" s="89"/>
      <c r="F729" s="89">
        <v>40228</v>
      </c>
      <c r="G729" s="65" t="str">
        <f>IF(stdProdLT(Main[[#This Row],[Comments]])=0.1,"N/A",IF(stdProdLT(Main[[#This Row],[Comments]])=0,"",TRIM(stdProdLT(Main[[#This Row],[Comments]]))))</f>
        <v/>
      </c>
      <c r="H729" s="98" t="str">
        <f>IF(Main[[#This Row],[Std. Prod. Lead Time]]="N/A", "",IF(AND(Main[[#This Row],[In Stock Date]]&lt;&gt;"",Main[[#This Row],[Revised Due Date]]&lt;&gt;"",Main[[#This Row],[In Stock Date]]&lt;&gt;""),Main[[#This Row],[In Stock Date]]-Main[[#This Row],[Revised Due Date]],""))</f>
        <v/>
      </c>
      <c r="I729" s="110" t="s">
        <v>4</v>
      </c>
      <c r="J729" s="99" t="s">
        <v>4</v>
      </c>
      <c r="K729" s="99" t="s">
        <v>4</v>
      </c>
      <c r="L729" s="89"/>
      <c r="M729" s="75" t="str">
        <f>IF(Main[[#This Row],[Tech Start Date]]&lt;1/1/1990,"",IF(Main[[#This Row],[Class]]="C",WORKDAY(Main[[#This Row],[Tech Start Date]],9),IF(Main[[#This Row],[Class]]="B", WORKDAY(Main[[#This Row],[Tech Start Date]],6),IF(Main[[#This Row],[Class]]="A",WORKDAY(Main[[#This Row],[Tech Start Date]],2),""))))</f>
        <v/>
      </c>
      <c r="N729" s="75" t="str">
        <f>IF(Main[[#This Row],[Tech Start Date]]&lt;1/1/1990,"",IF(Main[[#This Row],[Class]]="C",WORKDAY(Main[[#This Row],[Tech Start Date]],19),IF(Main[[#This Row],[Class]]="B", WORKDAY(Main[[#This Row],[Tech Start Date]],12),IF(Main[[#This Row],[Class]]="A",WORKDAY(Main[[#This Row],[Tech Start Date]],4),""))))</f>
        <v/>
      </c>
      <c r="O729" s="75" t="str">
        <f>IF(Main[[#This Row],[Tech Start Date]]&lt;1/1/1990,"",IF(Main[[#This Row],[Class]]="C",WORKDAY(Main[[#This Row],[Tech Start Date]],23),IF(Main[[#This Row],[Class]]="B", WORKDAY(Main[[#This Row],[Tech Start Date]],15),IF(Main[[#This Row],[Class]]="A",WORKDAY(Main[[#This Row],[Tech Start Date]],5),""))))</f>
        <v/>
      </c>
      <c r="P729" s="75" t="str">
        <f>IF(Main[[#This Row],[Tech Start Date]]&lt;1/1/1990,"",IF(Main[[#This Row],[Class]]="C",WORKDAY(Main[[#This Row],[Tech Start Date]],28),IF(Main[[#This Row],[Class]]="B", WORKDAY(Main[[#This Row],[Tech Start Date]],19),IF(Main[[#This Row],[Class]]="A",WORKDAY(Main[[#This Row],[Tech Start Date]],9),""))))</f>
        <v/>
      </c>
      <c r="Q729" s="89">
        <v>40153</v>
      </c>
      <c r="R729" s="121"/>
      <c r="S729" s="99" t="s">
        <v>11</v>
      </c>
      <c r="T729" s="76" t="s">
        <v>4</v>
      </c>
      <c r="U729" s="99" t="s">
        <v>14</v>
      </c>
      <c r="V729" s="99" t="s">
        <v>1916</v>
      </c>
      <c r="W729" s="99" t="s">
        <v>1921</v>
      </c>
      <c r="X729" s="99" t="s">
        <v>2857</v>
      </c>
      <c r="Y729" s="73" t="s">
        <v>4</v>
      </c>
      <c r="Z729" s="73" t="s">
        <v>4</v>
      </c>
      <c r="AA729" s="99" t="s">
        <v>2857</v>
      </c>
    </row>
    <row r="730" spans="1:27" ht="17.25" customHeight="1">
      <c r="A730" s="65" t="str">
        <f>IF(priority(Main[[#This Row],[Comments]])&lt;&gt;0, priority(Main[[#This Row],[Comments]]),"")</f>
        <v/>
      </c>
      <c r="B730" s="60" t="s">
        <v>1509</v>
      </c>
      <c r="C730" s="105" t="s">
        <v>275</v>
      </c>
      <c r="D730" s="74" t="s">
        <v>585</v>
      </c>
      <c r="E730" s="89"/>
      <c r="F730" s="89">
        <v>40186</v>
      </c>
      <c r="G730" s="65" t="str">
        <f>IF(stdProdLT(Main[[#This Row],[Comments]])=0.1,"N/A",IF(stdProdLT(Main[[#This Row],[Comments]])=0,"",TRIM(stdProdLT(Main[[#This Row],[Comments]]))))</f>
        <v/>
      </c>
      <c r="H730" s="98" t="str">
        <f>IF(Main[[#This Row],[Std. Prod. Lead Time]]="N/A", "",IF(AND(Main[[#This Row],[In Stock Date]]&lt;&gt;"",Main[[#This Row],[Revised Due Date]]&lt;&gt;"",Main[[#This Row],[In Stock Date]]&lt;&gt;""),Main[[#This Row],[In Stock Date]]-Main[[#This Row],[Revised Due Date]],""))</f>
        <v/>
      </c>
      <c r="I730" s="110" t="s">
        <v>4</v>
      </c>
      <c r="J730" s="99" t="s">
        <v>4</v>
      </c>
      <c r="K730" s="99" t="s">
        <v>4</v>
      </c>
      <c r="L730" s="89"/>
      <c r="M730" s="75" t="str">
        <f>IF(Main[[#This Row],[Tech Start Date]]&lt;1/1/1990,"",IF(Main[[#This Row],[Class]]="C",WORKDAY(Main[[#This Row],[Tech Start Date]],9),IF(Main[[#This Row],[Class]]="B", WORKDAY(Main[[#This Row],[Tech Start Date]],6),IF(Main[[#This Row],[Class]]="A",WORKDAY(Main[[#This Row],[Tech Start Date]],2),""))))</f>
        <v/>
      </c>
      <c r="N730" s="75" t="str">
        <f>IF(Main[[#This Row],[Tech Start Date]]&lt;1/1/1990,"",IF(Main[[#This Row],[Class]]="C",WORKDAY(Main[[#This Row],[Tech Start Date]],19),IF(Main[[#This Row],[Class]]="B", WORKDAY(Main[[#This Row],[Tech Start Date]],12),IF(Main[[#This Row],[Class]]="A",WORKDAY(Main[[#This Row],[Tech Start Date]],4),""))))</f>
        <v/>
      </c>
      <c r="O730" s="75" t="str">
        <f>IF(Main[[#This Row],[Tech Start Date]]&lt;1/1/1990,"",IF(Main[[#This Row],[Class]]="C",WORKDAY(Main[[#This Row],[Tech Start Date]],23),IF(Main[[#This Row],[Class]]="B", WORKDAY(Main[[#This Row],[Tech Start Date]],15),IF(Main[[#This Row],[Class]]="A",WORKDAY(Main[[#This Row],[Tech Start Date]],5),""))))</f>
        <v/>
      </c>
      <c r="P730" s="75" t="str">
        <f>IF(Main[[#This Row],[Tech Start Date]]&lt;1/1/1990,"",IF(Main[[#This Row],[Class]]="C",WORKDAY(Main[[#This Row],[Tech Start Date]],28),IF(Main[[#This Row],[Class]]="B", WORKDAY(Main[[#This Row],[Tech Start Date]],19),IF(Main[[#This Row],[Class]]="A",WORKDAY(Main[[#This Row],[Tech Start Date]],9),""))))</f>
        <v/>
      </c>
      <c r="Q730" s="89">
        <v>40186</v>
      </c>
      <c r="R730" s="121"/>
      <c r="S730" s="99" t="s">
        <v>11</v>
      </c>
      <c r="T730" s="76" t="s">
        <v>4</v>
      </c>
      <c r="U730" s="99" t="s">
        <v>14</v>
      </c>
      <c r="V730" s="99" t="s">
        <v>1916</v>
      </c>
      <c r="W730" s="99" t="s">
        <v>1921</v>
      </c>
      <c r="X730" s="99" t="s">
        <v>2836</v>
      </c>
      <c r="Y730" s="73" t="s">
        <v>4</v>
      </c>
      <c r="Z730" s="73" t="s">
        <v>4</v>
      </c>
      <c r="AA730" s="99" t="s">
        <v>2836</v>
      </c>
    </row>
    <row r="731" spans="1:27" ht="17.25" customHeight="1">
      <c r="A731" s="65" t="str">
        <f>IF(priority(Main[[#This Row],[Comments]])&lt;&gt;0, priority(Main[[#This Row],[Comments]]),"")</f>
        <v/>
      </c>
      <c r="B731" s="60" t="s">
        <v>2254</v>
      </c>
      <c r="C731" s="105" t="s">
        <v>2250</v>
      </c>
      <c r="D731" s="74" t="s">
        <v>2251</v>
      </c>
      <c r="E731" s="89"/>
      <c r="F731" s="89"/>
      <c r="G731" s="65" t="str">
        <f>IF(stdProdLT(Main[[#This Row],[Comments]])=0.1,"N/A",IF(stdProdLT(Main[[#This Row],[Comments]])=0,"",TRIM(stdProdLT(Main[[#This Row],[Comments]]))))</f>
        <v/>
      </c>
      <c r="H731" s="98" t="str">
        <f>IF(Main[[#This Row],[Std. Prod. Lead Time]]="N/A", "",IF(AND(Main[[#This Row],[In Stock Date]]&lt;&gt;"",Main[[#This Row],[Revised Due Date]]&lt;&gt;"",Main[[#This Row],[In Stock Date]]&lt;&gt;""),Main[[#This Row],[In Stock Date]]-Main[[#This Row],[Revised Due Date]],""))</f>
        <v/>
      </c>
      <c r="I731" s="110" t="s">
        <v>4</v>
      </c>
      <c r="J731" s="99" t="s">
        <v>4</v>
      </c>
      <c r="K731" s="99" t="s">
        <v>4</v>
      </c>
      <c r="L731" s="89"/>
      <c r="M731" s="75" t="str">
        <f>IF(Main[[#This Row],[Tech Start Date]]&lt;1/1/1990,"",IF(Main[[#This Row],[Class]]="C",WORKDAY(Main[[#This Row],[Tech Start Date]],9),IF(Main[[#This Row],[Class]]="B", WORKDAY(Main[[#This Row],[Tech Start Date]],6),IF(Main[[#This Row],[Class]]="A",WORKDAY(Main[[#This Row],[Tech Start Date]],2),""))))</f>
        <v/>
      </c>
      <c r="N731" s="75" t="str">
        <f>IF(Main[[#This Row],[Tech Start Date]]&lt;1/1/1990,"",IF(Main[[#This Row],[Class]]="C",WORKDAY(Main[[#This Row],[Tech Start Date]],19),IF(Main[[#This Row],[Class]]="B", WORKDAY(Main[[#This Row],[Tech Start Date]],12),IF(Main[[#This Row],[Class]]="A",WORKDAY(Main[[#This Row],[Tech Start Date]],4),""))))</f>
        <v/>
      </c>
      <c r="O731" s="75" t="str">
        <f>IF(Main[[#This Row],[Tech Start Date]]&lt;1/1/1990,"",IF(Main[[#This Row],[Class]]="C",WORKDAY(Main[[#This Row],[Tech Start Date]],23),IF(Main[[#This Row],[Class]]="B", WORKDAY(Main[[#This Row],[Tech Start Date]],15),IF(Main[[#This Row],[Class]]="A",WORKDAY(Main[[#This Row],[Tech Start Date]],5),""))))</f>
        <v/>
      </c>
      <c r="P731" s="75" t="str">
        <f>IF(Main[[#This Row],[Tech Start Date]]&lt;1/1/1990,"",IF(Main[[#This Row],[Class]]="C",WORKDAY(Main[[#This Row],[Tech Start Date]],28),IF(Main[[#This Row],[Class]]="B", WORKDAY(Main[[#This Row],[Tech Start Date]],19),IF(Main[[#This Row],[Class]]="A",WORKDAY(Main[[#This Row],[Tech Start Date]],9),""))))</f>
        <v/>
      </c>
      <c r="Q731" s="89">
        <v>40806</v>
      </c>
      <c r="R731" s="121"/>
      <c r="S731" s="99" t="s">
        <v>6</v>
      </c>
      <c r="T731" s="76" t="s">
        <v>4</v>
      </c>
      <c r="U731" s="99" t="s">
        <v>12</v>
      </c>
      <c r="V731" s="99" t="s">
        <v>1914</v>
      </c>
      <c r="W731" s="99" t="s">
        <v>1921</v>
      </c>
      <c r="X731" s="99" t="s">
        <v>2873</v>
      </c>
      <c r="Y731" s="73" t="s">
        <v>3021</v>
      </c>
      <c r="Z731" s="73" t="s">
        <v>4</v>
      </c>
      <c r="AA731" s="99" t="s">
        <v>2873</v>
      </c>
    </row>
    <row r="732" spans="1:27" ht="17.25" customHeight="1">
      <c r="A732" s="65" t="str">
        <f>IF(priority(Main[[#This Row],[Comments]])&lt;&gt;0, priority(Main[[#This Row],[Comments]]),"")</f>
        <v/>
      </c>
      <c r="B732" s="60" t="s">
        <v>1551</v>
      </c>
      <c r="C732" s="105" t="s">
        <v>95</v>
      </c>
      <c r="D732" s="74" t="s">
        <v>634</v>
      </c>
      <c r="E732" s="89"/>
      <c r="F732" s="89">
        <v>40195</v>
      </c>
      <c r="G732" s="65" t="str">
        <f>IF(stdProdLT(Main[[#This Row],[Comments]])=0.1,"N/A",IF(stdProdLT(Main[[#This Row],[Comments]])=0,"",TRIM(stdProdLT(Main[[#This Row],[Comments]]))))</f>
        <v/>
      </c>
      <c r="H732" s="98" t="str">
        <f>IF(Main[[#This Row],[Std. Prod. Lead Time]]="N/A", "",IF(AND(Main[[#This Row],[In Stock Date]]&lt;&gt;"",Main[[#This Row],[Revised Due Date]]&lt;&gt;"",Main[[#This Row],[In Stock Date]]&lt;&gt;""),Main[[#This Row],[In Stock Date]]-Main[[#This Row],[Revised Due Date]],""))</f>
        <v/>
      </c>
      <c r="I732" s="110" t="s">
        <v>4</v>
      </c>
      <c r="J732" s="99" t="s">
        <v>4</v>
      </c>
      <c r="K732" s="99" t="s">
        <v>4</v>
      </c>
      <c r="L732" s="89"/>
      <c r="M732" s="75" t="str">
        <f>IF(Main[[#This Row],[Tech Start Date]]&lt;1/1/1990,"",IF(Main[[#This Row],[Class]]="C",WORKDAY(Main[[#This Row],[Tech Start Date]],9),IF(Main[[#This Row],[Class]]="B", WORKDAY(Main[[#This Row],[Tech Start Date]],6),IF(Main[[#This Row],[Class]]="A",WORKDAY(Main[[#This Row],[Tech Start Date]],2),""))))</f>
        <v/>
      </c>
      <c r="N732" s="75" t="str">
        <f>IF(Main[[#This Row],[Tech Start Date]]&lt;1/1/1990,"",IF(Main[[#This Row],[Class]]="C",WORKDAY(Main[[#This Row],[Tech Start Date]],19),IF(Main[[#This Row],[Class]]="B", WORKDAY(Main[[#This Row],[Tech Start Date]],12),IF(Main[[#This Row],[Class]]="A",WORKDAY(Main[[#This Row],[Tech Start Date]],4),""))))</f>
        <v/>
      </c>
      <c r="O732" s="75" t="str">
        <f>IF(Main[[#This Row],[Tech Start Date]]&lt;1/1/1990,"",IF(Main[[#This Row],[Class]]="C",WORKDAY(Main[[#This Row],[Tech Start Date]],23),IF(Main[[#This Row],[Class]]="B", WORKDAY(Main[[#This Row],[Tech Start Date]],15),IF(Main[[#This Row],[Class]]="A",WORKDAY(Main[[#This Row],[Tech Start Date]],5),""))))</f>
        <v/>
      </c>
      <c r="P732" s="75" t="str">
        <f>IF(Main[[#This Row],[Tech Start Date]]&lt;1/1/1990,"",IF(Main[[#This Row],[Class]]="C",WORKDAY(Main[[#This Row],[Tech Start Date]],28),IF(Main[[#This Row],[Class]]="B", WORKDAY(Main[[#This Row],[Tech Start Date]],19),IF(Main[[#This Row],[Class]]="A",WORKDAY(Main[[#This Row],[Tech Start Date]],9),""))))</f>
        <v/>
      </c>
      <c r="Q732" s="89">
        <v>40070</v>
      </c>
      <c r="R732" s="121"/>
      <c r="S732" s="99" t="s">
        <v>11</v>
      </c>
      <c r="T732" s="76" t="s">
        <v>4</v>
      </c>
      <c r="U732" s="99" t="s">
        <v>14</v>
      </c>
      <c r="V732" s="99" t="s">
        <v>1916</v>
      </c>
      <c r="W732" s="99" t="s">
        <v>1919</v>
      </c>
      <c r="X732" s="99" t="s">
        <v>2870</v>
      </c>
      <c r="Y732" s="73" t="s">
        <v>4</v>
      </c>
      <c r="Z732" s="73" t="s">
        <v>4</v>
      </c>
      <c r="AA732" s="99" t="s">
        <v>3399</v>
      </c>
    </row>
    <row r="733" spans="1:27" ht="17.25" customHeight="1">
      <c r="A733" s="65" t="str">
        <f>IF(priority(Main[[#This Row],[Comments]])&lt;&gt;0, priority(Main[[#This Row],[Comments]]),"")</f>
        <v/>
      </c>
      <c r="B733" s="60" t="s">
        <v>1552</v>
      </c>
      <c r="C733" s="105" t="s">
        <v>4</v>
      </c>
      <c r="D733" s="74" t="s">
        <v>632</v>
      </c>
      <c r="E733" s="89"/>
      <c r="F733" s="89"/>
      <c r="G733" s="65" t="str">
        <f>IF(stdProdLT(Main[[#This Row],[Comments]])=0.1,"N/A",IF(stdProdLT(Main[[#This Row],[Comments]])=0,"",TRIM(stdProdLT(Main[[#This Row],[Comments]]))))</f>
        <v/>
      </c>
      <c r="H733" s="98" t="str">
        <f>IF(Main[[#This Row],[Std. Prod. Lead Time]]="N/A", "",IF(AND(Main[[#This Row],[In Stock Date]]&lt;&gt;"",Main[[#This Row],[Revised Due Date]]&lt;&gt;"",Main[[#This Row],[In Stock Date]]&lt;&gt;""),Main[[#This Row],[In Stock Date]]-Main[[#This Row],[Revised Due Date]],""))</f>
        <v/>
      </c>
      <c r="I733" s="110" t="s">
        <v>399</v>
      </c>
      <c r="J733" s="99" t="s">
        <v>75</v>
      </c>
      <c r="K733" s="99" t="s">
        <v>4</v>
      </c>
      <c r="L733" s="89"/>
      <c r="M733" s="75" t="str">
        <f>IF(Main[[#This Row],[Tech Start Date]]&lt;1/1/1990,"",IF(Main[[#This Row],[Class]]="C",WORKDAY(Main[[#This Row],[Tech Start Date]],9),IF(Main[[#This Row],[Class]]="B", WORKDAY(Main[[#This Row],[Tech Start Date]],6),IF(Main[[#This Row],[Class]]="A",WORKDAY(Main[[#This Row],[Tech Start Date]],2),""))))</f>
        <v/>
      </c>
      <c r="N733" s="75" t="str">
        <f>IF(Main[[#This Row],[Tech Start Date]]&lt;1/1/1990,"",IF(Main[[#This Row],[Class]]="C",WORKDAY(Main[[#This Row],[Tech Start Date]],19),IF(Main[[#This Row],[Class]]="B", WORKDAY(Main[[#This Row],[Tech Start Date]],12),IF(Main[[#This Row],[Class]]="A",WORKDAY(Main[[#This Row],[Tech Start Date]],4),""))))</f>
        <v/>
      </c>
      <c r="O733" s="75" t="str">
        <f>IF(Main[[#This Row],[Tech Start Date]]&lt;1/1/1990,"",IF(Main[[#This Row],[Class]]="C",WORKDAY(Main[[#This Row],[Tech Start Date]],23),IF(Main[[#This Row],[Class]]="B", WORKDAY(Main[[#This Row],[Tech Start Date]],15),IF(Main[[#This Row],[Class]]="A",WORKDAY(Main[[#This Row],[Tech Start Date]],5),""))))</f>
        <v/>
      </c>
      <c r="P733" s="75" t="str">
        <f>IF(Main[[#This Row],[Tech Start Date]]&lt;1/1/1990,"",IF(Main[[#This Row],[Class]]="C",WORKDAY(Main[[#This Row],[Tech Start Date]],28),IF(Main[[#This Row],[Class]]="B", WORKDAY(Main[[#This Row],[Tech Start Date]],19),IF(Main[[#This Row],[Class]]="A",WORKDAY(Main[[#This Row],[Tech Start Date]],9),""))))</f>
        <v/>
      </c>
      <c r="Q733" s="89">
        <v>40186</v>
      </c>
      <c r="R733" s="121"/>
      <c r="S733" s="99" t="s">
        <v>6</v>
      </c>
      <c r="T733" s="76" t="s">
        <v>4</v>
      </c>
      <c r="U733" s="99" t="s">
        <v>14</v>
      </c>
      <c r="V733" s="99" t="s">
        <v>1916</v>
      </c>
      <c r="W733" s="99" t="s">
        <v>1924</v>
      </c>
      <c r="X733" s="99" t="s">
        <v>883</v>
      </c>
      <c r="Y733" s="73" t="s">
        <v>2957</v>
      </c>
      <c r="Z733" s="73" t="s">
        <v>306</v>
      </c>
      <c r="AA733" s="99" t="s">
        <v>883</v>
      </c>
    </row>
    <row r="734" spans="1:27" ht="17.25" customHeight="1">
      <c r="A734" s="65" t="str">
        <f>IF(priority(Main[[#This Row],[Comments]])&lt;&gt;0, priority(Main[[#This Row],[Comments]]),"")</f>
        <v/>
      </c>
      <c r="B734" s="60" t="s">
        <v>1553</v>
      </c>
      <c r="C734" s="105" t="s">
        <v>4</v>
      </c>
      <c r="D734" s="74" t="s">
        <v>633</v>
      </c>
      <c r="E734" s="89"/>
      <c r="F734" s="89"/>
      <c r="G734" s="65" t="str">
        <f>IF(stdProdLT(Main[[#This Row],[Comments]])=0.1,"N/A",IF(stdProdLT(Main[[#This Row],[Comments]])=0,"",TRIM(stdProdLT(Main[[#This Row],[Comments]]))))</f>
        <v/>
      </c>
      <c r="H734" s="98" t="str">
        <f>IF(Main[[#This Row],[Std. Prod. Lead Time]]="N/A", "",IF(AND(Main[[#This Row],[In Stock Date]]&lt;&gt;"",Main[[#This Row],[Revised Due Date]]&lt;&gt;"",Main[[#This Row],[In Stock Date]]&lt;&gt;""),Main[[#This Row],[In Stock Date]]-Main[[#This Row],[Revised Due Date]],""))</f>
        <v/>
      </c>
      <c r="I734" s="110" t="s">
        <v>4</v>
      </c>
      <c r="J734" s="99" t="s">
        <v>4</v>
      </c>
      <c r="K734" s="99" t="s">
        <v>4</v>
      </c>
      <c r="L734" s="89"/>
      <c r="M734" s="75" t="str">
        <f>IF(Main[[#This Row],[Tech Start Date]]&lt;1/1/1990,"",IF(Main[[#This Row],[Class]]="C",WORKDAY(Main[[#This Row],[Tech Start Date]],9),IF(Main[[#This Row],[Class]]="B", WORKDAY(Main[[#This Row],[Tech Start Date]],6),IF(Main[[#This Row],[Class]]="A",WORKDAY(Main[[#This Row],[Tech Start Date]],2),""))))</f>
        <v/>
      </c>
      <c r="N734" s="75" t="str">
        <f>IF(Main[[#This Row],[Tech Start Date]]&lt;1/1/1990,"",IF(Main[[#This Row],[Class]]="C",WORKDAY(Main[[#This Row],[Tech Start Date]],19),IF(Main[[#This Row],[Class]]="B", WORKDAY(Main[[#This Row],[Tech Start Date]],12),IF(Main[[#This Row],[Class]]="A",WORKDAY(Main[[#This Row],[Tech Start Date]],4),""))))</f>
        <v/>
      </c>
      <c r="O734" s="75" t="str">
        <f>IF(Main[[#This Row],[Tech Start Date]]&lt;1/1/1990,"",IF(Main[[#This Row],[Class]]="C",WORKDAY(Main[[#This Row],[Tech Start Date]],23),IF(Main[[#This Row],[Class]]="B", WORKDAY(Main[[#This Row],[Tech Start Date]],15),IF(Main[[#This Row],[Class]]="A",WORKDAY(Main[[#This Row],[Tech Start Date]],5),""))))</f>
        <v/>
      </c>
      <c r="P734" s="75" t="str">
        <f>IF(Main[[#This Row],[Tech Start Date]]&lt;1/1/1990,"",IF(Main[[#This Row],[Class]]="C",WORKDAY(Main[[#This Row],[Tech Start Date]],28),IF(Main[[#This Row],[Class]]="B", WORKDAY(Main[[#This Row],[Tech Start Date]],19),IF(Main[[#This Row],[Class]]="A",WORKDAY(Main[[#This Row],[Tech Start Date]],9),""))))</f>
        <v/>
      </c>
      <c r="Q734" s="89">
        <v>40389</v>
      </c>
      <c r="R734" s="121"/>
      <c r="S734" s="99" t="s">
        <v>6</v>
      </c>
      <c r="T734" s="76" t="s">
        <v>4</v>
      </c>
      <c r="U734" s="99" t="s">
        <v>12</v>
      </c>
      <c r="V734" s="99" t="s">
        <v>1913</v>
      </c>
      <c r="W734" s="99" t="s">
        <v>4</v>
      </c>
      <c r="X734" s="99" t="s">
        <v>907</v>
      </c>
      <c r="Y734" s="73" t="s">
        <v>3011</v>
      </c>
      <c r="Z734" s="73" t="s">
        <v>4</v>
      </c>
      <c r="AA734" s="99" t="s">
        <v>907</v>
      </c>
    </row>
    <row r="735" spans="1:27" ht="17.25" customHeight="1">
      <c r="A735" s="65" t="str">
        <f>IF(priority(Main[[#This Row],[Comments]])&lt;&gt;0, priority(Main[[#This Row],[Comments]]),"")</f>
        <v/>
      </c>
      <c r="B735" s="60" t="s">
        <v>1577</v>
      </c>
      <c r="C735" s="105" t="s">
        <v>79</v>
      </c>
      <c r="D735" s="74" t="s">
        <v>657</v>
      </c>
      <c r="E735" s="89"/>
      <c r="F735" s="89"/>
      <c r="G735" s="65" t="str">
        <f>IF(stdProdLT(Main[[#This Row],[Comments]])=0.1,"N/A",IF(stdProdLT(Main[[#This Row],[Comments]])=0,"",TRIM(stdProdLT(Main[[#This Row],[Comments]]))))</f>
        <v/>
      </c>
      <c r="H735" s="98" t="str">
        <f>IF(Main[[#This Row],[Std. Prod. Lead Time]]="N/A", "",IF(AND(Main[[#This Row],[In Stock Date]]&lt;&gt;"",Main[[#This Row],[Revised Due Date]]&lt;&gt;"",Main[[#This Row],[In Stock Date]]&lt;&gt;""),Main[[#This Row],[In Stock Date]]-Main[[#This Row],[Revised Due Date]],""))</f>
        <v/>
      </c>
      <c r="I735" s="110" t="s">
        <v>4</v>
      </c>
      <c r="J735" s="99" t="s">
        <v>28</v>
      </c>
      <c r="K735" s="99" t="s">
        <v>4</v>
      </c>
      <c r="L735" s="89"/>
      <c r="M735" s="75" t="str">
        <f>IF(Main[[#This Row],[Tech Start Date]]&lt;1/1/1990,"",IF(Main[[#This Row],[Class]]="C",WORKDAY(Main[[#This Row],[Tech Start Date]],9),IF(Main[[#This Row],[Class]]="B", WORKDAY(Main[[#This Row],[Tech Start Date]],6),IF(Main[[#This Row],[Class]]="A",WORKDAY(Main[[#This Row],[Tech Start Date]],2),""))))</f>
        <v/>
      </c>
      <c r="N735" s="75" t="str">
        <f>IF(Main[[#This Row],[Tech Start Date]]&lt;1/1/1990,"",IF(Main[[#This Row],[Class]]="C",WORKDAY(Main[[#This Row],[Tech Start Date]],19),IF(Main[[#This Row],[Class]]="B", WORKDAY(Main[[#This Row],[Tech Start Date]],12),IF(Main[[#This Row],[Class]]="A",WORKDAY(Main[[#This Row],[Tech Start Date]],4),""))))</f>
        <v/>
      </c>
      <c r="O735" s="75" t="str">
        <f>IF(Main[[#This Row],[Tech Start Date]]&lt;1/1/1990,"",IF(Main[[#This Row],[Class]]="C",WORKDAY(Main[[#This Row],[Tech Start Date]],23),IF(Main[[#This Row],[Class]]="B", WORKDAY(Main[[#This Row],[Tech Start Date]],15),IF(Main[[#This Row],[Class]]="A",WORKDAY(Main[[#This Row],[Tech Start Date]],5),""))))</f>
        <v/>
      </c>
      <c r="P735" s="75" t="str">
        <f>IF(Main[[#This Row],[Tech Start Date]]&lt;1/1/1990,"",IF(Main[[#This Row],[Class]]="C",WORKDAY(Main[[#This Row],[Tech Start Date]],28),IF(Main[[#This Row],[Class]]="B", WORKDAY(Main[[#This Row],[Tech Start Date]],19),IF(Main[[#This Row],[Class]]="A",WORKDAY(Main[[#This Row],[Tech Start Date]],9),""))))</f>
        <v/>
      </c>
      <c r="Q735" s="89"/>
      <c r="R735" s="121"/>
      <c r="S735" s="99" t="s">
        <v>6</v>
      </c>
      <c r="T735" s="76" t="s">
        <v>658</v>
      </c>
      <c r="U735" s="99" t="s">
        <v>14</v>
      </c>
      <c r="V735" s="99" t="s">
        <v>1914</v>
      </c>
      <c r="W735" s="99" t="s">
        <v>1915</v>
      </c>
      <c r="X735" s="99" t="s">
        <v>2855</v>
      </c>
      <c r="Y735" s="73" t="s">
        <v>2999</v>
      </c>
      <c r="Z735" s="73" t="s">
        <v>108</v>
      </c>
      <c r="AA735" s="99" t="s">
        <v>2855</v>
      </c>
    </row>
    <row r="736" spans="1:27" ht="17.25" customHeight="1">
      <c r="A736" s="65" t="str">
        <f>IF(priority(Main[[#This Row],[Comments]])&lt;&gt;0, priority(Main[[#This Row],[Comments]]),"")</f>
        <v/>
      </c>
      <c r="B736" s="60" t="s">
        <v>1175</v>
      </c>
      <c r="C736" s="105" t="s">
        <v>4</v>
      </c>
      <c r="D736" s="74" t="s">
        <v>1000</v>
      </c>
      <c r="E736" s="89">
        <v>40718.691643518519</v>
      </c>
      <c r="F736" s="89"/>
      <c r="G736" s="65" t="str">
        <f>IF(stdProdLT(Main[[#This Row],[Comments]])=0.1,"N/A",IF(stdProdLT(Main[[#This Row],[Comments]])=0,"",TRIM(stdProdLT(Main[[#This Row],[Comments]]))))</f>
        <v/>
      </c>
      <c r="H736" s="98" t="str">
        <f>IF(Main[[#This Row],[Std. Prod. Lead Time]]="N/A", "",IF(AND(Main[[#This Row],[In Stock Date]]&lt;&gt;"",Main[[#This Row],[Revised Due Date]]&lt;&gt;"",Main[[#This Row],[In Stock Date]]&lt;&gt;""),Main[[#This Row],[In Stock Date]]-Main[[#This Row],[Revised Due Date]],""))</f>
        <v/>
      </c>
      <c r="I736" s="110" t="s">
        <v>130</v>
      </c>
      <c r="J736" s="99" t="s">
        <v>70</v>
      </c>
      <c r="K736" s="100" t="s">
        <v>1922</v>
      </c>
      <c r="L736" s="89"/>
      <c r="M736" s="75" t="str">
        <f>IF(Main[[#This Row],[Tech Start Date]]&lt;1/1/1990,"",IF(Main[[#This Row],[Class]]="C",WORKDAY(Main[[#This Row],[Tech Start Date]],9),IF(Main[[#This Row],[Class]]="B", WORKDAY(Main[[#This Row],[Tech Start Date]],6),IF(Main[[#This Row],[Class]]="A",WORKDAY(Main[[#This Row],[Tech Start Date]],2),""))))</f>
        <v/>
      </c>
      <c r="N736" s="75" t="str">
        <f>IF(Main[[#This Row],[Tech Start Date]]&lt;1/1/1990,"",IF(Main[[#This Row],[Class]]="C",WORKDAY(Main[[#This Row],[Tech Start Date]],19),IF(Main[[#This Row],[Class]]="B", WORKDAY(Main[[#This Row],[Tech Start Date]],12),IF(Main[[#This Row],[Class]]="A",WORKDAY(Main[[#This Row],[Tech Start Date]],4),""))))</f>
        <v/>
      </c>
      <c r="O736" s="75" t="str">
        <f>IF(Main[[#This Row],[Tech Start Date]]&lt;1/1/1990,"",IF(Main[[#This Row],[Class]]="C",WORKDAY(Main[[#This Row],[Tech Start Date]],23),IF(Main[[#This Row],[Class]]="B", WORKDAY(Main[[#This Row],[Tech Start Date]],15),IF(Main[[#This Row],[Class]]="A",WORKDAY(Main[[#This Row],[Tech Start Date]],5),""))))</f>
        <v/>
      </c>
      <c r="P736" s="75" t="str">
        <f>IF(Main[[#This Row],[Tech Start Date]]&lt;1/1/1990,"",IF(Main[[#This Row],[Class]]="C",WORKDAY(Main[[#This Row],[Tech Start Date]],28),IF(Main[[#This Row],[Class]]="B", WORKDAY(Main[[#This Row],[Tech Start Date]],19),IF(Main[[#This Row],[Class]]="A",WORKDAY(Main[[#This Row],[Tech Start Date]],9),""))))</f>
        <v/>
      </c>
      <c r="Q736" s="89">
        <v>40753</v>
      </c>
      <c r="R736" s="121"/>
      <c r="S736" s="99" t="s">
        <v>6</v>
      </c>
      <c r="T736" s="76" t="s">
        <v>4</v>
      </c>
      <c r="U736" s="99" t="s">
        <v>29</v>
      </c>
      <c r="V736" s="99" t="s">
        <v>1916</v>
      </c>
      <c r="W736" s="99" t="s">
        <v>1917</v>
      </c>
      <c r="X736" s="99" t="s">
        <v>2813</v>
      </c>
      <c r="Y736" s="73" t="s">
        <v>2926</v>
      </c>
      <c r="Z736" s="73" t="s">
        <v>44</v>
      </c>
      <c r="AA736" s="99" t="s">
        <v>2813</v>
      </c>
    </row>
    <row r="737" spans="1:27" ht="17.25" customHeight="1">
      <c r="A737" s="65" t="str">
        <f>IF(priority(Main[[#This Row],[Comments]])&lt;&gt;0, priority(Main[[#This Row],[Comments]]),"")</f>
        <v/>
      </c>
      <c r="B737" s="60" t="s">
        <v>1554</v>
      </c>
      <c r="C737" s="105" t="s">
        <v>211</v>
      </c>
      <c r="D737" s="74" t="s">
        <v>413</v>
      </c>
      <c r="E737" s="89"/>
      <c r="F737" s="89">
        <v>40452</v>
      </c>
      <c r="G737" s="65" t="str">
        <f>IF(stdProdLT(Main[[#This Row],[Comments]])=0.1,"N/A",IF(stdProdLT(Main[[#This Row],[Comments]])=0,"",TRIM(stdProdLT(Main[[#This Row],[Comments]]))))</f>
        <v/>
      </c>
      <c r="H737" s="98" t="str">
        <f>IF(Main[[#This Row],[Std. Prod. Lead Time]]="N/A", "",IF(AND(Main[[#This Row],[In Stock Date]]&lt;&gt;"",Main[[#This Row],[Revised Due Date]]&lt;&gt;"",Main[[#This Row],[In Stock Date]]&lt;&gt;""),Main[[#This Row],[In Stock Date]]-Main[[#This Row],[Revised Due Date]],""))</f>
        <v/>
      </c>
      <c r="I737" s="110" t="s">
        <v>4</v>
      </c>
      <c r="J737" s="99" t="s">
        <v>4</v>
      </c>
      <c r="K737" s="99" t="s">
        <v>4</v>
      </c>
      <c r="L737" s="89"/>
      <c r="M737" s="75" t="str">
        <f>IF(Main[[#This Row],[Tech Start Date]]&lt;1/1/1990,"",IF(Main[[#This Row],[Class]]="C",WORKDAY(Main[[#This Row],[Tech Start Date]],9),IF(Main[[#This Row],[Class]]="B", WORKDAY(Main[[#This Row],[Tech Start Date]],6),IF(Main[[#This Row],[Class]]="A",WORKDAY(Main[[#This Row],[Tech Start Date]],2),""))))</f>
        <v/>
      </c>
      <c r="N737" s="75" t="str">
        <f>IF(Main[[#This Row],[Tech Start Date]]&lt;1/1/1990,"",IF(Main[[#This Row],[Class]]="C",WORKDAY(Main[[#This Row],[Tech Start Date]],19),IF(Main[[#This Row],[Class]]="B", WORKDAY(Main[[#This Row],[Tech Start Date]],12),IF(Main[[#This Row],[Class]]="A",WORKDAY(Main[[#This Row],[Tech Start Date]],4),""))))</f>
        <v/>
      </c>
      <c r="O737" s="75" t="str">
        <f>IF(Main[[#This Row],[Tech Start Date]]&lt;1/1/1990,"",IF(Main[[#This Row],[Class]]="C",WORKDAY(Main[[#This Row],[Tech Start Date]],23),IF(Main[[#This Row],[Class]]="B", WORKDAY(Main[[#This Row],[Tech Start Date]],15),IF(Main[[#This Row],[Class]]="A",WORKDAY(Main[[#This Row],[Tech Start Date]],5),""))))</f>
        <v/>
      </c>
      <c r="P737" s="75" t="str">
        <f>IF(Main[[#This Row],[Tech Start Date]]&lt;1/1/1990,"",IF(Main[[#This Row],[Class]]="C",WORKDAY(Main[[#This Row],[Tech Start Date]],28),IF(Main[[#This Row],[Class]]="B", WORKDAY(Main[[#This Row],[Tech Start Date]],19),IF(Main[[#This Row],[Class]]="A",WORKDAY(Main[[#This Row],[Tech Start Date]],9),""))))</f>
        <v/>
      </c>
      <c r="Q737" s="89">
        <v>40357</v>
      </c>
      <c r="R737" s="121"/>
      <c r="S737" s="99" t="s">
        <v>11</v>
      </c>
      <c r="T737" s="76" t="s">
        <v>4</v>
      </c>
      <c r="U737" s="99" t="s">
        <v>12</v>
      </c>
      <c r="V737" s="99" t="s">
        <v>1913</v>
      </c>
      <c r="W737" s="99" t="s">
        <v>1921</v>
      </c>
      <c r="X737" s="99" t="s">
        <v>2827</v>
      </c>
      <c r="Y737" s="73" t="s">
        <v>4</v>
      </c>
      <c r="Z737" s="73" t="s">
        <v>4</v>
      </c>
      <c r="AA737" s="99" t="s">
        <v>2827</v>
      </c>
    </row>
    <row r="738" spans="1:27" ht="17.25" customHeight="1">
      <c r="A738" s="65" t="str">
        <f>IF(priority(Main[[#This Row],[Comments]])&lt;&gt;0, priority(Main[[#This Row],[Comments]]),"")</f>
        <v/>
      </c>
      <c r="B738" s="60" t="s">
        <v>1982</v>
      </c>
      <c r="C738" s="105" t="s">
        <v>4</v>
      </c>
      <c r="D738" s="74" t="s">
        <v>2374</v>
      </c>
      <c r="E738" s="89"/>
      <c r="F738" s="89"/>
      <c r="G738" s="65" t="str">
        <f>IF(stdProdLT(Main[[#This Row],[Comments]])=0.1,"N/A",IF(stdProdLT(Main[[#This Row],[Comments]])=0,"",TRIM(stdProdLT(Main[[#This Row],[Comments]]))))</f>
        <v/>
      </c>
      <c r="H738" s="98" t="str">
        <f>IF(Main[[#This Row],[Std. Prod. Lead Time]]="N/A", "",IF(AND(Main[[#This Row],[In Stock Date]]&lt;&gt;"",Main[[#This Row],[Revised Due Date]]&lt;&gt;"",Main[[#This Row],[In Stock Date]]&lt;&gt;""),Main[[#This Row],[In Stock Date]]-Main[[#This Row],[Revised Due Date]],""))</f>
        <v/>
      </c>
      <c r="I738" s="110" t="s">
        <v>4</v>
      </c>
      <c r="J738" s="99" t="s">
        <v>4</v>
      </c>
      <c r="K738" s="99" t="s">
        <v>4</v>
      </c>
      <c r="L738" s="89"/>
      <c r="M738" s="75" t="str">
        <f>IF(Main[[#This Row],[Tech Start Date]]&lt;1/1/1990,"",IF(Main[[#This Row],[Class]]="C",WORKDAY(Main[[#This Row],[Tech Start Date]],9),IF(Main[[#This Row],[Class]]="B", WORKDAY(Main[[#This Row],[Tech Start Date]],6),IF(Main[[#This Row],[Class]]="A",WORKDAY(Main[[#This Row],[Tech Start Date]],2),""))))</f>
        <v/>
      </c>
      <c r="N738" s="75" t="str">
        <f>IF(Main[[#This Row],[Tech Start Date]]&lt;1/1/1990,"",IF(Main[[#This Row],[Class]]="C",WORKDAY(Main[[#This Row],[Tech Start Date]],19),IF(Main[[#This Row],[Class]]="B", WORKDAY(Main[[#This Row],[Tech Start Date]],12),IF(Main[[#This Row],[Class]]="A",WORKDAY(Main[[#This Row],[Tech Start Date]],4),""))))</f>
        <v/>
      </c>
      <c r="O738" s="75" t="str">
        <f>IF(Main[[#This Row],[Tech Start Date]]&lt;1/1/1990,"",IF(Main[[#This Row],[Class]]="C",WORKDAY(Main[[#This Row],[Tech Start Date]],23),IF(Main[[#This Row],[Class]]="B", WORKDAY(Main[[#This Row],[Tech Start Date]],15),IF(Main[[#This Row],[Class]]="A",WORKDAY(Main[[#This Row],[Tech Start Date]],5),""))))</f>
        <v/>
      </c>
      <c r="P738" s="75" t="str">
        <f>IF(Main[[#This Row],[Tech Start Date]]&lt;1/1/1990,"",IF(Main[[#This Row],[Class]]="C",WORKDAY(Main[[#This Row],[Tech Start Date]],28),IF(Main[[#This Row],[Class]]="B", WORKDAY(Main[[#This Row],[Tech Start Date]],19),IF(Main[[#This Row],[Class]]="A",WORKDAY(Main[[#This Row],[Tech Start Date]],9),""))))</f>
        <v/>
      </c>
      <c r="Q738" s="89"/>
      <c r="R738" s="121"/>
      <c r="S738" s="99" t="s">
        <v>6</v>
      </c>
      <c r="T738" s="76" t="s">
        <v>4</v>
      </c>
      <c r="U738" s="99" t="s">
        <v>14</v>
      </c>
      <c r="V738" s="99" t="s">
        <v>1913</v>
      </c>
      <c r="W738" s="99" t="s">
        <v>1917</v>
      </c>
      <c r="X738" s="99" t="s">
        <v>922</v>
      </c>
      <c r="Y738" s="73" t="s">
        <v>2976</v>
      </c>
      <c r="Z738" s="73" t="s">
        <v>4</v>
      </c>
      <c r="AA738" s="99" t="s">
        <v>922</v>
      </c>
    </row>
    <row r="739" spans="1:27" ht="17.25" customHeight="1">
      <c r="A739" s="65" t="str">
        <f>IF(priority(Main[[#This Row],[Comments]])&lt;&gt;0, priority(Main[[#This Row],[Comments]]),"")</f>
        <v/>
      </c>
      <c r="B739" s="60" t="s">
        <v>1555</v>
      </c>
      <c r="C739" s="105" t="s">
        <v>4</v>
      </c>
      <c r="D739" s="74" t="s">
        <v>635</v>
      </c>
      <c r="E739" s="89">
        <v>40413.550520833334</v>
      </c>
      <c r="F739" s="89"/>
      <c r="G739" s="65" t="str">
        <f>IF(stdProdLT(Main[[#This Row],[Comments]])=0.1,"N/A",IF(stdProdLT(Main[[#This Row],[Comments]])=0,"",TRIM(stdProdLT(Main[[#This Row],[Comments]]))))</f>
        <v/>
      </c>
      <c r="H739" s="98" t="str">
        <f>IF(Main[[#This Row],[Std. Prod. Lead Time]]="N/A", "",IF(AND(Main[[#This Row],[In Stock Date]]&lt;&gt;"",Main[[#This Row],[Revised Due Date]]&lt;&gt;"",Main[[#This Row],[In Stock Date]]&lt;&gt;""),Main[[#This Row],[In Stock Date]]-Main[[#This Row],[Revised Due Date]],""))</f>
        <v/>
      </c>
      <c r="I739" s="110" t="s">
        <v>4</v>
      </c>
      <c r="J739" s="99" t="s">
        <v>28</v>
      </c>
      <c r="K739" s="99" t="s">
        <v>4</v>
      </c>
      <c r="L739" s="89"/>
      <c r="M739" s="75" t="str">
        <f>IF(Main[[#This Row],[Tech Start Date]]&lt;1/1/1990,"",IF(Main[[#This Row],[Class]]="C",WORKDAY(Main[[#This Row],[Tech Start Date]],9),IF(Main[[#This Row],[Class]]="B", WORKDAY(Main[[#This Row],[Tech Start Date]],6),IF(Main[[#This Row],[Class]]="A",WORKDAY(Main[[#This Row],[Tech Start Date]],2),""))))</f>
        <v/>
      </c>
      <c r="N739" s="75" t="str">
        <f>IF(Main[[#This Row],[Tech Start Date]]&lt;1/1/1990,"",IF(Main[[#This Row],[Class]]="C",WORKDAY(Main[[#This Row],[Tech Start Date]],19),IF(Main[[#This Row],[Class]]="B", WORKDAY(Main[[#This Row],[Tech Start Date]],12),IF(Main[[#This Row],[Class]]="A",WORKDAY(Main[[#This Row],[Tech Start Date]],4),""))))</f>
        <v/>
      </c>
      <c r="O739" s="75" t="str">
        <f>IF(Main[[#This Row],[Tech Start Date]]&lt;1/1/1990,"",IF(Main[[#This Row],[Class]]="C",WORKDAY(Main[[#This Row],[Tech Start Date]],23),IF(Main[[#This Row],[Class]]="B", WORKDAY(Main[[#This Row],[Tech Start Date]],15),IF(Main[[#This Row],[Class]]="A",WORKDAY(Main[[#This Row],[Tech Start Date]],5),""))))</f>
        <v/>
      </c>
      <c r="P739" s="75" t="str">
        <f>IF(Main[[#This Row],[Tech Start Date]]&lt;1/1/1990,"",IF(Main[[#This Row],[Class]]="C",WORKDAY(Main[[#This Row],[Tech Start Date]],28),IF(Main[[#This Row],[Class]]="B", WORKDAY(Main[[#This Row],[Tech Start Date]],19),IF(Main[[#This Row],[Class]]="A",WORKDAY(Main[[#This Row],[Tech Start Date]],9),""))))</f>
        <v/>
      </c>
      <c r="Q739" s="89">
        <v>40451</v>
      </c>
      <c r="R739" s="121"/>
      <c r="S739" s="99" t="s">
        <v>6</v>
      </c>
      <c r="T739" s="76" t="s">
        <v>4</v>
      </c>
      <c r="U739" s="99" t="s">
        <v>7</v>
      </c>
      <c r="V739" s="99" t="s">
        <v>1913</v>
      </c>
      <c r="W739" s="99" t="s">
        <v>1915</v>
      </c>
      <c r="X739" s="99" t="s">
        <v>2881</v>
      </c>
      <c r="Y739" s="73" t="s">
        <v>3037</v>
      </c>
      <c r="Z739" s="73" t="s">
        <v>129</v>
      </c>
      <c r="AA739" s="99" t="s">
        <v>2881</v>
      </c>
    </row>
    <row r="740" spans="1:27" ht="17.25" customHeight="1">
      <c r="A740" s="65" t="str">
        <f>IF(priority(Main[[#This Row],[Comments]])&lt;&gt;0, priority(Main[[#This Row],[Comments]]),"")</f>
        <v/>
      </c>
      <c r="B740" s="60" t="s">
        <v>1343</v>
      </c>
      <c r="C740" s="105" t="s">
        <v>4</v>
      </c>
      <c r="D740" s="74" t="s">
        <v>2013</v>
      </c>
      <c r="E740" s="89"/>
      <c r="F740" s="89"/>
      <c r="G740" s="65" t="str">
        <f>IF(stdProdLT(Main[[#This Row],[Comments]])=0.1,"N/A",IF(stdProdLT(Main[[#This Row],[Comments]])=0,"",TRIM(stdProdLT(Main[[#This Row],[Comments]]))))</f>
        <v/>
      </c>
      <c r="H740" s="98" t="str">
        <f>IF(Main[[#This Row],[Std. Prod. Lead Time]]="N/A", "",IF(AND(Main[[#This Row],[In Stock Date]]&lt;&gt;"",Main[[#This Row],[Revised Due Date]]&lt;&gt;"",Main[[#This Row],[In Stock Date]]&lt;&gt;""),Main[[#This Row],[In Stock Date]]-Main[[#This Row],[Revised Due Date]],""))</f>
        <v/>
      </c>
      <c r="I740" s="110" t="s">
        <v>429</v>
      </c>
      <c r="J740" s="99" t="s">
        <v>70</v>
      </c>
      <c r="K740" s="99" t="s">
        <v>1922</v>
      </c>
      <c r="L740" s="89"/>
      <c r="M740" s="75" t="str">
        <f>IF(Main[[#This Row],[Tech Start Date]]&lt;1/1/1990,"",IF(Main[[#This Row],[Class]]="C",WORKDAY(Main[[#This Row],[Tech Start Date]],9),IF(Main[[#This Row],[Class]]="B", WORKDAY(Main[[#This Row],[Tech Start Date]],6),IF(Main[[#This Row],[Class]]="A",WORKDAY(Main[[#This Row],[Tech Start Date]],2),""))))</f>
        <v/>
      </c>
      <c r="N740" s="75" t="str">
        <f>IF(Main[[#This Row],[Tech Start Date]]&lt;1/1/1990,"",IF(Main[[#This Row],[Class]]="C",WORKDAY(Main[[#This Row],[Tech Start Date]],19),IF(Main[[#This Row],[Class]]="B", WORKDAY(Main[[#This Row],[Tech Start Date]],12),IF(Main[[#This Row],[Class]]="A",WORKDAY(Main[[#This Row],[Tech Start Date]],4),""))))</f>
        <v/>
      </c>
      <c r="O740" s="75" t="str">
        <f>IF(Main[[#This Row],[Tech Start Date]]&lt;1/1/1990,"",IF(Main[[#This Row],[Class]]="C",WORKDAY(Main[[#This Row],[Tech Start Date]],23),IF(Main[[#This Row],[Class]]="B", WORKDAY(Main[[#This Row],[Tech Start Date]],15),IF(Main[[#This Row],[Class]]="A",WORKDAY(Main[[#This Row],[Tech Start Date]],5),""))))</f>
        <v/>
      </c>
      <c r="P740" s="75" t="str">
        <f>IF(Main[[#This Row],[Tech Start Date]]&lt;1/1/1990,"",IF(Main[[#This Row],[Class]]="C",WORKDAY(Main[[#This Row],[Tech Start Date]],28),IF(Main[[#This Row],[Class]]="B", WORKDAY(Main[[#This Row],[Tech Start Date]],19),IF(Main[[#This Row],[Class]]="A",WORKDAY(Main[[#This Row],[Tech Start Date]],9),""))))</f>
        <v/>
      </c>
      <c r="Q740" s="89">
        <v>40717</v>
      </c>
      <c r="R740" s="121"/>
      <c r="S740" s="99" t="s">
        <v>6</v>
      </c>
      <c r="T740" s="76" t="s">
        <v>4</v>
      </c>
      <c r="U740" s="99" t="s">
        <v>14</v>
      </c>
      <c r="V740" s="99" t="s">
        <v>1916</v>
      </c>
      <c r="W740" s="99" t="s">
        <v>1917</v>
      </c>
      <c r="X740" s="99" t="s">
        <v>2816</v>
      </c>
      <c r="Y740" s="73" t="s">
        <v>2932</v>
      </c>
      <c r="Z740" s="73" t="s">
        <v>30</v>
      </c>
      <c r="AA740" s="99" t="s">
        <v>2816</v>
      </c>
    </row>
    <row r="741" spans="1:27" ht="17.25" customHeight="1">
      <c r="A741" s="65" t="str">
        <f>IF(priority(Main[[#This Row],[Comments]])&lt;&gt;0, priority(Main[[#This Row],[Comments]]),"")</f>
        <v/>
      </c>
      <c r="B741" s="60" t="s">
        <v>1557</v>
      </c>
      <c r="C741" s="105" t="s">
        <v>180</v>
      </c>
      <c r="D741" s="74" t="s">
        <v>636</v>
      </c>
      <c r="E741" s="89"/>
      <c r="F741" s="89">
        <v>40389</v>
      </c>
      <c r="G741" s="65" t="str">
        <f>IF(stdProdLT(Main[[#This Row],[Comments]])=0.1,"N/A",IF(stdProdLT(Main[[#This Row],[Comments]])=0,"",TRIM(stdProdLT(Main[[#This Row],[Comments]]))))</f>
        <v/>
      </c>
      <c r="H741" s="98" t="str">
        <f>IF(Main[[#This Row],[Std. Prod. Lead Time]]="N/A", "",IF(AND(Main[[#This Row],[In Stock Date]]&lt;&gt;"",Main[[#This Row],[Revised Due Date]]&lt;&gt;"",Main[[#This Row],[In Stock Date]]&lt;&gt;""),Main[[#This Row],[In Stock Date]]-Main[[#This Row],[Revised Due Date]],""))</f>
        <v/>
      </c>
      <c r="I741" s="110" t="s">
        <v>4</v>
      </c>
      <c r="J741" s="99" t="s">
        <v>4</v>
      </c>
      <c r="K741" s="99" t="s">
        <v>4</v>
      </c>
      <c r="L741" s="89"/>
      <c r="M741" s="75" t="str">
        <f>IF(Main[[#This Row],[Tech Start Date]]&lt;1/1/1990,"",IF(Main[[#This Row],[Class]]="C",WORKDAY(Main[[#This Row],[Tech Start Date]],9),IF(Main[[#This Row],[Class]]="B", WORKDAY(Main[[#This Row],[Tech Start Date]],6),IF(Main[[#This Row],[Class]]="A",WORKDAY(Main[[#This Row],[Tech Start Date]],2),""))))</f>
        <v/>
      </c>
      <c r="N741" s="75" t="str">
        <f>IF(Main[[#This Row],[Tech Start Date]]&lt;1/1/1990,"",IF(Main[[#This Row],[Class]]="C",WORKDAY(Main[[#This Row],[Tech Start Date]],19),IF(Main[[#This Row],[Class]]="B", WORKDAY(Main[[#This Row],[Tech Start Date]],12),IF(Main[[#This Row],[Class]]="A",WORKDAY(Main[[#This Row],[Tech Start Date]],4),""))))</f>
        <v/>
      </c>
      <c r="O741" s="75" t="str">
        <f>IF(Main[[#This Row],[Tech Start Date]]&lt;1/1/1990,"",IF(Main[[#This Row],[Class]]="C",WORKDAY(Main[[#This Row],[Tech Start Date]],23),IF(Main[[#This Row],[Class]]="B", WORKDAY(Main[[#This Row],[Tech Start Date]],15),IF(Main[[#This Row],[Class]]="A",WORKDAY(Main[[#This Row],[Tech Start Date]],5),""))))</f>
        <v/>
      </c>
      <c r="P741" s="75" t="str">
        <f>IF(Main[[#This Row],[Tech Start Date]]&lt;1/1/1990,"",IF(Main[[#This Row],[Class]]="C",WORKDAY(Main[[#This Row],[Tech Start Date]],28),IF(Main[[#This Row],[Class]]="B", WORKDAY(Main[[#This Row],[Tech Start Date]],19),IF(Main[[#This Row],[Class]]="A",WORKDAY(Main[[#This Row],[Tech Start Date]],9),""))))</f>
        <v/>
      </c>
      <c r="Q741" s="89">
        <v>40298</v>
      </c>
      <c r="R741" s="121"/>
      <c r="S741" s="99" t="s">
        <v>11</v>
      </c>
      <c r="T741" s="76" t="s">
        <v>4</v>
      </c>
      <c r="U741" s="99" t="s">
        <v>12</v>
      </c>
      <c r="V741" s="99" t="s">
        <v>1913</v>
      </c>
      <c r="W741" s="99" t="s">
        <v>1919</v>
      </c>
      <c r="X741" s="99" t="s">
        <v>2818</v>
      </c>
      <c r="Y741" s="73" t="s">
        <v>2937</v>
      </c>
      <c r="Z741" s="73" t="s">
        <v>4</v>
      </c>
      <c r="AA741" s="99" t="s">
        <v>2818</v>
      </c>
    </row>
    <row r="742" spans="1:27" ht="17.25" customHeight="1">
      <c r="A742" s="65" t="str">
        <f>IF(priority(Main[[#This Row],[Comments]])&lt;&gt;0, priority(Main[[#This Row],[Comments]]),"")</f>
        <v/>
      </c>
      <c r="B742" s="60" t="s">
        <v>1558</v>
      </c>
      <c r="C742" s="105" t="s">
        <v>290</v>
      </c>
      <c r="D742" s="74" t="s">
        <v>637</v>
      </c>
      <c r="E742" s="89"/>
      <c r="F742" s="89"/>
      <c r="G742" s="65" t="str">
        <f>IF(stdProdLT(Main[[#This Row],[Comments]])=0.1,"N/A",IF(stdProdLT(Main[[#This Row],[Comments]])=0,"",TRIM(stdProdLT(Main[[#This Row],[Comments]]))))</f>
        <v/>
      </c>
      <c r="H742" s="98" t="str">
        <f>IF(Main[[#This Row],[Std. Prod. Lead Time]]="N/A", "",IF(AND(Main[[#This Row],[In Stock Date]]&lt;&gt;"",Main[[#This Row],[Revised Due Date]]&lt;&gt;"",Main[[#This Row],[In Stock Date]]&lt;&gt;""),Main[[#This Row],[In Stock Date]]-Main[[#This Row],[Revised Due Date]],""))</f>
        <v/>
      </c>
      <c r="I742" s="110" t="s">
        <v>4</v>
      </c>
      <c r="J742" s="99" t="s">
        <v>4</v>
      </c>
      <c r="K742" s="99" t="s">
        <v>4</v>
      </c>
      <c r="L742" s="89"/>
      <c r="M742" s="75" t="str">
        <f>IF(Main[[#This Row],[Tech Start Date]]&lt;1/1/1990,"",IF(Main[[#This Row],[Class]]="C",WORKDAY(Main[[#This Row],[Tech Start Date]],9),IF(Main[[#This Row],[Class]]="B", WORKDAY(Main[[#This Row],[Tech Start Date]],6),IF(Main[[#This Row],[Class]]="A",WORKDAY(Main[[#This Row],[Tech Start Date]],2),""))))</f>
        <v/>
      </c>
      <c r="N742" s="75" t="str">
        <f>IF(Main[[#This Row],[Tech Start Date]]&lt;1/1/1990,"",IF(Main[[#This Row],[Class]]="C",WORKDAY(Main[[#This Row],[Tech Start Date]],19),IF(Main[[#This Row],[Class]]="B", WORKDAY(Main[[#This Row],[Tech Start Date]],12),IF(Main[[#This Row],[Class]]="A",WORKDAY(Main[[#This Row],[Tech Start Date]],4),""))))</f>
        <v/>
      </c>
      <c r="O742" s="75" t="str">
        <f>IF(Main[[#This Row],[Tech Start Date]]&lt;1/1/1990,"",IF(Main[[#This Row],[Class]]="C",WORKDAY(Main[[#This Row],[Tech Start Date]],23),IF(Main[[#This Row],[Class]]="B", WORKDAY(Main[[#This Row],[Tech Start Date]],15),IF(Main[[#This Row],[Class]]="A",WORKDAY(Main[[#This Row],[Tech Start Date]],5),""))))</f>
        <v/>
      </c>
      <c r="P742" s="75" t="str">
        <f>IF(Main[[#This Row],[Tech Start Date]]&lt;1/1/1990,"",IF(Main[[#This Row],[Class]]="C",WORKDAY(Main[[#This Row],[Tech Start Date]],28),IF(Main[[#This Row],[Class]]="B", WORKDAY(Main[[#This Row],[Tech Start Date]],19),IF(Main[[#This Row],[Class]]="A",WORKDAY(Main[[#This Row],[Tech Start Date]],9),""))))</f>
        <v/>
      </c>
      <c r="Q742" s="89">
        <v>40052</v>
      </c>
      <c r="R742" s="121"/>
      <c r="S742" s="99" t="s">
        <v>11</v>
      </c>
      <c r="T742" s="76" t="s">
        <v>4</v>
      </c>
      <c r="U742" s="99" t="s">
        <v>14</v>
      </c>
      <c r="V742" s="99" t="s">
        <v>1916</v>
      </c>
      <c r="W742" s="99" t="s">
        <v>1915</v>
      </c>
      <c r="X742" s="99" t="s">
        <v>2828</v>
      </c>
      <c r="Y742" s="73" t="s">
        <v>4</v>
      </c>
      <c r="Z742" s="73" t="s">
        <v>4</v>
      </c>
      <c r="AA742" s="99" t="s">
        <v>2828</v>
      </c>
    </row>
    <row r="743" spans="1:27" ht="17.25" customHeight="1">
      <c r="A743" s="65" t="str">
        <f>IF(priority(Main[[#This Row],[Comments]])&lt;&gt;0, priority(Main[[#This Row],[Comments]]),"")</f>
        <v/>
      </c>
      <c r="B743" s="60" t="s">
        <v>1559</v>
      </c>
      <c r="C743" s="105" t="s">
        <v>93</v>
      </c>
      <c r="D743" s="74" t="s">
        <v>638</v>
      </c>
      <c r="E743" s="89"/>
      <c r="F743" s="89">
        <v>40132</v>
      </c>
      <c r="G743" s="65" t="str">
        <f>IF(stdProdLT(Main[[#This Row],[Comments]])=0.1,"N/A",IF(stdProdLT(Main[[#This Row],[Comments]])=0,"",TRIM(stdProdLT(Main[[#This Row],[Comments]]))))</f>
        <v/>
      </c>
      <c r="H743" s="98" t="str">
        <f>IF(Main[[#This Row],[Std. Prod. Lead Time]]="N/A", "",IF(AND(Main[[#This Row],[In Stock Date]]&lt;&gt;"",Main[[#This Row],[Revised Due Date]]&lt;&gt;"",Main[[#This Row],[In Stock Date]]&lt;&gt;""),Main[[#This Row],[In Stock Date]]-Main[[#This Row],[Revised Due Date]],""))</f>
        <v/>
      </c>
      <c r="I743" s="110" t="s">
        <v>4</v>
      </c>
      <c r="J743" s="99" t="s">
        <v>4</v>
      </c>
      <c r="K743" s="99" t="s">
        <v>4</v>
      </c>
      <c r="L743" s="89"/>
      <c r="M743" s="75" t="str">
        <f>IF(Main[[#This Row],[Tech Start Date]]&lt;1/1/1990,"",IF(Main[[#This Row],[Class]]="C",WORKDAY(Main[[#This Row],[Tech Start Date]],9),IF(Main[[#This Row],[Class]]="B", WORKDAY(Main[[#This Row],[Tech Start Date]],6),IF(Main[[#This Row],[Class]]="A",WORKDAY(Main[[#This Row],[Tech Start Date]],2),""))))</f>
        <v/>
      </c>
      <c r="N743" s="75" t="str">
        <f>IF(Main[[#This Row],[Tech Start Date]]&lt;1/1/1990,"",IF(Main[[#This Row],[Class]]="C",WORKDAY(Main[[#This Row],[Tech Start Date]],19),IF(Main[[#This Row],[Class]]="B", WORKDAY(Main[[#This Row],[Tech Start Date]],12),IF(Main[[#This Row],[Class]]="A",WORKDAY(Main[[#This Row],[Tech Start Date]],4),""))))</f>
        <v/>
      </c>
      <c r="O743" s="75" t="str">
        <f>IF(Main[[#This Row],[Tech Start Date]]&lt;1/1/1990,"",IF(Main[[#This Row],[Class]]="C",WORKDAY(Main[[#This Row],[Tech Start Date]],23),IF(Main[[#This Row],[Class]]="B", WORKDAY(Main[[#This Row],[Tech Start Date]],15),IF(Main[[#This Row],[Class]]="A",WORKDAY(Main[[#This Row],[Tech Start Date]],5),""))))</f>
        <v/>
      </c>
      <c r="P743" s="75" t="str">
        <f>IF(Main[[#This Row],[Tech Start Date]]&lt;1/1/1990,"",IF(Main[[#This Row],[Class]]="C",WORKDAY(Main[[#This Row],[Tech Start Date]],28),IF(Main[[#This Row],[Class]]="B", WORKDAY(Main[[#This Row],[Tech Start Date]],19),IF(Main[[#This Row],[Class]]="A",WORKDAY(Main[[#This Row],[Tech Start Date]],9),""))))</f>
        <v/>
      </c>
      <c r="Q743" s="89">
        <v>40132</v>
      </c>
      <c r="R743" s="121"/>
      <c r="S743" s="99" t="s">
        <v>11</v>
      </c>
      <c r="T743" s="76" t="s">
        <v>4</v>
      </c>
      <c r="U743" s="99" t="s">
        <v>14</v>
      </c>
      <c r="V743" s="99" t="s">
        <v>1916</v>
      </c>
      <c r="W743" s="99" t="s">
        <v>1924</v>
      </c>
      <c r="X743" s="99" t="s">
        <v>2850</v>
      </c>
      <c r="Y743" s="73" t="s">
        <v>4</v>
      </c>
      <c r="Z743" s="73" t="s">
        <v>4</v>
      </c>
      <c r="AA743" s="99" t="s">
        <v>2850</v>
      </c>
    </row>
    <row r="744" spans="1:27" ht="17.25" customHeight="1">
      <c r="A744" s="65" t="str">
        <f>IF(priority(Main[[#This Row],[Comments]])&lt;&gt;0, priority(Main[[#This Row],[Comments]]),"")</f>
        <v/>
      </c>
      <c r="B744" s="60" t="s">
        <v>3244</v>
      </c>
      <c r="C744" s="105" t="s">
        <v>3245</v>
      </c>
      <c r="D744" s="74" t="s">
        <v>3246</v>
      </c>
      <c r="E744" s="89">
        <v>40931.373113425929</v>
      </c>
      <c r="F744" s="89"/>
      <c r="G744" s="65" t="str">
        <f>IF(stdProdLT(Main[[#This Row],[Comments]])=0.1,"N/A",IF(stdProdLT(Main[[#This Row],[Comments]])=0,"",TRIM(stdProdLT(Main[[#This Row],[Comments]]))))</f>
        <v/>
      </c>
      <c r="H744" s="98" t="str">
        <f>IF(Main[[#This Row],[Std. Prod. Lead Time]]="N/A", "",IF(AND(Main[[#This Row],[In Stock Date]]&lt;&gt;"",Main[[#This Row],[Revised Due Date]]&lt;&gt;"",Main[[#This Row],[In Stock Date]]&lt;&gt;""),Main[[#This Row],[In Stock Date]]-Main[[#This Row],[Revised Due Date]],""))</f>
        <v/>
      </c>
      <c r="I744" s="110" t="s">
        <v>941</v>
      </c>
      <c r="J744" s="99" t="s">
        <v>28</v>
      </c>
      <c r="K744" s="99" t="s">
        <v>1922</v>
      </c>
      <c r="L744" s="89"/>
      <c r="M744" s="75" t="str">
        <f>IF(Main[[#This Row],[Tech Start Date]]&lt;1/1/1990,"",IF(Main[[#This Row],[Class]]="C",WORKDAY(Main[[#This Row],[Tech Start Date]],9),IF(Main[[#This Row],[Class]]="B", WORKDAY(Main[[#This Row],[Tech Start Date]],6),IF(Main[[#This Row],[Class]]="A",WORKDAY(Main[[#This Row],[Tech Start Date]],2),""))))</f>
        <v/>
      </c>
      <c r="N744" s="75" t="str">
        <f>IF(Main[[#This Row],[Tech Start Date]]&lt;1/1/1990,"",IF(Main[[#This Row],[Class]]="C",WORKDAY(Main[[#This Row],[Tech Start Date]],19),IF(Main[[#This Row],[Class]]="B", WORKDAY(Main[[#This Row],[Tech Start Date]],12),IF(Main[[#This Row],[Class]]="A",WORKDAY(Main[[#This Row],[Tech Start Date]],4),""))))</f>
        <v/>
      </c>
      <c r="O744" s="75" t="str">
        <f>IF(Main[[#This Row],[Tech Start Date]]&lt;1/1/1990,"",IF(Main[[#This Row],[Class]]="C",WORKDAY(Main[[#This Row],[Tech Start Date]],23),IF(Main[[#This Row],[Class]]="B", WORKDAY(Main[[#This Row],[Tech Start Date]],15),IF(Main[[#This Row],[Class]]="A",WORKDAY(Main[[#This Row],[Tech Start Date]],5),""))))</f>
        <v/>
      </c>
      <c r="P744" s="75" t="str">
        <f>IF(Main[[#This Row],[Tech Start Date]]&lt;1/1/1990,"",IF(Main[[#This Row],[Class]]="C",WORKDAY(Main[[#This Row],[Tech Start Date]],28),IF(Main[[#This Row],[Class]]="B", WORKDAY(Main[[#This Row],[Tech Start Date]],19),IF(Main[[#This Row],[Class]]="A",WORKDAY(Main[[#This Row],[Tech Start Date]],9),""))))</f>
        <v/>
      </c>
      <c r="Q744" s="89"/>
      <c r="R744" s="121"/>
      <c r="S744" s="99" t="s">
        <v>6</v>
      </c>
      <c r="T744" s="76" t="s">
        <v>3247</v>
      </c>
      <c r="U744" s="99" t="s">
        <v>29</v>
      </c>
      <c r="V744" s="99" t="s">
        <v>1914</v>
      </c>
      <c r="W744" s="99" t="s">
        <v>1917</v>
      </c>
      <c r="X744" s="99" t="s">
        <v>2810</v>
      </c>
      <c r="Y744" s="73" t="s">
        <v>2987</v>
      </c>
      <c r="Z744" s="73" t="s">
        <v>2049</v>
      </c>
      <c r="AA744" s="99" t="s">
        <v>2810</v>
      </c>
    </row>
    <row r="745" spans="1:27" ht="17.25" customHeight="1">
      <c r="A745" s="65" t="str">
        <f>IF(priority(Main[[#This Row],[Comments]])&lt;&gt;0, priority(Main[[#This Row],[Comments]]),"")</f>
        <v/>
      </c>
      <c r="B745" s="60" t="s">
        <v>1560</v>
      </c>
      <c r="C745" s="105" t="s">
        <v>4</v>
      </c>
      <c r="D745" s="74" t="s">
        <v>639</v>
      </c>
      <c r="E745" s="89"/>
      <c r="F745" s="89">
        <v>40602</v>
      </c>
      <c r="G745" s="65" t="str">
        <f>IF(stdProdLT(Main[[#This Row],[Comments]])=0.1,"N/A",IF(stdProdLT(Main[[#This Row],[Comments]])=0,"",TRIM(stdProdLT(Main[[#This Row],[Comments]]))))</f>
        <v/>
      </c>
      <c r="H745" s="98" t="str">
        <f>IF(Main[[#This Row],[Std. Prod. Lead Time]]="N/A", "",IF(AND(Main[[#This Row],[In Stock Date]]&lt;&gt;"",Main[[#This Row],[Revised Due Date]]&lt;&gt;"",Main[[#This Row],[In Stock Date]]&lt;&gt;""),Main[[#This Row],[In Stock Date]]-Main[[#This Row],[Revised Due Date]],""))</f>
        <v/>
      </c>
      <c r="I745" s="110" t="s">
        <v>399</v>
      </c>
      <c r="J745" s="99" t="s">
        <v>75</v>
      </c>
      <c r="K745" s="99" t="s">
        <v>1922</v>
      </c>
      <c r="L745" s="89"/>
      <c r="M745" s="75" t="str">
        <f>IF(Main[[#This Row],[Tech Start Date]]&lt;1/1/1990,"",IF(Main[[#This Row],[Class]]="C",WORKDAY(Main[[#This Row],[Tech Start Date]],9),IF(Main[[#This Row],[Class]]="B", WORKDAY(Main[[#This Row],[Tech Start Date]],6),IF(Main[[#This Row],[Class]]="A",WORKDAY(Main[[#This Row],[Tech Start Date]],2),""))))</f>
        <v/>
      </c>
      <c r="N745" s="75" t="str">
        <f>IF(Main[[#This Row],[Tech Start Date]]&lt;1/1/1990,"",IF(Main[[#This Row],[Class]]="C",WORKDAY(Main[[#This Row],[Tech Start Date]],19),IF(Main[[#This Row],[Class]]="B", WORKDAY(Main[[#This Row],[Tech Start Date]],12),IF(Main[[#This Row],[Class]]="A",WORKDAY(Main[[#This Row],[Tech Start Date]],4),""))))</f>
        <v/>
      </c>
      <c r="O745" s="75" t="str">
        <f>IF(Main[[#This Row],[Tech Start Date]]&lt;1/1/1990,"",IF(Main[[#This Row],[Class]]="C",WORKDAY(Main[[#This Row],[Tech Start Date]],23),IF(Main[[#This Row],[Class]]="B", WORKDAY(Main[[#This Row],[Tech Start Date]],15),IF(Main[[#This Row],[Class]]="A",WORKDAY(Main[[#This Row],[Tech Start Date]],5),""))))</f>
        <v/>
      </c>
      <c r="P745" s="75" t="str">
        <f>IF(Main[[#This Row],[Tech Start Date]]&lt;1/1/1990,"",IF(Main[[#This Row],[Class]]="C",WORKDAY(Main[[#This Row],[Tech Start Date]],28),IF(Main[[#This Row],[Class]]="B", WORKDAY(Main[[#This Row],[Tech Start Date]],19),IF(Main[[#This Row],[Class]]="A",WORKDAY(Main[[#This Row],[Tech Start Date]],9),""))))</f>
        <v/>
      </c>
      <c r="Q745" s="89"/>
      <c r="R745" s="121"/>
      <c r="S745" s="99" t="s">
        <v>11</v>
      </c>
      <c r="T745" s="76" t="s">
        <v>4</v>
      </c>
      <c r="U745" s="99" t="s">
        <v>14</v>
      </c>
      <c r="V745" s="99" t="s">
        <v>1916</v>
      </c>
      <c r="W745" s="99" t="s">
        <v>1919</v>
      </c>
      <c r="X745" s="99" t="s">
        <v>50</v>
      </c>
      <c r="Y745" s="73" t="s">
        <v>2955</v>
      </c>
      <c r="Z745" s="73" t="s">
        <v>306</v>
      </c>
      <c r="AA745" s="99" t="s">
        <v>50</v>
      </c>
    </row>
    <row r="746" spans="1:27" ht="17.25" customHeight="1">
      <c r="A746" s="65" t="str">
        <f>IF(priority(Main[[#This Row],[Comments]])&lt;&gt;0, priority(Main[[#This Row],[Comments]]),"")</f>
        <v/>
      </c>
      <c r="B746" s="60" t="s">
        <v>1561</v>
      </c>
      <c r="C746" s="105" t="s">
        <v>4</v>
      </c>
      <c r="D746" s="74" t="s">
        <v>640</v>
      </c>
      <c r="E746" s="89"/>
      <c r="F746" s="89">
        <v>40711</v>
      </c>
      <c r="G746" s="65" t="str">
        <f>IF(stdProdLT(Main[[#This Row],[Comments]])=0.1,"N/A",IF(stdProdLT(Main[[#This Row],[Comments]])=0,"",TRIM(stdProdLT(Main[[#This Row],[Comments]]))))</f>
        <v/>
      </c>
      <c r="H746" s="98" t="str">
        <f>IF(Main[[#This Row],[Std. Prod. Lead Time]]="N/A", "",IF(AND(Main[[#This Row],[In Stock Date]]&lt;&gt;"",Main[[#This Row],[Revised Due Date]]&lt;&gt;"",Main[[#This Row],[In Stock Date]]&lt;&gt;""),Main[[#This Row],[In Stock Date]]-Main[[#This Row],[Revised Due Date]],""))</f>
        <v/>
      </c>
      <c r="I746" s="110" t="s">
        <v>4</v>
      </c>
      <c r="J746" s="99" t="s">
        <v>4</v>
      </c>
      <c r="K746" s="99" t="s">
        <v>4</v>
      </c>
      <c r="L746" s="89"/>
      <c r="M746" s="75" t="str">
        <f>IF(Main[[#This Row],[Tech Start Date]]&lt;1/1/1990,"",IF(Main[[#This Row],[Class]]="C",WORKDAY(Main[[#This Row],[Tech Start Date]],9),IF(Main[[#This Row],[Class]]="B", WORKDAY(Main[[#This Row],[Tech Start Date]],6),IF(Main[[#This Row],[Class]]="A",WORKDAY(Main[[#This Row],[Tech Start Date]],2),""))))</f>
        <v/>
      </c>
      <c r="N746" s="75" t="str">
        <f>IF(Main[[#This Row],[Tech Start Date]]&lt;1/1/1990,"",IF(Main[[#This Row],[Class]]="C",WORKDAY(Main[[#This Row],[Tech Start Date]],19),IF(Main[[#This Row],[Class]]="B", WORKDAY(Main[[#This Row],[Tech Start Date]],12),IF(Main[[#This Row],[Class]]="A",WORKDAY(Main[[#This Row],[Tech Start Date]],4),""))))</f>
        <v/>
      </c>
      <c r="O746" s="75" t="str">
        <f>IF(Main[[#This Row],[Tech Start Date]]&lt;1/1/1990,"",IF(Main[[#This Row],[Class]]="C",WORKDAY(Main[[#This Row],[Tech Start Date]],23),IF(Main[[#This Row],[Class]]="B", WORKDAY(Main[[#This Row],[Tech Start Date]],15),IF(Main[[#This Row],[Class]]="A",WORKDAY(Main[[#This Row],[Tech Start Date]],5),""))))</f>
        <v/>
      </c>
      <c r="P746" s="75" t="str">
        <f>IF(Main[[#This Row],[Tech Start Date]]&lt;1/1/1990,"",IF(Main[[#This Row],[Class]]="C",WORKDAY(Main[[#This Row],[Tech Start Date]],28),IF(Main[[#This Row],[Class]]="B", WORKDAY(Main[[#This Row],[Tech Start Date]],19),IF(Main[[#This Row],[Class]]="A",WORKDAY(Main[[#This Row],[Tech Start Date]],9),""))))</f>
        <v/>
      </c>
      <c r="Q746" s="89"/>
      <c r="R746" s="121"/>
      <c r="S746" s="99" t="s">
        <v>11</v>
      </c>
      <c r="T746" s="76" t="s">
        <v>4</v>
      </c>
      <c r="U746" s="99" t="s">
        <v>14</v>
      </c>
      <c r="V746" s="99" t="s">
        <v>1914</v>
      </c>
      <c r="W746" s="99" t="s">
        <v>1918</v>
      </c>
      <c r="X746" s="99" t="s">
        <v>941</v>
      </c>
      <c r="Y746" s="73" t="s">
        <v>2989</v>
      </c>
      <c r="Z746" s="73" t="s">
        <v>4</v>
      </c>
      <c r="AA746" s="99" t="s">
        <v>941</v>
      </c>
    </row>
    <row r="747" spans="1:27" ht="17.25" customHeight="1">
      <c r="A747" s="65" t="str">
        <f>IF(priority(Main[[#This Row],[Comments]])&lt;&gt;0, priority(Main[[#This Row],[Comments]]),"")</f>
        <v/>
      </c>
      <c r="B747" s="60" t="s">
        <v>1562</v>
      </c>
      <c r="C747" s="105" t="s">
        <v>180</v>
      </c>
      <c r="D747" s="74" t="s">
        <v>641</v>
      </c>
      <c r="E747" s="89"/>
      <c r="F747" s="89">
        <v>40389</v>
      </c>
      <c r="G747" s="65" t="str">
        <f>IF(stdProdLT(Main[[#This Row],[Comments]])=0.1,"N/A",IF(stdProdLT(Main[[#This Row],[Comments]])=0,"",TRIM(stdProdLT(Main[[#This Row],[Comments]]))))</f>
        <v/>
      </c>
      <c r="H747" s="98" t="str">
        <f>IF(Main[[#This Row],[Std. Prod. Lead Time]]="N/A", "",IF(AND(Main[[#This Row],[In Stock Date]]&lt;&gt;"",Main[[#This Row],[Revised Due Date]]&lt;&gt;"",Main[[#This Row],[In Stock Date]]&lt;&gt;""),Main[[#This Row],[In Stock Date]]-Main[[#This Row],[Revised Due Date]],""))</f>
        <v/>
      </c>
      <c r="I747" s="110" t="s">
        <v>4</v>
      </c>
      <c r="J747" s="99" t="s">
        <v>4</v>
      </c>
      <c r="K747" s="99" t="s">
        <v>4</v>
      </c>
      <c r="L747" s="89"/>
      <c r="M747" s="75" t="str">
        <f>IF(Main[[#This Row],[Tech Start Date]]&lt;1/1/1990,"",IF(Main[[#This Row],[Class]]="C",WORKDAY(Main[[#This Row],[Tech Start Date]],9),IF(Main[[#This Row],[Class]]="B", WORKDAY(Main[[#This Row],[Tech Start Date]],6),IF(Main[[#This Row],[Class]]="A",WORKDAY(Main[[#This Row],[Tech Start Date]],2),""))))</f>
        <v/>
      </c>
      <c r="N747" s="75" t="str">
        <f>IF(Main[[#This Row],[Tech Start Date]]&lt;1/1/1990,"",IF(Main[[#This Row],[Class]]="C",WORKDAY(Main[[#This Row],[Tech Start Date]],19),IF(Main[[#This Row],[Class]]="B", WORKDAY(Main[[#This Row],[Tech Start Date]],12),IF(Main[[#This Row],[Class]]="A",WORKDAY(Main[[#This Row],[Tech Start Date]],4),""))))</f>
        <v/>
      </c>
      <c r="O747" s="75" t="str">
        <f>IF(Main[[#This Row],[Tech Start Date]]&lt;1/1/1990,"",IF(Main[[#This Row],[Class]]="C",WORKDAY(Main[[#This Row],[Tech Start Date]],23),IF(Main[[#This Row],[Class]]="B", WORKDAY(Main[[#This Row],[Tech Start Date]],15),IF(Main[[#This Row],[Class]]="A",WORKDAY(Main[[#This Row],[Tech Start Date]],5),""))))</f>
        <v/>
      </c>
      <c r="P747" s="75" t="str">
        <f>IF(Main[[#This Row],[Tech Start Date]]&lt;1/1/1990,"",IF(Main[[#This Row],[Class]]="C",WORKDAY(Main[[#This Row],[Tech Start Date]],28),IF(Main[[#This Row],[Class]]="B", WORKDAY(Main[[#This Row],[Tech Start Date]],19),IF(Main[[#This Row],[Class]]="A",WORKDAY(Main[[#This Row],[Tech Start Date]],9),""))))</f>
        <v/>
      </c>
      <c r="Q747" s="89">
        <v>40298</v>
      </c>
      <c r="R747" s="121"/>
      <c r="S747" s="99" t="s">
        <v>11</v>
      </c>
      <c r="T747" s="76" t="s">
        <v>4</v>
      </c>
      <c r="U747" s="99" t="s">
        <v>14</v>
      </c>
      <c r="V747" s="99" t="s">
        <v>1913</v>
      </c>
      <c r="W747" s="99" t="s">
        <v>1919</v>
      </c>
      <c r="X747" s="99" t="s">
        <v>2818</v>
      </c>
      <c r="Y747" s="73" t="s">
        <v>2937</v>
      </c>
      <c r="Z747" s="73" t="s">
        <v>4</v>
      </c>
      <c r="AA747" s="99" t="s">
        <v>2818</v>
      </c>
    </row>
    <row r="748" spans="1:27" ht="17.25" customHeight="1">
      <c r="A748" s="65" t="str">
        <f>IF(priority(Main[[#This Row],[Comments]])&lt;&gt;0, priority(Main[[#This Row],[Comments]]),"")</f>
        <v/>
      </c>
      <c r="B748" s="60" t="s">
        <v>1563</v>
      </c>
      <c r="C748" s="105" t="s">
        <v>4</v>
      </c>
      <c r="D748" s="74" t="s">
        <v>642</v>
      </c>
      <c r="E748" s="89"/>
      <c r="F748" s="89"/>
      <c r="G748" s="65" t="str">
        <f>IF(stdProdLT(Main[[#This Row],[Comments]])=0.1,"N/A",IF(stdProdLT(Main[[#This Row],[Comments]])=0,"",TRIM(stdProdLT(Main[[#This Row],[Comments]]))))</f>
        <v/>
      </c>
      <c r="H748" s="98" t="str">
        <f>IF(Main[[#This Row],[Std. Prod. Lead Time]]="N/A", "",IF(AND(Main[[#This Row],[In Stock Date]]&lt;&gt;"",Main[[#This Row],[Revised Due Date]]&lt;&gt;"",Main[[#This Row],[In Stock Date]]&lt;&gt;""),Main[[#This Row],[In Stock Date]]-Main[[#This Row],[Revised Due Date]],""))</f>
        <v/>
      </c>
      <c r="I748" s="110" t="s">
        <v>4</v>
      </c>
      <c r="J748" s="99" t="s">
        <v>4</v>
      </c>
      <c r="K748" s="99" t="s">
        <v>4</v>
      </c>
      <c r="L748" s="89"/>
      <c r="M748" s="75" t="str">
        <f>IF(Main[[#This Row],[Tech Start Date]]&lt;1/1/1990,"",IF(Main[[#This Row],[Class]]="C",WORKDAY(Main[[#This Row],[Tech Start Date]],9),IF(Main[[#This Row],[Class]]="B", WORKDAY(Main[[#This Row],[Tech Start Date]],6),IF(Main[[#This Row],[Class]]="A",WORKDAY(Main[[#This Row],[Tech Start Date]],2),""))))</f>
        <v/>
      </c>
      <c r="N748" s="75" t="str">
        <f>IF(Main[[#This Row],[Tech Start Date]]&lt;1/1/1990,"",IF(Main[[#This Row],[Class]]="C",WORKDAY(Main[[#This Row],[Tech Start Date]],19),IF(Main[[#This Row],[Class]]="B", WORKDAY(Main[[#This Row],[Tech Start Date]],12),IF(Main[[#This Row],[Class]]="A",WORKDAY(Main[[#This Row],[Tech Start Date]],4),""))))</f>
        <v/>
      </c>
      <c r="O748" s="75" t="str">
        <f>IF(Main[[#This Row],[Tech Start Date]]&lt;1/1/1990,"",IF(Main[[#This Row],[Class]]="C",WORKDAY(Main[[#This Row],[Tech Start Date]],23),IF(Main[[#This Row],[Class]]="B", WORKDAY(Main[[#This Row],[Tech Start Date]],15),IF(Main[[#This Row],[Class]]="A",WORKDAY(Main[[#This Row],[Tech Start Date]],5),""))))</f>
        <v/>
      </c>
      <c r="P748" s="75" t="str">
        <f>IF(Main[[#This Row],[Tech Start Date]]&lt;1/1/1990,"",IF(Main[[#This Row],[Class]]="C",WORKDAY(Main[[#This Row],[Tech Start Date]],28),IF(Main[[#This Row],[Class]]="B", WORKDAY(Main[[#This Row],[Tech Start Date]],19),IF(Main[[#This Row],[Class]]="A",WORKDAY(Main[[#This Row],[Tech Start Date]],9),""))))</f>
        <v/>
      </c>
      <c r="Q748" s="89"/>
      <c r="R748" s="121"/>
      <c r="S748" s="99" t="s">
        <v>11</v>
      </c>
      <c r="T748" s="76" t="s">
        <v>4</v>
      </c>
      <c r="U748" s="99" t="s">
        <v>12</v>
      </c>
      <c r="V748" s="99" t="s">
        <v>1913</v>
      </c>
      <c r="W748" s="99" t="s">
        <v>1917</v>
      </c>
      <c r="X748" s="99" t="s">
        <v>886</v>
      </c>
      <c r="Y748" s="73" t="s">
        <v>3076</v>
      </c>
      <c r="Z748" s="73" t="s">
        <v>4</v>
      </c>
      <c r="AA748" s="99" t="s">
        <v>886</v>
      </c>
    </row>
    <row r="749" spans="1:27" ht="17.25" customHeight="1">
      <c r="A749" s="65" t="str">
        <f>IF(priority(Main[[#This Row],[Comments]])&lt;&gt;0, priority(Main[[#This Row],[Comments]]),"")</f>
        <v/>
      </c>
      <c r="B749" s="60" t="s">
        <v>2344</v>
      </c>
      <c r="C749" s="105" t="s">
        <v>4</v>
      </c>
      <c r="D749" s="74" t="s">
        <v>3545</v>
      </c>
      <c r="E749" s="89">
        <v>40849.308981481481</v>
      </c>
      <c r="F749" s="89"/>
      <c r="G749" s="65" t="str">
        <f>IF(stdProdLT(Main[[#This Row],[Comments]])=0.1,"N/A",IF(stdProdLT(Main[[#This Row],[Comments]])=0,"",TRIM(stdProdLT(Main[[#This Row],[Comments]]))))</f>
        <v/>
      </c>
      <c r="H749" s="98" t="str">
        <f>IF(Main[[#This Row],[Std. Prod. Lead Time]]="N/A", "",IF(AND(Main[[#This Row],[In Stock Date]]&lt;&gt;"",Main[[#This Row],[Revised Due Date]]&lt;&gt;"",Main[[#This Row],[In Stock Date]]&lt;&gt;""),Main[[#This Row],[In Stock Date]]-Main[[#This Row],[Revised Due Date]],""))</f>
        <v/>
      </c>
      <c r="I749" s="110" t="s">
        <v>937</v>
      </c>
      <c r="J749" s="99" t="s">
        <v>21</v>
      </c>
      <c r="K749" s="99" t="s">
        <v>1920</v>
      </c>
      <c r="L749" s="89"/>
      <c r="M749" s="75" t="str">
        <f>IF(Main[[#This Row],[Tech Start Date]]&lt;1/1/1990,"",IF(Main[[#This Row],[Class]]="C",WORKDAY(Main[[#This Row],[Tech Start Date]],9),IF(Main[[#This Row],[Class]]="B", WORKDAY(Main[[#This Row],[Tech Start Date]],6),IF(Main[[#This Row],[Class]]="A",WORKDAY(Main[[#This Row],[Tech Start Date]],2),""))))</f>
        <v/>
      </c>
      <c r="N749" s="75" t="str">
        <f>IF(Main[[#This Row],[Tech Start Date]]&lt;1/1/1990,"",IF(Main[[#This Row],[Class]]="C",WORKDAY(Main[[#This Row],[Tech Start Date]],19),IF(Main[[#This Row],[Class]]="B", WORKDAY(Main[[#This Row],[Tech Start Date]],12),IF(Main[[#This Row],[Class]]="A",WORKDAY(Main[[#This Row],[Tech Start Date]],4),""))))</f>
        <v/>
      </c>
      <c r="O749" s="75" t="str">
        <f>IF(Main[[#This Row],[Tech Start Date]]&lt;1/1/1990,"",IF(Main[[#This Row],[Class]]="C",WORKDAY(Main[[#This Row],[Tech Start Date]],23),IF(Main[[#This Row],[Class]]="B", WORKDAY(Main[[#This Row],[Tech Start Date]],15),IF(Main[[#This Row],[Class]]="A",WORKDAY(Main[[#This Row],[Tech Start Date]],5),""))))</f>
        <v/>
      </c>
      <c r="P749" s="75" t="str">
        <f>IF(Main[[#This Row],[Tech Start Date]]&lt;1/1/1990,"",IF(Main[[#This Row],[Class]]="C",WORKDAY(Main[[#This Row],[Tech Start Date]],28),IF(Main[[#This Row],[Class]]="B", WORKDAY(Main[[#This Row],[Tech Start Date]],19),IF(Main[[#This Row],[Class]]="A",WORKDAY(Main[[#This Row],[Tech Start Date]],9),""))))</f>
        <v/>
      </c>
      <c r="Q749" s="89"/>
      <c r="R749" s="121"/>
      <c r="S749" s="99" t="s">
        <v>6</v>
      </c>
      <c r="T749" s="76" t="s">
        <v>4</v>
      </c>
      <c r="U749" s="99" t="s">
        <v>29</v>
      </c>
      <c r="V749" s="99" t="s">
        <v>1913</v>
      </c>
      <c r="W749" s="99" t="s">
        <v>1917</v>
      </c>
      <c r="X749" s="99" t="s">
        <v>937</v>
      </c>
      <c r="Y749" s="73" t="s">
        <v>2978</v>
      </c>
      <c r="Z749" s="73" t="s">
        <v>937</v>
      </c>
      <c r="AA749" s="99" t="s">
        <v>937</v>
      </c>
    </row>
    <row r="750" spans="1:27" ht="17.25" customHeight="1">
      <c r="A750" s="65" t="str">
        <f>IF(priority(Main[[#This Row],[Comments]])&lt;&gt;0, priority(Main[[#This Row],[Comments]]),"")</f>
        <v/>
      </c>
      <c r="B750" s="60" t="s">
        <v>1564</v>
      </c>
      <c r="C750" s="105" t="s">
        <v>643</v>
      </c>
      <c r="D750" s="74" t="s">
        <v>644</v>
      </c>
      <c r="E750" s="89"/>
      <c r="F750" s="89">
        <v>40632</v>
      </c>
      <c r="G750" s="65" t="str">
        <f>IF(stdProdLT(Main[[#This Row],[Comments]])=0.1,"N/A",IF(stdProdLT(Main[[#This Row],[Comments]])=0,"",TRIM(stdProdLT(Main[[#This Row],[Comments]]))))</f>
        <v/>
      </c>
      <c r="H750" s="98" t="str">
        <f>IF(Main[[#This Row],[Std. Prod. Lead Time]]="N/A", "",IF(AND(Main[[#This Row],[In Stock Date]]&lt;&gt;"",Main[[#This Row],[Revised Due Date]]&lt;&gt;"",Main[[#This Row],[In Stock Date]]&lt;&gt;""),Main[[#This Row],[In Stock Date]]-Main[[#This Row],[Revised Due Date]],""))</f>
        <v/>
      </c>
      <c r="I750" s="110" t="s">
        <v>4</v>
      </c>
      <c r="J750" s="99" t="s">
        <v>4</v>
      </c>
      <c r="K750" s="99" t="s">
        <v>4</v>
      </c>
      <c r="L750" s="89"/>
      <c r="M750" s="75" t="str">
        <f>IF(Main[[#This Row],[Tech Start Date]]&lt;1/1/1990,"",IF(Main[[#This Row],[Class]]="C",WORKDAY(Main[[#This Row],[Tech Start Date]],9),IF(Main[[#This Row],[Class]]="B", WORKDAY(Main[[#This Row],[Tech Start Date]],6),IF(Main[[#This Row],[Class]]="A",WORKDAY(Main[[#This Row],[Tech Start Date]],2),""))))</f>
        <v/>
      </c>
      <c r="N750" s="75" t="str">
        <f>IF(Main[[#This Row],[Tech Start Date]]&lt;1/1/1990,"",IF(Main[[#This Row],[Class]]="C",WORKDAY(Main[[#This Row],[Tech Start Date]],19),IF(Main[[#This Row],[Class]]="B", WORKDAY(Main[[#This Row],[Tech Start Date]],12),IF(Main[[#This Row],[Class]]="A",WORKDAY(Main[[#This Row],[Tech Start Date]],4),""))))</f>
        <v/>
      </c>
      <c r="O750" s="75" t="str">
        <f>IF(Main[[#This Row],[Tech Start Date]]&lt;1/1/1990,"",IF(Main[[#This Row],[Class]]="C",WORKDAY(Main[[#This Row],[Tech Start Date]],23),IF(Main[[#This Row],[Class]]="B", WORKDAY(Main[[#This Row],[Tech Start Date]],15),IF(Main[[#This Row],[Class]]="A",WORKDAY(Main[[#This Row],[Tech Start Date]],5),""))))</f>
        <v/>
      </c>
      <c r="P750" s="75" t="str">
        <f>IF(Main[[#This Row],[Tech Start Date]]&lt;1/1/1990,"",IF(Main[[#This Row],[Class]]="C",WORKDAY(Main[[#This Row],[Tech Start Date]],28),IF(Main[[#This Row],[Class]]="B", WORKDAY(Main[[#This Row],[Tech Start Date]],19),IF(Main[[#This Row],[Class]]="A",WORKDAY(Main[[#This Row],[Tech Start Date]],9),""))))</f>
        <v/>
      </c>
      <c r="Q750" s="89">
        <v>40613</v>
      </c>
      <c r="R750" s="121"/>
      <c r="S750" s="99" t="s">
        <v>11</v>
      </c>
      <c r="T750" s="76" t="s">
        <v>4</v>
      </c>
      <c r="U750" s="99" t="s">
        <v>14</v>
      </c>
      <c r="V750" s="99" t="s">
        <v>1916</v>
      </c>
      <c r="W750" s="99" t="s">
        <v>1921</v>
      </c>
      <c r="X750" s="99" t="s">
        <v>2862</v>
      </c>
      <c r="Y750" s="73" t="s">
        <v>3006</v>
      </c>
      <c r="Z750" s="73" t="s">
        <v>4</v>
      </c>
      <c r="AA750" s="99" t="s">
        <v>2862</v>
      </c>
    </row>
    <row r="751" spans="1:27" ht="17.25" customHeight="1">
      <c r="A751" s="65" t="str">
        <f>IF(priority(Main[[#This Row],[Comments]])&lt;&gt;0, priority(Main[[#This Row],[Comments]]),"")</f>
        <v/>
      </c>
      <c r="B751" s="60" t="s">
        <v>1588</v>
      </c>
      <c r="C751" s="105" t="s">
        <v>4</v>
      </c>
      <c r="D751" s="74" t="s">
        <v>97</v>
      </c>
      <c r="E751" s="89"/>
      <c r="F751" s="89"/>
      <c r="G751" s="65" t="str">
        <f>IF(stdProdLT(Main[[#This Row],[Comments]])=0.1,"N/A",IF(stdProdLT(Main[[#This Row],[Comments]])=0,"",TRIM(stdProdLT(Main[[#This Row],[Comments]]))))</f>
        <v/>
      </c>
      <c r="H751" s="98" t="str">
        <f>IF(Main[[#This Row],[Std. Prod. Lead Time]]="N/A", "",IF(AND(Main[[#This Row],[In Stock Date]]&lt;&gt;"",Main[[#This Row],[Revised Due Date]]&lt;&gt;"",Main[[#This Row],[In Stock Date]]&lt;&gt;""),Main[[#This Row],[In Stock Date]]-Main[[#This Row],[Revised Due Date]],""))</f>
        <v/>
      </c>
      <c r="I751" s="110" t="s">
        <v>4</v>
      </c>
      <c r="J751" s="99" t="s">
        <v>4</v>
      </c>
      <c r="K751" s="99" t="s">
        <v>4</v>
      </c>
      <c r="L751" s="89"/>
      <c r="M751" s="75" t="str">
        <f>IF(Main[[#This Row],[Tech Start Date]]&lt;1/1/1990,"",IF(Main[[#This Row],[Class]]="C",WORKDAY(Main[[#This Row],[Tech Start Date]],9),IF(Main[[#This Row],[Class]]="B", WORKDAY(Main[[#This Row],[Tech Start Date]],6),IF(Main[[#This Row],[Class]]="A",WORKDAY(Main[[#This Row],[Tech Start Date]],2),""))))</f>
        <v/>
      </c>
      <c r="N751" s="75" t="str">
        <f>IF(Main[[#This Row],[Tech Start Date]]&lt;1/1/1990,"",IF(Main[[#This Row],[Class]]="C",WORKDAY(Main[[#This Row],[Tech Start Date]],19),IF(Main[[#This Row],[Class]]="B", WORKDAY(Main[[#This Row],[Tech Start Date]],12),IF(Main[[#This Row],[Class]]="A",WORKDAY(Main[[#This Row],[Tech Start Date]],4),""))))</f>
        <v/>
      </c>
      <c r="O751" s="75" t="str">
        <f>IF(Main[[#This Row],[Tech Start Date]]&lt;1/1/1990,"",IF(Main[[#This Row],[Class]]="C",WORKDAY(Main[[#This Row],[Tech Start Date]],23),IF(Main[[#This Row],[Class]]="B", WORKDAY(Main[[#This Row],[Tech Start Date]],15),IF(Main[[#This Row],[Class]]="A",WORKDAY(Main[[#This Row],[Tech Start Date]],5),""))))</f>
        <v/>
      </c>
      <c r="P751" s="75" t="str">
        <f>IF(Main[[#This Row],[Tech Start Date]]&lt;1/1/1990,"",IF(Main[[#This Row],[Class]]="C",WORKDAY(Main[[#This Row],[Tech Start Date]],28),IF(Main[[#This Row],[Class]]="B", WORKDAY(Main[[#This Row],[Tech Start Date]],19),IF(Main[[#This Row],[Class]]="A",WORKDAY(Main[[#This Row],[Tech Start Date]],9),""))))</f>
        <v/>
      </c>
      <c r="Q751" s="89">
        <v>40858</v>
      </c>
      <c r="R751" s="121"/>
      <c r="S751" s="99" t="s">
        <v>17</v>
      </c>
      <c r="T751" s="76" t="s">
        <v>4</v>
      </c>
      <c r="U751" s="99" t="s">
        <v>14</v>
      </c>
      <c r="V751" s="99" t="s">
        <v>1913</v>
      </c>
      <c r="W751" s="99" t="s">
        <v>1918</v>
      </c>
      <c r="X751" s="99" t="s">
        <v>50</v>
      </c>
      <c r="Y751" s="73" t="s">
        <v>2953</v>
      </c>
      <c r="Z751" s="73" t="s">
        <v>4</v>
      </c>
      <c r="AA751" s="99" t="s">
        <v>2822</v>
      </c>
    </row>
    <row r="752" spans="1:27" ht="17.25" customHeight="1">
      <c r="A752" s="65" t="str">
        <f>IF(priority(Main[[#This Row],[Comments]])&lt;&gt;0, priority(Main[[#This Row],[Comments]]),"")</f>
        <v/>
      </c>
      <c r="B752" s="60" t="s">
        <v>1591</v>
      </c>
      <c r="C752" s="105" t="s">
        <v>668</v>
      </c>
      <c r="D752" s="74" t="s">
        <v>669</v>
      </c>
      <c r="E752" s="89"/>
      <c r="F752" s="89">
        <v>40633</v>
      </c>
      <c r="G752" s="65" t="str">
        <f>IF(stdProdLT(Main[[#This Row],[Comments]])=0.1,"N/A",IF(stdProdLT(Main[[#This Row],[Comments]])=0,"",TRIM(stdProdLT(Main[[#This Row],[Comments]]))))</f>
        <v/>
      </c>
      <c r="H752" s="98" t="str">
        <f>IF(Main[[#This Row],[Std. Prod. Lead Time]]="N/A", "",IF(AND(Main[[#This Row],[In Stock Date]]&lt;&gt;"",Main[[#This Row],[Revised Due Date]]&lt;&gt;"",Main[[#This Row],[In Stock Date]]&lt;&gt;""),Main[[#This Row],[In Stock Date]]-Main[[#This Row],[Revised Due Date]],""))</f>
        <v/>
      </c>
      <c r="I752" s="110" t="s">
        <v>4</v>
      </c>
      <c r="J752" s="99" t="s">
        <v>4</v>
      </c>
      <c r="K752" s="99" t="s">
        <v>4</v>
      </c>
      <c r="L752" s="89"/>
      <c r="M752" s="75" t="str">
        <f>IF(Main[[#This Row],[Tech Start Date]]&lt;1/1/1990,"",IF(Main[[#This Row],[Class]]="C",WORKDAY(Main[[#This Row],[Tech Start Date]],9),IF(Main[[#This Row],[Class]]="B", WORKDAY(Main[[#This Row],[Tech Start Date]],6),IF(Main[[#This Row],[Class]]="A",WORKDAY(Main[[#This Row],[Tech Start Date]],2),""))))</f>
        <v/>
      </c>
      <c r="N752" s="75" t="str">
        <f>IF(Main[[#This Row],[Tech Start Date]]&lt;1/1/1990,"",IF(Main[[#This Row],[Class]]="C",WORKDAY(Main[[#This Row],[Tech Start Date]],19),IF(Main[[#This Row],[Class]]="B", WORKDAY(Main[[#This Row],[Tech Start Date]],12),IF(Main[[#This Row],[Class]]="A",WORKDAY(Main[[#This Row],[Tech Start Date]],4),""))))</f>
        <v/>
      </c>
      <c r="O752" s="75" t="str">
        <f>IF(Main[[#This Row],[Tech Start Date]]&lt;1/1/1990,"",IF(Main[[#This Row],[Class]]="C",WORKDAY(Main[[#This Row],[Tech Start Date]],23),IF(Main[[#This Row],[Class]]="B", WORKDAY(Main[[#This Row],[Tech Start Date]],15),IF(Main[[#This Row],[Class]]="A",WORKDAY(Main[[#This Row],[Tech Start Date]],5),""))))</f>
        <v/>
      </c>
      <c r="P752" s="75" t="str">
        <f>IF(Main[[#This Row],[Tech Start Date]]&lt;1/1/1990,"",IF(Main[[#This Row],[Class]]="C",WORKDAY(Main[[#This Row],[Tech Start Date]],28),IF(Main[[#This Row],[Class]]="B", WORKDAY(Main[[#This Row],[Tech Start Date]],19),IF(Main[[#This Row],[Class]]="A",WORKDAY(Main[[#This Row],[Tech Start Date]],9),""))))</f>
        <v/>
      </c>
      <c r="Q752" s="89">
        <v>40574</v>
      </c>
      <c r="R752" s="121"/>
      <c r="S752" s="99" t="s">
        <v>11</v>
      </c>
      <c r="T752" s="76" t="s">
        <v>4</v>
      </c>
      <c r="U752" s="99" t="s">
        <v>14</v>
      </c>
      <c r="V752" s="99" t="s">
        <v>1916</v>
      </c>
      <c r="W752" s="99" t="s">
        <v>1919</v>
      </c>
      <c r="X752" s="99" t="s">
        <v>2850</v>
      </c>
      <c r="Y752" s="73" t="s">
        <v>2991</v>
      </c>
      <c r="Z752" s="73" t="s">
        <v>4</v>
      </c>
      <c r="AA752" s="99" t="s">
        <v>2850</v>
      </c>
    </row>
    <row r="753" spans="1:27" ht="17.25" customHeight="1">
      <c r="A753" s="65" t="str">
        <f>IF(priority(Main[[#This Row],[Comments]])&lt;&gt;0, priority(Main[[#This Row],[Comments]]),"")</f>
        <v/>
      </c>
      <c r="B753" s="60" t="s">
        <v>2180</v>
      </c>
      <c r="C753" s="105" t="s">
        <v>2172</v>
      </c>
      <c r="D753" s="74" t="s">
        <v>2181</v>
      </c>
      <c r="E753" s="89"/>
      <c r="F753" s="89">
        <v>40829</v>
      </c>
      <c r="G753" s="65" t="str">
        <f>IF(stdProdLT(Main[[#This Row],[Comments]])=0.1,"N/A",IF(stdProdLT(Main[[#This Row],[Comments]])=0,"",TRIM(stdProdLT(Main[[#This Row],[Comments]]))))</f>
        <v/>
      </c>
      <c r="H753" s="98" t="str">
        <f>IF(Main[[#This Row],[Std. Prod. Lead Time]]="N/A", "",IF(AND(Main[[#This Row],[In Stock Date]]&lt;&gt;"",Main[[#This Row],[Revised Due Date]]&lt;&gt;"",Main[[#This Row],[In Stock Date]]&lt;&gt;""),Main[[#This Row],[In Stock Date]]-Main[[#This Row],[Revised Due Date]],""))</f>
        <v/>
      </c>
      <c r="I753" s="110" t="s">
        <v>4</v>
      </c>
      <c r="J753" s="99" t="s">
        <v>4</v>
      </c>
      <c r="K753" s="99" t="s">
        <v>4</v>
      </c>
      <c r="L753" s="89"/>
      <c r="M753" s="75" t="str">
        <f>IF(Main[[#This Row],[Tech Start Date]]&lt;1/1/1990,"",IF(Main[[#This Row],[Class]]="C",WORKDAY(Main[[#This Row],[Tech Start Date]],9),IF(Main[[#This Row],[Class]]="B", WORKDAY(Main[[#This Row],[Tech Start Date]],6),IF(Main[[#This Row],[Class]]="A",WORKDAY(Main[[#This Row],[Tech Start Date]],2),""))))</f>
        <v/>
      </c>
      <c r="N753" s="75" t="str">
        <f>IF(Main[[#This Row],[Tech Start Date]]&lt;1/1/1990,"",IF(Main[[#This Row],[Class]]="C",WORKDAY(Main[[#This Row],[Tech Start Date]],19),IF(Main[[#This Row],[Class]]="B", WORKDAY(Main[[#This Row],[Tech Start Date]],12),IF(Main[[#This Row],[Class]]="A",WORKDAY(Main[[#This Row],[Tech Start Date]],4),""))))</f>
        <v/>
      </c>
      <c r="O753" s="75" t="str">
        <f>IF(Main[[#This Row],[Tech Start Date]]&lt;1/1/1990,"",IF(Main[[#This Row],[Class]]="C",WORKDAY(Main[[#This Row],[Tech Start Date]],23),IF(Main[[#This Row],[Class]]="B", WORKDAY(Main[[#This Row],[Tech Start Date]],15),IF(Main[[#This Row],[Class]]="A",WORKDAY(Main[[#This Row],[Tech Start Date]],5),""))))</f>
        <v/>
      </c>
      <c r="P753" s="75" t="str">
        <f>IF(Main[[#This Row],[Tech Start Date]]&lt;1/1/1990,"",IF(Main[[#This Row],[Class]]="C",WORKDAY(Main[[#This Row],[Tech Start Date]],28),IF(Main[[#This Row],[Class]]="B", WORKDAY(Main[[#This Row],[Tech Start Date]],19),IF(Main[[#This Row],[Class]]="A",WORKDAY(Main[[#This Row],[Tech Start Date]],9),""))))</f>
        <v/>
      </c>
      <c r="Q753" s="89">
        <v>40801</v>
      </c>
      <c r="R753" s="121"/>
      <c r="S753" s="99" t="s">
        <v>11</v>
      </c>
      <c r="T753" s="76" t="s">
        <v>4</v>
      </c>
      <c r="U753" s="99" t="s">
        <v>14</v>
      </c>
      <c r="V753" s="99" t="s">
        <v>1914</v>
      </c>
      <c r="W753" s="99" t="s">
        <v>1921</v>
      </c>
      <c r="X753" s="99" t="s">
        <v>2832</v>
      </c>
      <c r="Y753" s="73" t="s">
        <v>2962</v>
      </c>
      <c r="Z753" s="73" t="s">
        <v>4</v>
      </c>
      <c r="AA753" s="99" t="s">
        <v>2832</v>
      </c>
    </row>
    <row r="754" spans="1:27" ht="17.25" customHeight="1">
      <c r="A754" s="65" t="str">
        <f>IF(priority(Main[[#This Row],[Comments]])&lt;&gt;0, priority(Main[[#This Row],[Comments]]),"")</f>
        <v/>
      </c>
      <c r="B754" s="60" t="s">
        <v>1592</v>
      </c>
      <c r="C754" s="105" t="s">
        <v>4</v>
      </c>
      <c r="D754" s="74" t="s">
        <v>2301</v>
      </c>
      <c r="E754" s="89">
        <v>40515.590300925927</v>
      </c>
      <c r="F754" s="89"/>
      <c r="G754" s="65" t="str">
        <f>IF(stdProdLT(Main[[#This Row],[Comments]])=0.1,"N/A",IF(stdProdLT(Main[[#This Row],[Comments]])=0,"",TRIM(stdProdLT(Main[[#This Row],[Comments]]))))</f>
        <v/>
      </c>
      <c r="H754" s="98" t="str">
        <f>IF(Main[[#This Row],[Std. Prod. Lead Time]]="N/A", "",IF(AND(Main[[#This Row],[In Stock Date]]&lt;&gt;"",Main[[#This Row],[Revised Due Date]]&lt;&gt;"",Main[[#This Row],[In Stock Date]]&lt;&gt;""),Main[[#This Row],[In Stock Date]]-Main[[#This Row],[Revised Due Date]],""))</f>
        <v/>
      </c>
      <c r="I754" s="110" t="s">
        <v>912</v>
      </c>
      <c r="J754" s="99" t="s">
        <v>52</v>
      </c>
      <c r="K754" s="99" t="s">
        <v>1920</v>
      </c>
      <c r="L754" s="89"/>
      <c r="M754" s="75" t="str">
        <f>IF(Main[[#This Row],[Tech Start Date]]&lt;1/1/1990,"",IF(Main[[#This Row],[Class]]="C",WORKDAY(Main[[#This Row],[Tech Start Date]],9),IF(Main[[#This Row],[Class]]="B", WORKDAY(Main[[#This Row],[Tech Start Date]],6),IF(Main[[#This Row],[Class]]="A",WORKDAY(Main[[#This Row],[Tech Start Date]],2),""))))</f>
        <v/>
      </c>
      <c r="N754" s="75" t="str">
        <f>IF(Main[[#This Row],[Tech Start Date]]&lt;1/1/1990,"",IF(Main[[#This Row],[Class]]="C",WORKDAY(Main[[#This Row],[Tech Start Date]],19),IF(Main[[#This Row],[Class]]="B", WORKDAY(Main[[#This Row],[Tech Start Date]],12),IF(Main[[#This Row],[Class]]="A",WORKDAY(Main[[#This Row],[Tech Start Date]],4),""))))</f>
        <v/>
      </c>
      <c r="O754" s="75" t="str">
        <f>IF(Main[[#This Row],[Tech Start Date]]&lt;1/1/1990,"",IF(Main[[#This Row],[Class]]="C",WORKDAY(Main[[#This Row],[Tech Start Date]],23),IF(Main[[#This Row],[Class]]="B", WORKDAY(Main[[#This Row],[Tech Start Date]],15),IF(Main[[#This Row],[Class]]="A",WORKDAY(Main[[#This Row],[Tech Start Date]],5),""))))</f>
        <v/>
      </c>
      <c r="P754" s="75" t="str">
        <f>IF(Main[[#This Row],[Tech Start Date]]&lt;1/1/1990,"",IF(Main[[#This Row],[Class]]="C",WORKDAY(Main[[#This Row],[Tech Start Date]],28),IF(Main[[#This Row],[Class]]="B", WORKDAY(Main[[#This Row],[Tech Start Date]],19),IF(Main[[#This Row],[Class]]="A",WORKDAY(Main[[#This Row],[Tech Start Date]],9),""))))</f>
        <v/>
      </c>
      <c r="Q754" s="89">
        <v>40574</v>
      </c>
      <c r="R754" s="121"/>
      <c r="S754" s="99" t="s">
        <v>6</v>
      </c>
      <c r="T754" s="76" t="s">
        <v>4</v>
      </c>
      <c r="U754" s="99" t="s">
        <v>29</v>
      </c>
      <c r="V754" s="99" t="s">
        <v>1913</v>
      </c>
      <c r="W754" s="99" t="s">
        <v>1915</v>
      </c>
      <c r="X754" s="99" t="s">
        <v>2881</v>
      </c>
      <c r="Y754" s="73" t="s">
        <v>3037</v>
      </c>
      <c r="Z754" s="73" t="s">
        <v>129</v>
      </c>
      <c r="AA754" s="99" t="s">
        <v>2881</v>
      </c>
    </row>
    <row r="755" spans="1:27" ht="17.25" customHeight="1">
      <c r="A755" s="65" t="str">
        <f>IF(priority(Main[[#This Row],[Comments]])&lt;&gt;0, priority(Main[[#This Row],[Comments]]),"")</f>
        <v/>
      </c>
      <c r="B755" s="60" t="s">
        <v>1593</v>
      </c>
      <c r="C755" s="105" t="s">
        <v>436</v>
      </c>
      <c r="D755" s="74" t="s">
        <v>670</v>
      </c>
      <c r="E755" s="89"/>
      <c r="F755" s="89"/>
      <c r="G755" s="65" t="str">
        <f>IF(stdProdLT(Main[[#This Row],[Comments]])=0.1,"N/A",IF(stdProdLT(Main[[#This Row],[Comments]])=0,"",TRIM(stdProdLT(Main[[#This Row],[Comments]]))))</f>
        <v/>
      </c>
      <c r="H755" s="98" t="str">
        <f>IF(Main[[#This Row],[Std. Prod. Lead Time]]="N/A", "",IF(AND(Main[[#This Row],[In Stock Date]]&lt;&gt;"",Main[[#This Row],[Revised Due Date]]&lt;&gt;"",Main[[#This Row],[In Stock Date]]&lt;&gt;""),Main[[#This Row],[In Stock Date]]-Main[[#This Row],[Revised Due Date]],""))</f>
        <v/>
      </c>
      <c r="I755" s="110" t="s">
        <v>4</v>
      </c>
      <c r="J755" s="99" t="s">
        <v>4</v>
      </c>
      <c r="K755" s="99" t="s">
        <v>4</v>
      </c>
      <c r="L755" s="89"/>
      <c r="M755" s="75" t="str">
        <f>IF(Main[[#This Row],[Tech Start Date]]&lt;1/1/1990,"",IF(Main[[#This Row],[Class]]="C",WORKDAY(Main[[#This Row],[Tech Start Date]],9),IF(Main[[#This Row],[Class]]="B", WORKDAY(Main[[#This Row],[Tech Start Date]],6),IF(Main[[#This Row],[Class]]="A",WORKDAY(Main[[#This Row],[Tech Start Date]],2),""))))</f>
        <v/>
      </c>
      <c r="N755" s="75" t="str">
        <f>IF(Main[[#This Row],[Tech Start Date]]&lt;1/1/1990,"",IF(Main[[#This Row],[Class]]="C",WORKDAY(Main[[#This Row],[Tech Start Date]],19),IF(Main[[#This Row],[Class]]="B", WORKDAY(Main[[#This Row],[Tech Start Date]],12),IF(Main[[#This Row],[Class]]="A",WORKDAY(Main[[#This Row],[Tech Start Date]],4),""))))</f>
        <v/>
      </c>
      <c r="O755" s="75" t="str">
        <f>IF(Main[[#This Row],[Tech Start Date]]&lt;1/1/1990,"",IF(Main[[#This Row],[Class]]="C",WORKDAY(Main[[#This Row],[Tech Start Date]],23),IF(Main[[#This Row],[Class]]="B", WORKDAY(Main[[#This Row],[Tech Start Date]],15),IF(Main[[#This Row],[Class]]="A",WORKDAY(Main[[#This Row],[Tech Start Date]],5),""))))</f>
        <v/>
      </c>
      <c r="P755" s="75" t="str">
        <f>IF(Main[[#This Row],[Tech Start Date]]&lt;1/1/1990,"",IF(Main[[#This Row],[Class]]="C",WORKDAY(Main[[#This Row],[Tech Start Date]],28),IF(Main[[#This Row],[Class]]="B", WORKDAY(Main[[#This Row],[Tech Start Date]],19),IF(Main[[#This Row],[Class]]="A",WORKDAY(Main[[#This Row],[Tech Start Date]],9),""))))</f>
        <v/>
      </c>
      <c r="Q755" s="89"/>
      <c r="R755" s="121"/>
      <c r="S755" s="99" t="s">
        <v>11</v>
      </c>
      <c r="T755" s="76" t="s">
        <v>4</v>
      </c>
      <c r="U755" s="99" t="s">
        <v>14</v>
      </c>
      <c r="V755" s="99" t="s">
        <v>1914</v>
      </c>
      <c r="W755" s="99" t="s">
        <v>1921</v>
      </c>
      <c r="X755" s="99" t="s">
        <v>2821</v>
      </c>
      <c r="Y755" s="73" t="s">
        <v>2942</v>
      </c>
      <c r="Z755" s="73" t="s">
        <v>4</v>
      </c>
      <c r="AA755" s="99" t="s">
        <v>2821</v>
      </c>
    </row>
    <row r="756" spans="1:27" ht="17.25" customHeight="1">
      <c r="A756" s="65" t="str">
        <f>IF(priority(Main[[#This Row],[Comments]])&lt;&gt;0, priority(Main[[#This Row],[Comments]]),"")</f>
        <v/>
      </c>
      <c r="B756" s="60" t="s">
        <v>3333</v>
      </c>
      <c r="C756" s="105" t="s">
        <v>4</v>
      </c>
      <c r="D756" s="74" t="s">
        <v>3334</v>
      </c>
      <c r="E756" s="89"/>
      <c r="F756" s="89"/>
      <c r="G756" s="65" t="str">
        <f>IF(stdProdLT(Main[[#This Row],[Comments]])=0.1,"N/A",IF(stdProdLT(Main[[#This Row],[Comments]])=0,"",TRIM(stdProdLT(Main[[#This Row],[Comments]]))))</f>
        <v/>
      </c>
      <c r="H756" s="98" t="str">
        <f>IF(Main[[#This Row],[Std. Prod. Lead Time]]="N/A", "",IF(AND(Main[[#This Row],[In Stock Date]]&lt;&gt;"",Main[[#This Row],[Revised Due Date]]&lt;&gt;"",Main[[#This Row],[In Stock Date]]&lt;&gt;""),Main[[#This Row],[In Stock Date]]-Main[[#This Row],[Revised Due Date]],""))</f>
        <v/>
      </c>
      <c r="I756" s="110" t="s">
        <v>4</v>
      </c>
      <c r="J756" s="99" t="s">
        <v>4</v>
      </c>
      <c r="K756" s="99" t="s">
        <v>4</v>
      </c>
      <c r="L756" s="89"/>
      <c r="M756" s="75" t="str">
        <f>IF(Main[[#This Row],[Tech Start Date]]&lt;1/1/1990,"",IF(Main[[#This Row],[Class]]="C",WORKDAY(Main[[#This Row],[Tech Start Date]],9),IF(Main[[#This Row],[Class]]="B", WORKDAY(Main[[#This Row],[Tech Start Date]],6),IF(Main[[#This Row],[Class]]="A",WORKDAY(Main[[#This Row],[Tech Start Date]],2),""))))</f>
        <v/>
      </c>
      <c r="N756" s="75" t="str">
        <f>IF(Main[[#This Row],[Tech Start Date]]&lt;1/1/1990,"",IF(Main[[#This Row],[Class]]="C",WORKDAY(Main[[#This Row],[Tech Start Date]],19),IF(Main[[#This Row],[Class]]="B", WORKDAY(Main[[#This Row],[Tech Start Date]],12),IF(Main[[#This Row],[Class]]="A",WORKDAY(Main[[#This Row],[Tech Start Date]],4),""))))</f>
        <v/>
      </c>
      <c r="O756" s="75" t="str">
        <f>IF(Main[[#This Row],[Tech Start Date]]&lt;1/1/1990,"",IF(Main[[#This Row],[Class]]="C",WORKDAY(Main[[#This Row],[Tech Start Date]],23),IF(Main[[#This Row],[Class]]="B", WORKDAY(Main[[#This Row],[Tech Start Date]],15),IF(Main[[#This Row],[Class]]="A",WORKDAY(Main[[#This Row],[Tech Start Date]],5),""))))</f>
        <v/>
      </c>
      <c r="P756" s="75" t="str">
        <f>IF(Main[[#This Row],[Tech Start Date]]&lt;1/1/1990,"",IF(Main[[#This Row],[Class]]="C",WORKDAY(Main[[#This Row],[Tech Start Date]],28),IF(Main[[#This Row],[Class]]="B", WORKDAY(Main[[#This Row],[Tech Start Date]],19),IF(Main[[#This Row],[Class]]="A",WORKDAY(Main[[#This Row],[Tech Start Date]],9),""))))</f>
        <v/>
      </c>
      <c r="Q756" s="89"/>
      <c r="R756" s="121"/>
      <c r="S756" s="99" t="s">
        <v>6</v>
      </c>
      <c r="T756" s="76" t="s">
        <v>4</v>
      </c>
      <c r="U756" s="99" t="s">
        <v>14</v>
      </c>
      <c r="V756" s="99" t="s">
        <v>1916</v>
      </c>
      <c r="W756" s="99" t="s">
        <v>4</v>
      </c>
      <c r="X756" s="99" t="s">
        <v>2835</v>
      </c>
      <c r="Y756" s="73" t="s">
        <v>2965</v>
      </c>
      <c r="Z756" s="73" t="s">
        <v>4</v>
      </c>
      <c r="AA756" s="99" t="s">
        <v>2835</v>
      </c>
    </row>
    <row r="757" spans="1:27" ht="17.25" customHeight="1">
      <c r="A757" s="65" t="str">
        <f>IF(priority(Main[[#This Row],[Comments]])&lt;&gt;0, priority(Main[[#This Row],[Comments]]),"")</f>
        <v/>
      </c>
      <c r="B757" s="60" t="s">
        <v>1594</v>
      </c>
      <c r="C757" s="105" t="s">
        <v>4</v>
      </c>
      <c r="D757" s="74" t="s">
        <v>671</v>
      </c>
      <c r="E757" s="89"/>
      <c r="F757" s="89"/>
      <c r="G757" s="65" t="str">
        <f>IF(stdProdLT(Main[[#This Row],[Comments]])=0.1,"N/A",IF(stdProdLT(Main[[#This Row],[Comments]])=0,"",TRIM(stdProdLT(Main[[#This Row],[Comments]]))))</f>
        <v/>
      </c>
      <c r="H757" s="98" t="str">
        <f>IF(Main[[#This Row],[Std. Prod. Lead Time]]="N/A", "",IF(AND(Main[[#This Row],[In Stock Date]]&lt;&gt;"",Main[[#This Row],[Revised Due Date]]&lt;&gt;"",Main[[#This Row],[In Stock Date]]&lt;&gt;""),Main[[#This Row],[In Stock Date]]-Main[[#This Row],[Revised Due Date]],""))</f>
        <v/>
      </c>
      <c r="I757" s="110" t="s">
        <v>4</v>
      </c>
      <c r="J757" s="99" t="s">
        <v>28</v>
      </c>
      <c r="K757" s="99" t="s">
        <v>4</v>
      </c>
      <c r="L757" s="89"/>
      <c r="M757" s="75" t="str">
        <f>IF(Main[[#This Row],[Tech Start Date]]&lt;1/1/1990,"",IF(Main[[#This Row],[Class]]="C",WORKDAY(Main[[#This Row],[Tech Start Date]],9),IF(Main[[#This Row],[Class]]="B", WORKDAY(Main[[#This Row],[Tech Start Date]],6),IF(Main[[#This Row],[Class]]="A",WORKDAY(Main[[#This Row],[Tech Start Date]],2),""))))</f>
        <v/>
      </c>
      <c r="N757" s="75" t="str">
        <f>IF(Main[[#This Row],[Tech Start Date]]&lt;1/1/1990,"",IF(Main[[#This Row],[Class]]="C",WORKDAY(Main[[#This Row],[Tech Start Date]],19),IF(Main[[#This Row],[Class]]="B", WORKDAY(Main[[#This Row],[Tech Start Date]],12),IF(Main[[#This Row],[Class]]="A",WORKDAY(Main[[#This Row],[Tech Start Date]],4),""))))</f>
        <v/>
      </c>
      <c r="O757" s="75" t="str">
        <f>IF(Main[[#This Row],[Tech Start Date]]&lt;1/1/1990,"",IF(Main[[#This Row],[Class]]="C",WORKDAY(Main[[#This Row],[Tech Start Date]],23),IF(Main[[#This Row],[Class]]="B", WORKDAY(Main[[#This Row],[Tech Start Date]],15),IF(Main[[#This Row],[Class]]="A",WORKDAY(Main[[#This Row],[Tech Start Date]],5),""))))</f>
        <v/>
      </c>
      <c r="P757" s="75" t="str">
        <f>IF(Main[[#This Row],[Tech Start Date]]&lt;1/1/1990,"",IF(Main[[#This Row],[Class]]="C",WORKDAY(Main[[#This Row],[Tech Start Date]],28),IF(Main[[#This Row],[Class]]="B", WORKDAY(Main[[#This Row],[Tech Start Date]],19),IF(Main[[#This Row],[Class]]="A",WORKDAY(Main[[#This Row],[Tech Start Date]],9),""))))</f>
        <v/>
      </c>
      <c r="Q757" s="89">
        <v>40471</v>
      </c>
      <c r="R757" s="121"/>
      <c r="S757" s="99" t="s">
        <v>296</v>
      </c>
      <c r="T757" s="76" t="s">
        <v>4</v>
      </c>
      <c r="U757" s="99" t="s">
        <v>14</v>
      </c>
      <c r="V757" s="99" t="s">
        <v>1923</v>
      </c>
      <c r="W757" s="99" t="s">
        <v>1915</v>
      </c>
      <c r="X757" s="99" t="s">
        <v>2841</v>
      </c>
      <c r="Y757" s="73" t="s">
        <v>2972</v>
      </c>
      <c r="Z757" s="73" t="s">
        <v>530</v>
      </c>
      <c r="AA757" s="99" t="s">
        <v>2841</v>
      </c>
    </row>
    <row r="758" spans="1:27" ht="17.25" customHeight="1">
      <c r="A758" s="65" t="str">
        <f>IF(priority(Main[[#This Row],[Comments]])&lt;&gt;0, priority(Main[[#This Row],[Comments]]),"")</f>
        <v/>
      </c>
      <c r="B758" s="60" t="s">
        <v>1608</v>
      </c>
      <c r="C758" s="105" t="s">
        <v>4</v>
      </c>
      <c r="D758" s="74" t="s">
        <v>682</v>
      </c>
      <c r="E758" s="89"/>
      <c r="F758" s="89"/>
      <c r="G758" s="65" t="str">
        <f>IF(stdProdLT(Main[[#This Row],[Comments]])=0.1,"N/A",IF(stdProdLT(Main[[#This Row],[Comments]])=0,"",TRIM(stdProdLT(Main[[#This Row],[Comments]]))))</f>
        <v/>
      </c>
      <c r="H758" s="98" t="str">
        <f>IF(Main[[#This Row],[Std. Prod. Lead Time]]="N/A", "",IF(AND(Main[[#This Row],[In Stock Date]]&lt;&gt;"",Main[[#This Row],[Revised Due Date]]&lt;&gt;"",Main[[#This Row],[In Stock Date]]&lt;&gt;""),Main[[#This Row],[In Stock Date]]-Main[[#This Row],[Revised Due Date]],""))</f>
        <v/>
      </c>
      <c r="I758" s="110" t="s">
        <v>4</v>
      </c>
      <c r="J758" s="99" t="s">
        <v>4</v>
      </c>
      <c r="K758" s="100" t="s">
        <v>4</v>
      </c>
      <c r="L758" s="89"/>
      <c r="M758" s="75" t="str">
        <f>IF(Main[[#This Row],[Tech Start Date]]&lt;1/1/1990,"",IF(Main[[#This Row],[Class]]="C",WORKDAY(Main[[#This Row],[Tech Start Date]],9),IF(Main[[#This Row],[Class]]="B", WORKDAY(Main[[#This Row],[Tech Start Date]],6),IF(Main[[#This Row],[Class]]="A",WORKDAY(Main[[#This Row],[Tech Start Date]],2),""))))</f>
        <v/>
      </c>
      <c r="N758" s="75" t="str">
        <f>IF(Main[[#This Row],[Tech Start Date]]&lt;1/1/1990,"",IF(Main[[#This Row],[Class]]="C",WORKDAY(Main[[#This Row],[Tech Start Date]],19),IF(Main[[#This Row],[Class]]="B", WORKDAY(Main[[#This Row],[Tech Start Date]],12),IF(Main[[#This Row],[Class]]="A",WORKDAY(Main[[#This Row],[Tech Start Date]],4),""))))</f>
        <v/>
      </c>
      <c r="O758" s="75" t="str">
        <f>IF(Main[[#This Row],[Tech Start Date]]&lt;1/1/1990,"",IF(Main[[#This Row],[Class]]="C",WORKDAY(Main[[#This Row],[Tech Start Date]],23),IF(Main[[#This Row],[Class]]="B", WORKDAY(Main[[#This Row],[Tech Start Date]],15),IF(Main[[#This Row],[Class]]="A",WORKDAY(Main[[#This Row],[Tech Start Date]],5),""))))</f>
        <v/>
      </c>
      <c r="P758" s="75" t="str">
        <f>IF(Main[[#This Row],[Tech Start Date]]&lt;1/1/1990,"",IF(Main[[#This Row],[Class]]="C",WORKDAY(Main[[#This Row],[Tech Start Date]],28),IF(Main[[#This Row],[Class]]="B", WORKDAY(Main[[#This Row],[Tech Start Date]],19),IF(Main[[#This Row],[Class]]="A",WORKDAY(Main[[#This Row],[Tech Start Date]],9),""))))</f>
        <v/>
      </c>
      <c r="Q758" s="89"/>
      <c r="R758" s="121"/>
      <c r="S758" s="99" t="s">
        <v>23</v>
      </c>
      <c r="T758" s="76" t="s">
        <v>4</v>
      </c>
      <c r="U758" s="99" t="s">
        <v>14</v>
      </c>
      <c r="V758" s="99" t="s">
        <v>1923</v>
      </c>
      <c r="W758" s="99" t="s">
        <v>1917</v>
      </c>
      <c r="X758" s="99" t="s">
        <v>102</v>
      </c>
      <c r="Y758" s="73" t="s">
        <v>3081</v>
      </c>
      <c r="Z758" s="73" t="s">
        <v>4</v>
      </c>
      <c r="AA758" s="99" t="s">
        <v>3420</v>
      </c>
    </row>
    <row r="759" spans="1:27" ht="17.25" customHeight="1">
      <c r="A759" s="65" t="str">
        <f>IF(priority(Main[[#This Row],[Comments]])&lt;&gt;0, priority(Main[[#This Row],[Comments]]),"")</f>
        <v/>
      </c>
      <c r="B759" s="60" t="s">
        <v>1609</v>
      </c>
      <c r="C759" s="105" t="s">
        <v>4</v>
      </c>
      <c r="D759" s="74" t="s">
        <v>683</v>
      </c>
      <c r="E759" s="89">
        <v>40464.400208333333</v>
      </c>
      <c r="F759" s="89"/>
      <c r="G759" s="65" t="str">
        <f>IF(stdProdLT(Main[[#This Row],[Comments]])=0.1,"N/A",IF(stdProdLT(Main[[#This Row],[Comments]])=0,"",TRIM(stdProdLT(Main[[#This Row],[Comments]]))))</f>
        <v/>
      </c>
      <c r="H759" s="98" t="str">
        <f>IF(Main[[#This Row],[Std. Prod. Lead Time]]="N/A", "",IF(AND(Main[[#This Row],[In Stock Date]]&lt;&gt;"",Main[[#This Row],[Revised Due Date]]&lt;&gt;"",Main[[#This Row],[In Stock Date]]&lt;&gt;""),Main[[#This Row],[In Stock Date]]-Main[[#This Row],[Revised Due Date]],""))</f>
        <v/>
      </c>
      <c r="I759" s="110" t="s">
        <v>4</v>
      </c>
      <c r="J759" s="99" t="s">
        <v>4</v>
      </c>
      <c r="K759" s="100" t="s">
        <v>4</v>
      </c>
      <c r="L759" s="89"/>
      <c r="M759" s="75" t="str">
        <f>IF(Main[[#This Row],[Tech Start Date]]&lt;1/1/1990,"",IF(Main[[#This Row],[Class]]="C",WORKDAY(Main[[#This Row],[Tech Start Date]],9),IF(Main[[#This Row],[Class]]="B", WORKDAY(Main[[#This Row],[Tech Start Date]],6),IF(Main[[#This Row],[Class]]="A",WORKDAY(Main[[#This Row],[Tech Start Date]],2),""))))</f>
        <v/>
      </c>
      <c r="N759" s="75" t="str">
        <f>IF(Main[[#This Row],[Tech Start Date]]&lt;1/1/1990,"",IF(Main[[#This Row],[Class]]="C",WORKDAY(Main[[#This Row],[Tech Start Date]],19),IF(Main[[#This Row],[Class]]="B", WORKDAY(Main[[#This Row],[Tech Start Date]],12),IF(Main[[#This Row],[Class]]="A",WORKDAY(Main[[#This Row],[Tech Start Date]],4),""))))</f>
        <v/>
      </c>
      <c r="O759" s="75" t="str">
        <f>IF(Main[[#This Row],[Tech Start Date]]&lt;1/1/1990,"",IF(Main[[#This Row],[Class]]="C",WORKDAY(Main[[#This Row],[Tech Start Date]],23),IF(Main[[#This Row],[Class]]="B", WORKDAY(Main[[#This Row],[Tech Start Date]],15),IF(Main[[#This Row],[Class]]="A",WORKDAY(Main[[#This Row],[Tech Start Date]],5),""))))</f>
        <v/>
      </c>
      <c r="P759" s="75" t="str">
        <f>IF(Main[[#This Row],[Tech Start Date]]&lt;1/1/1990,"",IF(Main[[#This Row],[Class]]="C",WORKDAY(Main[[#This Row],[Tech Start Date]],28),IF(Main[[#This Row],[Class]]="B", WORKDAY(Main[[#This Row],[Tech Start Date]],19),IF(Main[[#This Row],[Class]]="A",WORKDAY(Main[[#This Row],[Tech Start Date]],9),""))))</f>
        <v/>
      </c>
      <c r="Q759" s="89">
        <v>40512</v>
      </c>
      <c r="R759" s="121"/>
      <c r="S759" s="99" t="s">
        <v>6</v>
      </c>
      <c r="T759" s="76" t="s">
        <v>4</v>
      </c>
      <c r="U759" s="99" t="s">
        <v>7</v>
      </c>
      <c r="V759" s="99" t="s">
        <v>1913</v>
      </c>
      <c r="W759" s="99" t="s">
        <v>4</v>
      </c>
      <c r="X759" s="99" t="s">
        <v>2813</v>
      </c>
      <c r="Y759" s="73" t="s">
        <v>2926</v>
      </c>
      <c r="Z759" s="73" t="s">
        <v>4</v>
      </c>
      <c r="AA759" s="99" t="s">
        <v>2813</v>
      </c>
    </row>
    <row r="760" spans="1:27" ht="17.25" customHeight="1">
      <c r="A760" s="65" t="str">
        <f>IF(priority(Main[[#This Row],[Comments]])&lt;&gt;0, priority(Main[[#This Row],[Comments]]),"")</f>
        <v/>
      </c>
      <c r="B760" s="60" t="s">
        <v>1843</v>
      </c>
      <c r="C760" s="105" t="s">
        <v>67</v>
      </c>
      <c r="D760" s="74" t="s">
        <v>901</v>
      </c>
      <c r="E760" s="89"/>
      <c r="F760" s="89"/>
      <c r="G760" s="65" t="str">
        <f>IF(stdProdLT(Main[[#This Row],[Comments]])=0.1,"N/A",IF(stdProdLT(Main[[#This Row],[Comments]])=0,"",TRIM(stdProdLT(Main[[#This Row],[Comments]]))))</f>
        <v/>
      </c>
      <c r="H760" s="98" t="str">
        <f>IF(Main[[#This Row],[Std. Prod. Lead Time]]="N/A", "",IF(AND(Main[[#This Row],[In Stock Date]]&lt;&gt;"",Main[[#This Row],[Revised Due Date]]&lt;&gt;"",Main[[#This Row],[In Stock Date]]&lt;&gt;""),Main[[#This Row],[In Stock Date]]-Main[[#This Row],[Revised Due Date]],""))</f>
        <v/>
      </c>
      <c r="I760" s="110" t="s">
        <v>163</v>
      </c>
      <c r="J760" s="99" t="s">
        <v>4</v>
      </c>
      <c r="K760" s="99" t="s">
        <v>1925</v>
      </c>
      <c r="L760" s="89"/>
      <c r="M760" s="75" t="str">
        <f>IF(Main[[#This Row],[Tech Start Date]]&lt;1/1/1990,"",IF(Main[[#This Row],[Class]]="C",WORKDAY(Main[[#This Row],[Tech Start Date]],9),IF(Main[[#This Row],[Class]]="B", WORKDAY(Main[[#This Row],[Tech Start Date]],6),IF(Main[[#This Row],[Class]]="A",WORKDAY(Main[[#This Row],[Tech Start Date]],2),""))))</f>
        <v/>
      </c>
      <c r="N760" s="75" t="str">
        <f>IF(Main[[#This Row],[Tech Start Date]]&lt;1/1/1990,"",IF(Main[[#This Row],[Class]]="C",WORKDAY(Main[[#This Row],[Tech Start Date]],19),IF(Main[[#This Row],[Class]]="B", WORKDAY(Main[[#This Row],[Tech Start Date]],12),IF(Main[[#This Row],[Class]]="A",WORKDAY(Main[[#This Row],[Tech Start Date]],4),""))))</f>
        <v/>
      </c>
      <c r="O760" s="75" t="str">
        <f>IF(Main[[#This Row],[Tech Start Date]]&lt;1/1/1990,"",IF(Main[[#This Row],[Class]]="C",WORKDAY(Main[[#This Row],[Tech Start Date]],23),IF(Main[[#This Row],[Class]]="B", WORKDAY(Main[[#This Row],[Tech Start Date]],15),IF(Main[[#This Row],[Class]]="A",WORKDAY(Main[[#This Row],[Tech Start Date]],5),""))))</f>
        <v/>
      </c>
      <c r="P760" s="75" t="str">
        <f>IF(Main[[#This Row],[Tech Start Date]]&lt;1/1/1990,"",IF(Main[[#This Row],[Class]]="C",WORKDAY(Main[[#This Row],[Tech Start Date]],28),IF(Main[[#This Row],[Class]]="B", WORKDAY(Main[[#This Row],[Tech Start Date]],19),IF(Main[[#This Row],[Class]]="A",WORKDAY(Main[[#This Row],[Tech Start Date]],9),""))))</f>
        <v/>
      </c>
      <c r="Q760" s="89">
        <v>39990</v>
      </c>
      <c r="R760" s="121">
        <v>40497</v>
      </c>
      <c r="S760" s="99" t="s">
        <v>17</v>
      </c>
      <c r="T760" s="76" t="s">
        <v>4</v>
      </c>
      <c r="U760" s="99" t="s">
        <v>14</v>
      </c>
      <c r="V760" s="99" t="s">
        <v>1916</v>
      </c>
      <c r="W760" s="99" t="s">
        <v>1918</v>
      </c>
      <c r="X760" s="99" t="s">
        <v>2814</v>
      </c>
      <c r="Y760" s="73" t="s">
        <v>2928</v>
      </c>
      <c r="Z760" s="73" t="s">
        <v>415</v>
      </c>
      <c r="AA760" s="99" t="s">
        <v>3373</v>
      </c>
    </row>
    <row r="761" spans="1:27" ht="17.25" customHeight="1">
      <c r="A761" s="65" t="str">
        <f>IF(priority(Main[[#This Row],[Comments]])&lt;&gt;0, priority(Main[[#This Row],[Comments]]),"")</f>
        <v/>
      </c>
      <c r="B761" s="60" t="s">
        <v>1595</v>
      </c>
      <c r="C761" s="105" t="s">
        <v>31</v>
      </c>
      <c r="D761" s="74" t="s">
        <v>672</v>
      </c>
      <c r="E761" s="89"/>
      <c r="F761" s="89">
        <v>40725</v>
      </c>
      <c r="G761" s="65" t="str">
        <f>IF(stdProdLT(Main[[#This Row],[Comments]])=0.1,"N/A",IF(stdProdLT(Main[[#This Row],[Comments]])=0,"",TRIM(stdProdLT(Main[[#This Row],[Comments]]))))</f>
        <v/>
      </c>
      <c r="H761" s="98" t="str">
        <f>IF(Main[[#This Row],[Std. Prod. Lead Time]]="N/A", "",IF(AND(Main[[#This Row],[In Stock Date]]&lt;&gt;"",Main[[#This Row],[Revised Due Date]]&lt;&gt;"",Main[[#This Row],[In Stock Date]]&lt;&gt;""),Main[[#This Row],[In Stock Date]]-Main[[#This Row],[Revised Due Date]],""))</f>
        <v/>
      </c>
      <c r="I761" s="110" t="s">
        <v>4</v>
      </c>
      <c r="J761" s="99" t="s">
        <v>4</v>
      </c>
      <c r="K761" s="99" t="s">
        <v>4</v>
      </c>
      <c r="L761" s="89"/>
      <c r="M761" s="75" t="str">
        <f>IF(Main[[#This Row],[Tech Start Date]]&lt;1/1/1990,"",IF(Main[[#This Row],[Class]]="C",WORKDAY(Main[[#This Row],[Tech Start Date]],9),IF(Main[[#This Row],[Class]]="B", WORKDAY(Main[[#This Row],[Tech Start Date]],6),IF(Main[[#This Row],[Class]]="A",WORKDAY(Main[[#This Row],[Tech Start Date]],2),""))))</f>
        <v/>
      </c>
      <c r="N761" s="75" t="str">
        <f>IF(Main[[#This Row],[Tech Start Date]]&lt;1/1/1990,"",IF(Main[[#This Row],[Class]]="C",WORKDAY(Main[[#This Row],[Tech Start Date]],19),IF(Main[[#This Row],[Class]]="B", WORKDAY(Main[[#This Row],[Tech Start Date]],12),IF(Main[[#This Row],[Class]]="A",WORKDAY(Main[[#This Row],[Tech Start Date]],4),""))))</f>
        <v/>
      </c>
      <c r="O761" s="75" t="str">
        <f>IF(Main[[#This Row],[Tech Start Date]]&lt;1/1/1990,"",IF(Main[[#This Row],[Class]]="C",WORKDAY(Main[[#This Row],[Tech Start Date]],23),IF(Main[[#This Row],[Class]]="B", WORKDAY(Main[[#This Row],[Tech Start Date]],15),IF(Main[[#This Row],[Class]]="A",WORKDAY(Main[[#This Row],[Tech Start Date]],5),""))))</f>
        <v/>
      </c>
      <c r="P761" s="75" t="str">
        <f>IF(Main[[#This Row],[Tech Start Date]]&lt;1/1/1990,"",IF(Main[[#This Row],[Class]]="C",WORKDAY(Main[[#This Row],[Tech Start Date]],28),IF(Main[[#This Row],[Class]]="B", WORKDAY(Main[[#This Row],[Tech Start Date]],19),IF(Main[[#This Row],[Class]]="A",WORKDAY(Main[[#This Row],[Tech Start Date]],9),""))))</f>
        <v/>
      </c>
      <c r="Q761" s="89">
        <v>40634</v>
      </c>
      <c r="R761" s="121"/>
      <c r="S761" s="99" t="s">
        <v>11</v>
      </c>
      <c r="T761" s="76" t="s">
        <v>4</v>
      </c>
      <c r="U761" s="99" t="s">
        <v>14</v>
      </c>
      <c r="V761" s="99" t="s">
        <v>1916</v>
      </c>
      <c r="W761" s="99" t="s">
        <v>1919</v>
      </c>
      <c r="X761" s="99" t="s">
        <v>2839</v>
      </c>
      <c r="Y761" s="73" t="s">
        <v>3059</v>
      </c>
      <c r="Z761" s="73" t="s">
        <v>4</v>
      </c>
      <c r="AA761" s="99" t="s">
        <v>2839</v>
      </c>
    </row>
    <row r="762" spans="1:27" ht="17.25" customHeight="1">
      <c r="A762" s="65" t="str">
        <f>IF(priority(Main[[#This Row],[Comments]])&lt;&gt;0, priority(Main[[#This Row],[Comments]]),"")</f>
        <v/>
      </c>
      <c r="B762" s="60" t="s">
        <v>1708</v>
      </c>
      <c r="C762" s="105" t="s">
        <v>31</v>
      </c>
      <c r="D762" s="74" t="s">
        <v>768</v>
      </c>
      <c r="E762" s="89"/>
      <c r="F762" s="89">
        <v>40664</v>
      </c>
      <c r="G762" s="65" t="str">
        <f>IF(stdProdLT(Main[[#This Row],[Comments]])=0.1,"N/A",IF(stdProdLT(Main[[#This Row],[Comments]])=0,"",TRIM(stdProdLT(Main[[#This Row],[Comments]]))))</f>
        <v/>
      </c>
      <c r="H762" s="98" t="str">
        <f>IF(Main[[#This Row],[Std. Prod. Lead Time]]="N/A", "",IF(AND(Main[[#This Row],[In Stock Date]]&lt;&gt;"",Main[[#This Row],[Revised Due Date]]&lt;&gt;"",Main[[#This Row],[In Stock Date]]&lt;&gt;""),Main[[#This Row],[In Stock Date]]-Main[[#This Row],[Revised Due Date]],""))</f>
        <v/>
      </c>
      <c r="I762" s="110" t="s">
        <v>4</v>
      </c>
      <c r="J762" s="99" t="s">
        <v>28</v>
      </c>
      <c r="K762" s="99" t="s">
        <v>4</v>
      </c>
      <c r="L762" s="89"/>
      <c r="M762" s="75" t="str">
        <f>IF(Main[[#This Row],[Tech Start Date]]&lt;1/1/1990,"",IF(Main[[#This Row],[Class]]="C",WORKDAY(Main[[#This Row],[Tech Start Date]],9),IF(Main[[#This Row],[Class]]="B", WORKDAY(Main[[#This Row],[Tech Start Date]],6),IF(Main[[#This Row],[Class]]="A",WORKDAY(Main[[#This Row],[Tech Start Date]],2),""))))</f>
        <v/>
      </c>
      <c r="N762" s="75" t="str">
        <f>IF(Main[[#This Row],[Tech Start Date]]&lt;1/1/1990,"",IF(Main[[#This Row],[Class]]="C",WORKDAY(Main[[#This Row],[Tech Start Date]],19),IF(Main[[#This Row],[Class]]="B", WORKDAY(Main[[#This Row],[Tech Start Date]],12),IF(Main[[#This Row],[Class]]="A",WORKDAY(Main[[#This Row],[Tech Start Date]],4),""))))</f>
        <v/>
      </c>
      <c r="O762" s="75" t="str">
        <f>IF(Main[[#This Row],[Tech Start Date]]&lt;1/1/1990,"",IF(Main[[#This Row],[Class]]="C",WORKDAY(Main[[#This Row],[Tech Start Date]],23),IF(Main[[#This Row],[Class]]="B", WORKDAY(Main[[#This Row],[Tech Start Date]],15),IF(Main[[#This Row],[Class]]="A",WORKDAY(Main[[#This Row],[Tech Start Date]],5),""))))</f>
        <v/>
      </c>
      <c r="P762" s="75" t="str">
        <f>IF(Main[[#This Row],[Tech Start Date]]&lt;1/1/1990,"",IF(Main[[#This Row],[Class]]="C",WORKDAY(Main[[#This Row],[Tech Start Date]],28),IF(Main[[#This Row],[Class]]="B", WORKDAY(Main[[#This Row],[Tech Start Date]],19),IF(Main[[#This Row],[Class]]="A",WORKDAY(Main[[#This Row],[Tech Start Date]],9),""))))</f>
        <v/>
      </c>
      <c r="Q762" s="89">
        <v>40589</v>
      </c>
      <c r="R762" s="121"/>
      <c r="S762" s="99" t="s">
        <v>11</v>
      </c>
      <c r="T762" s="76" t="s">
        <v>4</v>
      </c>
      <c r="U762" s="99" t="s">
        <v>14</v>
      </c>
      <c r="V762" s="99" t="s">
        <v>1916</v>
      </c>
      <c r="W762" s="99" t="s">
        <v>1919</v>
      </c>
      <c r="X762" s="99" t="s">
        <v>50</v>
      </c>
      <c r="Y762" s="73" t="s">
        <v>3114</v>
      </c>
      <c r="Z762" s="73" t="s">
        <v>30</v>
      </c>
      <c r="AA762" s="99" t="s">
        <v>2819</v>
      </c>
    </row>
    <row r="763" spans="1:27" ht="17.25" customHeight="1">
      <c r="A763" s="65" t="str">
        <f>IF(priority(Main[[#This Row],[Comments]])&lt;&gt;0, priority(Main[[#This Row],[Comments]]),"")</f>
        <v/>
      </c>
      <c r="B763" s="60" t="s">
        <v>3594</v>
      </c>
      <c r="C763" s="105" t="s">
        <v>3595</v>
      </c>
      <c r="D763" s="74" t="s">
        <v>3596</v>
      </c>
      <c r="E763" s="89">
        <v>40960.213784722226</v>
      </c>
      <c r="F763" s="89">
        <v>41146</v>
      </c>
      <c r="G763" s="65" t="str">
        <f>IF(stdProdLT(Main[[#This Row],[Comments]])=0.1,"N/A",IF(stdProdLT(Main[[#This Row],[Comments]])=0,"",TRIM(stdProdLT(Main[[#This Row],[Comments]]))))</f>
        <v>126</v>
      </c>
      <c r="H763" s="98" t="str">
        <f>IF(Main[[#This Row],[Std. Prod. Lead Time]]="N/A", "",IF(AND(Main[[#This Row],[In Stock Date]]&lt;&gt;"",Main[[#This Row],[Revised Due Date]]&lt;&gt;"",Main[[#This Row],[In Stock Date]]&lt;&gt;""),Main[[#This Row],[In Stock Date]]-Main[[#This Row],[Revised Due Date]],""))</f>
        <v/>
      </c>
      <c r="I763" s="110" t="s">
        <v>4</v>
      </c>
      <c r="J763" s="99" t="s">
        <v>4</v>
      </c>
      <c r="K763" s="99" t="s">
        <v>4</v>
      </c>
      <c r="L763" s="89"/>
      <c r="M763" s="75" t="str">
        <f>IF(Main[[#This Row],[Tech Start Date]]&lt;1/1/1990,"",IF(Main[[#This Row],[Class]]="C",WORKDAY(Main[[#This Row],[Tech Start Date]],9),IF(Main[[#This Row],[Class]]="B", WORKDAY(Main[[#This Row],[Tech Start Date]],6),IF(Main[[#This Row],[Class]]="A",WORKDAY(Main[[#This Row],[Tech Start Date]],2),""))))</f>
        <v/>
      </c>
      <c r="N763" s="75" t="str">
        <f>IF(Main[[#This Row],[Tech Start Date]]&lt;1/1/1990,"",IF(Main[[#This Row],[Class]]="C",WORKDAY(Main[[#This Row],[Tech Start Date]],19),IF(Main[[#This Row],[Class]]="B", WORKDAY(Main[[#This Row],[Tech Start Date]],12),IF(Main[[#This Row],[Class]]="A",WORKDAY(Main[[#This Row],[Tech Start Date]],4),""))))</f>
        <v/>
      </c>
      <c r="O763" s="75" t="str">
        <f>IF(Main[[#This Row],[Tech Start Date]]&lt;1/1/1990,"",IF(Main[[#This Row],[Class]]="C",WORKDAY(Main[[#This Row],[Tech Start Date]],23),IF(Main[[#This Row],[Class]]="B", WORKDAY(Main[[#This Row],[Tech Start Date]],15),IF(Main[[#This Row],[Class]]="A",WORKDAY(Main[[#This Row],[Tech Start Date]],5),""))))</f>
        <v/>
      </c>
      <c r="P763" s="75" t="str">
        <f>IF(Main[[#This Row],[Tech Start Date]]&lt;1/1/1990,"",IF(Main[[#This Row],[Class]]="C",WORKDAY(Main[[#This Row],[Tech Start Date]],28),IF(Main[[#This Row],[Class]]="B", WORKDAY(Main[[#This Row],[Tech Start Date]],19),IF(Main[[#This Row],[Class]]="A",WORKDAY(Main[[#This Row],[Tech Start Date]],9),""))))</f>
        <v/>
      </c>
      <c r="Q763" s="89"/>
      <c r="R763" s="121"/>
      <c r="S763" s="99" t="s">
        <v>11</v>
      </c>
      <c r="T763" s="76" t="s">
        <v>3597</v>
      </c>
      <c r="U763" s="99" t="s">
        <v>694</v>
      </c>
      <c r="V763" s="99" t="s">
        <v>1916</v>
      </c>
      <c r="W763" s="99" t="s">
        <v>1918</v>
      </c>
      <c r="X763" s="99" t="s">
        <v>2887</v>
      </c>
      <c r="Y763" s="73" t="s">
        <v>3049</v>
      </c>
      <c r="Z763" s="73" t="s">
        <v>4</v>
      </c>
      <c r="AA763" s="99" t="s">
        <v>2887</v>
      </c>
    </row>
    <row r="764" spans="1:27" ht="17.25" customHeight="1">
      <c r="A764" s="65" t="str">
        <f>IF(priority(Main[[#This Row],[Comments]])&lt;&gt;0, priority(Main[[#This Row],[Comments]]),"")</f>
        <v/>
      </c>
      <c r="B764" s="60" t="s">
        <v>1596</v>
      </c>
      <c r="C764" s="105" t="s">
        <v>4</v>
      </c>
      <c r="D764" s="74" t="s">
        <v>673</v>
      </c>
      <c r="E764" s="89"/>
      <c r="F764" s="89"/>
      <c r="G764" s="65" t="str">
        <f>IF(stdProdLT(Main[[#This Row],[Comments]])=0.1,"N/A",IF(stdProdLT(Main[[#This Row],[Comments]])=0,"",TRIM(stdProdLT(Main[[#This Row],[Comments]]))))</f>
        <v/>
      </c>
      <c r="H764" s="98" t="str">
        <f>IF(Main[[#This Row],[Std. Prod. Lead Time]]="N/A", "",IF(AND(Main[[#This Row],[In Stock Date]]&lt;&gt;"",Main[[#This Row],[Revised Due Date]]&lt;&gt;"",Main[[#This Row],[In Stock Date]]&lt;&gt;""),Main[[#This Row],[In Stock Date]]-Main[[#This Row],[Revised Due Date]],""))</f>
        <v/>
      </c>
      <c r="I764" s="110" t="s">
        <v>102</v>
      </c>
      <c r="J764" s="99" t="s">
        <v>4</v>
      </c>
      <c r="K764" s="99" t="s">
        <v>1920</v>
      </c>
      <c r="L764" s="89"/>
      <c r="M764" s="75" t="str">
        <f>IF(Main[[#This Row],[Tech Start Date]]&lt;1/1/1990,"",IF(Main[[#This Row],[Class]]="C",WORKDAY(Main[[#This Row],[Tech Start Date]],9),IF(Main[[#This Row],[Class]]="B", WORKDAY(Main[[#This Row],[Tech Start Date]],6),IF(Main[[#This Row],[Class]]="A",WORKDAY(Main[[#This Row],[Tech Start Date]],2),""))))</f>
        <v/>
      </c>
      <c r="N764" s="75" t="str">
        <f>IF(Main[[#This Row],[Tech Start Date]]&lt;1/1/1990,"",IF(Main[[#This Row],[Class]]="C",WORKDAY(Main[[#This Row],[Tech Start Date]],19),IF(Main[[#This Row],[Class]]="B", WORKDAY(Main[[#This Row],[Tech Start Date]],12),IF(Main[[#This Row],[Class]]="A",WORKDAY(Main[[#This Row],[Tech Start Date]],4),""))))</f>
        <v/>
      </c>
      <c r="O764" s="75" t="str">
        <f>IF(Main[[#This Row],[Tech Start Date]]&lt;1/1/1990,"",IF(Main[[#This Row],[Class]]="C",WORKDAY(Main[[#This Row],[Tech Start Date]],23),IF(Main[[#This Row],[Class]]="B", WORKDAY(Main[[#This Row],[Tech Start Date]],15),IF(Main[[#This Row],[Class]]="A",WORKDAY(Main[[#This Row],[Tech Start Date]],5),""))))</f>
        <v/>
      </c>
      <c r="P764" s="75" t="str">
        <f>IF(Main[[#This Row],[Tech Start Date]]&lt;1/1/1990,"",IF(Main[[#This Row],[Class]]="C",WORKDAY(Main[[#This Row],[Tech Start Date]],28),IF(Main[[#This Row],[Class]]="B", WORKDAY(Main[[#This Row],[Tech Start Date]],19),IF(Main[[#This Row],[Class]]="A",WORKDAY(Main[[#This Row],[Tech Start Date]],9),""))))</f>
        <v/>
      </c>
      <c r="Q764" s="89"/>
      <c r="R764" s="121"/>
      <c r="S764" s="99" t="s">
        <v>23</v>
      </c>
      <c r="T764" s="76" t="s">
        <v>4</v>
      </c>
      <c r="U764" s="99" t="s">
        <v>14</v>
      </c>
      <c r="V764" s="99" t="s">
        <v>1913</v>
      </c>
      <c r="W764" s="99" t="s">
        <v>1917</v>
      </c>
      <c r="X764" s="99" t="s">
        <v>306</v>
      </c>
      <c r="Y764" s="73" t="s">
        <v>4</v>
      </c>
      <c r="Z764" s="73" t="s">
        <v>4</v>
      </c>
      <c r="AA764" s="99" t="s">
        <v>3420</v>
      </c>
    </row>
    <row r="765" spans="1:27" ht="17.25" customHeight="1">
      <c r="A765" s="65" t="str">
        <f>IF(priority(Main[[#This Row],[Comments]])&lt;&gt;0, priority(Main[[#This Row],[Comments]]),"")</f>
        <v/>
      </c>
      <c r="B765" s="60" t="s">
        <v>1597</v>
      </c>
      <c r="C765" s="105" t="s">
        <v>4</v>
      </c>
      <c r="D765" s="74" t="s">
        <v>674</v>
      </c>
      <c r="E765" s="89">
        <v>40491.714780092596</v>
      </c>
      <c r="F765" s="89"/>
      <c r="G765" s="65" t="str">
        <f>IF(stdProdLT(Main[[#This Row],[Comments]])=0.1,"N/A",IF(stdProdLT(Main[[#This Row],[Comments]])=0,"",TRIM(stdProdLT(Main[[#This Row],[Comments]]))))</f>
        <v/>
      </c>
      <c r="H765" s="98" t="str">
        <f>IF(Main[[#This Row],[Std. Prod. Lead Time]]="N/A", "",IF(AND(Main[[#This Row],[In Stock Date]]&lt;&gt;"",Main[[#This Row],[Revised Due Date]]&lt;&gt;"",Main[[#This Row],[In Stock Date]]&lt;&gt;""),Main[[#This Row],[In Stock Date]]-Main[[#This Row],[Revised Due Date]],""))</f>
        <v/>
      </c>
      <c r="I765" s="110" t="s">
        <v>4</v>
      </c>
      <c r="J765" s="99" t="s">
        <v>28</v>
      </c>
      <c r="K765" s="99" t="s">
        <v>1920</v>
      </c>
      <c r="L765" s="89"/>
      <c r="M765" s="75" t="str">
        <f>IF(Main[[#This Row],[Tech Start Date]]&lt;1/1/1990,"",IF(Main[[#This Row],[Class]]="C",WORKDAY(Main[[#This Row],[Tech Start Date]],9),IF(Main[[#This Row],[Class]]="B", WORKDAY(Main[[#This Row],[Tech Start Date]],6),IF(Main[[#This Row],[Class]]="A",WORKDAY(Main[[#This Row],[Tech Start Date]],2),""))))</f>
        <v/>
      </c>
      <c r="N765" s="75" t="str">
        <f>IF(Main[[#This Row],[Tech Start Date]]&lt;1/1/1990,"",IF(Main[[#This Row],[Class]]="C",WORKDAY(Main[[#This Row],[Tech Start Date]],19),IF(Main[[#This Row],[Class]]="B", WORKDAY(Main[[#This Row],[Tech Start Date]],12),IF(Main[[#This Row],[Class]]="A",WORKDAY(Main[[#This Row],[Tech Start Date]],4),""))))</f>
        <v/>
      </c>
      <c r="O765" s="75" t="str">
        <f>IF(Main[[#This Row],[Tech Start Date]]&lt;1/1/1990,"",IF(Main[[#This Row],[Class]]="C",WORKDAY(Main[[#This Row],[Tech Start Date]],23),IF(Main[[#This Row],[Class]]="B", WORKDAY(Main[[#This Row],[Tech Start Date]],15),IF(Main[[#This Row],[Class]]="A",WORKDAY(Main[[#This Row],[Tech Start Date]],5),""))))</f>
        <v/>
      </c>
      <c r="P765" s="75" t="str">
        <f>IF(Main[[#This Row],[Tech Start Date]]&lt;1/1/1990,"",IF(Main[[#This Row],[Class]]="C",WORKDAY(Main[[#This Row],[Tech Start Date]],28),IF(Main[[#This Row],[Class]]="B", WORKDAY(Main[[#This Row],[Tech Start Date]],19),IF(Main[[#This Row],[Class]]="A",WORKDAY(Main[[#This Row],[Tech Start Date]],9),""))))</f>
        <v/>
      </c>
      <c r="Q765" s="89">
        <v>40520</v>
      </c>
      <c r="R765" s="121"/>
      <c r="S765" s="99" t="s">
        <v>6</v>
      </c>
      <c r="T765" s="76" t="s">
        <v>4</v>
      </c>
      <c r="U765" s="99" t="s">
        <v>7</v>
      </c>
      <c r="V765" s="99" t="s">
        <v>1913</v>
      </c>
      <c r="W765" s="99" t="s">
        <v>1915</v>
      </c>
      <c r="X765" s="99" t="s">
        <v>2815</v>
      </c>
      <c r="Y765" s="73" t="s">
        <v>2930</v>
      </c>
      <c r="Z765" s="73" t="s">
        <v>129</v>
      </c>
      <c r="AA765" s="99" t="s">
        <v>2815</v>
      </c>
    </row>
    <row r="766" spans="1:27" ht="17.25" customHeight="1">
      <c r="A766" s="65" t="str">
        <f>IF(priority(Main[[#This Row],[Comments]])&lt;&gt;0, priority(Main[[#This Row],[Comments]]),"")</f>
        <v/>
      </c>
      <c r="B766" s="60" t="s">
        <v>1598</v>
      </c>
      <c r="C766" s="105" t="s">
        <v>47</v>
      </c>
      <c r="D766" s="74" t="s">
        <v>675</v>
      </c>
      <c r="E766" s="89"/>
      <c r="F766" s="89"/>
      <c r="G766" s="65" t="str">
        <f>IF(stdProdLT(Main[[#This Row],[Comments]])=0.1,"N/A",IF(stdProdLT(Main[[#This Row],[Comments]])=0,"",TRIM(stdProdLT(Main[[#This Row],[Comments]]))))</f>
        <v/>
      </c>
      <c r="H766" s="98" t="str">
        <f>IF(Main[[#This Row],[Std. Prod. Lead Time]]="N/A", "",IF(AND(Main[[#This Row],[In Stock Date]]&lt;&gt;"",Main[[#This Row],[Revised Due Date]]&lt;&gt;"",Main[[#This Row],[In Stock Date]]&lt;&gt;""),Main[[#This Row],[In Stock Date]]-Main[[#This Row],[Revised Due Date]],""))</f>
        <v/>
      </c>
      <c r="I766" s="110" t="s">
        <v>4</v>
      </c>
      <c r="J766" s="99" t="s">
        <v>4</v>
      </c>
      <c r="K766" s="99" t="s">
        <v>4</v>
      </c>
      <c r="L766" s="89"/>
      <c r="M766" s="75" t="str">
        <f>IF(Main[[#This Row],[Tech Start Date]]&lt;1/1/1990,"",IF(Main[[#This Row],[Class]]="C",WORKDAY(Main[[#This Row],[Tech Start Date]],9),IF(Main[[#This Row],[Class]]="B", WORKDAY(Main[[#This Row],[Tech Start Date]],6),IF(Main[[#This Row],[Class]]="A",WORKDAY(Main[[#This Row],[Tech Start Date]],2),""))))</f>
        <v/>
      </c>
      <c r="N766" s="75" t="str">
        <f>IF(Main[[#This Row],[Tech Start Date]]&lt;1/1/1990,"",IF(Main[[#This Row],[Class]]="C",WORKDAY(Main[[#This Row],[Tech Start Date]],19),IF(Main[[#This Row],[Class]]="B", WORKDAY(Main[[#This Row],[Tech Start Date]],12),IF(Main[[#This Row],[Class]]="A",WORKDAY(Main[[#This Row],[Tech Start Date]],4),""))))</f>
        <v/>
      </c>
      <c r="O766" s="75" t="str">
        <f>IF(Main[[#This Row],[Tech Start Date]]&lt;1/1/1990,"",IF(Main[[#This Row],[Class]]="C",WORKDAY(Main[[#This Row],[Tech Start Date]],23),IF(Main[[#This Row],[Class]]="B", WORKDAY(Main[[#This Row],[Tech Start Date]],15),IF(Main[[#This Row],[Class]]="A",WORKDAY(Main[[#This Row],[Tech Start Date]],5),""))))</f>
        <v/>
      </c>
      <c r="P766" s="75" t="str">
        <f>IF(Main[[#This Row],[Tech Start Date]]&lt;1/1/1990,"",IF(Main[[#This Row],[Class]]="C",WORKDAY(Main[[#This Row],[Tech Start Date]],28),IF(Main[[#This Row],[Class]]="B", WORKDAY(Main[[#This Row],[Tech Start Date]],19),IF(Main[[#This Row],[Class]]="A",WORKDAY(Main[[#This Row],[Tech Start Date]],9),""))))</f>
        <v/>
      </c>
      <c r="Q766" s="89"/>
      <c r="R766" s="121"/>
      <c r="S766" s="99" t="s">
        <v>11</v>
      </c>
      <c r="T766" s="76" t="s">
        <v>4</v>
      </c>
      <c r="U766" s="99" t="s">
        <v>14</v>
      </c>
      <c r="V766" s="99" t="s">
        <v>1914</v>
      </c>
      <c r="W766" s="99" t="s">
        <v>1917</v>
      </c>
      <c r="X766" s="99" t="s">
        <v>306</v>
      </c>
      <c r="Y766" s="73" t="s">
        <v>2935</v>
      </c>
      <c r="Z766" s="73" t="s">
        <v>4</v>
      </c>
      <c r="AA766" s="99" t="s">
        <v>3369</v>
      </c>
    </row>
    <row r="767" spans="1:27" ht="17.25" customHeight="1">
      <c r="A767" s="65" t="str">
        <f>IF(priority(Main[[#This Row],[Comments]])&lt;&gt;0, priority(Main[[#This Row],[Comments]]),"")</f>
        <v/>
      </c>
      <c r="B767" s="60" t="s">
        <v>1599</v>
      </c>
      <c r="C767" s="105" t="s">
        <v>275</v>
      </c>
      <c r="D767" s="74" t="s">
        <v>585</v>
      </c>
      <c r="E767" s="89"/>
      <c r="F767" s="89">
        <v>40186</v>
      </c>
      <c r="G767" s="65" t="str">
        <f>IF(stdProdLT(Main[[#This Row],[Comments]])=0.1,"N/A",IF(stdProdLT(Main[[#This Row],[Comments]])=0,"",TRIM(stdProdLT(Main[[#This Row],[Comments]]))))</f>
        <v/>
      </c>
      <c r="H767" s="98" t="str">
        <f>IF(Main[[#This Row],[Std. Prod. Lead Time]]="N/A", "",IF(AND(Main[[#This Row],[In Stock Date]]&lt;&gt;"",Main[[#This Row],[Revised Due Date]]&lt;&gt;"",Main[[#This Row],[In Stock Date]]&lt;&gt;""),Main[[#This Row],[In Stock Date]]-Main[[#This Row],[Revised Due Date]],""))</f>
        <v/>
      </c>
      <c r="I767" s="110" t="s">
        <v>4</v>
      </c>
      <c r="J767" s="99" t="s">
        <v>4</v>
      </c>
      <c r="K767" s="99" t="s">
        <v>4</v>
      </c>
      <c r="L767" s="89"/>
      <c r="M767" s="75" t="str">
        <f>IF(Main[[#This Row],[Tech Start Date]]&lt;1/1/1990,"",IF(Main[[#This Row],[Class]]="C",WORKDAY(Main[[#This Row],[Tech Start Date]],9),IF(Main[[#This Row],[Class]]="B", WORKDAY(Main[[#This Row],[Tech Start Date]],6),IF(Main[[#This Row],[Class]]="A",WORKDAY(Main[[#This Row],[Tech Start Date]],2),""))))</f>
        <v/>
      </c>
      <c r="N767" s="75" t="str">
        <f>IF(Main[[#This Row],[Tech Start Date]]&lt;1/1/1990,"",IF(Main[[#This Row],[Class]]="C",WORKDAY(Main[[#This Row],[Tech Start Date]],19),IF(Main[[#This Row],[Class]]="B", WORKDAY(Main[[#This Row],[Tech Start Date]],12),IF(Main[[#This Row],[Class]]="A",WORKDAY(Main[[#This Row],[Tech Start Date]],4),""))))</f>
        <v/>
      </c>
      <c r="O767" s="75" t="str">
        <f>IF(Main[[#This Row],[Tech Start Date]]&lt;1/1/1990,"",IF(Main[[#This Row],[Class]]="C",WORKDAY(Main[[#This Row],[Tech Start Date]],23),IF(Main[[#This Row],[Class]]="B", WORKDAY(Main[[#This Row],[Tech Start Date]],15),IF(Main[[#This Row],[Class]]="A",WORKDAY(Main[[#This Row],[Tech Start Date]],5),""))))</f>
        <v/>
      </c>
      <c r="P767" s="75" t="str">
        <f>IF(Main[[#This Row],[Tech Start Date]]&lt;1/1/1990,"",IF(Main[[#This Row],[Class]]="C",WORKDAY(Main[[#This Row],[Tech Start Date]],28),IF(Main[[#This Row],[Class]]="B", WORKDAY(Main[[#This Row],[Tech Start Date]],19),IF(Main[[#This Row],[Class]]="A",WORKDAY(Main[[#This Row],[Tech Start Date]],9),""))))</f>
        <v/>
      </c>
      <c r="Q767" s="89">
        <v>40186</v>
      </c>
      <c r="R767" s="121"/>
      <c r="S767" s="99" t="s">
        <v>11</v>
      </c>
      <c r="T767" s="76" t="s">
        <v>4</v>
      </c>
      <c r="U767" s="99" t="s">
        <v>14</v>
      </c>
      <c r="V767" s="99" t="s">
        <v>1916</v>
      </c>
      <c r="W767" s="99" t="s">
        <v>1921</v>
      </c>
      <c r="X767" s="99" t="s">
        <v>2836</v>
      </c>
      <c r="Y767" s="73" t="s">
        <v>4</v>
      </c>
      <c r="Z767" s="73" t="s">
        <v>4</v>
      </c>
      <c r="AA767" s="99" t="s">
        <v>2836</v>
      </c>
    </row>
    <row r="768" spans="1:27" ht="17.25" customHeight="1">
      <c r="A768" s="65" t="str">
        <f>IF(priority(Main[[#This Row],[Comments]])&lt;&gt;0, priority(Main[[#This Row],[Comments]]),"")</f>
        <v/>
      </c>
      <c r="B768" s="60" t="s">
        <v>1055</v>
      </c>
      <c r="C768" s="105" t="s">
        <v>4</v>
      </c>
      <c r="D768" s="74" t="s">
        <v>39</v>
      </c>
      <c r="E768" s="89"/>
      <c r="F768" s="89"/>
      <c r="G768" s="65" t="str">
        <f>IF(stdProdLT(Main[[#This Row],[Comments]])=0.1,"N/A",IF(stdProdLT(Main[[#This Row],[Comments]])=0,"",TRIM(stdProdLT(Main[[#This Row],[Comments]]))))</f>
        <v/>
      </c>
      <c r="H768" s="98" t="str">
        <f>IF(Main[[#This Row],[Std. Prod. Lead Time]]="N/A", "",IF(AND(Main[[#This Row],[In Stock Date]]&lt;&gt;"",Main[[#This Row],[Revised Due Date]]&lt;&gt;"",Main[[#This Row],[In Stock Date]]&lt;&gt;""),Main[[#This Row],[In Stock Date]]-Main[[#This Row],[Revised Due Date]],""))</f>
        <v/>
      </c>
      <c r="I768" s="110" t="s">
        <v>489</v>
      </c>
      <c r="J768" s="99" t="s">
        <v>70</v>
      </c>
      <c r="K768" s="100" t="s">
        <v>1922</v>
      </c>
      <c r="L768" s="89"/>
      <c r="M768" s="75" t="str">
        <f>IF(Main[[#This Row],[Tech Start Date]]&lt;1/1/1990,"",IF(Main[[#This Row],[Class]]="C",WORKDAY(Main[[#This Row],[Tech Start Date]],9),IF(Main[[#This Row],[Class]]="B", WORKDAY(Main[[#This Row],[Tech Start Date]],6),IF(Main[[#This Row],[Class]]="A",WORKDAY(Main[[#This Row],[Tech Start Date]],2),""))))</f>
        <v/>
      </c>
      <c r="N768" s="75" t="str">
        <f>IF(Main[[#This Row],[Tech Start Date]]&lt;1/1/1990,"",IF(Main[[#This Row],[Class]]="C",WORKDAY(Main[[#This Row],[Tech Start Date]],19),IF(Main[[#This Row],[Class]]="B", WORKDAY(Main[[#This Row],[Tech Start Date]],12),IF(Main[[#This Row],[Class]]="A",WORKDAY(Main[[#This Row],[Tech Start Date]],4),""))))</f>
        <v/>
      </c>
      <c r="O768" s="75" t="str">
        <f>IF(Main[[#This Row],[Tech Start Date]]&lt;1/1/1990,"",IF(Main[[#This Row],[Class]]="C",WORKDAY(Main[[#This Row],[Tech Start Date]],23),IF(Main[[#This Row],[Class]]="B", WORKDAY(Main[[#This Row],[Tech Start Date]],15),IF(Main[[#This Row],[Class]]="A",WORKDAY(Main[[#This Row],[Tech Start Date]],5),""))))</f>
        <v/>
      </c>
      <c r="P768" s="75" t="str">
        <f>IF(Main[[#This Row],[Tech Start Date]]&lt;1/1/1990,"",IF(Main[[#This Row],[Class]]="C",WORKDAY(Main[[#This Row],[Tech Start Date]],28),IF(Main[[#This Row],[Class]]="B", WORKDAY(Main[[#This Row],[Tech Start Date]],19),IF(Main[[#This Row],[Class]]="A",WORKDAY(Main[[#This Row],[Tech Start Date]],9),""))))</f>
        <v/>
      </c>
      <c r="Q768" s="89">
        <v>40704</v>
      </c>
      <c r="R768" s="121"/>
      <c r="S768" s="99" t="s">
        <v>6</v>
      </c>
      <c r="T768" s="76" t="s">
        <v>4</v>
      </c>
      <c r="U768" s="99" t="s">
        <v>14</v>
      </c>
      <c r="V768" s="99" t="s">
        <v>1916</v>
      </c>
      <c r="W768" s="99" t="s">
        <v>1917</v>
      </c>
      <c r="X768" s="99" t="s">
        <v>2812</v>
      </c>
      <c r="Y768" s="73" t="s">
        <v>2923</v>
      </c>
      <c r="Z768" s="73" t="s">
        <v>30</v>
      </c>
      <c r="AA768" s="99" t="s">
        <v>2812</v>
      </c>
    </row>
    <row r="769" spans="1:27" ht="17.25" customHeight="1">
      <c r="A769" s="65" t="str">
        <f>IF(priority(Main[[#This Row],[Comments]])&lt;&gt;0, priority(Main[[#This Row],[Comments]]),"")</f>
        <v/>
      </c>
      <c r="B769" s="60" t="s">
        <v>1601</v>
      </c>
      <c r="C769" s="105" t="s">
        <v>4</v>
      </c>
      <c r="D769" s="74" t="s">
        <v>677</v>
      </c>
      <c r="E769" s="89">
        <v>40497.338240740741</v>
      </c>
      <c r="F769" s="89"/>
      <c r="G769" s="65" t="str">
        <f>IF(stdProdLT(Main[[#This Row],[Comments]])=0.1,"N/A",IF(stdProdLT(Main[[#This Row],[Comments]])=0,"",TRIM(stdProdLT(Main[[#This Row],[Comments]]))))</f>
        <v/>
      </c>
      <c r="H769" s="98" t="str">
        <f>IF(Main[[#This Row],[Std. Prod. Lead Time]]="N/A", "",IF(AND(Main[[#This Row],[In Stock Date]]&lt;&gt;"",Main[[#This Row],[Revised Due Date]]&lt;&gt;"",Main[[#This Row],[In Stock Date]]&lt;&gt;""),Main[[#This Row],[In Stock Date]]-Main[[#This Row],[Revised Due Date]],""))</f>
        <v/>
      </c>
      <c r="I769" s="110" t="s">
        <v>4</v>
      </c>
      <c r="J769" s="99" t="s">
        <v>4</v>
      </c>
      <c r="K769" s="99" t="s">
        <v>4</v>
      </c>
      <c r="L769" s="89"/>
      <c r="M769" s="75" t="str">
        <f>IF(Main[[#This Row],[Tech Start Date]]&lt;1/1/1990,"",IF(Main[[#This Row],[Class]]="C",WORKDAY(Main[[#This Row],[Tech Start Date]],9),IF(Main[[#This Row],[Class]]="B", WORKDAY(Main[[#This Row],[Tech Start Date]],6),IF(Main[[#This Row],[Class]]="A",WORKDAY(Main[[#This Row],[Tech Start Date]],2),""))))</f>
        <v/>
      </c>
      <c r="N769" s="75" t="str">
        <f>IF(Main[[#This Row],[Tech Start Date]]&lt;1/1/1990,"",IF(Main[[#This Row],[Class]]="C",WORKDAY(Main[[#This Row],[Tech Start Date]],19),IF(Main[[#This Row],[Class]]="B", WORKDAY(Main[[#This Row],[Tech Start Date]],12),IF(Main[[#This Row],[Class]]="A",WORKDAY(Main[[#This Row],[Tech Start Date]],4),""))))</f>
        <v/>
      </c>
      <c r="O769" s="75" t="str">
        <f>IF(Main[[#This Row],[Tech Start Date]]&lt;1/1/1990,"",IF(Main[[#This Row],[Class]]="C",WORKDAY(Main[[#This Row],[Tech Start Date]],23),IF(Main[[#This Row],[Class]]="B", WORKDAY(Main[[#This Row],[Tech Start Date]],15),IF(Main[[#This Row],[Class]]="A",WORKDAY(Main[[#This Row],[Tech Start Date]],5),""))))</f>
        <v/>
      </c>
      <c r="P769" s="75" t="str">
        <f>IF(Main[[#This Row],[Tech Start Date]]&lt;1/1/1990,"",IF(Main[[#This Row],[Class]]="C",WORKDAY(Main[[#This Row],[Tech Start Date]],28),IF(Main[[#This Row],[Class]]="B", WORKDAY(Main[[#This Row],[Tech Start Date]],19),IF(Main[[#This Row],[Class]]="A",WORKDAY(Main[[#This Row],[Tech Start Date]],9),""))))</f>
        <v/>
      </c>
      <c r="Q769" s="89">
        <v>40529</v>
      </c>
      <c r="R769" s="121"/>
      <c r="S769" s="99" t="s">
        <v>4</v>
      </c>
      <c r="T769" s="76" t="s">
        <v>4</v>
      </c>
      <c r="U769" s="99" t="s">
        <v>7</v>
      </c>
      <c r="V769" s="99" t="s">
        <v>1913</v>
      </c>
      <c r="W769" s="99" t="s">
        <v>4</v>
      </c>
      <c r="X769" s="99" t="s">
        <v>2812</v>
      </c>
      <c r="Y769" s="73" t="s">
        <v>2923</v>
      </c>
      <c r="Z769" s="73" t="s">
        <v>4</v>
      </c>
      <c r="AA769" s="99" t="s">
        <v>2812</v>
      </c>
    </row>
    <row r="770" spans="1:27" ht="17.25" customHeight="1">
      <c r="A770" s="65" t="str">
        <f>IF(priority(Main[[#This Row],[Comments]])&lt;&gt;0, priority(Main[[#This Row],[Comments]]),"")</f>
        <v/>
      </c>
      <c r="B770" s="60" t="s">
        <v>1602</v>
      </c>
      <c r="C770" s="105" t="s">
        <v>72</v>
      </c>
      <c r="D770" s="74" t="s">
        <v>645</v>
      </c>
      <c r="E770" s="89"/>
      <c r="F770" s="89"/>
      <c r="G770" s="65" t="str">
        <f>IF(stdProdLT(Main[[#This Row],[Comments]])=0.1,"N/A",IF(stdProdLT(Main[[#This Row],[Comments]])=0,"",TRIM(stdProdLT(Main[[#This Row],[Comments]]))))</f>
        <v/>
      </c>
      <c r="H770" s="98" t="str">
        <f>IF(Main[[#This Row],[Std. Prod. Lead Time]]="N/A", "",IF(AND(Main[[#This Row],[In Stock Date]]&lt;&gt;"",Main[[#This Row],[Revised Due Date]]&lt;&gt;"",Main[[#This Row],[In Stock Date]]&lt;&gt;""),Main[[#This Row],[In Stock Date]]-Main[[#This Row],[Revised Due Date]],""))</f>
        <v/>
      </c>
      <c r="I770" s="110" t="s">
        <v>4</v>
      </c>
      <c r="J770" s="99" t="s">
        <v>4</v>
      </c>
      <c r="K770" s="99" t="s">
        <v>4</v>
      </c>
      <c r="L770" s="89"/>
      <c r="M770" s="75" t="str">
        <f>IF(Main[[#This Row],[Tech Start Date]]&lt;1/1/1990,"",IF(Main[[#This Row],[Class]]="C",WORKDAY(Main[[#This Row],[Tech Start Date]],9),IF(Main[[#This Row],[Class]]="B", WORKDAY(Main[[#This Row],[Tech Start Date]],6),IF(Main[[#This Row],[Class]]="A",WORKDAY(Main[[#This Row],[Tech Start Date]],2),""))))</f>
        <v/>
      </c>
      <c r="N770" s="75" t="str">
        <f>IF(Main[[#This Row],[Tech Start Date]]&lt;1/1/1990,"",IF(Main[[#This Row],[Class]]="C",WORKDAY(Main[[#This Row],[Tech Start Date]],19),IF(Main[[#This Row],[Class]]="B", WORKDAY(Main[[#This Row],[Tech Start Date]],12),IF(Main[[#This Row],[Class]]="A",WORKDAY(Main[[#This Row],[Tech Start Date]],4),""))))</f>
        <v/>
      </c>
      <c r="O770" s="75" t="str">
        <f>IF(Main[[#This Row],[Tech Start Date]]&lt;1/1/1990,"",IF(Main[[#This Row],[Class]]="C",WORKDAY(Main[[#This Row],[Tech Start Date]],23),IF(Main[[#This Row],[Class]]="B", WORKDAY(Main[[#This Row],[Tech Start Date]],15),IF(Main[[#This Row],[Class]]="A",WORKDAY(Main[[#This Row],[Tech Start Date]],5),""))))</f>
        <v/>
      </c>
      <c r="P770" s="75" t="str">
        <f>IF(Main[[#This Row],[Tech Start Date]]&lt;1/1/1990,"",IF(Main[[#This Row],[Class]]="C",WORKDAY(Main[[#This Row],[Tech Start Date]],28),IF(Main[[#This Row],[Class]]="B", WORKDAY(Main[[#This Row],[Tech Start Date]],19),IF(Main[[#This Row],[Class]]="A",WORKDAY(Main[[#This Row],[Tech Start Date]],9),""))))</f>
        <v/>
      </c>
      <c r="Q770" s="89"/>
      <c r="R770" s="121"/>
      <c r="S770" s="99" t="s">
        <v>49</v>
      </c>
      <c r="T770" s="76" t="s">
        <v>4</v>
      </c>
      <c r="U770" s="99" t="s">
        <v>12</v>
      </c>
      <c r="V770" s="99" t="s">
        <v>1914</v>
      </c>
      <c r="W770" s="99" t="s">
        <v>1915</v>
      </c>
      <c r="X770" s="99" t="s">
        <v>2895</v>
      </c>
      <c r="Y770" s="73" t="s">
        <v>3073</v>
      </c>
      <c r="Z770" s="73" t="s">
        <v>4</v>
      </c>
      <c r="AA770" s="99" t="s">
        <v>2895</v>
      </c>
    </row>
    <row r="771" spans="1:27" ht="17.25" customHeight="1">
      <c r="A771" s="65" t="str">
        <f>IF(priority(Main[[#This Row],[Comments]])&lt;&gt;0, priority(Main[[#This Row],[Comments]]),"")</f>
        <v/>
      </c>
      <c r="B771" s="60" t="s">
        <v>1605</v>
      </c>
      <c r="C771" s="105" t="s">
        <v>4</v>
      </c>
      <c r="D771" s="74" t="s">
        <v>679</v>
      </c>
      <c r="E771" s="89">
        <v>40603.482094907406</v>
      </c>
      <c r="F771" s="89"/>
      <c r="G771" s="65" t="str">
        <f>IF(stdProdLT(Main[[#This Row],[Comments]])=0.1,"N/A",IF(stdProdLT(Main[[#This Row],[Comments]])=0,"",TRIM(stdProdLT(Main[[#This Row],[Comments]]))))</f>
        <v/>
      </c>
      <c r="H771" s="98" t="str">
        <f>IF(Main[[#This Row],[Std. Prod. Lead Time]]="N/A", "",IF(AND(Main[[#This Row],[In Stock Date]]&lt;&gt;"",Main[[#This Row],[Revised Due Date]]&lt;&gt;"",Main[[#This Row],[In Stock Date]]&lt;&gt;""),Main[[#This Row],[In Stock Date]]-Main[[#This Row],[Revised Due Date]],""))</f>
        <v/>
      </c>
      <c r="I771" s="110" t="s">
        <v>44</v>
      </c>
      <c r="J771" s="99" t="s">
        <v>28</v>
      </c>
      <c r="K771" s="99" t="s">
        <v>1922</v>
      </c>
      <c r="L771" s="89"/>
      <c r="M771" s="75" t="str">
        <f>IF(Main[[#This Row],[Tech Start Date]]&lt;1/1/1990,"",IF(Main[[#This Row],[Class]]="C",WORKDAY(Main[[#This Row],[Tech Start Date]],9),IF(Main[[#This Row],[Class]]="B", WORKDAY(Main[[#This Row],[Tech Start Date]],6),IF(Main[[#This Row],[Class]]="A",WORKDAY(Main[[#This Row],[Tech Start Date]],2),""))))</f>
        <v/>
      </c>
      <c r="N771" s="75" t="str">
        <f>IF(Main[[#This Row],[Tech Start Date]]&lt;1/1/1990,"",IF(Main[[#This Row],[Class]]="C",WORKDAY(Main[[#This Row],[Tech Start Date]],19),IF(Main[[#This Row],[Class]]="B", WORKDAY(Main[[#This Row],[Tech Start Date]],12),IF(Main[[#This Row],[Class]]="A",WORKDAY(Main[[#This Row],[Tech Start Date]],4),""))))</f>
        <v/>
      </c>
      <c r="O771" s="75" t="str">
        <f>IF(Main[[#This Row],[Tech Start Date]]&lt;1/1/1990,"",IF(Main[[#This Row],[Class]]="C",WORKDAY(Main[[#This Row],[Tech Start Date]],23),IF(Main[[#This Row],[Class]]="B", WORKDAY(Main[[#This Row],[Tech Start Date]],15),IF(Main[[#This Row],[Class]]="A",WORKDAY(Main[[#This Row],[Tech Start Date]],5),""))))</f>
        <v/>
      </c>
      <c r="P771" s="75" t="str">
        <f>IF(Main[[#This Row],[Tech Start Date]]&lt;1/1/1990,"",IF(Main[[#This Row],[Class]]="C",WORKDAY(Main[[#This Row],[Tech Start Date]],28),IF(Main[[#This Row],[Class]]="B", WORKDAY(Main[[#This Row],[Tech Start Date]],19),IF(Main[[#This Row],[Class]]="A",WORKDAY(Main[[#This Row],[Tech Start Date]],9),""))))</f>
        <v/>
      </c>
      <c r="Q771" s="89">
        <v>40637</v>
      </c>
      <c r="R771" s="121"/>
      <c r="S771" s="99" t="s">
        <v>6</v>
      </c>
      <c r="T771" s="76" t="s">
        <v>4</v>
      </c>
      <c r="U771" s="99" t="s">
        <v>7</v>
      </c>
      <c r="V771" s="99" t="s">
        <v>1913</v>
      </c>
      <c r="W771" s="99" t="s">
        <v>1915</v>
      </c>
      <c r="X771" s="99" t="s">
        <v>2816</v>
      </c>
      <c r="Y771" s="73" t="s">
        <v>2932</v>
      </c>
      <c r="Z771" s="73" t="s">
        <v>44</v>
      </c>
      <c r="AA771" s="99" t="s">
        <v>2816</v>
      </c>
    </row>
    <row r="772" spans="1:27" ht="17.25" customHeight="1">
      <c r="A772" s="65" t="str">
        <f>IF(priority(Main[[#This Row],[Comments]])&lt;&gt;0, priority(Main[[#This Row],[Comments]]),"")</f>
        <v/>
      </c>
      <c r="B772" s="60" t="s">
        <v>1606</v>
      </c>
      <c r="C772" s="105" t="s">
        <v>113</v>
      </c>
      <c r="D772" s="74" t="s">
        <v>680</v>
      </c>
      <c r="E772" s="89"/>
      <c r="F772" s="89">
        <v>40193</v>
      </c>
      <c r="G772" s="65" t="str">
        <f>IF(stdProdLT(Main[[#This Row],[Comments]])=0.1,"N/A",IF(stdProdLT(Main[[#This Row],[Comments]])=0,"",TRIM(stdProdLT(Main[[#This Row],[Comments]]))))</f>
        <v/>
      </c>
      <c r="H772" s="98" t="str">
        <f>IF(Main[[#This Row],[Std. Prod. Lead Time]]="N/A", "",IF(AND(Main[[#This Row],[In Stock Date]]&lt;&gt;"",Main[[#This Row],[Revised Due Date]]&lt;&gt;"",Main[[#This Row],[In Stock Date]]&lt;&gt;""),Main[[#This Row],[In Stock Date]]-Main[[#This Row],[Revised Due Date]],""))</f>
        <v/>
      </c>
      <c r="I772" s="110" t="s">
        <v>4</v>
      </c>
      <c r="J772" s="99" t="s">
        <v>4</v>
      </c>
      <c r="K772" s="99" t="s">
        <v>4</v>
      </c>
      <c r="L772" s="89"/>
      <c r="M772" s="75" t="str">
        <f>IF(Main[[#This Row],[Tech Start Date]]&lt;1/1/1990,"",IF(Main[[#This Row],[Class]]="C",WORKDAY(Main[[#This Row],[Tech Start Date]],9),IF(Main[[#This Row],[Class]]="B", WORKDAY(Main[[#This Row],[Tech Start Date]],6),IF(Main[[#This Row],[Class]]="A",WORKDAY(Main[[#This Row],[Tech Start Date]],2),""))))</f>
        <v/>
      </c>
      <c r="N772" s="75" t="str">
        <f>IF(Main[[#This Row],[Tech Start Date]]&lt;1/1/1990,"",IF(Main[[#This Row],[Class]]="C",WORKDAY(Main[[#This Row],[Tech Start Date]],19),IF(Main[[#This Row],[Class]]="B", WORKDAY(Main[[#This Row],[Tech Start Date]],12),IF(Main[[#This Row],[Class]]="A",WORKDAY(Main[[#This Row],[Tech Start Date]],4),""))))</f>
        <v/>
      </c>
      <c r="O772" s="75" t="str">
        <f>IF(Main[[#This Row],[Tech Start Date]]&lt;1/1/1990,"",IF(Main[[#This Row],[Class]]="C",WORKDAY(Main[[#This Row],[Tech Start Date]],23),IF(Main[[#This Row],[Class]]="B", WORKDAY(Main[[#This Row],[Tech Start Date]],15),IF(Main[[#This Row],[Class]]="A",WORKDAY(Main[[#This Row],[Tech Start Date]],5),""))))</f>
        <v/>
      </c>
      <c r="P772" s="75" t="str">
        <f>IF(Main[[#This Row],[Tech Start Date]]&lt;1/1/1990,"",IF(Main[[#This Row],[Class]]="C",WORKDAY(Main[[#This Row],[Tech Start Date]],28),IF(Main[[#This Row],[Class]]="B", WORKDAY(Main[[#This Row],[Tech Start Date]],19),IF(Main[[#This Row],[Class]]="A",WORKDAY(Main[[#This Row],[Tech Start Date]],9),""))))</f>
        <v/>
      </c>
      <c r="Q772" s="89">
        <v>40470</v>
      </c>
      <c r="R772" s="121"/>
      <c r="S772" s="99" t="s">
        <v>11</v>
      </c>
      <c r="T772" s="76" t="s">
        <v>4</v>
      </c>
      <c r="U772" s="99" t="s">
        <v>14</v>
      </c>
      <c r="V772" s="99" t="s">
        <v>1923</v>
      </c>
      <c r="W772" s="99" t="s">
        <v>1919</v>
      </c>
      <c r="X772" s="99" t="s">
        <v>2838</v>
      </c>
      <c r="Y772" s="73" t="s">
        <v>2971</v>
      </c>
      <c r="Z772" s="73" t="s">
        <v>4</v>
      </c>
      <c r="AA772" s="99" t="s">
        <v>2838</v>
      </c>
    </row>
    <row r="773" spans="1:27" ht="17.25" customHeight="1">
      <c r="A773" s="65" t="str">
        <f>IF(priority(Main[[#This Row],[Comments]])&lt;&gt;0, priority(Main[[#This Row],[Comments]]),"")</f>
        <v/>
      </c>
      <c r="B773" s="60" t="s">
        <v>1607</v>
      </c>
      <c r="C773" s="105" t="s">
        <v>4</v>
      </c>
      <c r="D773" s="74" t="s">
        <v>681</v>
      </c>
      <c r="E773" s="89"/>
      <c r="F773" s="89"/>
      <c r="G773" s="65" t="str">
        <f>IF(stdProdLT(Main[[#This Row],[Comments]])=0.1,"N/A",IF(stdProdLT(Main[[#This Row],[Comments]])=0,"",TRIM(stdProdLT(Main[[#This Row],[Comments]]))))</f>
        <v/>
      </c>
      <c r="H773" s="98" t="str">
        <f>IF(Main[[#This Row],[Std. Prod. Lead Time]]="N/A", "",IF(AND(Main[[#This Row],[In Stock Date]]&lt;&gt;"",Main[[#This Row],[Revised Due Date]]&lt;&gt;"",Main[[#This Row],[In Stock Date]]&lt;&gt;""),Main[[#This Row],[In Stock Date]]-Main[[#This Row],[Revised Due Date]],""))</f>
        <v/>
      </c>
      <c r="I773" s="110" t="s">
        <v>417</v>
      </c>
      <c r="J773" s="99" t="s">
        <v>4</v>
      </c>
      <c r="K773" s="99" t="s">
        <v>4</v>
      </c>
      <c r="L773" s="89"/>
      <c r="M773" s="75" t="str">
        <f>IF(Main[[#This Row],[Tech Start Date]]&lt;1/1/1990,"",IF(Main[[#This Row],[Class]]="C",WORKDAY(Main[[#This Row],[Tech Start Date]],9),IF(Main[[#This Row],[Class]]="B", WORKDAY(Main[[#This Row],[Tech Start Date]],6),IF(Main[[#This Row],[Class]]="A",WORKDAY(Main[[#This Row],[Tech Start Date]],2),""))))</f>
        <v/>
      </c>
      <c r="N773" s="75" t="str">
        <f>IF(Main[[#This Row],[Tech Start Date]]&lt;1/1/1990,"",IF(Main[[#This Row],[Class]]="C",WORKDAY(Main[[#This Row],[Tech Start Date]],19),IF(Main[[#This Row],[Class]]="B", WORKDAY(Main[[#This Row],[Tech Start Date]],12),IF(Main[[#This Row],[Class]]="A",WORKDAY(Main[[#This Row],[Tech Start Date]],4),""))))</f>
        <v/>
      </c>
      <c r="O773" s="75" t="str">
        <f>IF(Main[[#This Row],[Tech Start Date]]&lt;1/1/1990,"",IF(Main[[#This Row],[Class]]="C",WORKDAY(Main[[#This Row],[Tech Start Date]],23),IF(Main[[#This Row],[Class]]="B", WORKDAY(Main[[#This Row],[Tech Start Date]],15),IF(Main[[#This Row],[Class]]="A",WORKDAY(Main[[#This Row],[Tech Start Date]],5),""))))</f>
        <v/>
      </c>
      <c r="P773" s="75" t="str">
        <f>IF(Main[[#This Row],[Tech Start Date]]&lt;1/1/1990,"",IF(Main[[#This Row],[Class]]="C",WORKDAY(Main[[#This Row],[Tech Start Date]],28),IF(Main[[#This Row],[Class]]="B", WORKDAY(Main[[#This Row],[Tech Start Date]],19),IF(Main[[#This Row],[Class]]="A",WORKDAY(Main[[#This Row],[Tech Start Date]],9),""))))</f>
        <v/>
      </c>
      <c r="Q773" s="89"/>
      <c r="R773" s="121"/>
      <c r="S773" s="99" t="s">
        <v>23</v>
      </c>
      <c r="T773" s="76" t="s">
        <v>4</v>
      </c>
      <c r="U773" s="99" t="s">
        <v>14</v>
      </c>
      <c r="V773" s="99" t="s">
        <v>1916</v>
      </c>
      <c r="W773" s="99" t="s">
        <v>1917</v>
      </c>
      <c r="X773" s="99" t="s">
        <v>417</v>
      </c>
      <c r="Y773" s="73" t="s">
        <v>3082</v>
      </c>
      <c r="Z773" s="73" t="s">
        <v>30</v>
      </c>
      <c r="AA773" s="99" t="s">
        <v>3421</v>
      </c>
    </row>
    <row r="774" spans="1:27" ht="17.25" customHeight="1">
      <c r="A774" s="65" t="str">
        <f>IF(priority(Main[[#This Row],[Comments]])&lt;&gt;0, priority(Main[[#This Row],[Comments]]),"")</f>
        <v/>
      </c>
      <c r="B774" s="60" t="s">
        <v>1611</v>
      </c>
      <c r="C774" s="105" t="s">
        <v>685</v>
      </c>
      <c r="D774" s="74" t="s">
        <v>686</v>
      </c>
      <c r="E774" s="89"/>
      <c r="F774" s="89">
        <v>40527</v>
      </c>
      <c r="G774" s="65" t="str">
        <f>IF(stdProdLT(Main[[#This Row],[Comments]])=0.1,"N/A",IF(stdProdLT(Main[[#This Row],[Comments]])=0,"",TRIM(stdProdLT(Main[[#This Row],[Comments]]))))</f>
        <v/>
      </c>
      <c r="H774" s="98" t="str">
        <f>IF(Main[[#This Row],[Std. Prod. Lead Time]]="N/A", "",IF(AND(Main[[#This Row],[In Stock Date]]&lt;&gt;"",Main[[#This Row],[Revised Due Date]]&lt;&gt;"",Main[[#This Row],[In Stock Date]]&lt;&gt;""),Main[[#This Row],[In Stock Date]]-Main[[#This Row],[Revised Due Date]],""))</f>
        <v/>
      </c>
      <c r="I774" s="110" t="s">
        <v>4</v>
      </c>
      <c r="J774" s="99" t="s">
        <v>4</v>
      </c>
      <c r="K774" s="99" t="s">
        <v>4</v>
      </c>
      <c r="L774" s="89"/>
      <c r="M774" s="75" t="str">
        <f>IF(Main[[#This Row],[Tech Start Date]]&lt;1/1/1990,"",IF(Main[[#This Row],[Class]]="C",WORKDAY(Main[[#This Row],[Tech Start Date]],9),IF(Main[[#This Row],[Class]]="B", WORKDAY(Main[[#This Row],[Tech Start Date]],6),IF(Main[[#This Row],[Class]]="A",WORKDAY(Main[[#This Row],[Tech Start Date]],2),""))))</f>
        <v/>
      </c>
      <c r="N774" s="75" t="str">
        <f>IF(Main[[#This Row],[Tech Start Date]]&lt;1/1/1990,"",IF(Main[[#This Row],[Class]]="C",WORKDAY(Main[[#This Row],[Tech Start Date]],19),IF(Main[[#This Row],[Class]]="B", WORKDAY(Main[[#This Row],[Tech Start Date]],12),IF(Main[[#This Row],[Class]]="A",WORKDAY(Main[[#This Row],[Tech Start Date]],4),""))))</f>
        <v/>
      </c>
      <c r="O774" s="75" t="str">
        <f>IF(Main[[#This Row],[Tech Start Date]]&lt;1/1/1990,"",IF(Main[[#This Row],[Class]]="C",WORKDAY(Main[[#This Row],[Tech Start Date]],23),IF(Main[[#This Row],[Class]]="B", WORKDAY(Main[[#This Row],[Tech Start Date]],15),IF(Main[[#This Row],[Class]]="A",WORKDAY(Main[[#This Row],[Tech Start Date]],5),""))))</f>
        <v/>
      </c>
      <c r="P774" s="75" t="str">
        <f>IF(Main[[#This Row],[Tech Start Date]]&lt;1/1/1990,"",IF(Main[[#This Row],[Class]]="C",WORKDAY(Main[[#This Row],[Tech Start Date]],28),IF(Main[[#This Row],[Class]]="B", WORKDAY(Main[[#This Row],[Tech Start Date]],19),IF(Main[[#This Row],[Class]]="A",WORKDAY(Main[[#This Row],[Tech Start Date]],9),""))))</f>
        <v/>
      </c>
      <c r="Q774" s="89">
        <v>40480</v>
      </c>
      <c r="R774" s="121"/>
      <c r="S774" s="99" t="s">
        <v>11</v>
      </c>
      <c r="T774" s="76" t="s">
        <v>4</v>
      </c>
      <c r="U774" s="99" t="s">
        <v>14</v>
      </c>
      <c r="V774" s="99" t="s">
        <v>1914</v>
      </c>
      <c r="W774" s="99" t="s">
        <v>1919</v>
      </c>
      <c r="X774" s="99" t="s">
        <v>2873</v>
      </c>
      <c r="Y774" s="73" t="s">
        <v>3021</v>
      </c>
      <c r="Z774" s="73" t="s">
        <v>4</v>
      </c>
      <c r="AA774" s="99" t="s">
        <v>2873</v>
      </c>
    </row>
    <row r="775" spans="1:27" ht="17.25" customHeight="1">
      <c r="A775" s="65" t="str">
        <f>IF(priority(Main[[#This Row],[Comments]])&lt;&gt;0, priority(Main[[#This Row],[Comments]]),"")</f>
        <v/>
      </c>
      <c r="B775" s="60" t="s">
        <v>1612</v>
      </c>
      <c r="C775" s="105" t="s">
        <v>4</v>
      </c>
      <c r="D775" s="74" t="s">
        <v>687</v>
      </c>
      <c r="E775" s="89"/>
      <c r="F775" s="89"/>
      <c r="G775" s="65" t="str">
        <f>IF(stdProdLT(Main[[#This Row],[Comments]])=0.1,"N/A",IF(stdProdLT(Main[[#This Row],[Comments]])=0,"",TRIM(stdProdLT(Main[[#This Row],[Comments]]))))</f>
        <v/>
      </c>
      <c r="H775" s="98" t="str">
        <f>IF(Main[[#This Row],[Std. Prod. Lead Time]]="N/A", "",IF(AND(Main[[#This Row],[In Stock Date]]&lt;&gt;"",Main[[#This Row],[Revised Due Date]]&lt;&gt;"",Main[[#This Row],[In Stock Date]]&lt;&gt;""),Main[[#This Row],[In Stock Date]]-Main[[#This Row],[Revised Due Date]],""))</f>
        <v/>
      </c>
      <c r="I775" s="110" t="s">
        <v>4</v>
      </c>
      <c r="J775" s="99" t="s">
        <v>4</v>
      </c>
      <c r="K775" s="99" t="s">
        <v>4</v>
      </c>
      <c r="L775" s="89"/>
      <c r="M775" s="75" t="str">
        <f>IF(Main[[#This Row],[Tech Start Date]]&lt;1/1/1990,"",IF(Main[[#This Row],[Class]]="C",WORKDAY(Main[[#This Row],[Tech Start Date]],9),IF(Main[[#This Row],[Class]]="B", WORKDAY(Main[[#This Row],[Tech Start Date]],6),IF(Main[[#This Row],[Class]]="A",WORKDAY(Main[[#This Row],[Tech Start Date]],2),""))))</f>
        <v/>
      </c>
      <c r="N775" s="75" t="str">
        <f>IF(Main[[#This Row],[Tech Start Date]]&lt;1/1/1990,"",IF(Main[[#This Row],[Class]]="C",WORKDAY(Main[[#This Row],[Tech Start Date]],19),IF(Main[[#This Row],[Class]]="B", WORKDAY(Main[[#This Row],[Tech Start Date]],12),IF(Main[[#This Row],[Class]]="A",WORKDAY(Main[[#This Row],[Tech Start Date]],4),""))))</f>
        <v/>
      </c>
      <c r="O775" s="75" t="str">
        <f>IF(Main[[#This Row],[Tech Start Date]]&lt;1/1/1990,"",IF(Main[[#This Row],[Class]]="C",WORKDAY(Main[[#This Row],[Tech Start Date]],23),IF(Main[[#This Row],[Class]]="B", WORKDAY(Main[[#This Row],[Tech Start Date]],15),IF(Main[[#This Row],[Class]]="A",WORKDAY(Main[[#This Row],[Tech Start Date]],5),""))))</f>
        <v/>
      </c>
      <c r="P775" s="75" t="str">
        <f>IF(Main[[#This Row],[Tech Start Date]]&lt;1/1/1990,"",IF(Main[[#This Row],[Class]]="C",WORKDAY(Main[[#This Row],[Tech Start Date]],28),IF(Main[[#This Row],[Class]]="B", WORKDAY(Main[[#This Row],[Tech Start Date]],19),IF(Main[[#This Row],[Class]]="A",WORKDAY(Main[[#This Row],[Tech Start Date]],9),""))))</f>
        <v/>
      </c>
      <c r="Q775" s="89"/>
      <c r="R775" s="121"/>
      <c r="S775" s="99" t="s">
        <v>6</v>
      </c>
      <c r="T775" s="76" t="s">
        <v>4</v>
      </c>
      <c r="U775" s="99" t="s">
        <v>14</v>
      </c>
      <c r="V775" s="99" t="s">
        <v>1913</v>
      </c>
      <c r="W775" s="99" t="s">
        <v>1921</v>
      </c>
      <c r="X775" s="99" t="s">
        <v>2048</v>
      </c>
      <c r="Y775" s="73" t="s">
        <v>2996</v>
      </c>
      <c r="Z775" s="73" t="s">
        <v>4</v>
      </c>
      <c r="AA775" s="99" t="s">
        <v>2048</v>
      </c>
    </row>
    <row r="776" spans="1:27" ht="17.25" customHeight="1">
      <c r="A776" s="65" t="str">
        <f>IF(priority(Main[[#This Row],[Comments]])&lt;&gt;0, priority(Main[[#This Row],[Comments]]),"")</f>
        <v/>
      </c>
      <c r="B776" s="60" t="s">
        <v>2375</v>
      </c>
      <c r="C776" s="105" t="s">
        <v>4</v>
      </c>
      <c r="D776" s="74" t="s">
        <v>2376</v>
      </c>
      <c r="E776" s="89"/>
      <c r="F776" s="89"/>
      <c r="G776" s="65" t="str">
        <f>IF(stdProdLT(Main[[#This Row],[Comments]])=0.1,"N/A",IF(stdProdLT(Main[[#This Row],[Comments]])=0,"",TRIM(stdProdLT(Main[[#This Row],[Comments]]))))</f>
        <v/>
      </c>
      <c r="H776" s="98" t="str">
        <f>IF(Main[[#This Row],[Std. Prod. Lead Time]]="N/A", "",IF(AND(Main[[#This Row],[In Stock Date]]&lt;&gt;"",Main[[#This Row],[Revised Due Date]]&lt;&gt;"",Main[[#This Row],[In Stock Date]]&lt;&gt;""),Main[[#This Row],[In Stock Date]]-Main[[#This Row],[Revised Due Date]],""))</f>
        <v/>
      </c>
      <c r="I776" s="110" t="s">
        <v>4</v>
      </c>
      <c r="J776" s="99" t="s">
        <v>70</v>
      </c>
      <c r="K776" s="99" t="s">
        <v>4</v>
      </c>
      <c r="L776" s="89"/>
      <c r="M776" s="75" t="str">
        <f>IF(Main[[#This Row],[Tech Start Date]]&lt;1/1/1990,"",IF(Main[[#This Row],[Class]]="C",WORKDAY(Main[[#This Row],[Tech Start Date]],9),IF(Main[[#This Row],[Class]]="B", WORKDAY(Main[[#This Row],[Tech Start Date]],6),IF(Main[[#This Row],[Class]]="A",WORKDAY(Main[[#This Row],[Tech Start Date]],2),""))))</f>
        <v/>
      </c>
      <c r="N776" s="75" t="str">
        <f>IF(Main[[#This Row],[Tech Start Date]]&lt;1/1/1990,"",IF(Main[[#This Row],[Class]]="C",WORKDAY(Main[[#This Row],[Tech Start Date]],19),IF(Main[[#This Row],[Class]]="B", WORKDAY(Main[[#This Row],[Tech Start Date]],12),IF(Main[[#This Row],[Class]]="A",WORKDAY(Main[[#This Row],[Tech Start Date]],4),""))))</f>
        <v/>
      </c>
      <c r="O776" s="75" t="str">
        <f>IF(Main[[#This Row],[Tech Start Date]]&lt;1/1/1990,"",IF(Main[[#This Row],[Class]]="C",WORKDAY(Main[[#This Row],[Tech Start Date]],23),IF(Main[[#This Row],[Class]]="B", WORKDAY(Main[[#This Row],[Tech Start Date]],15),IF(Main[[#This Row],[Class]]="A",WORKDAY(Main[[#This Row],[Tech Start Date]],5),""))))</f>
        <v/>
      </c>
      <c r="P776" s="75" t="str">
        <f>IF(Main[[#This Row],[Tech Start Date]]&lt;1/1/1990,"",IF(Main[[#This Row],[Class]]="C",WORKDAY(Main[[#This Row],[Tech Start Date]],28),IF(Main[[#This Row],[Class]]="B", WORKDAY(Main[[#This Row],[Tech Start Date]],19),IF(Main[[#This Row],[Class]]="A",WORKDAY(Main[[#This Row],[Tech Start Date]],9),""))))</f>
        <v/>
      </c>
      <c r="Q776" s="89">
        <v>40877</v>
      </c>
      <c r="R776" s="121"/>
      <c r="S776" s="99" t="s">
        <v>6</v>
      </c>
      <c r="T776" s="76" t="s">
        <v>4</v>
      </c>
      <c r="U776" s="99" t="s">
        <v>14</v>
      </c>
      <c r="V776" s="99" t="s">
        <v>1916</v>
      </c>
      <c r="W776" s="99" t="s">
        <v>1917</v>
      </c>
      <c r="X776" s="99" t="s">
        <v>30</v>
      </c>
      <c r="Y776" s="73" t="s">
        <v>3084</v>
      </c>
      <c r="Z776" s="73" t="s">
        <v>30</v>
      </c>
      <c r="AA776" s="99" t="s">
        <v>74</v>
      </c>
    </row>
    <row r="777" spans="1:27" ht="17.25" customHeight="1">
      <c r="A777" s="65" t="str">
        <f>IF(priority(Main[[#This Row],[Comments]])&lt;&gt;0, priority(Main[[#This Row],[Comments]]),"")</f>
        <v/>
      </c>
      <c r="B777" s="60" t="s">
        <v>1613</v>
      </c>
      <c r="C777" s="105" t="s">
        <v>4</v>
      </c>
      <c r="D777" s="74" t="s">
        <v>688</v>
      </c>
      <c r="E777" s="89"/>
      <c r="F777" s="89"/>
      <c r="G777" s="65" t="str">
        <f>IF(stdProdLT(Main[[#This Row],[Comments]])=0.1,"N/A",IF(stdProdLT(Main[[#This Row],[Comments]])=0,"",TRIM(stdProdLT(Main[[#This Row],[Comments]]))))</f>
        <v/>
      </c>
      <c r="H777" s="98" t="str">
        <f>IF(Main[[#This Row],[Std. Prod. Lead Time]]="N/A", "",IF(AND(Main[[#This Row],[In Stock Date]]&lt;&gt;"",Main[[#This Row],[Revised Due Date]]&lt;&gt;"",Main[[#This Row],[In Stock Date]]&lt;&gt;""),Main[[#This Row],[In Stock Date]]-Main[[#This Row],[Revised Due Date]],""))</f>
        <v/>
      </c>
      <c r="I777" s="110" t="s">
        <v>4</v>
      </c>
      <c r="J777" s="99" t="s">
        <v>4</v>
      </c>
      <c r="K777" s="100" t="s">
        <v>4</v>
      </c>
      <c r="L777" s="89"/>
      <c r="M777" s="75" t="str">
        <f>IF(Main[[#This Row],[Tech Start Date]]&lt;1/1/1990,"",IF(Main[[#This Row],[Class]]="C",WORKDAY(Main[[#This Row],[Tech Start Date]],9),IF(Main[[#This Row],[Class]]="B", WORKDAY(Main[[#This Row],[Tech Start Date]],6),IF(Main[[#This Row],[Class]]="A",WORKDAY(Main[[#This Row],[Tech Start Date]],2),""))))</f>
        <v/>
      </c>
      <c r="N777" s="75" t="str">
        <f>IF(Main[[#This Row],[Tech Start Date]]&lt;1/1/1990,"",IF(Main[[#This Row],[Class]]="C",WORKDAY(Main[[#This Row],[Tech Start Date]],19),IF(Main[[#This Row],[Class]]="B", WORKDAY(Main[[#This Row],[Tech Start Date]],12),IF(Main[[#This Row],[Class]]="A",WORKDAY(Main[[#This Row],[Tech Start Date]],4),""))))</f>
        <v/>
      </c>
      <c r="O777" s="75" t="str">
        <f>IF(Main[[#This Row],[Tech Start Date]]&lt;1/1/1990,"",IF(Main[[#This Row],[Class]]="C",WORKDAY(Main[[#This Row],[Tech Start Date]],23),IF(Main[[#This Row],[Class]]="B", WORKDAY(Main[[#This Row],[Tech Start Date]],15),IF(Main[[#This Row],[Class]]="A",WORKDAY(Main[[#This Row],[Tech Start Date]],5),""))))</f>
        <v/>
      </c>
      <c r="P777" s="75" t="str">
        <f>IF(Main[[#This Row],[Tech Start Date]]&lt;1/1/1990,"",IF(Main[[#This Row],[Class]]="C",WORKDAY(Main[[#This Row],[Tech Start Date]],28),IF(Main[[#This Row],[Class]]="B", WORKDAY(Main[[#This Row],[Tech Start Date]],19),IF(Main[[#This Row],[Class]]="A",WORKDAY(Main[[#This Row],[Tech Start Date]],9),""))))</f>
        <v/>
      </c>
      <c r="Q777" s="89"/>
      <c r="R777" s="121"/>
      <c r="S777" s="99" t="s">
        <v>6</v>
      </c>
      <c r="T777" s="76" t="s">
        <v>4</v>
      </c>
      <c r="U777" s="99" t="s">
        <v>14</v>
      </c>
      <c r="V777" s="99" t="s">
        <v>1913</v>
      </c>
      <c r="W777" s="99" t="s">
        <v>4</v>
      </c>
      <c r="X777" s="99" t="s">
        <v>708</v>
      </c>
      <c r="Y777" s="73" t="s">
        <v>3064</v>
      </c>
      <c r="Z777" s="73" t="s">
        <v>4</v>
      </c>
      <c r="AA777" s="99" t="s">
        <v>708</v>
      </c>
    </row>
    <row r="778" spans="1:27" ht="17.25" customHeight="1">
      <c r="A778" s="65" t="str">
        <f>IF(priority(Main[[#This Row],[Comments]])&lt;&gt;0, priority(Main[[#This Row],[Comments]]),"")</f>
        <v/>
      </c>
      <c r="B778" s="60" t="s">
        <v>1614</v>
      </c>
      <c r="C778" s="105" t="s">
        <v>689</v>
      </c>
      <c r="D778" s="74" t="s">
        <v>690</v>
      </c>
      <c r="E778" s="89"/>
      <c r="F778" s="89">
        <v>40664</v>
      </c>
      <c r="G778" s="65" t="str">
        <f>IF(stdProdLT(Main[[#This Row],[Comments]])=0.1,"N/A",IF(stdProdLT(Main[[#This Row],[Comments]])=0,"",TRIM(stdProdLT(Main[[#This Row],[Comments]]))))</f>
        <v/>
      </c>
      <c r="H778" s="98" t="str">
        <f>IF(Main[[#This Row],[Std. Prod. Lead Time]]="N/A", "",IF(AND(Main[[#This Row],[In Stock Date]]&lt;&gt;"",Main[[#This Row],[Revised Due Date]]&lt;&gt;"",Main[[#This Row],[In Stock Date]]&lt;&gt;""),Main[[#This Row],[In Stock Date]]-Main[[#This Row],[Revised Due Date]],""))</f>
        <v/>
      </c>
      <c r="I778" s="110" t="s">
        <v>4</v>
      </c>
      <c r="J778" s="99" t="s">
        <v>4</v>
      </c>
      <c r="K778" s="99" t="s">
        <v>4</v>
      </c>
      <c r="L778" s="89"/>
      <c r="M778" s="75" t="str">
        <f>IF(Main[[#This Row],[Tech Start Date]]&lt;1/1/1990,"",IF(Main[[#This Row],[Class]]="C",WORKDAY(Main[[#This Row],[Tech Start Date]],9),IF(Main[[#This Row],[Class]]="B", WORKDAY(Main[[#This Row],[Tech Start Date]],6),IF(Main[[#This Row],[Class]]="A",WORKDAY(Main[[#This Row],[Tech Start Date]],2),""))))</f>
        <v/>
      </c>
      <c r="N778" s="75" t="str">
        <f>IF(Main[[#This Row],[Tech Start Date]]&lt;1/1/1990,"",IF(Main[[#This Row],[Class]]="C",WORKDAY(Main[[#This Row],[Tech Start Date]],19),IF(Main[[#This Row],[Class]]="B", WORKDAY(Main[[#This Row],[Tech Start Date]],12),IF(Main[[#This Row],[Class]]="A",WORKDAY(Main[[#This Row],[Tech Start Date]],4),""))))</f>
        <v/>
      </c>
      <c r="O778" s="75" t="str">
        <f>IF(Main[[#This Row],[Tech Start Date]]&lt;1/1/1990,"",IF(Main[[#This Row],[Class]]="C",WORKDAY(Main[[#This Row],[Tech Start Date]],23),IF(Main[[#This Row],[Class]]="B", WORKDAY(Main[[#This Row],[Tech Start Date]],15),IF(Main[[#This Row],[Class]]="A",WORKDAY(Main[[#This Row],[Tech Start Date]],5),""))))</f>
        <v/>
      </c>
      <c r="P778" s="75" t="str">
        <f>IF(Main[[#This Row],[Tech Start Date]]&lt;1/1/1990,"",IF(Main[[#This Row],[Class]]="C",WORKDAY(Main[[#This Row],[Tech Start Date]],28),IF(Main[[#This Row],[Class]]="B", WORKDAY(Main[[#This Row],[Tech Start Date]],19),IF(Main[[#This Row],[Class]]="A",WORKDAY(Main[[#This Row],[Tech Start Date]],9),""))))</f>
        <v/>
      </c>
      <c r="Q778" s="89">
        <v>40557</v>
      </c>
      <c r="R778" s="121"/>
      <c r="S778" s="99" t="s">
        <v>11</v>
      </c>
      <c r="T778" s="76" t="s">
        <v>4</v>
      </c>
      <c r="U778" s="99" t="s">
        <v>14</v>
      </c>
      <c r="V778" s="99" t="s">
        <v>1913</v>
      </c>
      <c r="W778" s="99" t="s">
        <v>1921</v>
      </c>
      <c r="X778" s="99" t="s">
        <v>2822</v>
      </c>
      <c r="Y778" s="73" t="s">
        <v>3085</v>
      </c>
      <c r="Z778" s="73" t="s">
        <v>4</v>
      </c>
      <c r="AA778" s="99" t="s">
        <v>2822</v>
      </c>
    </row>
    <row r="779" spans="1:27" ht="17.25" customHeight="1">
      <c r="A779" s="65" t="str">
        <f>IF(priority(Main[[#This Row],[Comments]])&lt;&gt;0, priority(Main[[#This Row],[Comments]]),"")</f>
        <v/>
      </c>
      <c r="B779" s="60" t="s">
        <v>1615</v>
      </c>
      <c r="C779" s="105" t="s">
        <v>4</v>
      </c>
      <c r="D779" s="74" t="s">
        <v>691</v>
      </c>
      <c r="E779" s="89"/>
      <c r="F779" s="89"/>
      <c r="G779" s="65" t="str">
        <f>IF(stdProdLT(Main[[#This Row],[Comments]])=0.1,"N/A",IF(stdProdLT(Main[[#This Row],[Comments]])=0,"",TRIM(stdProdLT(Main[[#This Row],[Comments]]))))</f>
        <v/>
      </c>
      <c r="H779" s="98" t="str">
        <f>IF(Main[[#This Row],[Std. Prod. Lead Time]]="N/A", "",IF(AND(Main[[#This Row],[In Stock Date]]&lt;&gt;"",Main[[#This Row],[Revised Due Date]]&lt;&gt;"",Main[[#This Row],[In Stock Date]]&lt;&gt;""),Main[[#This Row],[In Stock Date]]-Main[[#This Row],[Revised Due Date]],""))</f>
        <v/>
      </c>
      <c r="I779" s="110" t="s">
        <v>4</v>
      </c>
      <c r="J779" s="99" t="s">
        <v>4</v>
      </c>
      <c r="K779" s="99" t="s">
        <v>4</v>
      </c>
      <c r="L779" s="89"/>
      <c r="M779" s="75" t="str">
        <f>IF(Main[[#This Row],[Tech Start Date]]&lt;1/1/1990,"",IF(Main[[#This Row],[Class]]="C",WORKDAY(Main[[#This Row],[Tech Start Date]],9),IF(Main[[#This Row],[Class]]="B", WORKDAY(Main[[#This Row],[Tech Start Date]],6),IF(Main[[#This Row],[Class]]="A",WORKDAY(Main[[#This Row],[Tech Start Date]],2),""))))</f>
        <v/>
      </c>
      <c r="N779" s="75" t="str">
        <f>IF(Main[[#This Row],[Tech Start Date]]&lt;1/1/1990,"",IF(Main[[#This Row],[Class]]="C",WORKDAY(Main[[#This Row],[Tech Start Date]],19),IF(Main[[#This Row],[Class]]="B", WORKDAY(Main[[#This Row],[Tech Start Date]],12),IF(Main[[#This Row],[Class]]="A",WORKDAY(Main[[#This Row],[Tech Start Date]],4),""))))</f>
        <v/>
      </c>
      <c r="O779" s="75" t="str">
        <f>IF(Main[[#This Row],[Tech Start Date]]&lt;1/1/1990,"",IF(Main[[#This Row],[Class]]="C",WORKDAY(Main[[#This Row],[Tech Start Date]],23),IF(Main[[#This Row],[Class]]="B", WORKDAY(Main[[#This Row],[Tech Start Date]],15),IF(Main[[#This Row],[Class]]="A",WORKDAY(Main[[#This Row],[Tech Start Date]],5),""))))</f>
        <v/>
      </c>
      <c r="P779" s="75" t="str">
        <f>IF(Main[[#This Row],[Tech Start Date]]&lt;1/1/1990,"",IF(Main[[#This Row],[Class]]="C",WORKDAY(Main[[#This Row],[Tech Start Date]],28),IF(Main[[#This Row],[Class]]="B", WORKDAY(Main[[#This Row],[Tech Start Date]],19),IF(Main[[#This Row],[Class]]="A",WORKDAY(Main[[#This Row],[Tech Start Date]],9),""))))</f>
        <v/>
      </c>
      <c r="Q779" s="89"/>
      <c r="R779" s="121"/>
      <c r="S779" s="99" t="s">
        <v>11</v>
      </c>
      <c r="T779" s="76" t="s">
        <v>4</v>
      </c>
      <c r="U779" s="99" t="s">
        <v>14</v>
      </c>
      <c r="V779" s="99" t="s">
        <v>1913</v>
      </c>
      <c r="W779" s="99" t="s">
        <v>4</v>
      </c>
      <c r="X779" s="99" t="s">
        <v>708</v>
      </c>
      <c r="Y779" s="73" t="s">
        <v>3016</v>
      </c>
      <c r="Z779" s="73" t="s">
        <v>4</v>
      </c>
      <c r="AA779" s="99" t="s">
        <v>3394</v>
      </c>
    </row>
    <row r="780" spans="1:27" ht="17.25" customHeight="1">
      <c r="A780" s="65" t="str">
        <f>IF(priority(Main[[#This Row],[Comments]])&lt;&gt;0, priority(Main[[#This Row],[Comments]]),"")</f>
        <v/>
      </c>
      <c r="B780" s="60" t="s">
        <v>1804</v>
      </c>
      <c r="C780" s="105" t="s">
        <v>4</v>
      </c>
      <c r="D780" s="74" t="s">
        <v>836</v>
      </c>
      <c r="E780" s="89">
        <v>40430.597812499997</v>
      </c>
      <c r="F780" s="89">
        <v>40574</v>
      </c>
      <c r="G780" s="65" t="str">
        <f>IF(stdProdLT(Main[[#This Row],[Comments]])=0.1,"N/A",IF(stdProdLT(Main[[#This Row],[Comments]])=0,"",TRIM(stdProdLT(Main[[#This Row],[Comments]]))))</f>
        <v/>
      </c>
      <c r="H780" s="98">
        <f>IF(Main[[#This Row],[Std. Prod. Lead Time]]="N/A", "",IF(AND(Main[[#This Row],[In Stock Date]]&lt;&gt;"",Main[[#This Row],[Revised Due Date]]&lt;&gt;"",Main[[#This Row],[In Stock Date]]&lt;&gt;""),Main[[#This Row],[In Stock Date]]-Main[[#This Row],[Revised Due Date]],""))</f>
        <v>384</v>
      </c>
      <c r="I780" s="110" t="s">
        <v>81</v>
      </c>
      <c r="J780" s="99" t="s">
        <v>52</v>
      </c>
      <c r="K780" s="99" t="s">
        <v>1925</v>
      </c>
      <c r="L780" s="89"/>
      <c r="M780" s="75" t="str">
        <f>IF(Main[[#This Row],[Tech Start Date]]&lt;1/1/1990,"",IF(Main[[#This Row],[Class]]="C",WORKDAY(Main[[#This Row],[Tech Start Date]],9),IF(Main[[#This Row],[Class]]="B", WORKDAY(Main[[#This Row],[Tech Start Date]],6),IF(Main[[#This Row],[Class]]="A",WORKDAY(Main[[#This Row],[Tech Start Date]],2),""))))</f>
        <v/>
      </c>
      <c r="N780" s="75" t="str">
        <f>IF(Main[[#This Row],[Tech Start Date]]&lt;1/1/1990,"",IF(Main[[#This Row],[Class]]="C",WORKDAY(Main[[#This Row],[Tech Start Date]],19),IF(Main[[#This Row],[Class]]="B", WORKDAY(Main[[#This Row],[Tech Start Date]],12),IF(Main[[#This Row],[Class]]="A",WORKDAY(Main[[#This Row],[Tech Start Date]],4),""))))</f>
        <v/>
      </c>
      <c r="O780" s="75" t="str">
        <f>IF(Main[[#This Row],[Tech Start Date]]&lt;1/1/1990,"",IF(Main[[#This Row],[Class]]="C",WORKDAY(Main[[#This Row],[Tech Start Date]],23),IF(Main[[#This Row],[Class]]="B", WORKDAY(Main[[#This Row],[Tech Start Date]],15),IF(Main[[#This Row],[Class]]="A",WORKDAY(Main[[#This Row],[Tech Start Date]],5),""))))</f>
        <v/>
      </c>
      <c r="P780" s="75" t="str">
        <f>IF(Main[[#This Row],[Tech Start Date]]&lt;1/1/1990,"",IF(Main[[#This Row],[Class]]="C",WORKDAY(Main[[#This Row],[Tech Start Date]],28),IF(Main[[#This Row],[Class]]="B", WORKDAY(Main[[#This Row],[Tech Start Date]],19),IF(Main[[#This Row],[Class]]="A",WORKDAY(Main[[#This Row],[Tech Start Date]],9),""))))</f>
        <v/>
      </c>
      <c r="Q780" s="89">
        <v>40190</v>
      </c>
      <c r="R780" s="121">
        <v>40190</v>
      </c>
      <c r="S780" s="99" t="s">
        <v>17</v>
      </c>
      <c r="T780" s="76" t="s">
        <v>4</v>
      </c>
      <c r="U780" s="99" t="s">
        <v>29</v>
      </c>
      <c r="V780" s="99" t="s">
        <v>1916</v>
      </c>
      <c r="W780" s="99" t="s">
        <v>1918</v>
      </c>
      <c r="X780" s="99" t="s">
        <v>50</v>
      </c>
      <c r="Y780" s="73" t="s">
        <v>2979</v>
      </c>
      <c r="Z780" s="73" t="s">
        <v>81</v>
      </c>
      <c r="AA780" s="99" t="s">
        <v>65</v>
      </c>
    </row>
    <row r="781" spans="1:27" ht="17.25" customHeight="1">
      <c r="A781" s="65" t="str">
        <f>IF(priority(Main[[#This Row],[Comments]])&lt;&gt;0, priority(Main[[#This Row],[Comments]]),"")</f>
        <v/>
      </c>
      <c r="B781" s="60" t="s">
        <v>2099</v>
      </c>
      <c r="C781" s="105" t="s">
        <v>2084</v>
      </c>
      <c r="D781" s="74" t="s">
        <v>2085</v>
      </c>
      <c r="E781" s="89"/>
      <c r="F781" s="89">
        <v>40831</v>
      </c>
      <c r="G781" s="65" t="str">
        <f>IF(stdProdLT(Main[[#This Row],[Comments]])=0.1,"N/A",IF(stdProdLT(Main[[#This Row],[Comments]])=0,"",TRIM(stdProdLT(Main[[#This Row],[Comments]]))))</f>
        <v/>
      </c>
      <c r="H781" s="98" t="str">
        <f>IF(Main[[#This Row],[Std. Prod. Lead Time]]="N/A", "",IF(AND(Main[[#This Row],[In Stock Date]]&lt;&gt;"",Main[[#This Row],[Revised Due Date]]&lt;&gt;"",Main[[#This Row],[In Stock Date]]&lt;&gt;""),Main[[#This Row],[In Stock Date]]-Main[[#This Row],[Revised Due Date]],""))</f>
        <v/>
      </c>
      <c r="I781" s="110" t="s">
        <v>4</v>
      </c>
      <c r="J781" s="99" t="s">
        <v>4</v>
      </c>
      <c r="K781" s="99" t="s">
        <v>4</v>
      </c>
      <c r="L781" s="89"/>
      <c r="M781" s="75" t="str">
        <f>IF(Main[[#This Row],[Tech Start Date]]&lt;1/1/1990,"",IF(Main[[#This Row],[Class]]="C",WORKDAY(Main[[#This Row],[Tech Start Date]],9),IF(Main[[#This Row],[Class]]="B", WORKDAY(Main[[#This Row],[Tech Start Date]],6),IF(Main[[#This Row],[Class]]="A",WORKDAY(Main[[#This Row],[Tech Start Date]],2),""))))</f>
        <v/>
      </c>
      <c r="N781" s="75" t="str">
        <f>IF(Main[[#This Row],[Tech Start Date]]&lt;1/1/1990,"",IF(Main[[#This Row],[Class]]="C",WORKDAY(Main[[#This Row],[Tech Start Date]],19),IF(Main[[#This Row],[Class]]="B", WORKDAY(Main[[#This Row],[Tech Start Date]],12),IF(Main[[#This Row],[Class]]="A",WORKDAY(Main[[#This Row],[Tech Start Date]],4),""))))</f>
        <v/>
      </c>
      <c r="O781" s="75" t="str">
        <f>IF(Main[[#This Row],[Tech Start Date]]&lt;1/1/1990,"",IF(Main[[#This Row],[Class]]="C",WORKDAY(Main[[#This Row],[Tech Start Date]],23),IF(Main[[#This Row],[Class]]="B", WORKDAY(Main[[#This Row],[Tech Start Date]],15),IF(Main[[#This Row],[Class]]="A",WORKDAY(Main[[#This Row],[Tech Start Date]],5),""))))</f>
        <v/>
      </c>
      <c r="P781" s="75" t="str">
        <f>IF(Main[[#This Row],[Tech Start Date]]&lt;1/1/1990,"",IF(Main[[#This Row],[Class]]="C",WORKDAY(Main[[#This Row],[Tech Start Date]],28),IF(Main[[#This Row],[Class]]="B", WORKDAY(Main[[#This Row],[Tech Start Date]],19),IF(Main[[#This Row],[Class]]="A",WORKDAY(Main[[#This Row],[Tech Start Date]],9),""))))</f>
        <v/>
      </c>
      <c r="Q781" s="89">
        <v>40786</v>
      </c>
      <c r="R781" s="121"/>
      <c r="S781" s="99" t="s">
        <v>11</v>
      </c>
      <c r="T781" s="76" t="s">
        <v>4</v>
      </c>
      <c r="U781" s="99" t="s">
        <v>12</v>
      </c>
      <c r="V781" s="99" t="s">
        <v>1916</v>
      </c>
      <c r="W781" s="99" t="s">
        <v>1921</v>
      </c>
      <c r="X781" s="99" t="s">
        <v>2825</v>
      </c>
      <c r="Y781" s="73" t="s">
        <v>2948</v>
      </c>
      <c r="Z781" s="73" t="s">
        <v>4</v>
      </c>
      <c r="AA781" s="99" t="s">
        <v>2825</v>
      </c>
    </row>
    <row r="782" spans="1:27" ht="17.25" customHeight="1">
      <c r="A782" s="65" t="str">
        <f>IF(priority(Main[[#This Row],[Comments]])&lt;&gt;0, priority(Main[[#This Row],[Comments]]),"")</f>
        <v/>
      </c>
      <c r="B782" s="60" t="s">
        <v>2077</v>
      </c>
      <c r="C782" s="105" t="s">
        <v>4</v>
      </c>
      <c r="D782" s="74" t="s">
        <v>2078</v>
      </c>
      <c r="E782" s="89"/>
      <c r="F782" s="89"/>
      <c r="G782" s="65" t="str">
        <f>IF(stdProdLT(Main[[#This Row],[Comments]])=0.1,"N/A",IF(stdProdLT(Main[[#This Row],[Comments]])=0,"",TRIM(stdProdLT(Main[[#This Row],[Comments]]))))</f>
        <v/>
      </c>
      <c r="H782" s="98" t="str">
        <f>IF(Main[[#This Row],[Std. Prod. Lead Time]]="N/A", "",IF(AND(Main[[#This Row],[In Stock Date]]&lt;&gt;"",Main[[#This Row],[Revised Due Date]]&lt;&gt;"",Main[[#This Row],[In Stock Date]]&lt;&gt;""),Main[[#This Row],[In Stock Date]]-Main[[#This Row],[Revised Due Date]],""))</f>
        <v/>
      </c>
      <c r="I782" s="110" t="s">
        <v>530</v>
      </c>
      <c r="J782" s="99" t="s">
        <v>28</v>
      </c>
      <c r="K782" s="99" t="s">
        <v>1922</v>
      </c>
      <c r="L782" s="89"/>
      <c r="M782" s="75" t="str">
        <f>IF(Main[[#This Row],[Tech Start Date]]&lt;1/1/1990,"",IF(Main[[#This Row],[Class]]="C",WORKDAY(Main[[#This Row],[Tech Start Date]],9),IF(Main[[#This Row],[Class]]="B", WORKDAY(Main[[#This Row],[Tech Start Date]],6),IF(Main[[#This Row],[Class]]="A",WORKDAY(Main[[#This Row],[Tech Start Date]],2),""))))</f>
        <v/>
      </c>
      <c r="N782" s="75" t="str">
        <f>IF(Main[[#This Row],[Tech Start Date]]&lt;1/1/1990,"",IF(Main[[#This Row],[Class]]="C",WORKDAY(Main[[#This Row],[Tech Start Date]],19),IF(Main[[#This Row],[Class]]="B", WORKDAY(Main[[#This Row],[Tech Start Date]],12),IF(Main[[#This Row],[Class]]="A",WORKDAY(Main[[#This Row],[Tech Start Date]],4),""))))</f>
        <v/>
      </c>
      <c r="O782" s="75" t="str">
        <f>IF(Main[[#This Row],[Tech Start Date]]&lt;1/1/1990,"",IF(Main[[#This Row],[Class]]="C",WORKDAY(Main[[#This Row],[Tech Start Date]],23),IF(Main[[#This Row],[Class]]="B", WORKDAY(Main[[#This Row],[Tech Start Date]],15),IF(Main[[#This Row],[Class]]="A",WORKDAY(Main[[#This Row],[Tech Start Date]],5),""))))</f>
        <v/>
      </c>
      <c r="P782" s="75" t="str">
        <f>IF(Main[[#This Row],[Tech Start Date]]&lt;1/1/1990,"",IF(Main[[#This Row],[Class]]="C",WORKDAY(Main[[#This Row],[Tech Start Date]],28),IF(Main[[#This Row],[Class]]="B", WORKDAY(Main[[#This Row],[Tech Start Date]],19),IF(Main[[#This Row],[Class]]="A",WORKDAY(Main[[#This Row],[Tech Start Date]],9),""))))</f>
        <v/>
      </c>
      <c r="Q782" s="89"/>
      <c r="R782" s="121"/>
      <c r="S782" s="99" t="s">
        <v>6</v>
      </c>
      <c r="T782" s="76" t="s">
        <v>4</v>
      </c>
      <c r="U782" s="99" t="s">
        <v>14</v>
      </c>
      <c r="V782" s="99" t="s">
        <v>1916</v>
      </c>
      <c r="W782" s="99" t="s">
        <v>1917</v>
      </c>
      <c r="X782" s="99" t="s">
        <v>2860</v>
      </c>
      <c r="Y782" s="73" t="s">
        <v>2994</v>
      </c>
      <c r="Z782" s="73" t="s">
        <v>44</v>
      </c>
      <c r="AA782" s="99" t="s">
        <v>2860</v>
      </c>
    </row>
    <row r="783" spans="1:27" ht="17.25" customHeight="1">
      <c r="A783" s="65" t="str">
        <f>IF(priority(Main[[#This Row],[Comments]])&lt;&gt;0, priority(Main[[#This Row],[Comments]]),"")</f>
        <v/>
      </c>
      <c r="B783" s="60" t="s">
        <v>1397</v>
      </c>
      <c r="C783" s="105" t="s">
        <v>4</v>
      </c>
      <c r="D783" s="74" t="s">
        <v>481</v>
      </c>
      <c r="E783" s="89">
        <v>40485.329618055555</v>
      </c>
      <c r="F783" s="89"/>
      <c r="G783" s="65" t="str">
        <f>IF(stdProdLT(Main[[#This Row],[Comments]])=0.1,"N/A",IF(stdProdLT(Main[[#This Row],[Comments]])=0,"",TRIM(stdProdLT(Main[[#This Row],[Comments]]))))</f>
        <v/>
      </c>
      <c r="H783" s="98" t="str">
        <f>IF(Main[[#This Row],[Std. Prod. Lead Time]]="N/A", "",IF(AND(Main[[#This Row],[In Stock Date]]&lt;&gt;"",Main[[#This Row],[Revised Due Date]]&lt;&gt;"",Main[[#This Row],[In Stock Date]]&lt;&gt;""),Main[[#This Row],[In Stock Date]]-Main[[#This Row],[Revised Due Date]],""))</f>
        <v/>
      </c>
      <c r="I783" s="110" t="s">
        <v>4</v>
      </c>
      <c r="J783" s="99" t="s">
        <v>28</v>
      </c>
      <c r="K783" s="99" t="s">
        <v>1925</v>
      </c>
      <c r="L783" s="89"/>
      <c r="M783" s="75" t="str">
        <f>IF(Main[[#This Row],[Tech Start Date]]&lt;1/1/1990,"",IF(Main[[#This Row],[Class]]="C",WORKDAY(Main[[#This Row],[Tech Start Date]],9),IF(Main[[#This Row],[Class]]="B", WORKDAY(Main[[#This Row],[Tech Start Date]],6),IF(Main[[#This Row],[Class]]="A",WORKDAY(Main[[#This Row],[Tech Start Date]],2),""))))</f>
        <v/>
      </c>
      <c r="N783" s="75" t="str">
        <f>IF(Main[[#This Row],[Tech Start Date]]&lt;1/1/1990,"",IF(Main[[#This Row],[Class]]="C",WORKDAY(Main[[#This Row],[Tech Start Date]],19),IF(Main[[#This Row],[Class]]="B", WORKDAY(Main[[#This Row],[Tech Start Date]],12),IF(Main[[#This Row],[Class]]="A",WORKDAY(Main[[#This Row],[Tech Start Date]],4),""))))</f>
        <v/>
      </c>
      <c r="O783" s="75" t="str">
        <f>IF(Main[[#This Row],[Tech Start Date]]&lt;1/1/1990,"",IF(Main[[#This Row],[Class]]="C",WORKDAY(Main[[#This Row],[Tech Start Date]],23),IF(Main[[#This Row],[Class]]="B", WORKDAY(Main[[#This Row],[Tech Start Date]],15),IF(Main[[#This Row],[Class]]="A",WORKDAY(Main[[#This Row],[Tech Start Date]],5),""))))</f>
        <v/>
      </c>
      <c r="P783" s="75" t="str">
        <f>IF(Main[[#This Row],[Tech Start Date]]&lt;1/1/1990,"",IF(Main[[#This Row],[Class]]="C",WORKDAY(Main[[#This Row],[Tech Start Date]],28),IF(Main[[#This Row],[Class]]="B", WORKDAY(Main[[#This Row],[Tech Start Date]],19),IF(Main[[#This Row],[Class]]="A",WORKDAY(Main[[#This Row],[Tech Start Date]],9),""))))</f>
        <v/>
      </c>
      <c r="Q783" s="89"/>
      <c r="R783" s="121"/>
      <c r="S783" s="99" t="s">
        <v>17</v>
      </c>
      <c r="T783" s="76" t="s">
        <v>4</v>
      </c>
      <c r="U783" s="99" t="s">
        <v>29</v>
      </c>
      <c r="V783" s="99" t="s">
        <v>1913</v>
      </c>
      <c r="W783" s="99" t="s">
        <v>1927</v>
      </c>
      <c r="X783" s="99" t="s">
        <v>2048</v>
      </c>
      <c r="Y783" s="73" t="s">
        <v>2996</v>
      </c>
      <c r="Z783" s="73" t="s">
        <v>4</v>
      </c>
      <c r="AA783" s="99" t="s">
        <v>2048</v>
      </c>
    </row>
    <row r="784" spans="1:27" ht="17.25" customHeight="1">
      <c r="A784" s="65" t="str">
        <f>IF(priority(Main[[#This Row],[Comments]])&lt;&gt;0, priority(Main[[#This Row],[Comments]]),"")</f>
        <v/>
      </c>
      <c r="B784" s="60" t="s">
        <v>1816</v>
      </c>
      <c r="C784" s="105" t="s">
        <v>42</v>
      </c>
      <c r="D784" s="74" t="s">
        <v>869</v>
      </c>
      <c r="E784" s="89">
        <v>39932.455243055556</v>
      </c>
      <c r="F784" s="89"/>
      <c r="G784" s="65" t="str">
        <f>IF(stdProdLT(Main[[#This Row],[Comments]])=0.1,"N/A",IF(stdProdLT(Main[[#This Row],[Comments]])=0,"",TRIM(stdProdLT(Main[[#This Row],[Comments]]))))</f>
        <v/>
      </c>
      <c r="H784" s="98" t="str">
        <f>IF(Main[[#This Row],[Std. Prod. Lead Time]]="N/A", "",IF(AND(Main[[#This Row],[In Stock Date]]&lt;&gt;"",Main[[#This Row],[Revised Due Date]]&lt;&gt;"",Main[[#This Row],[In Stock Date]]&lt;&gt;""),Main[[#This Row],[In Stock Date]]-Main[[#This Row],[Revised Due Date]],""))</f>
        <v/>
      </c>
      <c r="I784" s="110" t="s">
        <v>4</v>
      </c>
      <c r="J784" s="99" t="s">
        <v>4</v>
      </c>
      <c r="K784" s="99" t="s">
        <v>4</v>
      </c>
      <c r="L784" s="89"/>
      <c r="M784" s="75" t="str">
        <f>IF(Main[[#This Row],[Tech Start Date]]&lt;1/1/1990,"",IF(Main[[#This Row],[Class]]="C",WORKDAY(Main[[#This Row],[Tech Start Date]],9),IF(Main[[#This Row],[Class]]="B", WORKDAY(Main[[#This Row],[Tech Start Date]],6),IF(Main[[#This Row],[Class]]="A",WORKDAY(Main[[#This Row],[Tech Start Date]],2),""))))</f>
        <v/>
      </c>
      <c r="N784" s="75" t="str">
        <f>IF(Main[[#This Row],[Tech Start Date]]&lt;1/1/1990,"",IF(Main[[#This Row],[Class]]="C",WORKDAY(Main[[#This Row],[Tech Start Date]],19),IF(Main[[#This Row],[Class]]="B", WORKDAY(Main[[#This Row],[Tech Start Date]],12),IF(Main[[#This Row],[Class]]="A",WORKDAY(Main[[#This Row],[Tech Start Date]],4),""))))</f>
        <v/>
      </c>
      <c r="O784" s="75" t="str">
        <f>IF(Main[[#This Row],[Tech Start Date]]&lt;1/1/1990,"",IF(Main[[#This Row],[Class]]="C",WORKDAY(Main[[#This Row],[Tech Start Date]],23),IF(Main[[#This Row],[Class]]="B", WORKDAY(Main[[#This Row],[Tech Start Date]],15),IF(Main[[#This Row],[Class]]="A",WORKDAY(Main[[#This Row],[Tech Start Date]],5),""))))</f>
        <v/>
      </c>
      <c r="P784" s="75" t="str">
        <f>IF(Main[[#This Row],[Tech Start Date]]&lt;1/1/1990,"",IF(Main[[#This Row],[Class]]="C",WORKDAY(Main[[#This Row],[Tech Start Date]],28),IF(Main[[#This Row],[Class]]="B", WORKDAY(Main[[#This Row],[Tech Start Date]],19),IF(Main[[#This Row],[Class]]="A",WORKDAY(Main[[#This Row],[Tech Start Date]],9),""))))</f>
        <v/>
      </c>
      <c r="Q784" s="89">
        <v>40165</v>
      </c>
      <c r="R784" s="121">
        <v>40298</v>
      </c>
      <c r="S784" s="99" t="s">
        <v>17</v>
      </c>
      <c r="T784" s="76" t="s">
        <v>4</v>
      </c>
      <c r="U784" s="99" t="s">
        <v>29</v>
      </c>
      <c r="V784" s="99" t="s">
        <v>1914</v>
      </c>
      <c r="W784" s="99" t="s">
        <v>1917</v>
      </c>
      <c r="X784" s="99" t="s">
        <v>399</v>
      </c>
      <c r="Y784" s="73" t="s">
        <v>4</v>
      </c>
      <c r="Z784" s="73" t="s">
        <v>4</v>
      </c>
      <c r="AA784" s="99" t="s">
        <v>3423</v>
      </c>
    </row>
    <row r="785" spans="1:27" ht="17.25" customHeight="1">
      <c r="A785" s="65" t="str">
        <f>IF(priority(Main[[#This Row],[Comments]])&lt;&gt;0, priority(Main[[#This Row],[Comments]]),"")</f>
        <v/>
      </c>
      <c r="B785" s="60" t="s">
        <v>1719</v>
      </c>
      <c r="C785" s="105" t="s">
        <v>4</v>
      </c>
      <c r="D785" s="74" t="s">
        <v>775</v>
      </c>
      <c r="E785" s="89"/>
      <c r="F785" s="89"/>
      <c r="G785" s="65" t="str">
        <f>IF(stdProdLT(Main[[#This Row],[Comments]])=0.1,"N/A",IF(stdProdLT(Main[[#This Row],[Comments]])=0,"",TRIM(stdProdLT(Main[[#This Row],[Comments]]))))</f>
        <v/>
      </c>
      <c r="H785" s="98" t="str">
        <f>IF(Main[[#This Row],[Std. Prod. Lead Time]]="N/A", "",IF(AND(Main[[#This Row],[In Stock Date]]&lt;&gt;"",Main[[#This Row],[Revised Due Date]]&lt;&gt;"",Main[[#This Row],[In Stock Date]]&lt;&gt;""),Main[[#This Row],[In Stock Date]]-Main[[#This Row],[Revised Due Date]],""))</f>
        <v/>
      </c>
      <c r="I785" s="110" t="s">
        <v>4</v>
      </c>
      <c r="J785" s="99" t="s">
        <v>4</v>
      </c>
      <c r="K785" s="99" t="s">
        <v>4</v>
      </c>
      <c r="L785" s="89"/>
      <c r="M785" s="75" t="str">
        <f>IF(Main[[#This Row],[Tech Start Date]]&lt;1/1/1990,"",IF(Main[[#This Row],[Class]]="C",WORKDAY(Main[[#This Row],[Tech Start Date]],9),IF(Main[[#This Row],[Class]]="B", WORKDAY(Main[[#This Row],[Tech Start Date]],6),IF(Main[[#This Row],[Class]]="A",WORKDAY(Main[[#This Row],[Tech Start Date]],2),""))))</f>
        <v/>
      </c>
      <c r="N785" s="75" t="str">
        <f>IF(Main[[#This Row],[Tech Start Date]]&lt;1/1/1990,"",IF(Main[[#This Row],[Class]]="C",WORKDAY(Main[[#This Row],[Tech Start Date]],19),IF(Main[[#This Row],[Class]]="B", WORKDAY(Main[[#This Row],[Tech Start Date]],12),IF(Main[[#This Row],[Class]]="A",WORKDAY(Main[[#This Row],[Tech Start Date]],4),""))))</f>
        <v/>
      </c>
      <c r="O785" s="75" t="str">
        <f>IF(Main[[#This Row],[Tech Start Date]]&lt;1/1/1990,"",IF(Main[[#This Row],[Class]]="C",WORKDAY(Main[[#This Row],[Tech Start Date]],23),IF(Main[[#This Row],[Class]]="B", WORKDAY(Main[[#This Row],[Tech Start Date]],15),IF(Main[[#This Row],[Class]]="A",WORKDAY(Main[[#This Row],[Tech Start Date]],5),""))))</f>
        <v/>
      </c>
      <c r="P785" s="75" t="str">
        <f>IF(Main[[#This Row],[Tech Start Date]]&lt;1/1/1990,"",IF(Main[[#This Row],[Class]]="C",WORKDAY(Main[[#This Row],[Tech Start Date]],28),IF(Main[[#This Row],[Class]]="B", WORKDAY(Main[[#This Row],[Tech Start Date]],19),IF(Main[[#This Row],[Class]]="A",WORKDAY(Main[[#This Row],[Tech Start Date]],9),""))))</f>
        <v/>
      </c>
      <c r="Q785" s="89"/>
      <c r="R785" s="121"/>
      <c r="S785" s="99" t="s">
        <v>4</v>
      </c>
      <c r="T785" s="76" t="s">
        <v>4</v>
      </c>
      <c r="U785" s="99" t="s">
        <v>14</v>
      </c>
      <c r="V785" s="99" t="s">
        <v>1916</v>
      </c>
      <c r="W785" s="99" t="s">
        <v>4</v>
      </c>
      <c r="X785" s="99" t="s">
        <v>50</v>
      </c>
      <c r="Y785" s="73" t="s">
        <v>4</v>
      </c>
      <c r="Z785" s="73" t="s">
        <v>4</v>
      </c>
      <c r="AA785" s="99" t="s">
        <v>4</v>
      </c>
    </row>
    <row r="786" spans="1:27" ht="17.25" customHeight="1">
      <c r="A786" s="65" t="str">
        <f>IF(priority(Main[[#This Row],[Comments]])&lt;&gt;0, priority(Main[[#This Row],[Comments]]),"")</f>
        <v/>
      </c>
      <c r="B786" s="60" t="s">
        <v>1565</v>
      </c>
      <c r="C786" s="105" t="s">
        <v>72</v>
      </c>
      <c r="D786" s="74" t="s">
        <v>645</v>
      </c>
      <c r="E786" s="89"/>
      <c r="F786" s="89"/>
      <c r="G786" s="65" t="str">
        <f>IF(stdProdLT(Main[[#This Row],[Comments]])=0.1,"N/A",IF(stdProdLT(Main[[#This Row],[Comments]])=0,"",TRIM(stdProdLT(Main[[#This Row],[Comments]]))))</f>
        <v/>
      </c>
      <c r="H786" s="98" t="str">
        <f>IF(Main[[#This Row],[Std. Prod. Lead Time]]="N/A", "",IF(AND(Main[[#This Row],[In Stock Date]]&lt;&gt;"",Main[[#This Row],[Revised Due Date]]&lt;&gt;"",Main[[#This Row],[In Stock Date]]&lt;&gt;""),Main[[#This Row],[In Stock Date]]-Main[[#This Row],[Revised Due Date]],""))</f>
        <v/>
      </c>
      <c r="I786" s="110" t="s">
        <v>4</v>
      </c>
      <c r="J786" s="99" t="s">
        <v>4</v>
      </c>
      <c r="K786" s="99" t="s">
        <v>4</v>
      </c>
      <c r="L786" s="89"/>
      <c r="M786" s="75" t="str">
        <f>IF(Main[[#This Row],[Tech Start Date]]&lt;1/1/1990,"",IF(Main[[#This Row],[Class]]="C",WORKDAY(Main[[#This Row],[Tech Start Date]],9),IF(Main[[#This Row],[Class]]="B", WORKDAY(Main[[#This Row],[Tech Start Date]],6),IF(Main[[#This Row],[Class]]="A",WORKDAY(Main[[#This Row],[Tech Start Date]],2),""))))</f>
        <v/>
      </c>
      <c r="N786" s="75" t="str">
        <f>IF(Main[[#This Row],[Tech Start Date]]&lt;1/1/1990,"",IF(Main[[#This Row],[Class]]="C",WORKDAY(Main[[#This Row],[Tech Start Date]],19),IF(Main[[#This Row],[Class]]="B", WORKDAY(Main[[#This Row],[Tech Start Date]],12),IF(Main[[#This Row],[Class]]="A",WORKDAY(Main[[#This Row],[Tech Start Date]],4),""))))</f>
        <v/>
      </c>
      <c r="O786" s="75" t="str">
        <f>IF(Main[[#This Row],[Tech Start Date]]&lt;1/1/1990,"",IF(Main[[#This Row],[Class]]="C",WORKDAY(Main[[#This Row],[Tech Start Date]],23),IF(Main[[#This Row],[Class]]="B", WORKDAY(Main[[#This Row],[Tech Start Date]],15),IF(Main[[#This Row],[Class]]="A",WORKDAY(Main[[#This Row],[Tech Start Date]],5),""))))</f>
        <v/>
      </c>
      <c r="P786" s="75" t="str">
        <f>IF(Main[[#This Row],[Tech Start Date]]&lt;1/1/1990,"",IF(Main[[#This Row],[Class]]="C",WORKDAY(Main[[#This Row],[Tech Start Date]],28),IF(Main[[#This Row],[Class]]="B", WORKDAY(Main[[#This Row],[Tech Start Date]],19),IF(Main[[#This Row],[Class]]="A",WORKDAY(Main[[#This Row],[Tech Start Date]],9),""))))</f>
        <v/>
      </c>
      <c r="Q786" s="89"/>
      <c r="R786" s="121"/>
      <c r="S786" s="99" t="s">
        <v>49</v>
      </c>
      <c r="T786" s="76" t="s">
        <v>4</v>
      </c>
      <c r="U786" s="99" t="s">
        <v>12</v>
      </c>
      <c r="V786" s="99" t="s">
        <v>1914</v>
      </c>
      <c r="W786" s="99" t="s">
        <v>1915</v>
      </c>
      <c r="X786" s="99" t="s">
        <v>2895</v>
      </c>
      <c r="Y786" s="73" t="s">
        <v>3073</v>
      </c>
      <c r="Z786" s="73" t="s">
        <v>4</v>
      </c>
      <c r="AA786" s="99" t="s">
        <v>2895</v>
      </c>
    </row>
    <row r="787" spans="1:27" ht="17.25" customHeight="1">
      <c r="A787" s="65" t="str">
        <f>IF(priority(Main[[#This Row],[Comments]])&lt;&gt;0, priority(Main[[#This Row],[Comments]]),"")</f>
        <v/>
      </c>
      <c r="B787" s="60" t="s">
        <v>1566</v>
      </c>
      <c r="C787" s="105" t="s">
        <v>72</v>
      </c>
      <c r="D787" s="74" t="s">
        <v>646</v>
      </c>
      <c r="E787" s="89"/>
      <c r="F787" s="89">
        <v>40313</v>
      </c>
      <c r="G787" s="65" t="str">
        <f>IF(stdProdLT(Main[[#This Row],[Comments]])=0.1,"N/A",IF(stdProdLT(Main[[#This Row],[Comments]])=0,"",TRIM(stdProdLT(Main[[#This Row],[Comments]]))))</f>
        <v/>
      </c>
      <c r="H787" s="98" t="str">
        <f>IF(Main[[#This Row],[Std. Prod. Lead Time]]="N/A", "",IF(AND(Main[[#This Row],[In Stock Date]]&lt;&gt;"",Main[[#This Row],[Revised Due Date]]&lt;&gt;"",Main[[#This Row],[In Stock Date]]&lt;&gt;""),Main[[#This Row],[In Stock Date]]-Main[[#This Row],[Revised Due Date]],""))</f>
        <v/>
      </c>
      <c r="I787" s="110" t="s">
        <v>4</v>
      </c>
      <c r="J787" s="99" t="s">
        <v>4</v>
      </c>
      <c r="K787" s="99" t="s">
        <v>4</v>
      </c>
      <c r="L787" s="89"/>
      <c r="M787" s="75" t="str">
        <f>IF(Main[[#This Row],[Tech Start Date]]&lt;1/1/1990,"",IF(Main[[#This Row],[Class]]="C",WORKDAY(Main[[#This Row],[Tech Start Date]],9),IF(Main[[#This Row],[Class]]="B", WORKDAY(Main[[#This Row],[Tech Start Date]],6),IF(Main[[#This Row],[Class]]="A",WORKDAY(Main[[#This Row],[Tech Start Date]],2),""))))</f>
        <v/>
      </c>
      <c r="N787" s="75" t="str">
        <f>IF(Main[[#This Row],[Tech Start Date]]&lt;1/1/1990,"",IF(Main[[#This Row],[Class]]="C",WORKDAY(Main[[#This Row],[Tech Start Date]],19),IF(Main[[#This Row],[Class]]="B", WORKDAY(Main[[#This Row],[Tech Start Date]],12),IF(Main[[#This Row],[Class]]="A",WORKDAY(Main[[#This Row],[Tech Start Date]],4),""))))</f>
        <v/>
      </c>
      <c r="O787" s="75" t="str">
        <f>IF(Main[[#This Row],[Tech Start Date]]&lt;1/1/1990,"",IF(Main[[#This Row],[Class]]="C",WORKDAY(Main[[#This Row],[Tech Start Date]],23),IF(Main[[#This Row],[Class]]="B", WORKDAY(Main[[#This Row],[Tech Start Date]],15),IF(Main[[#This Row],[Class]]="A",WORKDAY(Main[[#This Row],[Tech Start Date]],5),""))))</f>
        <v/>
      </c>
      <c r="P787" s="75" t="str">
        <f>IF(Main[[#This Row],[Tech Start Date]]&lt;1/1/1990,"",IF(Main[[#This Row],[Class]]="C",WORKDAY(Main[[#This Row],[Tech Start Date]],28),IF(Main[[#This Row],[Class]]="B", WORKDAY(Main[[#This Row],[Tech Start Date]],19),IF(Main[[#This Row],[Class]]="A",WORKDAY(Main[[#This Row],[Tech Start Date]],9),""))))</f>
        <v/>
      </c>
      <c r="Q787" s="89">
        <v>40233</v>
      </c>
      <c r="R787" s="121"/>
      <c r="S787" s="99" t="s">
        <v>11</v>
      </c>
      <c r="T787" s="76" t="s">
        <v>4</v>
      </c>
      <c r="U787" s="99" t="s">
        <v>14</v>
      </c>
      <c r="V787" s="99" t="s">
        <v>1916</v>
      </c>
      <c r="W787" s="99" t="s">
        <v>1921</v>
      </c>
      <c r="X787" s="99" t="s">
        <v>2818</v>
      </c>
      <c r="Y787" s="73" t="s">
        <v>2937</v>
      </c>
      <c r="Z787" s="73" t="s">
        <v>4</v>
      </c>
      <c r="AA787" s="99" t="s">
        <v>2818</v>
      </c>
    </row>
    <row r="788" spans="1:27" ht="17.25" customHeight="1">
      <c r="A788" s="65" t="str">
        <f>IF(priority(Main[[#This Row],[Comments]])&lt;&gt;0, priority(Main[[#This Row],[Comments]]),"")</f>
        <v/>
      </c>
      <c r="B788" s="60" t="s">
        <v>1567</v>
      </c>
      <c r="C788" s="105" t="s">
        <v>159</v>
      </c>
      <c r="D788" s="74" t="s">
        <v>647</v>
      </c>
      <c r="E788" s="89"/>
      <c r="F788" s="89">
        <v>40513</v>
      </c>
      <c r="G788" s="65" t="str">
        <f>IF(stdProdLT(Main[[#This Row],[Comments]])=0.1,"N/A",IF(stdProdLT(Main[[#This Row],[Comments]])=0,"",TRIM(stdProdLT(Main[[#This Row],[Comments]]))))</f>
        <v/>
      </c>
      <c r="H788" s="98" t="str">
        <f>IF(Main[[#This Row],[Std. Prod. Lead Time]]="N/A", "",IF(AND(Main[[#This Row],[In Stock Date]]&lt;&gt;"",Main[[#This Row],[Revised Due Date]]&lt;&gt;"",Main[[#This Row],[In Stock Date]]&lt;&gt;""),Main[[#This Row],[In Stock Date]]-Main[[#This Row],[Revised Due Date]],""))</f>
        <v/>
      </c>
      <c r="I788" s="110" t="s">
        <v>4</v>
      </c>
      <c r="J788" s="99" t="s">
        <v>28</v>
      </c>
      <c r="K788" s="99" t="s">
        <v>4</v>
      </c>
      <c r="L788" s="89"/>
      <c r="M788" s="75" t="str">
        <f>IF(Main[[#This Row],[Tech Start Date]]&lt;1/1/1990,"",IF(Main[[#This Row],[Class]]="C",WORKDAY(Main[[#This Row],[Tech Start Date]],9),IF(Main[[#This Row],[Class]]="B", WORKDAY(Main[[#This Row],[Tech Start Date]],6),IF(Main[[#This Row],[Class]]="A",WORKDAY(Main[[#This Row],[Tech Start Date]],2),""))))</f>
        <v/>
      </c>
      <c r="N788" s="75" t="str">
        <f>IF(Main[[#This Row],[Tech Start Date]]&lt;1/1/1990,"",IF(Main[[#This Row],[Class]]="C",WORKDAY(Main[[#This Row],[Tech Start Date]],19),IF(Main[[#This Row],[Class]]="B", WORKDAY(Main[[#This Row],[Tech Start Date]],12),IF(Main[[#This Row],[Class]]="A",WORKDAY(Main[[#This Row],[Tech Start Date]],4),""))))</f>
        <v/>
      </c>
      <c r="O788" s="75" t="str">
        <f>IF(Main[[#This Row],[Tech Start Date]]&lt;1/1/1990,"",IF(Main[[#This Row],[Class]]="C",WORKDAY(Main[[#This Row],[Tech Start Date]],23),IF(Main[[#This Row],[Class]]="B", WORKDAY(Main[[#This Row],[Tech Start Date]],15),IF(Main[[#This Row],[Class]]="A",WORKDAY(Main[[#This Row],[Tech Start Date]],5),""))))</f>
        <v/>
      </c>
      <c r="P788" s="75" t="str">
        <f>IF(Main[[#This Row],[Tech Start Date]]&lt;1/1/1990,"",IF(Main[[#This Row],[Class]]="C",WORKDAY(Main[[#This Row],[Tech Start Date]],28),IF(Main[[#This Row],[Class]]="B", WORKDAY(Main[[#This Row],[Tech Start Date]],19),IF(Main[[#This Row],[Class]]="A",WORKDAY(Main[[#This Row],[Tech Start Date]],9),""))))</f>
        <v/>
      </c>
      <c r="Q788" s="89">
        <v>40382</v>
      </c>
      <c r="R788" s="121"/>
      <c r="S788" s="99" t="s">
        <v>11</v>
      </c>
      <c r="T788" s="76" t="s">
        <v>4</v>
      </c>
      <c r="U788" s="99" t="s">
        <v>14</v>
      </c>
      <c r="V788" s="99" t="s">
        <v>1913</v>
      </c>
      <c r="W788" s="99" t="s">
        <v>1921</v>
      </c>
      <c r="X788" s="99" t="s">
        <v>2849</v>
      </c>
      <c r="Y788" s="73" t="s">
        <v>2988</v>
      </c>
      <c r="Z788" s="73" t="s">
        <v>129</v>
      </c>
      <c r="AA788" s="99" t="s">
        <v>2849</v>
      </c>
    </row>
    <row r="789" spans="1:27" ht="17.25" customHeight="1">
      <c r="A789" s="65" t="str">
        <f>IF(priority(Main[[#This Row],[Comments]])&lt;&gt;0, priority(Main[[#This Row],[Comments]]),"")</f>
        <v/>
      </c>
      <c r="B789" s="60" t="s">
        <v>1568</v>
      </c>
      <c r="C789" s="105" t="s">
        <v>4</v>
      </c>
      <c r="D789" s="74" t="s">
        <v>648</v>
      </c>
      <c r="E789" s="89">
        <v>40477.486574074072</v>
      </c>
      <c r="F789" s="89"/>
      <c r="G789" s="65" t="str">
        <f>IF(stdProdLT(Main[[#This Row],[Comments]])=0.1,"N/A",IF(stdProdLT(Main[[#This Row],[Comments]])=0,"",TRIM(stdProdLT(Main[[#This Row],[Comments]]))))</f>
        <v/>
      </c>
      <c r="H789" s="98" t="str">
        <f>IF(Main[[#This Row],[Std. Prod. Lead Time]]="N/A", "",IF(AND(Main[[#This Row],[In Stock Date]]&lt;&gt;"",Main[[#This Row],[Revised Due Date]]&lt;&gt;"",Main[[#This Row],[In Stock Date]]&lt;&gt;""),Main[[#This Row],[In Stock Date]]-Main[[#This Row],[Revised Due Date]],""))</f>
        <v/>
      </c>
      <c r="I789" s="110" t="s">
        <v>4</v>
      </c>
      <c r="J789" s="99" t="s">
        <v>4</v>
      </c>
      <c r="K789" s="99" t="s">
        <v>4</v>
      </c>
      <c r="L789" s="89"/>
      <c r="M789" s="75" t="str">
        <f>IF(Main[[#This Row],[Tech Start Date]]&lt;1/1/1990,"",IF(Main[[#This Row],[Class]]="C",WORKDAY(Main[[#This Row],[Tech Start Date]],9),IF(Main[[#This Row],[Class]]="B", WORKDAY(Main[[#This Row],[Tech Start Date]],6),IF(Main[[#This Row],[Class]]="A",WORKDAY(Main[[#This Row],[Tech Start Date]],2),""))))</f>
        <v/>
      </c>
      <c r="N789" s="75" t="str">
        <f>IF(Main[[#This Row],[Tech Start Date]]&lt;1/1/1990,"",IF(Main[[#This Row],[Class]]="C",WORKDAY(Main[[#This Row],[Tech Start Date]],19),IF(Main[[#This Row],[Class]]="B", WORKDAY(Main[[#This Row],[Tech Start Date]],12),IF(Main[[#This Row],[Class]]="A",WORKDAY(Main[[#This Row],[Tech Start Date]],4),""))))</f>
        <v/>
      </c>
      <c r="O789" s="75" t="str">
        <f>IF(Main[[#This Row],[Tech Start Date]]&lt;1/1/1990,"",IF(Main[[#This Row],[Class]]="C",WORKDAY(Main[[#This Row],[Tech Start Date]],23),IF(Main[[#This Row],[Class]]="B", WORKDAY(Main[[#This Row],[Tech Start Date]],15),IF(Main[[#This Row],[Class]]="A",WORKDAY(Main[[#This Row],[Tech Start Date]],5),""))))</f>
        <v/>
      </c>
      <c r="P789" s="75" t="str">
        <f>IF(Main[[#This Row],[Tech Start Date]]&lt;1/1/1990,"",IF(Main[[#This Row],[Class]]="C",WORKDAY(Main[[#This Row],[Tech Start Date]],28),IF(Main[[#This Row],[Class]]="B", WORKDAY(Main[[#This Row],[Tech Start Date]],19),IF(Main[[#This Row],[Class]]="A",WORKDAY(Main[[#This Row],[Tech Start Date]],9),""))))</f>
        <v/>
      </c>
      <c r="Q789" s="89">
        <v>40511</v>
      </c>
      <c r="R789" s="121"/>
      <c r="S789" s="99" t="s">
        <v>6</v>
      </c>
      <c r="T789" s="76" t="s">
        <v>4</v>
      </c>
      <c r="U789" s="99" t="s">
        <v>7</v>
      </c>
      <c r="V789" s="99" t="s">
        <v>1913</v>
      </c>
      <c r="W789" s="99" t="s">
        <v>4</v>
      </c>
      <c r="X789" s="99" t="s">
        <v>2812</v>
      </c>
      <c r="Y789" s="73" t="s">
        <v>2923</v>
      </c>
      <c r="Z789" s="73" t="s">
        <v>4</v>
      </c>
      <c r="AA789" s="99" t="s">
        <v>2812</v>
      </c>
    </row>
    <row r="790" spans="1:27" ht="17.25" customHeight="1">
      <c r="A790" s="65" t="str">
        <f>IF(priority(Main[[#This Row],[Comments]])&lt;&gt;0, priority(Main[[#This Row],[Comments]]),"")</f>
        <v/>
      </c>
      <c r="B790" s="60" t="s">
        <v>1569</v>
      </c>
      <c r="C790" s="105" t="s">
        <v>4</v>
      </c>
      <c r="D790" s="74" t="s">
        <v>649</v>
      </c>
      <c r="E790" s="89"/>
      <c r="F790" s="89"/>
      <c r="G790" s="65" t="str">
        <f>IF(stdProdLT(Main[[#This Row],[Comments]])=0.1,"N/A",IF(stdProdLT(Main[[#This Row],[Comments]])=0,"",TRIM(stdProdLT(Main[[#This Row],[Comments]]))))</f>
        <v/>
      </c>
      <c r="H790" s="98" t="str">
        <f>IF(Main[[#This Row],[Std. Prod. Lead Time]]="N/A", "",IF(AND(Main[[#This Row],[In Stock Date]]&lt;&gt;"",Main[[#This Row],[Revised Due Date]]&lt;&gt;"",Main[[#This Row],[In Stock Date]]&lt;&gt;""),Main[[#This Row],[In Stock Date]]-Main[[#This Row],[Revised Due Date]],""))</f>
        <v/>
      </c>
      <c r="I790" s="110" t="s">
        <v>4</v>
      </c>
      <c r="J790" s="99" t="s">
        <v>4</v>
      </c>
      <c r="K790" s="99" t="s">
        <v>4</v>
      </c>
      <c r="L790" s="89"/>
      <c r="M790" s="75" t="str">
        <f>IF(Main[[#This Row],[Tech Start Date]]&lt;1/1/1990,"",IF(Main[[#This Row],[Class]]="C",WORKDAY(Main[[#This Row],[Tech Start Date]],9),IF(Main[[#This Row],[Class]]="B", WORKDAY(Main[[#This Row],[Tech Start Date]],6),IF(Main[[#This Row],[Class]]="A",WORKDAY(Main[[#This Row],[Tech Start Date]],2),""))))</f>
        <v/>
      </c>
      <c r="N790" s="75" t="str">
        <f>IF(Main[[#This Row],[Tech Start Date]]&lt;1/1/1990,"",IF(Main[[#This Row],[Class]]="C",WORKDAY(Main[[#This Row],[Tech Start Date]],19),IF(Main[[#This Row],[Class]]="B", WORKDAY(Main[[#This Row],[Tech Start Date]],12),IF(Main[[#This Row],[Class]]="A",WORKDAY(Main[[#This Row],[Tech Start Date]],4),""))))</f>
        <v/>
      </c>
      <c r="O790" s="75" t="str">
        <f>IF(Main[[#This Row],[Tech Start Date]]&lt;1/1/1990,"",IF(Main[[#This Row],[Class]]="C",WORKDAY(Main[[#This Row],[Tech Start Date]],23),IF(Main[[#This Row],[Class]]="B", WORKDAY(Main[[#This Row],[Tech Start Date]],15),IF(Main[[#This Row],[Class]]="A",WORKDAY(Main[[#This Row],[Tech Start Date]],5),""))))</f>
        <v/>
      </c>
      <c r="P790" s="75" t="str">
        <f>IF(Main[[#This Row],[Tech Start Date]]&lt;1/1/1990,"",IF(Main[[#This Row],[Class]]="C",WORKDAY(Main[[#This Row],[Tech Start Date]],28),IF(Main[[#This Row],[Class]]="B", WORKDAY(Main[[#This Row],[Tech Start Date]],19),IF(Main[[#This Row],[Class]]="A",WORKDAY(Main[[#This Row],[Tech Start Date]],9),""))))</f>
        <v/>
      </c>
      <c r="Q790" s="89">
        <v>40619</v>
      </c>
      <c r="R790" s="121"/>
      <c r="S790" s="99" t="s">
        <v>6</v>
      </c>
      <c r="T790" s="76" t="s">
        <v>4</v>
      </c>
      <c r="U790" s="99" t="s">
        <v>14</v>
      </c>
      <c r="V790" s="99" t="s">
        <v>1923</v>
      </c>
      <c r="W790" s="99" t="s">
        <v>4</v>
      </c>
      <c r="X790" s="99" t="s">
        <v>2897</v>
      </c>
      <c r="Y790" s="73" t="s">
        <v>3077</v>
      </c>
      <c r="Z790" s="73" t="s">
        <v>4</v>
      </c>
      <c r="AA790" s="99" t="s">
        <v>2897</v>
      </c>
    </row>
    <row r="791" spans="1:27" ht="17.25" customHeight="1">
      <c r="A791" s="65" t="str">
        <f>IF(priority(Main[[#This Row],[Comments]])&lt;&gt;0, priority(Main[[#This Row],[Comments]]),"")</f>
        <v/>
      </c>
      <c r="B791" s="60" t="s">
        <v>2102</v>
      </c>
      <c r="C791" s="105" t="s">
        <v>4</v>
      </c>
      <c r="D791" s="74" t="s">
        <v>2103</v>
      </c>
      <c r="E791" s="89">
        <v>40772.421967592592</v>
      </c>
      <c r="F791" s="89"/>
      <c r="G791" s="65" t="str">
        <f>IF(stdProdLT(Main[[#This Row],[Comments]])=0.1,"N/A",IF(stdProdLT(Main[[#This Row],[Comments]])=0,"",TRIM(stdProdLT(Main[[#This Row],[Comments]]))))</f>
        <v/>
      </c>
      <c r="H791" s="98" t="str">
        <f>IF(Main[[#This Row],[Std. Prod. Lead Time]]="N/A", "",IF(AND(Main[[#This Row],[In Stock Date]]&lt;&gt;"",Main[[#This Row],[Revised Due Date]]&lt;&gt;"",Main[[#This Row],[In Stock Date]]&lt;&gt;""),Main[[#This Row],[In Stock Date]]-Main[[#This Row],[Revised Due Date]],""))</f>
        <v/>
      </c>
      <c r="I791" s="110" t="s">
        <v>912</v>
      </c>
      <c r="J791" s="99" t="s">
        <v>52</v>
      </c>
      <c r="K791" s="100" t="s">
        <v>4</v>
      </c>
      <c r="L791" s="89"/>
      <c r="M791" s="75" t="str">
        <f>IF(Main[[#This Row],[Tech Start Date]]&lt;1/1/1990,"",IF(Main[[#This Row],[Class]]="C",WORKDAY(Main[[#This Row],[Tech Start Date]],9),IF(Main[[#This Row],[Class]]="B", WORKDAY(Main[[#This Row],[Tech Start Date]],6),IF(Main[[#This Row],[Class]]="A",WORKDAY(Main[[#This Row],[Tech Start Date]],2),""))))</f>
        <v/>
      </c>
      <c r="N791" s="75" t="str">
        <f>IF(Main[[#This Row],[Tech Start Date]]&lt;1/1/1990,"",IF(Main[[#This Row],[Class]]="C",WORKDAY(Main[[#This Row],[Tech Start Date]],19),IF(Main[[#This Row],[Class]]="B", WORKDAY(Main[[#This Row],[Tech Start Date]],12),IF(Main[[#This Row],[Class]]="A",WORKDAY(Main[[#This Row],[Tech Start Date]],4),""))))</f>
        <v/>
      </c>
      <c r="O791" s="75" t="str">
        <f>IF(Main[[#This Row],[Tech Start Date]]&lt;1/1/1990,"",IF(Main[[#This Row],[Class]]="C",WORKDAY(Main[[#This Row],[Tech Start Date]],23),IF(Main[[#This Row],[Class]]="B", WORKDAY(Main[[#This Row],[Tech Start Date]],15),IF(Main[[#This Row],[Class]]="A",WORKDAY(Main[[#This Row],[Tech Start Date]],5),""))))</f>
        <v/>
      </c>
      <c r="P791" s="75" t="str">
        <f>IF(Main[[#This Row],[Tech Start Date]]&lt;1/1/1990,"",IF(Main[[#This Row],[Class]]="C",WORKDAY(Main[[#This Row],[Tech Start Date]],28),IF(Main[[#This Row],[Class]]="B", WORKDAY(Main[[#This Row],[Tech Start Date]],19),IF(Main[[#This Row],[Class]]="A",WORKDAY(Main[[#This Row],[Tech Start Date]],9),""))))</f>
        <v/>
      </c>
      <c r="Q791" s="89"/>
      <c r="R791" s="121"/>
      <c r="S791" s="99" t="s">
        <v>6</v>
      </c>
      <c r="T791" s="76" t="s">
        <v>4</v>
      </c>
      <c r="U791" s="99" t="s">
        <v>29</v>
      </c>
      <c r="V791" s="99" t="s">
        <v>1913</v>
      </c>
      <c r="W791" s="99" t="s">
        <v>1917</v>
      </c>
      <c r="X791" s="99" t="s">
        <v>937</v>
      </c>
      <c r="Y791" s="73" t="s">
        <v>2978</v>
      </c>
      <c r="Z791" s="73" t="s">
        <v>129</v>
      </c>
      <c r="AA791" s="99" t="s">
        <v>937</v>
      </c>
    </row>
    <row r="792" spans="1:27" ht="17.25" customHeight="1">
      <c r="A792" s="65" t="str">
        <f>IF(priority(Main[[#This Row],[Comments]])&lt;&gt;0, priority(Main[[#This Row],[Comments]]),"")</f>
        <v/>
      </c>
      <c r="B792" s="60" t="s">
        <v>2379</v>
      </c>
      <c r="C792" s="105" t="s">
        <v>47</v>
      </c>
      <c r="D792" s="74" t="s">
        <v>2380</v>
      </c>
      <c r="E792" s="89">
        <v>40847.703090277777</v>
      </c>
      <c r="F792" s="89"/>
      <c r="G792" s="65" t="str">
        <f>IF(stdProdLT(Main[[#This Row],[Comments]])=0.1,"N/A",IF(stdProdLT(Main[[#This Row],[Comments]])=0,"",TRIM(stdProdLT(Main[[#This Row],[Comments]]))))</f>
        <v/>
      </c>
      <c r="H792" s="98" t="str">
        <f>IF(Main[[#This Row],[Std. Prod. Lead Time]]="N/A", "",IF(AND(Main[[#This Row],[In Stock Date]]&lt;&gt;"",Main[[#This Row],[Revised Due Date]]&lt;&gt;"",Main[[#This Row],[In Stock Date]]&lt;&gt;""),Main[[#This Row],[In Stock Date]]-Main[[#This Row],[Revised Due Date]],""))</f>
        <v/>
      </c>
      <c r="I792" s="110" t="s">
        <v>69</v>
      </c>
      <c r="J792" s="99" t="s">
        <v>28</v>
      </c>
      <c r="K792" s="99" t="s">
        <v>1922</v>
      </c>
      <c r="L792" s="89"/>
      <c r="M792" s="75" t="str">
        <f>IF(Main[[#This Row],[Tech Start Date]]&lt;1/1/1990,"",IF(Main[[#This Row],[Class]]="C",WORKDAY(Main[[#This Row],[Tech Start Date]],9),IF(Main[[#This Row],[Class]]="B", WORKDAY(Main[[#This Row],[Tech Start Date]],6),IF(Main[[#This Row],[Class]]="A",WORKDAY(Main[[#This Row],[Tech Start Date]],2),""))))</f>
        <v/>
      </c>
      <c r="N792" s="75" t="str">
        <f>IF(Main[[#This Row],[Tech Start Date]]&lt;1/1/1990,"",IF(Main[[#This Row],[Class]]="C",WORKDAY(Main[[#This Row],[Tech Start Date]],19),IF(Main[[#This Row],[Class]]="B", WORKDAY(Main[[#This Row],[Tech Start Date]],12),IF(Main[[#This Row],[Class]]="A",WORKDAY(Main[[#This Row],[Tech Start Date]],4),""))))</f>
        <v/>
      </c>
      <c r="O792" s="75" t="str">
        <f>IF(Main[[#This Row],[Tech Start Date]]&lt;1/1/1990,"",IF(Main[[#This Row],[Class]]="C",WORKDAY(Main[[#This Row],[Tech Start Date]],23),IF(Main[[#This Row],[Class]]="B", WORKDAY(Main[[#This Row],[Tech Start Date]],15),IF(Main[[#This Row],[Class]]="A",WORKDAY(Main[[#This Row],[Tech Start Date]],5),""))))</f>
        <v/>
      </c>
      <c r="P792" s="75" t="str">
        <f>IF(Main[[#This Row],[Tech Start Date]]&lt;1/1/1990,"",IF(Main[[#This Row],[Class]]="C",WORKDAY(Main[[#This Row],[Tech Start Date]],28),IF(Main[[#This Row],[Class]]="B", WORKDAY(Main[[#This Row],[Tech Start Date]],19),IF(Main[[#This Row],[Class]]="A",WORKDAY(Main[[#This Row],[Tech Start Date]],9),""))))</f>
        <v/>
      </c>
      <c r="Q792" s="89">
        <v>40862</v>
      </c>
      <c r="R792" s="121"/>
      <c r="S792" s="99" t="s">
        <v>6</v>
      </c>
      <c r="T792" s="76" t="s">
        <v>4</v>
      </c>
      <c r="U792" s="99" t="s">
        <v>29</v>
      </c>
      <c r="V792" s="99" t="s">
        <v>1916</v>
      </c>
      <c r="W792" s="99" t="s">
        <v>1917</v>
      </c>
      <c r="X792" s="99" t="s">
        <v>2859</v>
      </c>
      <c r="Y792" s="73" t="s">
        <v>3004</v>
      </c>
      <c r="Z792" s="73" t="s">
        <v>30</v>
      </c>
      <c r="AA792" s="99" t="s">
        <v>2859</v>
      </c>
    </row>
    <row r="793" spans="1:27" ht="17.25" customHeight="1">
      <c r="A793" s="65" t="str">
        <f>IF(priority(Main[[#This Row],[Comments]])&lt;&gt;0, priority(Main[[#This Row],[Comments]]),"")</f>
        <v/>
      </c>
      <c r="B793" s="60" t="s">
        <v>1634</v>
      </c>
      <c r="C793" s="105" t="s">
        <v>4</v>
      </c>
      <c r="D793" s="74" t="s">
        <v>2110</v>
      </c>
      <c r="E793" s="89">
        <v>40696.439942129633</v>
      </c>
      <c r="F793" s="89"/>
      <c r="G793" s="65" t="str">
        <f>IF(stdProdLT(Main[[#This Row],[Comments]])=0.1,"N/A",IF(stdProdLT(Main[[#This Row],[Comments]])=0,"",TRIM(stdProdLT(Main[[#This Row],[Comments]]))))</f>
        <v/>
      </c>
      <c r="H793" s="98" t="str">
        <f>IF(Main[[#This Row],[Std. Prod. Lead Time]]="N/A", "",IF(AND(Main[[#This Row],[In Stock Date]]&lt;&gt;"",Main[[#This Row],[Revised Due Date]]&lt;&gt;"",Main[[#This Row],[In Stock Date]]&lt;&gt;""),Main[[#This Row],[In Stock Date]]-Main[[#This Row],[Revised Due Date]],""))</f>
        <v/>
      </c>
      <c r="I793" s="110" t="s">
        <v>941</v>
      </c>
      <c r="J793" s="99" t="s">
        <v>4</v>
      </c>
      <c r="K793" s="99" t="s">
        <v>4</v>
      </c>
      <c r="L793" s="89"/>
      <c r="M793" s="75" t="str">
        <f>IF(Main[[#This Row],[Tech Start Date]]&lt;1/1/1990,"",IF(Main[[#This Row],[Class]]="C",WORKDAY(Main[[#This Row],[Tech Start Date]],9),IF(Main[[#This Row],[Class]]="B", WORKDAY(Main[[#This Row],[Tech Start Date]],6),IF(Main[[#This Row],[Class]]="A",WORKDAY(Main[[#This Row],[Tech Start Date]],2),""))))</f>
        <v/>
      </c>
      <c r="N793" s="75" t="str">
        <f>IF(Main[[#This Row],[Tech Start Date]]&lt;1/1/1990,"",IF(Main[[#This Row],[Class]]="C",WORKDAY(Main[[#This Row],[Tech Start Date]],19),IF(Main[[#This Row],[Class]]="B", WORKDAY(Main[[#This Row],[Tech Start Date]],12),IF(Main[[#This Row],[Class]]="A",WORKDAY(Main[[#This Row],[Tech Start Date]],4),""))))</f>
        <v/>
      </c>
      <c r="O793" s="75" t="str">
        <f>IF(Main[[#This Row],[Tech Start Date]]&lt;1/1/1990,"",IF(Main[[#This Row],[Class]]="C",WORKDAY(Main[[#This Row],[Tech Start Date]],23),IF(Main[[#This Row],[Class]]="B", WORKDAY(Main[[#This Row],[Tech Start Date]],15),IF(Main[[#This Row],[Class]]="A",WORKDAY(Main[[#This Row],[Tech Start Date]],5),""))))</f>
        <v/>
      </c>
      <c r="P793" s="75" t="str">
        <f>IF(Main[[#This Row],[Tech Start Date]]&lt;1/1/1990,"",IF(Main[[#This Row],[Class]]="C",WORKDAY(Main[[#This Row],[Tech Start Date]],28),IF(Main[[#This Row],[Class]]="B", WORKDAY(Main[[#This Row],[Tech Start Date]],19),IF(Main[[#This Row],[Class]]="A",WORKDAY(Main[[#This Row],[Tech Start Date]],9),""))))</f>
        <v/>
      </c>
      <c r="Q793" s="89"/>
      <c r="R793" s="121">
        <v>40815</v>
      </c>
      <c r="S793" s="99" t="s">
        <v>6</v>
      </c>
      <c r="T793" s="76" t="s">
        <v>4</v>
      </c>
      <c r="U793" s="99" t="s">
        <v>29</v>
      </c>
      <c r="V793" s="99" t="s">
        <v>1914</v>
      </c>
      <c r="W793" s="99" t="s">
        <v>1921</v>
      </c>
      <c r="X793" s="99" t="s">
        <v>941</v>
      </c>
      <c r="Y793" s="73" t="s">
        <v>2989</v>
      </c>
      <c r="Z793" s="73" t="s">
        <v>2049</v>
      </c>
      <c r="AA793" s="99" t="s">
        <v>941</v>
      </c>
    </row>
    <row r="794" spans="1:27" ht="17.25" customHeight="1">
      <c r="A794" s="65" t="str">
        <f>IF(priority(Main[[#This Row],[Comments]])&lt;&gt;0, priority(Main[[#This Row],[Comments]]),"")</f>
        <v/>
      </c>
      <c r="B794" s="60" t="s">
        <v>1425</v>
      </c>
      <c r="C794" s="105" t="s">
        <v>4</v>
      </c>
      <c r="D794" s="74" t="s">
        <v>2381</v>
      </c>
      <c r="E794" s="89">
        <v>40561.285520833335</v>
      </c>
      <c r="F794" s="89"/>
      <c r="G794" s="65" t="str">
        <f>IF(stdProdLT(Main[[#This Row],[Comments]])=0.1,"N/A",IF(stdProdLT(Main[[#This Row],[Comments]])=0,"",TRIM(stdProdLT(Main[[#This Row],[Comments]]))))</f>
        <v/>
      </c>
      <c r="H794" s="98" t="str">
        <f>IF(Main[[#This Row],[Std. Prod. Lead Time]]="N/A", "",IF(AND(Main[[#This Row],[In Stock Date]]&lt;&gt;"",Main[[#This Row],[Revised Due Date]]&lt;&gt;"",Main[[#This Row],[In Stock Date]]&lt;&gt;""),Main[[#This Row],[In Stock Date]]-Main[[#This Row],[Revised Due Date]],""))</f>
        <v/>
      </c>
      <c r="I794" s="110" t="s">
        <v>912</v>
      </c>
      <c r="J794" s="99" t="s">
        <v>52</v>
      </c>
      <c r="K794" s="100" t="s">
        <v>1920</v>
      </c>
      <c r="L794" s="89"/>
      <c r="M794" s="75" t="str">
        <f>IF(Main[[#This Row],[Tech Start Date]]&lt;1/1/1990,"",IF(Main[[#This Row],[Class]]="C",WORKDAY(Main[[#This Row],[Tech Start Date]],9),IF(Main[[#This Row],[Class]]="B", WORKDAY(Main[[#This Row],[Tech Start Date]],6),IF(Main[[#This Row],[Class]]="A",WORKDAY(Main[[#This Row],[Tech Start Date]],2),""))))</f>
        <v/>
      </c>
      <c r="N794" s="75" t="str">
        <f>IF(Main[[#This Row],[Tech Start Date]]&lt;1/1/1990,"",IF(Main[[#This Row],[Class]]="C",WORKDAY(Main[[#This Row],[Tech Start Date]],19),IF(Main[[#This Row],[Class]]="B", WORKDAY(Main[[#This Row],[Tech Start Date]],12),IF(Main[[#This Row],[Class]]="A",WORKDAY(Main[[#This Row],[Tech Start Date]],4),""))))</f>
        <v/>
      </c>
      <c r="O794" s="75" t="str">
        <f>IF(Main[[#This Row],[Tech Start Date]]&lt;1/1/1990,"",IF(Main[[#This Row],[Class]]="C",WORKDAY(Main[[#This Row],[Tech Start Date]],23),IF(Main[[#This Row],[Class]]="B", WORKDAY(Main[[#This Row],[Tech Start Date]],15),IF(Main[[#This Row],[Class]]="A",WORKDAY(Main[[#This Row],[Tech Start Date]],5),""))))</f>
        <v/>
      </c>
      <c r="P794" s="75" t="str">
        <f>IF(Main[[#This Row],[Tech Start Date]]&lt;1/1/1990,"",IF(Main[[#This Row],[Class]]="C",WORKDAY(Main[[#This Row],[Tech Start Date]],28),IF(Main[[#This Row],[Class]]="B", WORKDAY(Main[[#This Row],[Tech Start Date]],19),IF(Main[[#This Row],[Class]]="A",WORKDAY(Main[[#This Row],[Tech Start Date]],9),""))))</f>
        <v/>
      </c>
      <c r="Q794" s="89">
        <v>40595</v>
      </c>
      <c r="R794" s="121"/>
      <c r="S794" s="99" t="s">
        <v>6</v>
      </c>
      <c r="T794" s="76" t="s">
        <v>4</v>
      </c>
      <c r="U794" s="99" t="s">
        <v>29</v>
      </c>
      <c r="V794" s="99" t="s">
        <v>1913</v>
      </c>
      <c r="W794" s="99" t="s">
        <v>1915</v>
      </c>
      <c r="X794" s="99" t="s">
        <v>2816</v>
      </c>
      <c r="Y794" s="73" t="s">
        <v>2932</v>
      </c>
      <c r="Z794" s="73" t="s">
        <v>129</v>
      </c>
      <c r="AA794" s="99" t="s">
        <v>2816</v>
      </c>
    </row>
    <row r="795" spans="1:27" ht="17.25" customHeight="1">
      <c r="A795" s="65" t="str">
        <f>IF(priority(Main[[#This Row],[Comments]])&lt;&gt;0, priority(Main[[#This Row],[Comments]]),"")</f>
        <v/>
      </c>
      <c r="B795" s="60" t="s">
        <v>1573</v>
      </c>
      <c r="C795" s="105" t="s">
        <v>4</v>
      </c>
      <c r="D795" s="74" t="s">
        <v>654</v>
      </c>
      <c r="E795" s="89"/>
      <c r="F795" s="89"/>
      <c r="G795" s="65" t="str">
        <f>IF(stdProdLT(Main[[#This Row],[Comments]])=0.1,"N/A",IF(stdProdLT(Main[[#This Row],[Comments]])=0,"",TRIM(stdProdLT(Main[[#This Row],[Comments]]))))</f>
        <v/>
      </c>
      <c r="H795" s="98" t="str">
        <f>IF(Main[[#This Row],[Std. Prod. Lead Time]]="N/A", "",IF(AND(Main[[#This Row],[In Stock Date]]&lt;&gt;"",Main[[#This Row],[Revised Due Date]]&lt;&gt;"",Main[[#This Row],[In Stock Date]]&lt;&gt;""),Main[[#This Row],[In Stock Date]]-Main[[#This Row],[Revised Due Date]],""))</f>
        <v/>
      </c>
      <c r="I795" s="110" t="s">
        <v>4</v>
      </c>
      <c r="J795" s="99" t="s">
        <v>4</v>
      </c>
      <c r="K795" s="99" t="s">
        <v>4</v>
      </c>
      <c r="L795" s="89"/>
      <c r="M795" s="75" t="str">
        <f>IF(Main[[#This Row],[Tech Start Date]]&lt;1/1/1990,"",IF(Main[[#This Row],[Class]]="C",WORKDAY(Main[[#This Row],[Tech Start Date]],9),IF(Main[[#This Row],[Class]]="B", WORKDAY(Main[[#This Row],[Tech Start Date]],6),IF(Main[[#This Row],[Class]]="A",WORKDAY(Main[[#This Row],[Tech Start Date]],2),""))))</f>
        <v/>
      </c>
      <c r="N795" s="75" t="str">
        <f>IF(Main[[#This Row],[Tech Start Date]]&lt;1/1/1990,"",IF(Main[[#This Row],[Class]]="C",WORKDAY(Main[[#This Row],[Tech Start Date]],19),IF(Main[[#This Row],[Class]]="B", WORKDAY(Main[[#This Row],[Tech Start Date]],12),IF(Main[[#This Row],[Class]]="A",WORKDAY(Main[[#This Row],[Tech Start Date]],4),""))))</f>
        <v/>
      </c>
      <c r="O795" s="75" t="str">
        <f>IF(Main[[#This Row],[Tech Start Date]]&lt;1/1/1990,"",IF(Main[[#This Row],[Class]]="C",WORKDAY(Main[[#This Row],[Tech Start Date]],23),IF(Main[[#This Row],[Class]]="B", WORKDAY(Main[[#This Row],[Tech Start Date]],15),IF(Main[[#This Row],[Class]]="A",WORKDAY(Main[[#This Row],[Tech Start Date]],5),""))))</f>
        <v/>
      </c>
      <c r="P795" s="75" t="str">
        <f>IF(Main[[#This Row],[Tech Start Date]]&lt;1/1/1990,"",IF(Main[[#This Row],[Class]]="C",WORKDAY(Main[[#This Row],[Tech Start Date]],28),IF(Main[[#This Row],[Class]]="B", WORKDAY(Main[[#This Row],[Tech Start Date]],19),IF(Main[[#This Row],[Class]]="A",WORKDAY(Main[[#This Row],[Tech Start Date]],9),""))))</f>
        <v/>
      </c>
      <c r="Q795" s="89"/>
      <c r="R795" s="121"/>
      <c r="S795" s="99" t="s">
        <v>6</v>
      </c>
      <c r="T795" s="76" t="s">
        <v>4</v>
      </c>
      <c r="U795" s="99" t="s">
        <v>12</v>
      </c>
      <c r="V795" s="99" t="s">
        <v>1913</v>
      </c>
      <c r="W795" s="99" t="s">
        <v>4</v>
      </c>
      <c r="X795" s="99" t="s">
        <v>708</v>
      </c>
      <c r="Y795" s="73" t="s">
        <v>3064</v>
      </c>
      <c r="Z795" s="73" t="s">
        <v>4</v>
      </c>
      <c r="AA795" s="99" t="s">
        <v>708</v>
      </c>
    </row>
    <row r="796" spans="1:27" ht="17.25" customHeight="1">
      <c r="A796" s="65" t="str">
        <f>IF(priority(Main[[#This Row],[Comments]])&lt;&gt;0, priority(Main[[#This Row],[Comments]]),"")</f>
        <v/>
      </c>
      <c r="B796" s="60" t="s">
        <v>1574</v>
      </c>
      <c r="C796" s="105" t="s">
        <v>4</v>
      </c>
      <c r="D796" s="74" t="s">
        <v>655</v>
      </c>
      <c r="E796" s="89"/>
      <c r="F796" s="89"/>
      <c r="G796" s="65" t="str">
        <f>IF(stdProdLT(Main[[#This Row],[Comments]])=0.1,"N/A",IF(stdProdLT(Main[[#This Row],[Comments]])=0,"",TRIM(stdProdLT(Main[[#This Row],[Comments]]))))</f>
        <v/>
      </c>
      <c r="H796" s="98" t="str">
        <f>IF(Main[[#This Row],[Std. Prod. Lead Time]]="N/A", "",IF(AND(Main[[#This Row],[In Stock Date]]&lt;&gt;"",Main[[#This Row],[Revised Due Date]]&lt;&gt;"",Main[[#This Row],[In Stock Date]]&lt;&gt;""),Main[[#This Row],[In Stock Date]]-Main[[#This Row],[Revised Due Date]],""))</f>
        <v/>
      </c>
      <c r="I796" s="110" t="s">
        <v>4</v>
      </c>
      <c r="J796" s="99" t="s">
        <v>4</v>
      </c>
      <c r="K796" s="100" t="s">
        <v>4</v>
      </c>
      <c r="L796" s="89"/>
      <c r="M796" s="75" t="str">
        <f>IF(Main[[#This Row],[Tech Start Date]]&lt;1/1/1990,"",IF(Main[[#This Row],[Class]]="C",WORKDAY(Main[[#This Row],[Tech Start Date]],9),IF(Main[[#This Row],[Class]]="B", WORKDAY(Main[[#This Row],[Tech Start Date]],6),IF(Main[[#This Row],[Class]]="A",WORKDAY(Main[[#This Row],[Tech Start Date]],2),""))))</f>
        <v/>
      </c>
      <c r="N796" s="75" t="str">
        <f>IF(Main[[#This Row],[Tech Start Date]]&lt;1/1/1990,"",IF(Main[[#This Row],[Class]]="C",WORKDAY(Main[[#This Row],[Tech Start Date]],19),IF(Main[[#This Row],[Class]]="B", WORKDAY(Main[[#This Row],[Tech Start Date]],12),IF(Main[[#This Row],[Class]]="A",WORKDAY(Main[[#This Row],[Tech Start Date]],4),""))))</f>
        <v/>
      </c>
      <c r="O796" s="75" t="str">
        <f>IF(Main[[#This Row],[Tech Start Date]]&lt;1/1/1990,"",IF(Main[[#This Row],[Class]]="C",WORKDAY(Main[[#This Row],[Tech Start Date]],23),IF(Main[[#This Row],[Class]]="B", WORKDAY(Main[[#This Row],[Tech Start Date]],15),IF(Main[[#This Row],[Class]]="A",WORKDAY(Main[[#This Row],[Tech Start Date]],5),""))))</f>
        <v/>
      </c>
      <c r="P796" s="75" t="str">
        <f>IF(Main[[#This Row],[Tech Start Date]]&lt;1/1/1990,"",IF(Main[[#This Row],[Class]]="C",WORKDAY(Main[[#This Row],[Tech Start Date]],28),IF(Main[[#This Row],[Class]]="B", WORKDAY(Main[[#This Row],[Tech Start Date]],19),IF(Main[[#This Row],[Class]]="A",WORKDAY(Main[[#This Row],[Tech Start Date]],9),""))))</f>
        <v/>
      </c>
      <c r="Q796" s="89"/>
      <c r="R796" s="121"/>
      <c r="S796" s="99" t="s">
        <v>6</v>
      </c>
      <c r="T796" s="76" t="s">
        <v>4</v>
      </c>
      <c r="U796" s="99" t="s">
        <v>14</v>
      </c>
      <c r="V796" s="99" t="s">
        <v>1913</v>
      </c>
      <c r="W796" s="99" t="s">
        <v>1921</v>
      </c>
      <c r="X796" s="99" t="s">
        <v>708</v>
      </c>
      <c r="Y796" s="73" t="s">
        <v>3078</v>
      </c>
      <c r="Z796" s="73" t="s">
        <v>4</v>
      </c>
      <c r="AA796" s="99" t="s">
        <v>3418</v>
      </c>
    </row>
    <row r="797" spans="1:27" ht="17.25" customHeight="1">
      <c r="A797" s="65" t="str">
        <f>IF(priority(Main[[#This Row],[Comments]])&lt;&gt;0, priority(Main[[#This Row],[Comments]]),"")</f>
        <v/>
      </c>
      <c r="B797" s="60" t="s">
        <v>1575</v>
      </c>
      <c r="C797" s="105" t="s">
        <v>4</v>
      </c>
      <c r="D797" s="74" t="s">
        <v>656</v>
      </c>
      <c r="E797" s="89"/>
      <c r="F797" s="89"/>
      <c r="G797" s="65" t="str">
        <f>IF(stdProdLT(Main[[#This Row],[Comments]])=0.1,"N/A",IF(stdProdLT(Main[[#This Row],[Comments]])=0,"",TRIM(stdProdLT(Main[[#This Row],[Comments]]))))</f>
        <v/>
      </c>
      <c r="H797" s="98" t="str">
        <f>IF(Main[[#This Row],[Std. Prod. Lead Time]]="N/A", "",IF(AND(Main[[#This Row],[In Stock Date]]&lt;&gt;"",Main[[#This Row],[Revised Due Date]]&lt;&gt;"",Main[[#This Row],[In Stock Date]]&lt;&gt;""),Main[[#This Row],[In Stock Date]]-Main[[#This Row],[Revised Due Date]],""))</f>
        <v/>
      </c>
      <c r="I797" s="110" t="s">
        <v>4</v>
      </c>
      <c r="J797" s="99" t="s">
        <v>4</v>
      </c>
      <c r="K797" s="99" t="s">
        <v>4</v>
      </c>
      <c r="L797" s="89"/>
      <c r="M797" s="75" t="str">
        <f>IF(Main[[#This Row],[Tech Start Date]]&lt;1/1/1990,"",IF(Main[[#This Row],[Class]]="C",WORKDAY(Main[[#This Row],[Tech Start Date]],9),IF(Main[[#This Row],[Class]]="B", WORKDAY(Main[[#This Row],[Tech Start Date]],6),IF(Main[[#This Row],[Class]]="A",WORKDAY(Main[[#This Row],[Tech Start Date]],2),""))))</f>
        <v/>
      </c>
      <c r="N797" s="75" t="str">
        <f>IF(Main[[#This Row],[Tech Start Date]]&lt;1/1/1990,"",IF(Main[[#This Row],[Class]]="C",WORKDAY(Main[[#This Row],[Tech Start Date]],19),IF(Main[[#This Row],[Class]]="B", WORKDAY(Main[[#This Row],[Tech Start Date]],12),IF(Main[[#This Row],[Class]]="A",WORKDAY(Main[[#This Row],[Tech Start Date]],4),""))))</f>
        <v/>
      </c>
      <c r="O797" s="75" t="str">
        <f>IF(Main[[#This Row],[Tech Start Date]]&lt;1/1/1990,"",IF(Main[[#This Row],[Class]]="C",WORKDAY(Main[[#This Row],[Tech Start Date]],23),IF(Main[[#This Row],[Class]]="B", WORKDAY(Main[[#This Row],[Tech Start Date]],15),IF(Main[[#This Row],[Class]]="A",WORKDAY(Main[[#This Row],[Tech Start Date]],5),""))))</f>
        <v/>
      </c>
      <c r="P797" s="75" t="str">
        <f>IF(Main[[#This Row],[Tech Start Date]]&lt;1/1/1990,"",IF(Main[[#This Row],[Class]]="C",WORKDAY(Main[[#This Row],[Tech Start Date]],28),IF(Main[[#This Row],[Class]]="B", WORKDAY(Main[[#This Row],[Tech Start Date]],19),IF(Main[[#This Row],[Class]]="A",WORKDAY(Main[[#This Row],[Tech Start Date]],9),""))))</f>
        <v/>
      </c>
      <c r="Q797" s="89"/>
      <c r="R797" s="121"/>
      <c r="S797" s="99" t="s">
        <v>11</v>
      </c>
      <c r="T797" s="76" t="s">
        <v>4</v>
      </c>
      <c r="U797" s="99" t="s">
        <v>12</v>
      </c>
      <c r="V797" s="99" t="s">
        <v>1913</v>
      </c>
      <c r="W797" s="99" t="s">
        <v>1917</v>
      </c>
      <c r="X797" s="99" t="s">
        <v>922</v>
      </c>
      <c r="Y797" s="73" t="s">
        <v>2986</v>
      </c>
      <c r="Z797" s="73" t="s">
        <v>4</v>
      </c>
      <c r="AA797" s="99" t="s">
        <v>3419</v>
      </c>
    </row>
    <row r="798" spans="1:27" ht="17.25" customHeight="1">
      <c r="A798" s="65" t="str">
        <f>IF(priority(Main[[#This Row],[Comments]])&lt;&gt;0, priority(Main[[#This Row],[Comments]]),"")</f>
        <v/>
      </c>
      <c r="B798" s="60" t="s">
        <v>1576</v>
      </c>
      <c r="C798" s="105" t="s">
        <v>4</v>
      </c>
      <c r="D798" s="74" t="s">
        <v>97</v>
      </c>
      <c r="E798" s="89"/>
      <c r="F798" s="89"/>
      <c r="G798" s="65" t="str">
        <f>IF(stdProdLT(Main[[#This Row],[Comments]])=0.1,"N/A",IF(stdProdLT(Main[[#This Row],[Comments]])=0,"",TRIM(stdProdLT(Main[[#This Row],[Comments]]))))</f>
        <v/>
      </c>
      <c r="H798" s="98" t="str">
        <f>IF(Main[[#This Row],[Std. Prod. Lead Time]]="N/A", "",IF(AND(Main[[#This Row],[In Stock Date]]&lt;&gt;"",Main[[#This Row],[Revised Due Date]]&lt;&gt;"",Main[[#This Row],[In Stock Date]]&lt;&gt;""),Main[[#This Row],[In Stock Date]]-Main[[#This Row],[Revised Due Date]],""))</f>
        <v/>
      </c>
      <c r="I798" s="110" t="s">
        <v>4</v>
      </c>
      <c r="J798" s="99" t="s">
        <v>4</v>
      </c>
      <c r="K798" s="99" t="s">
        <v>4</v>
      </c>
      <c r="L798" s="89"/>
      <c r="M798" s="75" t="str">
        <f>IF(Main[[#This Row],[Tech Start Date]]&lt;1/1/1990,"",IF(Main[[#This Row],[Class]]="C",WORKDAY(Main[[#This Row],[Tech Start Date]],9),IF(Main[[#This Row],[Class]]="B", WORKDAY(Main[[#This Row],[Tech Start Date]],6),IF(Main[[#This Row],[Class]]="A",WORKDAY(Main[[#This Row],[Tech Start Date]],2),""))))</f>
        <v/>
      </c>
      <c r="N798" s="75" t="str">
        <f>IF(Main[[#This Row],[Tech Start Date]]&lt;1/1/1990,"",IF(Main[[#This Row],[Class]]="C",WORKDAY(Main[[#This Row],[Tech Start Date]],19),IF(Main[[#This Row],[Class]]="B", WORKDAY(Main[[#This Row],[Tech Start Date]],12),IF(Main[[#This Row],[Class]]="A",WORKDAY(Main[[#This Row],[Tech Start Date]],4),""))))</f>
        <v/>
      </c>
      <c r="O798" s="75" t="str">
        <f>IF(Main[[#This Row],[Tech Start Date]]&lt;1/1/1990,"",IF(Main[[#This Row],[Class]]="C",WORKDAY(Main[[#This Row],[Tech Start Date]],23),IF(Main[[#This Row],[Class]]="B", WORKDAY(Main[[#This Row],[Tech Start Date]],15),IF(Main[[#This Row],[Class]]="A",WORKDAY(Main[[#This Row],[Tech Start Date]],5),""))))</f>
        <v/>
      </c>
      <c r="P798" s="75" t="str">
        <f>IF(Main[[#This Row],[Tech Start Date]]&lt;1/1/1990,"",IF(Main[[#This Row],[Class]]="C",WORKDAY(Main[[#This Row],[Tech Start Date]],28),IF(Main[[#This Row],[Class]]="B", WORKDAY(Main[[#This Row],[Tech Start Date]],19),IF(Main[[#This Row],[Class]]="A",WORKDAY(Main[[#This Row],[Tech Start Date]],9),""))))</f>
        <v/>
      </c>
      <c r="Q798" s="89">
        <v>40858</v>
      </c>
      <c r="R798" s="121"/>
      <c r="S798" s="99" t="s">
        <v>17</v>
      </c>
      <c r="T798" s="76" t="s">
        <v>4</v>
      </c>
      <c r="U798" s="99" t="s">
        <v>14</v>
      </c>
      <c r="V798" s="99" t="s">
        <v>1913</v>
      </c>
      <c r="W798" s="99" t="s">
        <v>1918</v>
      </c>
      <c r="X798" s="99" t="s">
        <v>50</v>
      </c>
      <c r="Y798" s="73" t="s">
        <v>2953</v>
      </c>
      <c r="Z798" s="73" t="s">
        <v>4</v>
      </c>
      <c r="AA798" s="99" t="s">
        <v>2822</v>
      </c>
    </row>
    <row r="799" spans="1:27" ht="17.25" customHeight="1">
      <c r="A799" s="65" t="str">
        <f>IF(priority(Main[[#This Row],[Comments]])&lt;&gt;0, priority(Main[[#This Row],[Comments]]),"")</f>
        <v/>
      </c>
      <c r="B799" s="60" t="s">
        <v>1849</v>
      </c>
      <c r="C799" s="105" t="s">
        <v>67</v>
      </c>
      <c r="D799" s="74" t="s">
        <v>906</v>
      </c>
      <c r="E799" s="89">
        <v>39981.49428240741</v>
      </c>
      <c r="F799" s="89"/>
      <c r="G799" s="65" t="str">
        <f>IF(stdProdLT(Main[[#This Row],[Comments]])=0.1,"N/A",IF(stdProdLT(Main[[#This Row],[Comments]])=0,"",TRIM(stdProdLT(Main[[#This Row],[Comments]]))))</f>
        <v/>
      </c>
      <c r="H799" s="98" t="str">
        <f>IF(Main[[#This Row],[Std. Prod. Lead Time]]="N/A", "",IF(AND(Main[[#This Row],[In Stock Date]]&lt;&gt;"",Main[[#This Row],[Revised Due Date]]&lt;&gt;"",Main[[#This Row],[In Stock Date]]&lt;&gt;""),Main[[#This Row],[In Stock Date]]-Main[[#This Row],[Revised Due Date]],""))</f>
        <v/>
      </c>
      <c r="I799" s="110" t="s">
        <v>974</v>
      </c>
      <c r="J799" s="99" t="s">
        <v>4</v>
      </c>
      <c r="K799" s="99" t="s">
        <v>1925</v>
      </c>
      <c r="L799" s="89"/>
      <c r="M799" s="75" t="str">
        <f>IF(Main[[#This Row],[Tech Start Date]]&lt;1/1/1990,"",IF(Main[[#This Row],[Class]]="C",WORKDAY(Main[[#This Row],[Tech Start Date]],9),IF(Main[[#This Row],[Class]]="B", WORKDAY(Main[[#This Row],[Tech Start Date]],6),IF(Main[[#This Row],[Class]]="A",WORKDAY(Main[[#This Row],[Tech Start Date]],2),""))))</f>
        <v/>
      </c>
      <c r="N799" s="75" t="str">
        <f>IF(Main[[#This Row],[Tech Start Date]]&lt;1/1/1990,"",IF(Main[[#This Row],[Class]]="C",WORKDAY(Main[[#This Row],[Tech Start Date]],19),IF(Main[[#This Row],[Class]]="B", WORKDAY(Main[[#This Row],[Tech Start Date]],12),IF(Main[[#This Row],[Class]]="A",WORKDAY(Main[[#This Row],[Tech Start Date]],4),""))))</f>
        <v/>
      </c>
      <c r="O799" s="75" t="str">
        <f>IF(Main[[#This Row],[Tech Start Date]]&lt;1/1/1990,"",IF(Main[[#This Row],[Class]]="C",WORKDAY(Main[[#This Row],[Tech Start Date]],23),IF(Main[[#This Row],[Class]]="B", WORKDAY(Main[[#This Row],[Tech Start Date]],15),IF(Main[[#This Row],[Class]]="A",WORKDAY(Main[[#This Row],[Tech Start Date]],5),""))))</f>
        <v/>
      </c>
      <c r="P799" s="75" t="str">
        <f>IF(Main[[#This Row],[Tech Start Date]]&lt;1/1/1990,"",IF(Main[[#This Row],[Class]]="C",WORKDAY(Main[[#This Row],[Tech Start Date]],28),IF(Main[[#This Row],[Class]]="B", WORKDAY(Main[[#This Row],[Tech Start Date]],19),IF(Main[[#This Row],[Class]]="A",WORKDAY(Main[[#This Row],[Tech Start Date]],9),""))))</f>
        <v/>
      </c>
      <c r="Q799" s="89">
        <v>40057</v>
      </c>
      <c r="R799" s="121">
        <v>40908</v>
      </c>
      <c r="S799" s="99" t="s">
        <v>17</v>
      </c>
      <c r="T799" s="76" t="s">
        <v>4</v>
      </c>
      <c r="U799" s="99" t="s">
        <v>29</v>
      </c>
      <c r="V799" s="99" t="s">
        <v>1916</v>
      </c>
      <c r="W799" s="99" t="s">
        <v>1918</v>
      </c>
      <c r="X799" s="99" t="s">
        <v>2814</v>
      </c>
      <c r="Y799" s="73" t="s">
        <v>3022</v>
      </c>
      <c r="Z799" s="73" t="s">
        <v>415</v>
      </c>
      <c r="AA799" s="99" t="s">
        <v>2852</v>
      </c>
    </row>
    <row r="800" spans="1:27" ht="17.25" customHeight="1">
      <c r="A800" s="65" t="str">
        <f>IF(priority(Main[[#This Row],[Comments]])&lt;&gt;0, priority(Main[[#This Row],[Comments]]),"")</f>
        <v/>
      </c>
      <c r="B800" s="60" t="s">
        <v>1831</v>
      </c>
      <c r="C800" s="105" t="s">
        <v>4</v>
      </c>
      <c r="D800" s="74" t="s">
        <v>885</v>
      </c>
      <c r="E800" s="89">
        <v>40045.443194444444</v>
      </c>
      <c r="F800" s="89"/>
      <c r="G800" s="65" t="str">
        <f>IF(stdProdLT(Main[[#This Row],[Comments]])=0.1,"N/A",IF(stdProdLT(Main[[#This Row],[Comments]])=0,"",TRIM(stdProdLT(Main[[#This Row],[Comments]]))))</f>
        <v/>
      </c>
      <c r="H800" s="98" t="str">
        <f>IF(Main[[#This Row],[Std. Prod. Lead Time]]="N/A", "",IF(AND(Main[[#This Row],[In Stock Date]]&lt;&gt;"",Main[[#This Row],[Revised Due Date]]&lt;&gt;"",Main[[#This Row],[In Stock Date]]&lt;&gt;""),Main[[#This Row],[In Stock Date]]-Main[[#This Row],[Revised Due Date]],""))</f>
        <v/>
      </c>
      <c r="I800" s="110" t="s">
        <v>886</v>
      </c>
      <c r="J800" s="99" t="s">
        <v>4</v>
      </c>
      <c r="K800" s="100" t="s">
        <v>1925</v>
      </c>
      <c r="L800" s="89"/>
      <c r="M800" s="75" t="str">
        <f>IF(Main[[#This Row],[Tech Start Date]]&lt;1/1/1990,"",IF(Main[[#This Row],[Class]]="C",WORKDAY(Main[[#This Row],[Tech Start Date]],9),IF(Main[[#This Row],[Class]]="B", WORKDAY(Main[[#This Row],[Tech Start Date]],6),IF(Main[[#This Row],[Class]]="A",WORKDAY(Main[[#This Row],[Tech Start Date]],2),""))))</f>
        <v/>
      </c>
      <c r="N800" s="75" t="str">
        <f>IF(Main[[#This Row],[Tech Start Date]]&lt;1/1/1990,"",IF(Main[[#This Row],[Class]]="C",WORKDAY(Main[[#This Row],[Tech Start Date]],19),IF(Main[[#This Row],[Class]]="B", WORKDAY(Main[[#This Row],[Tech Start Date]],12),IF(Main[[#This Row],[Class]]="A",WORKDAY(Main[[#This Row],[Tech Start Date]],4),""))))</f>
        <v/>
      </c>
      <c r="O800" s="75" t="str">
        <f>IF(Main[[#This Row],[Tech Start Date]]&lt;1/1/1990,"",IF(Main[[#This Row],[Class]]="C",WORKDAY(Main[[#This Row],[Tech Start Date]],23),IF(Main[[#This Row],[Class]]="B", WORKDAY(Main[[#This Row],[Tech Start Date]],15),IF(Main[[#This Row],[Class]]="A",WORKDAY(Main[[#This Row],[Tech Start Date]],5),""))))</f>
        <v/>
      </c>
      <c r="P800" s="75" t="str">
        <f>IF(Main[[#This Row],[Tech Start Date]]&lt;1/1/1990,"",IF(Main[[#This Row],[Class]]="C",WORKDAY(Main[[#This Row],[Tech Start Date]],28),IF(Main[[#This Row],[Class]]="B", WORKDAY(Main[[#This Row],[Tech Start Date]],19),IF(Main[[#This Row],[Class]]="A",WORKDAY(Main[[#This Row],[Tech Start Date]],9),""))))</f>
        <v/>
      </c>
      <c r="Q800" s="89">
        <v>40359</v>
      </c>
      <c r="R800" s="121">
        <v>40420</v>
      </c>
      <c r="S800" s="99" t="s">
        <v>6</v>
      </c>
      <c r="T800" s="76" t="s">
        <v>4</v>
      </c>
      <c r="U800" s="99" t="s">
        <v>29</v>
      </c>
      <c r="V800" s="99" t="s">
        <v>1913</v>
      </c>
      <c r="W800" s="99" t="s">
        <v>1917</v>
      </c>
      <c r="X800" s="99" t="s">
        <v>969</v>
      </c>
      <c r="Y800" s="73" t="s">
        <v>3079</v>
      </c>
      <c r="Z800" s="73" t="s">
        <v>4</v>
      </c>
      <c r="AA800" s="99" t="s">
        <v>969</v>
      </c>
    </row>
    <row r="801" spans="1:27" ht="17.25" customHeight="1">
      <c r="A801" s="65" t="str">
        <f>IF(priority(Main[[#This Row],[Comments]])&lt;&gt;0, priority(Main[[#This Row],[Comments]]),"")</f>
        <v/>
      </c>
      <c r="B801" s="60" t="s">
        <v>1578</v>
      </c>
      <c r="C801" s="105" t="s">
        <v>47</v>
      </c>
      <c r="D801" s="74" t="s">
        <v>659</v>
      </c>
      <c r="E801" s="89"/>
      <c r="F801" s="89"/>
      <c r="G801" s="65" t="str">
        <f>IF(stdProdLT(Main[[#This Row],[Comments]])=0.1,"N/A",IF(stdProdLT(Main[[#This Row],[Comments]])=0,"",TRIM(stdProdLT(Main[[#This Row],[Comments]]))))</f>
        <v/>
      </c>
      <c r="H801" s="98" t="str">
        <f>IF(Main[[#This Row],[Std. Prod. Lead Time]]="N/A", "",IF(AND(Main[[#This Row],[In Stock Date]]&lt;&gt;"",Main[[#This Row],[Revised Due Date]]&lt;&gt;"",Main[[#This Row],[In Stock Date]]&lt;&gt;""),Main[[#This Row],[In Stock Date]]-Main[[#This Row],[Revised Due Date]],""))</f>
        <v/>
      </c>
      <c r="I801" s="110" t="s">
        <v>4</v>
      </c>
      <c r="J801" s="99" t="s">
        <v>4</v>
      </c>
      <c r="K801" s="99" t="s">
        <v>4</v>
      </c>
      <c r="L801" s="89"/>
      <c r="M801" s="75" t="str">
        <f>IF(Main[[#This Row],[Tech Start Date]]&lt;1/1/1990,"",IF(Main[[#This Row],[Class]]="C",WORKDAY(Main[[#This Row],[Tech Start Date]],9),IF(Main[[#This Row],[Class]]="B", WORKDAY(Main[[#This Row],[Tech Start Date]],6),IF(Main[[#This Row],[Class]]="A",WORKDAY(Main[[#This Row],[Tech Start Date]],2),""))))</f>
        <v/>
      </c>
      <c r="N801" s="75" t="str">
        <f>IF(Main[[#This Row],[Tech Start Date]]&lt;1/1/1990,"",IF(Main[[#This Row],[Class]]="C",WORKDAY(Main[[#This Row],[Tech Start Date]],19),IF(Main[[#This Row],[Class]]="B", WORKDAY(Main[[#This Row],[Tech Start Date]],12),IF(Main[[#This Row],[Class]]="A",WORKDAY(Main[[#This Row],[Tech Start Date]],4),""))))</f>
        <v/>
      </c>
      <c r="O801" s="75" t="str">
        <f>IF(Main[[#This Row],[Tech Start Date]]&lt;1/1/1990,"",IF(Main[[#This Row],[Class]]="C",WORKDAY(Main[[#This Row],[Tech Start Date]],23),IF(Main[[#This Row],[Class]]="B", WORKDAY(Main[[#This Row],[Tech Start Date]],15),IF(Main[[#This Row],[Class]]="A",WORKDAY(Main[[#This Row],[Tech Start Date]],5),""))))</f>
        <v/>
      </c>
      <c r="P801" s="75" t="str">
        <f>IF(Main[[#This Row],[Tech Start Date]]&lt;1/1/1990,"",IF(Main[[#This Row],[Class]]="C",WORKDAY(Main[[#This Row],[Tech Start Date]],28),IF(Main[[#This Row],[Class]]="B", WORKDAY(Main[[#This Row],[Tech Start Date]],19),IF(Main[[#This Row],[Class]]="A",WORKDAY(Main[[#This Row],[Tech Start Date]],9),""))))</f>
        <v/>
      </c>
      <c r="Q801" s="89"/>
      <c r="R801" s="121"/>
      <c r="S801" s="99" t="s">
        <v>17</v>
      </c>
      <c r="T801" s="76" t="s">
        <v>4</v>
      </c>
      <c r="U801" s="99" t="s">
        <v>14</v>
      </c>
      <c r="V801" s="99" t="s">
        <v>1916</v>
      </c>
      <c r="W801" s="99" t="s">
        <v>4</v>
      </c>
      <c r="X801" s="99" t="s">
        <v>2853</v>
      </c>
      <c r="Y801" s="73" t="s">
        <v>2942</v>
      </c>
      <c r="Z801" s="73" t="s">
        <v>4</v>
      </c>
      <c r="AA801" s="99" t="s">
        <v>2853</v>
      </c>
    </row>
    <row r="802" spans="1:27" ht="17.25" customHeight="1">
      <c r="A802" s="65" t="str">
        <f>IF(priority(Main[[#This Row],[Comments]])&lt;&gt;0, priority(Main[[#This Row],[Comments]]),"")</f>
        <v/>
      </c>
      <c r="B802" s="60" t="s">
        <v>1579</v>
      </c>
      <c r="C802" s="105" t="s">
        <v>277</v>
      </c>
      <c r="D802" s="74" t="s">
        <v>660</v>
      </c>
      <c r="E802" s="89"/>
      <c r="F802" s="89">
        <v>40567</v>
      </c>
      <c r="G802" s="65" t="str">
        <f>IF(stdProdLT(Main[[#This Row],[Comments]])=0.1,"N/A",IF(stdProdLT(Main[[#This Row],[Comments]])=0,"",TRIM(stdProdLT(Main[[#This Row],[Comments]]))))</f>
        <v/>
      </c>
      <c r="H802" s="98" t="str">
        <f>IF(Main[[#This Row],[Std. Prod. Lead Time]]="N/A", "",IF(AND(Main[[#This Row],[In Stock Date]]&lt;&gt;"",Main[[#This Row],[Revised Due Date]]&lt;&gt;"",Main[[#This Row],[In Stock Date]]&lt;&gt;""),Main[[#This Row],[In Stock Date]]-Main[[#This Row],[Revised Due Date]],""))</f>
        <v/>
      </c>
      <c r="I802" s="110" t="s">
        <v>4</v>
      </c>
      <c r="J802" s="99" t="s">
        <v>4</v>
      </c>
      <c r="K802" s="99" t="s">
        <v>4</v>
      </c>
      <c r="L802" s="89"/>
      <c r="M802" s="75" t="str">
        <f>IF(Main[[#This Row],[Tech Start Date]]&lt;1/1/1990,"",IF(Main[[#This Row],[Class]]="C",WORKDAY(Main[[#This Row],[Tech Start Date]],9),IF(Main[[#This Row],[Class]]="B", WORKDAY(Main[[#This Row],[Tech Start Date]],6),IF(Main[[#This Row],[Class]]="A",WORKDAY(Main[[#This Row],[Tech Start Date]],2),""))))</f>
        <v/>
      </c>
      <c r="N802" s="75" t="str">
        <f>IF(Main[[#This Row],[Tech Start Date]]&lt;1/1/1990,"",IF(Main[[#This Row],[Class]]="C",WORKDAY(Main[[#This Row],[Tech Start Date]],19),IF(Main[[#This Row],[Class]]="B", WORKDAY(Main[[#This Row],[Tech Start Date]],12),IF(Main[[#This Row],[Class]]="A",WORKDAY(Main[[#This Row],[Tech Start Date]],4),""))))</f>
        <v/>
      </c>
      <c r="O802" s="75" t="str">
        <f>IF(Main[[#This Row],[Tech Start Date]]&lt;1/1/1990,"",IF(Main[[#This Row],[Class]]="C",WORKDAY(Main[[#This Row],[Tech Start Date]],23),IF(Main[[#This Row],[Class]]="B", WORKDAY(Main[[#This Row],[Tech Start Date]],15),IF(Main[[#This Row],[Class]]="A",WORKDAY(Main[[#This Row],[Tech Start Date]],5),""))))</f>
        <v/>
      </c>
      <c r="P802" s="75" t="str">
        <f>IF(Main[[#This Row],[Tech Start Date]]&lt;1/1/1990,"",IF(Main[[#This Row],[Class]]="C",WORKDAY(Main[[#This Row],[Tech Start Date]],28),IF(Main[[#This Row],[Class]]="B", WORKDAY(Main[[#This Row],[Tech Start Date]],19),IF(Main[[#This Row],[Class]]="A",WORKDAY(Main[[#This Row],[Tech Start Date]],9),""))))</f>
        <v/>
      </c>
      <c r="Q802" s="89">
        <v>40427</v>
      </c>
      <c r="R802" s="121"/>
      <c r="S802" s="99" t="s">
        <v>11</v>
      </c>
      <c r="T802" s="76" t="s">
        <v>4</v>
      </c>
      <c r="U802" s="99" t="s">
        <v>12</v>
      </c>
      <c r="V802" s="99" t="s">
        <v>1913</v>
      </c>
      <c r="W802" s="99" t="s">
        <v>1921</v>
      </c>
      <c r="X802" s="99" t="s">
        <v>2837</v>
      </c>
      <c r="Y802" s="73" t="s">
        <v>4</v>
      </c>
      <c r="Z802" s="73" t="s">
        <v>4</v>
      </c>
      <c r="AA802" s="99" t="s">
        <v>2837</v>
      </c>
    </row>
    <row r="803" spans="1:27" ht="17.25" customHeight="1">
      <c r="A803" s="65" t="str">
        <f>IF(priority(Main[[#This Row],[Comments]])&lt;&gt;0, priority(Main[[#This Row],[Comments]]),"")</f>
        <v/>
      </c>
      <c r="B803" s="60" t="s">
        <v>2401</v>
      </c>
      <c r="C803" s="105" t="s">
        <v>4</v>
      </c>
      <c r="D803" s="74" t="s">
        <v>2725</v>
      </c>
      <c r="E803" s="89">
        <v>40905.580543981479</v>
      </c>
      <c r="F803" s="89"/>
      <c r="G803" s="65" t="str">
        <f>IF(stdProdLT(Main[[#This Row],[Comments]])=0.1,"N/A",IF(stdProdLT(Main[[#This Row],[Comments]])=0,"",TRIM(stdProdLT(Main[[#This Row],[Comments]]))))</f>
        <v/>
      </c>
      <c r="H803" s="98" t="str">
        <f>IF(Main[[#This Row],[Std. Prod. Lead Time]]="N/A", "",IF(AND(Main[[#This Row],[In Stock Date]]&lt;&gt;"",Main[[#This Row],[Revised Due Date]]&lt;&gt;"",Main[[#This Row],[In Stock Date]]&lt;&gt;""),Main[[#This Row],[In Stock Date]]-Main[[#This Row],[Revised Due Date]],""))</f>
        <v/>
      </c>
      <c r="I803" s="110" t="s">
        <v>2040</v>
      </c>
      <c r="J803" s="99" t="s">
        <v>28</v>
      </c>
      <c r="K803" s="99" t="s">
        <v>1922</v>
      </c>
      <c r="L803" s="89"/>
      <c r="M803" s="75" t="str">
        <f>IF(Main[[#This Row],[Tech Start Date]]&lt;1/1/1990,"",IF(Main[[#This Row],[Class]]="C",WORKDAY(Main[[#This Row],[Tech Start Date]],9),IF(Main[[#This Row],[Class]]="B", WORKDAY(Main[[#This Row],[Tech Start Date]],6),IF(Main[[#This Row],[Class]]="A",WORKDAY(Main[[#This Row],[Tech Start Date]],2),""))))</f>
        <v/>
      </c>
      <c r="N803" s="75" t="str">
        <f>IF(Main[[#This Row],[Tech Start Date]]&lt;1/1/1990,"",IF(Main[[#This Row],[Class]]="C",WORKDAY(Main[[#This Row],[Tech Start Date]],19),IF(Main[[#This Row],[Class]]="B", WORKDAY(Main[[#This Row],[Tech Start Date]],12),IF(Main[[#This Row],[Class]]="A",WORKDAY(Main[[#This Row],[Tech Start Date]],4),""))))</f>
        <v/>
      </c>
      <c r="O803" s="75" t="str">
        <f>IF(Main[[#This Row],[Tech Start Date]]&lt;1/1/1990,"",IF(Main[[#This Row],[Class]]="C",WORKDAY(Main[[#This Row],[Tech Start Date]],23),IF(Main[[#This Row],[Class]]="B", WORKDAY(Main[[#This Row],[Tech Start Date]],15),IF(Main[[#This Row],[Class]]="A",WORKDAY(Main[[#This Row],[Tech Start Date]],5),""))))</f>
        <v/>
      </c>
      <c r="P803" s="75" t="str">
        <f>IF(Main[[#This Row],[Tech Start Date]]&lt;1/1/1990,"",IF(Main[[#This Row],[Class]]="C",WORKDAY(Main[[#This Row],[Tech Start Date]],28),IF(Main[[#This Row],[Class]]="B", WORKDAY(Main[[#This Row],[Tech Start Date]],19),IF(Main[[#This Row],[Class]]="A",WORKDAY(Main[[#This Row],[Tech Start Date]],9),""))))</f>
        <v/>
      </c>
      <c r="Q803" s="89">
        <v>40967</v>
      </c>
      <c r="R803" s="121"/>
      <c r="S803" s="99" t="s">
        <v>6</v>
      </c>
      <c r="T803" s="76" t="s">
        <v>4</v>
      </c>
      <c r="U803" s="99" t="s">
        <v>29</v>
      </c>
      <c r="V803" s="99" t="s">
        <v>1916</v>
      </c>
      <c r="W803" s="99" t="s">
        <v>1917</v>
      </c>
      <c r="X803" s="99" t="s">
        <v>30</v>
      </c>
      <c r="Y803" s="73" t="s">
        <v>2934</v>
      </c>
      <c r="Z803" s="73" t="s">
        <v>30</v>
      </c>
      <c r="AA803" s="99" t="s">
        <v>30</v>
      </c>
    </row>
    <row r="804" spans="1:27" ht="17.25" customHeight="1">
      <c r="A804" s="65" t="str">
        <f>IF(priority(Main[[#This Row],[Comments]])&lt;&gt;0, priority(Main[[#This Row],[Comments]]),"")</f>
        <v/>
      </c>
      <c r="B804" s="60" t="s">
        <v>1582</v>
      </c>
      <c r="C804" s="105" t="s">
        <v>72</v>
      </c>
      <c r="D804" s="74" t="s">
        <v>662</v>
      </c>
      <c r="E804" s="89"/>
      <c r="F804" s="89"/>
      <c r="G804" s="65" t="str">
        <f>IF(stdProdLT(Main[[#This Row],[Comments]])=0.1,"N/A",IF(stdProdLT(Main[[#This Row],[Comments]])=0,"",TRIM(stdProdLT(Main[[#This Row],[Comments]]))))</f>
        <v/>
      </c>
      <c r="H804" s="98" t="str">
        <f>IF(Main[[#This Row],[Std. Prod. Lead Time]]="N/A", "",IF(AND(Main[[#This Row],[In Stock Date]]&lt;&gt;"",Main[[#This Row],[Revised Due Date]]&lt;&gt;"",Main[[#This Row],[In Stock Date]]&lt;&gt;""),Main[[#This Row],[In Stock Date]]-Main[[#This Row],[Revised Due Date]],""))</f>
        <v/>
      </c>
      <c r="I804" s="110" t="s">
        <v>4</v>
      </c>
      <c r="J804" s="99" t="s">
        <v>4</v>
      </c>
      <c r="K804" s="100" t="s">
        <v>4</v>
      </c>
      <c r="L804" s="89"/>
      <c r="M804" s="75" t="str">
        <f>IF(Main[[#This Row],[Tech Start Date]]&lt;1/1/1990,"",IF(Main[[#This Row],[Class]]="C",WORKDAY(Main[[#This Row],[Tech Start Date]],9),IF(Main[[#This Row],[Class]]="B", WORKDAY(Main[[#This Row],[Tech Start Date]],6),IF(Main[[#This Row],[Class]]="A",WORKDAY(Main[[#This Row],[Tech Start Date]],2),""))))</f>
        <v/>
      </c>
      <c r="N804" s="75" t="str">
        <f>IF(Main[[#This Row],[Tech Start Date]]&lt;1/1/1990,"",IF(Main[[#This Row],[Class]]="C",WORKDAY(Main[[#This Row],[Tech Start Date]],19),IF(Main[[#This Row],[Class]]="B", WORKDAY(Main[[#This Row],[Tech Start Date]],12),IF(Main[[#This Row],[Class]]="A",WORKDAY(Main[[#This Row],[Tech Start Date]],4),""))))</f>
        <v/>
      </c>
      <c r="O804" s="75" t="str">
        <f>IF(Main[[#This Row],[Tech Start Date]]&lt;1/1/1990,"",IF(Main[[#This Row],[Class]]="C",WORKDAY(Main[[#This Row],[Tech Start Date]],23),IF(Main[[#This Row],[Class]]="B", WORKDAY(Main[[#This Row],[Tech Start Date]],15),IF(Main[[#This Row],[Class]]="A",WORKDAY(Main[[#This Row],[Tech Start Date]],5),""))))</f>
        <v/>
      </c>
      <c r="P804" s="75" t="str">
        <f>IF(Main[[#This Row],[Tech Start Date]]&lt;1/1/1990,"",IF(Main[[#This Row],[Class]]="C",WORKDAY(Main[[#This Row],[Tech Start Date]],28),IF(Main[[#This Row],[Class]]="B", WORKDAY(Main[[#This Row],[Tech Start Date]],19),IF(Main[[#This Row],[Class]]="A",WORKDAY(Main[[#This Row],[Tech Start Date]],9),""))))</f>
        <v/>
      </c>
      <c r="Q804" s="89"/>
      <c r="R804" s="121"/>
      <c r="S804" s="99" t="s">
        <v>49</v>
      </c>
      <c r="T804" s="76" t="s">
        <v>4</v>
      </c>
      <c r="U804" s="99" t="s">
        <v>12</v>
      </c>
      <c r="V804" s="99" t="s">
        <v>1914</v>
      </c>
      <c r="W804" s="99" t="s">
        <v>1915</v>
      </c>
      <c r="X804" s="99" t="s">
        <v>2895</v>
      </c>
      <c r="Y804" s="73" t="s">
        <v>3073</v>
      </c>
      <c r="Z804" s="73" t="s">
        <v>4</v>
      </c>
      <c r="AA804" s="99" t="s">
        <v>2895</v>
      </c>
    </row>
    <row r="805" spans="1:27" ht="17.25" customHeight="1">
      <c r="A805" s="65" t="str">
        <f>IF(priority(Main[[#This Row],[Comments]])&lt;&gt;0, priority(Main[[#This Row],[Comments]]),"")</f>
        <v/>
      </c>
      <c r="B805" s="60" t="s">
        <v>1583</v>
      </c>
      <c r="C805" s="105" t="s">
        <v>33</v>
      </c>
      <c r="D805" s="74" t="s">
        <v>663</v>
      </c>
      <c r="E805" s="89"/>
      <c r="F805" s="89">
        <v>40566</v>
      </c>
      <c r="G805" s="65" t="str">
        <f>IF(stdProdLT(Main[[#This Row],[Comments]])=0.1,"N/A",IF(stdProdLT(Main[[#This Row],[Comments]])=0,"",TRIM(stdProdLT(Main[[#This Row],[Comments]]))))</f>
        <v/>
      </c>
      <c r="H805" s="98" t="str">
        <f>IF(Main[[#This Row],[Std. Prod. Lead Time]]="N/A", "",IF(AND(Main[[#This Row],[In Stock Date]]&lt;&gt;"",Main[[#This Row],[Revised Due Date]]&lt;&gt;"",Main[[#This Row],[In Stock Date]]&lt;&gt;""),Main[[#This Row],[In Stock Date]]-Main[[#This Row],[Revised Due Date]],""))</f>
        <v/>
      </c>
      <c r="I805" s="110" t="s">
        <v>4</v>
      </c>
      <c r="J805" s="99" t="s">
        <v>4</v>
      </c>
      <c r="K805" s="100" t="s">
        <v>4</v>
      </c>
      <c r="L805" s="89"/>
      <c r="M805" s="75" t="str">
        <f>IF(Main[[#This Row],[Tech Start Date]]&lt;1/1/1990,"",IF(Main[[#This Row],[Class]]="C",WORKDAY(Main[[#This Row],[Tech Start Date]],9),IF(Main[[#This Row],[Class]]="B", WORKDAY(Main[[#This Row],[Tech Start Date]],6),IF(Main[[#This Row],[Class]]="A",WORKDAY(Main[[#This Row],[Tech Start Date]],2),""))))</f>
        <v/>
      </c>
      <c r="N805" s="75" t="str">
        <f>IF(Main[[#This Row],[Tech Start Date]]&lt;1/1/1990,"",IF(Main[[#This Row],[Class]]="C",WORKDAY(Main[[#This Row],[Tech Start Date]],19),IF(Main[[#This Row],[Class]]="B", WORKDAY(Main[[#This Row],[Tech Start Date]],12),IF(Main[[#This Row],[Class]]="A",WORKDAY(Main[[#This Row],[Tech Start Date]],4),""))))</f>
        <v/>
      </c>
      <c r="O805" s="75" t="str">
        <f>IF(Main[[#This Row],[Tech Start Date]]&lt;1/1/1990,"",IF(Main[[#This Row],[Class]]="C",WORKDAY(Main[[#This Row],[Tech Start Date]],23),IF(Main[[#This Row],[Class]]="B", WORKDAY(Main[[#This Row],[Tech Start Date]],15),IF(Main[[#This Row],[Class]]="A",WORKDAY(Main[[#This Row],[Tech Start Date]],5),""))))</f>
        <v/>
      </c>
      <c r="P805" s="75" t="str">
        <f>IF(Main[[#This Row],[Tech Start Date]]&lt;1/1/1990,"",IF(Main[[#This Row],[Class]]="C",WORKDAY(Main[[#This Row],[Tech Start Date]],28),IF(Main[[#This Row],[Class]]="B", WORKDAY(Main[[#This Row],[Tech Start Date]],19),IF(Main[[#This Row],[Class]]="A",WORKDAY(Main[[#This Row],[Tech Start Date]],9),""))))</f>
        <v/>
      </c>
      <c r="Q805" s="89">
        <v>40532</v>
      </c>
      <c r="R805" s="121"/>
      <c r="S805" s="99" t="s">
        <v>11</v>
      </c>
      <c r="T805" s="76" t="s">
        <v>4</v>
      </c>
      <c r="U805" s="99" t="s">
        <v>12</v>
      </c>
      <c r="V805" s="99" t="s">
        <v>1914</v>
      </c>
      <c r="W805" s="99" t="s">
        <v>1921</v>
      </c>
      <c r="X805" s="99" t="s">
        <v>2869</v>
      </c>
      <c r="Y805" s="73" t="s">
        <v>3015</v>
      </c>
      <c r="Z805" s="73" t="s">
        <v>4</v>
      </c>
      <c r="AA805" s="99" t="s">
        <v>2869</v>
      </c>
    </row>
    <row r="806" spans="1:27" ht="17.25" customHeight="1">
      <c r="A806" s="65" t="str">
        <f>IF(priority(Main[[#This Row],[Comments]])&lt;&gt;0, priority(Main[[#This Row],[Comments]]),"")</f>
        <v/>
      </c>
      <c r="B806" s="60" t="s">
        <v>1584</v>
      </c>
      <c r="C806" s="105" t="s">
        <v>347</v>
      </c>
      <c r="D806" s="74" t="s">
        <v>664</v>
      </c>
      <c r="E806" s="89"/>
      <c r="F806" s="89"/>
      <c r="G806" s="65" t="str">
        <f>IF(stdProdLT(Main[[#This Row],[Comments]])=0.1,"N/A",IF(stdProdLT(Main[[#This Row],[Comments]])=0,"",TRIM(stdProdLT(Main[[#This Row],[Comments]]))))</f>
        <v/>
      </c>
      <c r="H806" s="98" t="str">
        <f>IF(Main[[#This Row],[Std. Prod. Lead Time]]="N/A", "",IF(AND(Main[[#This Row],[In Stock Date]]&lt;&gt;"",Main[[#This Row],[Revised Due Date]]&lt;&gt;"",Main[[#This Row],[In Stock Date]]&lt;&gt;""),Main[[#This Row],[In Stock Date]]-Main[[#This Row],[Revised Due Date]],""))</f>
        <v/>
      </c>
      <c r="I806" s="110" t="s">
        <v>4</v>
      </c>
      <c r="J806" s="99" t="s">
        <v>4</v>
      </c>
      <c r="K806" s="99" t="s">
        <v>4</v>
      </c>
      <c r="L806" s="89"/>
      <c r="M806" s="75" t="str">
        <f>IF(Main[[#This Row],[Tech Start Date]]&lt;1/1/1990,"",IF(Main[[#This Row],[Class]]="C",WORKDAY(Main[[#This Row],[Tech Start Date]],9),IF(Main[[#This Row],[Class]]="B", WORKDAY(Main[[#This Row],[Tech Start Date]],6),IF(Main[[#This Row],[Class]]="A",WORKDAY(Main[[#This Row],[Tech Start Date]],2),""))))</f>
        <v/>
      </c>
      <c r="N806" s="75" t="str">
        <f>IF(Main[[#This Row],[Tech Start Date]]&lt;1/1/1990,"",IF(Main[[#This Row],[Class]]="C",WORKDAY(Main[[#This Row],[Tech Start Date]],19),IF(Main[[#This Row],[Class]]="B", WORKDAY(Main[[#This Row],[Tech Start Date]],12),IF(Main[[#This Row],[Class]]="A",WORKDAY(Main[[#This Row],[Tech Start Date]],4),""))))</f>
        <v/>
      </c>
      <c r="O806" s="75" t="str">
        <f>IF(Main[[#This Row],[Tech Start Date]]&lt;1/1/1990,"",IF(Main[[#This Row],[Class]]="C",WORKDAY(Main[[#This Row],[Tech Start Date]],23),IF(Main[[#This Row],[Class]]="B", WORKDAY(Main[[#This Row],[Tech Start Date]],15),IF(Main[[#This Row],[Class]]="A",WORKDAY(Main[[#This Row],[Tech Start Date]],5),""))))</f>
        <v/>
      </c>
      <c r="P806" s="75" t="str">
        <f>IF(Main[[#This Row],[Tech Start Date]]&lt;1/1/1990,"",IF(Main[[#This Row],[Class]]="C",WORKDAY(Main[[#This Row],[Tech Start Date]],28),IF(Main[[#This Row],[Class]]="B", WORKDAY(Main[[#This Row],[Tech Start Date]],19),IF(Main[[#This Row],[Class]]="A",WORKDAY(Main[[#This Row],[Tech Start Date]],9),""))))</f>
        <v/>
      </c>
      <c r="Q806" s="89">
        <v>40494</v>
      </c>
      <c r="R806" s="121"/>
      <c r="S806" s="99" t="s">
        <v>11</v>
      </c>
      <c r="T806" s="76" t="s">
        <v>4</v>
      </c>
      <c r="U806" s="99" t="s">
        <v>14</v>
      </c>
      <c r="V806" s="99" t="s">
        <v>1923</v>
      </c>
      <c r="W806" s="99" t="s">
        <v>4</v>
      </c>
      <c r="X806" s="99" t="s">
        <v>2818</v>
      </c>
      <c r="Y806" s="73" t="s">
        <v>2937</v>
      </c>
      <c r="Z806" s="73" t="s">
        <v>4</v>
      </c>
      <c r="AA806" s="99" t="s">
        <v>2818</v>
      </c>
    </row>
    <row r="807" spans="1:27" ht="17.25" customHeight="1">
      <c r="A807" s="65" t="str">
        <f>IF(priority(Main[[#This Row],[Comments]])&lt;&gt;0, priority(Main[[#This Row],[Comments]]),"")</f>
        <v/>
      </c>
      <c r="B807" s="60" t="s">
        <v>1585</v>
      </c>
      <c r="C807" s="105" t="s">
        <v>4</v>
      </c>
      <c r="D807" s="74" t="s">
        <v>665</v>
      </c>
      <c r="E807" s="89">
        <v>40462.471782407411</v>
      </c>
      <c r="F807" s="89"/>
      <c r="G807" s="65" t="str">
        <f>IF(stdProdLT(Main[[#This Row],[Comments]])=0.1,"N/A",IF(stdProdLT(Main[[#This Row],[Comments]])=0,"",TRIM(stdProdLT(Main[[#This Row],[Comments]]))))</f>
        <v/>
      </c>
      <c r="H807" s="98" t="str">
        <f>IF(Main[[#This Row],[Std. Prod. Lead Time]]="N/A", "",IF(AND(Main[[#This Row],[In Stock Date]]&lt;&gt;"",Main[[#This Row],[Revised Due Date]]&lt;&gt;"",Main[[#This Row],[In Stock Date]]&lt;&gt;""),Main[[#This Row],[In Stock Date]]-Main[[#This Row],[Revised Due Date]],""))</f>
        <v/>
      </c>
      <c r="I807" s="110" t="s">
        <v>4</v>
      </c>
      <c r="J807" s="99" t="s">
        <v>4</v>
      </c>
      <c r="K807" s="99" t="s">
        <v>4</v>
      </c>
      <c r="L807" s="89"/>
      <c r="M807" s="75" t="str">
        <f>IF(Main[[#This Row],[Tech Start Date]]&lt;1/1/1990,"",IF(Main[[#This Row],[Class]]="C",WORKDAY(Main[[#This Row],[Tech Start Date]],9),IF(Main[[#This Row],[Class]]="B", WORKDAY(Main[[#This Row],[Tech Start Date]],6),IF(Main[[#This Row],[Class]]="A",WORKDAY(Main[[#This Row],[Tech Start Date]],2),""))))</f>
        <v/>
      </c>
      <c r="N807" s="75" t="str">
        <f>IF(Main[[#This Row],[Tech Start Date]]&lt;1/1/1990,"",IF(Main[[#This Row],[Class]]="C",WORKDAY(Main[[#This Row],[Tech Start Date]],19),IF(Main[[#This Row],[Class]]="B", WORKDAY(Main[[#This Row],[Tech Start Date]],12),IF(Main[[#This Row],[Class]]="A",WORKDAY(Main[[#This Row],[Tech Start Date]],4),""))))</f>
        <v/>
      </c>
      <c r="O807" s="75" t="str">
        <f>IF(Main[[#This Row],[Tech Start Date]]&lt;1/1/1990,"",IF(Main[[#This Row],[Class]]="C",WORKDAY(Main[[#This Row],[Tech Start Date]],23),IF(Main[[#This Row],[Class]]="B", WORKDAY(Main[[#This Row],[Tech Start Date]],15),IF(Main[[#This Row],[Class]]="A",WORKDAY(Main[[#This Row],[Tech Start Date]],5),""))))</f>
        <v/>
      </c>
      <c r="P807" s="75" t="str">
        <f>IF(Main[[#This Row],[Tech Start Date]]&lt;1/1/1990,"",IF(Main[[#This Row],[Class]]="C",WORKDAY(Main[[#This Row],[Tech Start Date]],28),IF(Main[[#This Row],[Class]]="B", WORKDAY(Main[[#This Row],[Tech Start Date]],19),IF(Main[[#This Row],[Class]]="A",WORKDAY(Main[[#This Row],[Tech Start Date]],9),""))))</f>
        <v/>
      </c>
      <c r="Q807" s="89"/>
      <c r="R807" s="121"/>
      <c r="S807" s="99" t="s">
        <v>6</v>
      </c>
      <c r="T807" s="76" t="s">
        <v>4</v>
      </c>
      <c r="U807" s="99" t="s">
        <v>7</v>
      </c>
      <c r="V807" s="99" t="s">
        <v>1913</v>
      </c>
      <c r="W807" s="99" t="s">
        <v>1917</v>
      </c>
      <c r="X807" s="99" t="s">
        <v>2860</v>
      </c>
      <c r="Y807" s="73" t="s">
        <v>2994</v>
      </c>
      <c r="Z807" s="73" t="s">
        <v>4</v>
      </c>
      <c r="AA807" s="99" t="s">
        <v>2860</v>
      </c>
    </row>
    <row r="808" spans="1:27" ht="17.25" customHeight="1">
      <c r="A808" s="65" t="str">
        <f>IF(priority(Main[[#This Row],[Comments]])&lt;&gt;0, priority(Main[[#This Row],[Comments]]),"")</f>
        <v/>
      </c>
      <c r="B808" s="60" t="s">
        <v>1586</v>
      </c>
      <c r="C808" s="105" t="s">
        <v>4</v>
      </c>
      <c r="D808" s="74" t="s">
        <v>39</v>
      </c>
      <c r="E808" s="89"/>
      <c r="F808" s="89"/>
      <c r="G808" s="65" t="str">
        <f>IF(stdProdLT(Main[[#This Row],[Comments]])=0.1,"N/A",IF(stdProdLT(Main[[#This Row],[Comments]])=0,"",TRIM(stdProdLT(Main[[#This Row],[Comments]]))))</f>
        <v/>
      </c>
      <c r="H808" s="98" t="str">
        <f>IF(Main[[#This Row],[Std. Prod. Lead Time]]="N/A", "",IF(AND(Main[[#This Row],[In Stock Date]]&lt;&gt;"",Main[[#This Row],[Revised Due Date]]&lt;&gt;"",Main[[#This Row],[In Stock Date]]&lt;&gt;""),Main[[#This Row],[In Stock Date]]-Main[[#This Row],[Revised Due Date]],""))</f>
        <v/>
      </c>
      <c r="I808" s="110" t="s">
        <v>4</v>
      </c>
      <c r="J808" s="99" t="s">
        <v>4</v>
      </c>
      <c r="K808" s="99" t="s">
        <v>4</v>
      </c>
      <c r="L808" s="89"/>
      <c r="M808" s="75" t="str">
        <f>IF(Main[[#This Row],[Tech Start Date]]&lt;1/1/1990,"",IF(Main[[#This Row],[Class]]="C",WORKDAY(Main[[#This Row],[Tech Start Date]],9),IF(Main[[#This Row],[Class]]="B", WORKDAY(Main[[#This Row],[Tech Start Date]],6),IF(Main[[#This Row],[Class]]="A",WORKDAY(Main[[#This Row],[Tech Start Date]],2),""))))</f>
        <v/>
      </c>
      <c r="N808" s="75" t="str">
        <f>IF(Main[[#This Row],[Tech Start Date]]&lt;1/1/1990,"",IF(Main[[#This Row],[Class]]="C",WORKDAY(Main[[#This Row],[Tech Start Date]],19),IF(Main[[#This Row],[Class]]="B", WORKDAY(Main[[#This Row],[Tech Start Date]],12),IF(Main[[#This Row],[Class]]="A",WORKDAY(Main[[#This Row],[Tech Start Date]],4),""))))</f>
        <v/>
      </c>
      <c r="O808" s="75" t="str">
        <f>IF(Main[[#This Row],[Tech Start Date]]&lt;1/1/1990,"",IF(Main[[#This Row],[Class]]="C",WORKDAY(Main[[#This Row],[Tech Start Date]],23),IF(Main[[#This Row],[Class]]="B", WORKDAY(Main[[#This Row],[Tech Start Date]],15),IF(Main[[#This Row],[Class]]="A",WORKDAY(Main[[#This Row],[Tech Start Date]],5),""))))</f>
        <v/>
      </c>
      <c r="P808" s="75" t="str">
        <f>IF(Main[[#This Row],[Tech Start Date]]&lt;1/1/1990,"",IF(Main[[#This Row],[Class]]="C",WORKDAY(Main[[#This Row],[Tech Start Date]],28),IF(Main[[#This Row],[Class]]="B", WORKDAY(Main[[#This Row],[Tech Start Date]],19),IF(Main[[#This Row],[Class]]="A",WORKDAY(Main[[#This Row],[Tech Start Date]],9),""))))</f>
        <v/>
      </c>
      <c r="Q808" s="89">
        <v>40669</v>
      </c>
      <c r="R808" s="121"/>
      <c r="S808" s="99" t="s">
        <v>6</v>
      </c>
      <c r="T808" s="76" t="s">
        <v>4</v>
      </c>
      <c r="U808" s="99" t="s">
        <v>14</v>
      </c>
      <c r="V808" s="99" t="s">
        <v>1916</v>
      </c>
      <c r="W808" s="99" t="s">
        <v>4</v>
      </c>
      <c r="X808" s="99" t="s">
        <v>2812</v>
      </c>
      <c r="Y808" s="73" t="s">
        <v>2923</v>
      </c>
      <c r="Z808" s="73" t="s">
        <v>4</v>
      </c>
      <c r="AA808" s="99" t="s">
        <v>2812</v>
      </c>
    </row>
    <row r="809" spans="1:27" ht="17.25" customHeight="1">
      <c r="A809" s="65" t="str">
        <f>IF(priority(Main[[#This Row],[Comments]])&lt;&gt;0, priority(Main[[#This Row],[Comments]]),"")</f>
        <v/>
      </c>
      <c r="B809" s="60" t="s">
        <v>1836</v>
      </c>
      <c r="C809" s="105" t="s">
        <v>4</v>
      </c>
      <c r="D809" s="74" t="s">
        <v>1947</v>
      </c>
      <c r="E809" s="89"/>
      <c r="F809" s="89">
        <v>40445</v>
      </c>
      <c r="G809" s="65" t="str">
        <f>IF(stdProdLT(Main[[#This Row],[Comments]])=0.1,"N/A",IF(stdProdLT(Main[[#This Row],[Comments]])=0,"",TRIM(stdProdLT(Main[[#This Row],[Comments]]))))</f>
        <v/>
      </c>
      <c r="H809" s="98">
        <f>IF(Main[[#This Row],[Std. Prod. Lead Time]]="N/A", "",IF(AND(Main[[#This Row],[In Stock Date]]&lt;&gt;"",Main[[#This Row],[Revised Due Date]]&lt;&gt;"",Main[[#This Row],[In Stock Date]]&lt;&gt;""),Main[[#This Row],[In Stock Date]]-Main[[#This Row],[Revised Due Date]],""))</f>
        <v>0</v>
      </c>
      <c r="I809" s="110" t="s">
        <v>4</v>
      </c>
      <c r="J809" s="99" t="s">
        <v>28</v>
      </c>
      <c r="K809" s="99" t="s">
        <v>1926</v>
      </c>
      <c r="L809" s="89"/>
      <c r="M809" s="75" t="str">
        <f>IF(Main[[#This Row],[Tech Start Date]]&lt;1/1/1990,"",IF(Main[[#This Row],[Class]]="C",WORKDAY(Main[[#This Row],[Tech Start Date]],9),IF(Main[[#This Row],[Class]]="B", WORKDAY(Main[[#This Row],[Tech Start Date]],6),IF(Main[[#This Row],[Class]]="A",WORKDAY(Main[[#This Row],[Tech Start Date]],2),""))))</f>
        <v/>
      </c>
      <c r="N809" s="75" t="str">
        <f>IF(Main[[#This Row],[Tech Start Date]]&lt;1/1/1990,"",IF(Main[[#This Row],[Class]]="C",WORKDAY(Main[[#This Row],[Tech Start Date]],19),IF(Main[[#This Row],[Class]]="B", WORKDAY(Main[[#This Row],[Tech Start Date]],12),IF(Main[[#This Row],[Class]]="A",WORKDAY(Main[[#This Row],[Tech Start Date]],4),""))))</f>
        <v/>
      </c>
      <c r="O809" s="75" t="str">
        <f>IF(Main[[#This Row],[Tech Start Date]]&lt;1/1/1990,"",IF(Main[[#This Row],[Class]]="C",WORKDAY(Main[[#This Row],[Tech Start Date]],23),IF(Main[[#This Row],[Class]]="B", WORKDAY(Main[[#This Row],[Tech Start Date]],15),IF(Main[[#This Row],[Class]]="A",WORKDAY(Main[[#This Row],[Tech Start Date]],5),""))))</f>
        <v/>
      </c>
      <c r="P809" s="75" t="str">
        <f>IF(Main[[#This Row],[Tech Start Date]]&lt;1/1/1990,"",IF(Main[[#This Row],[Class]]="C",WORKDAY(Main[[#This Row],[Tech Start Date]],28),IF(Main[[#This Row],[Class]]="B", WORKDAY(Main[[#This Row],[Tech Start Date]],19),IF(Main[[#This Row],[Class]]="A",WORKDAY(Main[[#This Row],[Tech Start Date]],9),""))))</f>
        <v/>
      </c>
      <c r="Q809" s="89">
        <v>40445</v>
      </c>
      <c r="R809" s="121">
        <v>40445</v>
      </c>
      <c r="S809" s="99" t="s">
        <v>11</v>
      </c>
      <c r="T809" s="76" t="s">
        <v>4</v>
      </c>
      <c r="U809" s="99" t="s">
        <v>14</v>
      </c>
      <c r="V809" s="99" t="s">
        <v>1914</v>
      </c>
      <c r="W809" s="99" t="s">
        <v>1918</v>
      </c>
      <c r="X809" s="99" t="s">
        <v>2856</v>
      </c>
      <c r="Y809" s="73" t="s">
        <v>3080</v>
      </c>
      <c r="Z809" s="73" t="s">
        <v>3153</v>
      </c>
      <c r="AA809" s="99" t="s">
        <v>2869</v>
      </c>
    </row>
    <row r="810" spans="1:27" ht="17.25" customHeight="1">
      <c r="A810" s="65" t="str">
        <f>IF(priority(Main[[#This Row],[Comments]])&lt;&gt;0, priority(Main[[#This Row],[Comments]]),"")</f>
        <v/>
      </c>
      <c r="B810" s="60" t="s">
        <v>1587</v>
      </c>
      <c r="C810" s="105" t="s">
        <v>4</v>
      </c>
      <c r="D810" s="74" t="s">
        <v>666</v>
      </c>
      <c r="E810" s="89"/>
      <c r="F810" s="89"/>
      <c r="G810" s="65" t="str">
        <f>IF(stdProdLT(Main[[#This Row],[Comments]])=0.1,"N/A",IF(stdProdLT(Main[[#This Row],[Comments]])=0,"",TRIM(stdProdLT(Main[[#This Row],[Comments]]))))</f>
        <v/>
      </c>
      <c r="H810" s="98" t="str">
        <f>IF(Main[[#This Row],[Std. Prod. Lead Time]]="N/A", "",IF(AND(Main[[#This Row],[In Stock Date]]&lt;&gt;"",Main[[#This Row],[Revised Due Date]]&lt;&gt;"",Main[[#This Row],[In Stock Date]]&lt;&gt;""),Main[[#This Row],[In Stock Date]]-Main[[#This Row],[Revised Due Date]],""))</f>
        <v/>
      </c>
      <c r="I810" s="110" t="s">
        <v>4</v>
      </c>
      <c r="J810" s="99" t="s">
        <v>4</v>
      </c>
      <c r="K810" s="99" t="s">
        <v>4</v>
      </c>
      <c r="L810" s="89"/>
      <c r="M810" s="75" t="str">
        <f>IF(Main[[#This Row],[Tech Start Date]]&lt;1/1/1990,"",IF(Main[[#This Row],[Class]]="C",WORKDAY(Main[[#This Row],[Tech Start Date]],9),IF(Main[[#This Row],[Class]]="B", WORKDAY(Main[[#This Row],[Tech Start Date]],6),IF(Main[[#This Row],[Class]]="A",WORKDAY(Main[[#This Row],[Tech Start Date]],2),""))))</f>
        <v/>
      </c>
      <c r="N810" s="75" t="str">
        <f>IF(Main[[#This Row],[Tech Start Date]]&lt;1/1/1990,"",IF(Main[[#This Row],[Class]]="C",WORKDAY(Main[[#This Row],[Tech Start Date]],19),IF(Main[[#This Row],[Class]]="B", WORKDAY(Main[[#This Row],[Tech Start Date]],12),IF(Main[[#This Row],[Class]]="A",WORKDAY(Main[[#This Row],[Tech Start Date]],4),""))))</f>
        <v/>
      </c>
      <c r="O810" s="75" t="str">
        <f>IF(Main[[#This Row],[Tech Start Date]]&lt;1/1/1990,"",IF(Main[[#This Row],[Class]]="C",WORKDAY(Main[[#This Row],[Tech Start Date]],23),IF(Main[[#This Row],[Class]]="B", WORKDAY(Main[[#This Row],[Tech Start Date]],15),IF(Main[[#This Row],[Class]]="A",WORKDAY(Main[[#This Row],[Tech Start Date]],5),""))))</f>
        <v/>
      </c>
      <c r="P810" s="75" t="str">
        <f>IF(Main[[#This Row],[Tech Start Date]]&lt;1/1/1990,"",IF(Main[[#This Row],[Class]]="C",WORKDAY(Main[[#This Row],[Tech Start Date]],28),IF(Main[[#This Row],[Class]]="B", WORKDAY(Main[[#This Row],[Tech Start Date]],19),IF(Main[[#This Row],[Class]]="A",WORKDAY(Main[[#This Row],[Tech Start Date]],9),""))))</f>
        <v/>
      </c>
      <c r="Q810" s="89"/>
      <c r="R810" s="121"/>
      <c r="S810" s="99" t="s">
        <v>6</v>
      </c>
      <c r="T810" s="76" t="s">
        <v>4</v>
      </c>
      <c r="U810" s="99" t="s">
        <v>14</v>
      </c>
      <c r="V810" s="99" t="s">
        <v>1913</v>
      </c>
      <c r="W810" s="99" t="s">
        <v>1917</v>
      </c>
      <c r="X810" s="99" t="s">
        <v>306</v>
      </c>
      <c r="Y810" s="73" t="s">
        <v>4</v>
      </c>
      <c r="Z810" s="73" t="s">
        <v>4</v>
      </c>
      <c r="AA810" s="99" t="s">
        <v>2845</v>
      </c>
    </row>
    <row r="811" spans="1:27" ht="17.25" customHeight="1">
      <c r="A811" s="65" t="str">
        <f>IF(priority(Main[[#This Row],[Comments]])&lt;&gt;0, priority(Main[[#This Row],[Comments]]),"")</f>
        <v/>
      </c>
      <c r="B811" s="60" t="s">
        <v>1617</v>
      </c>
      <c r="C811" s="105" t="s">
        <v>4</v>
      </c>
      <c r="D811" s="74" t="s">
        <v>695</v>
      </c>
      <c r="E811" s="89"/>
      <c r="F811" s="89"/>
      <c r="G811" s="65" t="str">
        <f>IF(stdProdLT(Main[[#This Row],[Comments]])=0.1,"N/A",IF(stdProdLT(Main[[#This Row],[Comments]])=0,"",TRIM(stdProdLT(Main[[#This Row],[Comments]]))))</f>
        <v/>
      </c>
      <c r="H811" s="98" t="str">
        <f>IF(Main[[#This Row],[Std. Prod. Lead Time]]="N/A", "",IF(AND(Main[[#This Row],[In Stock Date]]&lt;&gt;"",Main[[#This Row],[Revised Due Date]]&lt;&gt;"",Main[[#This Row],[In Stock Date]]&lt;&gt;""),Main[[#This Row],[In Stock Date]]-Main[[#This Row],[Revised Due Date]],""))</f>
        <v/>
      </c>
      <c r="I811" s="110" t="s">
        <v>4</v>
      </c>
      <c r="J811" s="99" t="s">
        <v>4</v>
      </c>
      <c r="K811" s="99" t="s">
        <v>4</v>
      </c>
      <c r="L811" s="89"/>
      <c r="M811" s="75" t="str">
        <f>IF(Main[[#This Row],[Tech Start Date]]&lt;1/1/1990,"",IF(Main[[#This Row],[Class]]="C",WORKDAY(Main[[#This Row],[Tech Start Date]],9),IF(Main[[#This Row],[Class]]="B", WORKDAY(Main[[#This Row],[Tech Start Date]],6),IF(Main[[#This Row],[Class]]="A",WORKDAY(Main[[#This Row],[Tech Start Date]],2),""))))</f>
        <v/>
      </c>
      <c r="N811" s="75" t="str">
        <f>IF(Main[[#This Row],[Tech Start Date]]&lt;1/1/1990,"",IF(Main[[#This Row],[Class]]="C",WORKDAY(Main[[#This Row],[Tech Start Date]],19),IF(Main[[#This Row],[Class]]="B", WORKDAY(Main[[#This Row],[Tech Start Date]],12),IF(Main[[#This Row],[Class]]="A",WORKDAY(Main[[#This Row],[Tech Start Date]],4),""))))</f>
        <v/>
      </c>
      <c r="O811" s="75" t="str">
        <f>IF(Main[[#This Row],[Tech Start Date]]&lt;1/1/1990,"",IF(Main[[#This Row],[Class]]="C",WORKDAY(Main[[#This Row],[Tech Start Date]],23),IF(Main[[#This Row],[Class]]="B", WORKDAY(Main[[#This Row],[Tech Start Date]],15),IF(Main[[#This Row],[Class]]="A",WORKDAY(Main[[#This Row],[Tech Start Date]],5),""))))</f>
        <v/>
      </c>
      <c r="P811" s="75" t="str">
        <f>IF(Main[[#This Row],[Tech Start Date]]&lt;1/1/1990,"",IF(Main[[#This Row],[Class]]="C",WORKDAY(Main[[#This Row],[Tech Start Date]],28),IF(Main[[#This Row],[Class]]="B", WORKDAY(Main[[#This Row],[Tech Start Date]],19),IF(Main[[#This Row],[Class]]="A",WORKDAY(Main[[#This Row],[Tech Start Date]],9),""))))</f>
        <v/>
      </c>
      <c r="Q811" s="89"/>
      <c r="R811" s="121"/>
      <c r="S811" s="99" t="s">
        <v>23</v>
      </c>
      <c r="T811" s="76" t="s">
        <v>4</v>
      </c>
      <c r="U811" s="99" t="s">
        <v>14</v>
      </c>
      <c r="V811" s="99" t="s">
        <v>1916</v>
      </c>
      <c r="W811" s="99" t="s">
        <v>1917</v>
      </c>
      <c r="X811" s="99" t="s">
        <v>399</v>
      </c>
      <c r="Y811" s="73" t="s">
        <v>4</v>
      </c>
      <c r="Z811" s="73" t="s">
        <v>4</v>
      </c>
      <c r="AA811" s="99" t="s">
        <v>3424</v>
      </c>
    </row>
    <row r="812" spans="1:27" ht="17.25" customHeight="1">
      <c r="A812" s="65" t="str">
        <f>IF(priority(Main[[#This Row],[Comments]])&lt;&gt;0, priority(Main[[#This Row],[Comments]]),"")</f>
        <v/>
      </c>
      <c r="B812" s="60" t="s">
        <v>1618</v>
      </c>
      <c r="C812" s="105" t="s">
        <v>122</v>
      </c>
      <c r="D812" s="74" t="s">
        <v>696</v>
      </c>
      <c r="E812" s="89"/>
      <c r="F812" s="89"/>
      <c r="G812" s="65" t="str">
        <f>IF(stdProdLT(Main[[#This Row],[Comments]])=0.1,"N/A",IF(stdProdLT(Main[[#This Row],[Comments]])=0,"",TRIM(stdProdLT(Main[[#This Row],[Comments]]))))</f>
        <v/>
      </c>
      <c r="H812" s="98" t="str">
        <f>IF(Main[[#This Row],[Std. Prod. Lead Time]]="N/A", "",IF(AND(Main[[#This Row],[In Stock Date]]&lt;&gt;"",Main[[#This Row],[Revised Due Date]]&lt;&gt;"",Main[[#This Row],[In Stock Date]]&lt;&gt;""),Main[[#This Row],[In Stock Date]]-Main[[#This Row],[Revised Due Date]],""))</f>
        <v/>
      </c>
      <c r="I812" s="110" t="s">
        <v>4</v>
      </c>
      <c r="J812" s="99" t="s">
        <v>4</v>
      </c>
      <c r="K812" s="99" t="s">
        <v>4</v>
      </c>
      <c r="L812" s="89"/>
      <c r="M812" s="75" t="str">
        <f>IF(Main[[#This Row],[Tech Start Date]]&lt;1/1/1990,"",IF(Main[[#This Row],[Class]]="C",WORKDAY(Main[[#This Row],[Tech Start Date]],9),IF(Main[[#This Row],[Class]]="B", WORKDAY(Main[[#This Row],[Tech Start Date]],6),IF(Main[[#This Row],[Class]]="A",WORKDAY(Main[[#This Row],[Tech Start Date]],2),""))))</f>
        <v/>
      </c>
      <c r="N812" s="75" t="str">
        <f>IF(Main[[#This Row],[Tech Start Date]]&lt;1/1/1990,"",IF(Main[[#This Row],[Class]]="C",WORKDAY(Main[[#This Row],[Tech Start Date]],19),IF(Main[[#This Row],[Class]]="B", WORKDAY(Main[[#This Row],[Tech Start Date]],12),IF(Main[[#This Row],[Class]]="A",WORKDAY(Main[[#This Row],[Tech Start Date]],4),""))))</f>
        <v/>
      </c>
      <c r="O812" s="75" t="str">
        <f>IF(Main[[#This Row],[Tech Start Date]]&lt;1/1/1990,"",IF(Main[[#This Row],[Class]]="C",WORKDAY(Main[[#This Row],[Tech Start Date]],23),IF(Main[[#This Row],[Class]]="B", WORKDAY(Main[[#This Row],[Tech Start Date]],15),IF(Main[[#This Row],[Class]]="A",WORKDAY(Main[[#This Row],[Tech Start Date]],5),""))))</f>
        <v/>
      </c>
      <c r="P812" s="75" t="str">
        <f>IF(Main[[#This Row],[Tech Start Date]]&lt;1/1/1990,"",IF(Main[[#This Row],[Class]]="C",WORKDAY(Main[[#This Row],[Tech Start Date]],28),IF(Main[[#This Row],[Class]]="B", WORKDAY(Main[[#This Row],[Tech Start Date]],19),IF(Main[[#This Row],[Class]]="A",WORKDAY(Main[[#This Row],[Tech Start Date]],9),""))))</f>
        <v/>
      </c>
      <c r="Q812" s="89"/>
      <c r="R812" s="121"/>
      <c r="S812" s="99" t="s">
        <v>11</v>
      </c>
      <c r="T812" s="76" t="s">
        <v>4</v>
      </c>
      <c r="U812" s="99" t="s">
        <v>14</v>
      </c>
      <c r="V812" s="99" t="s">
        <v>1913</v>
      </c>
      <c r="W812" s="99" t="s">
        <v>1924</v>
      </c>
      <c r="X812" s="99" t="s">
        <v>2814</v>
      </c>
      <c r="Y812" s="73" t="s">
        <v>3086</v>
      </c>
      <c r="Z812" s="73" t="s">
        <v>4</v>
      </c>
      <c r="AA812" s="99" t="s">
        <v>3425</v>
      </c>
    </row>
    <row r="813" spans="1:27" ht="17.25" customHeight="1">
      <c r="A813" s="65" t="str">
        <f>IF(priority(Main[[#This Row],[Comments]])&lt;&gt;0, priority(Main[[#This Row],[Comments]]),"")</f>
        <v/>
      </c>
      <c r="B813" s="60" t="s">
        <v>1620</v>
      </c>
      <c r="C813" s="105" t="s">
        <v>4</v>
      </c>
      <c r="D813" s="74" t="s">
        <v>697</v>
      </c>
      <c r="E813" s="89"/>
      <c r="F813" s="89">
        <v>40598</v>
      </c>
      <c r="G813" s="65" t="str">
        <f>IF(stdProdLT(Main[[#This Row],[Comments]])=0.1,"N/A",IF(stdProdLT(Main[[#This Row],[Comments]])=0,"",TRIM(stdProdLT(Main[[#This Row],[Comments]]))))</f>
        <v/>
      </c>
      <c r="H813" s="98" t="str">
        <f>IF(Main[[#This Row],[Std. Prod. Lead Time]]="N/A", "",IF(AND(Main[[#This Row],[In Stock Date]]&lt;&gt;"",Main[[#This Row],[Revised Due Date]]&lt;&gt;"",Main[[#This Row],[In Stock Date]]&lt;&gt;""),Main[[#This Row],[In Stock Date]]-Main[[#This Row],[Revised Due Date]],""))</f>
        <v/>
      </c>
      <c r="I813" s="110" t="s">
        <v>399</v>
      </c>
      <c r="J813" s="99" t="s">
        <v>75</v>
      </c>
      <c r="K813" s="99" t="s">
        <v>4</v>
      </c>
      <c r="L813" s="89"/>
      <c r="M813" s="75" t="str">
        <f>IF(Main[[#This Row],[Tech Start Date]]&lt;1/1/1990,"",IF(Main[[#This Row],[Class]]="C",WORKDAY(Main[[#This Row],[Tech Start Date]],9),IF(Main[[#This Row],[Class]]="B", WORKDAY(Main[[#This Row],[Tech Start Date]],6),IF(Main[[#This Row],[Class]]="A",WORKDAY(Main[[#This Row],[Tech Start Date]],2),""))))</f>
        <v/>
      </c>
      <c r="N813" s="75" t="str">
        <f>IF(Main[[#This Row],[Tech Start Date]]&lt;1/1/1990,"",IF(Main[[#This Row],[Class]]="C",WORKDAY(Main[[#This Row],[Tech Start Date]],19),IF(Main[[#This Row],[Class]]="B", WORKDAY(Main[[#This Row],[Tech Start Date]],12),IF(Main[[#This Row],[Class]]="A",WORKDAY(Main[[#This Row],[Tech Start Date]],4),""))))</f>
        <v/>
      </c>
      <c r="O813" s="75" t="str">
        <f>IF(Main[[#This Row],[Tech Start Date]]&lt;1/1/1990,"",IF(Main[[#This Row],[Class]]="C",WORKDAY(Main[[#This Row],[Tech Start Date]],23),IF(Main[[#This Row],[Class]]="B", WORKDAY(Main[[#This Row],[Tech Start Date]],15),IF(Main[[#This Row],[Class]]="A",WORKDAY(Main[[#This Row],[Tech Start Date]],5),""))))</f>
        <v/>
      </c>
      <c r="P813" s="75" t="str">
        <f>IF(Main[[#This Row],[Tech Start Date]]&lt;1/1/1990,"",IF(Main[[#This Row],[Class]]="C",WORKDAY(Main[[#This Row],[Tech Start Date]],28),IF(Main[[#This Row],[Class]]="B", WORKDAY(Main[[#This Row],[Tech Start Date]],19),IF(Main[[#This Row],[Class]]="A",WORKDAY(Main[[#This Row],[Tech Start Date]],9),""))))</f>
        <v/>
      </c>
      <c r="Q813" s="89">
        <v>40598</v>
      </c>
      <c r="R813" s="121"/>
      <c r="S813" s="99" t="s">
        <v>6</v>
      </c>
      <c r="T813" s="76" t="s">
        <v>4</v>
      </c>
      <c r="U813" s="99" t="s">
        <v>14</v>
      </c>
      <c r="V813" s="99" t="s">
        <v>1923</v>
      </c>
      <c r="W813" s="99" t="s">
        <v>1919</v>
      </c>
      <c r="X813" s="99" t="s">
        <v>2842</v>
      </c>
      <c r="Y813" s="73" t="s">
        <v>2973</v>
      </c>
      <c r="Z813" s="73" t="s">
        <v>306</v>
      </c>
      <c r="AA813" s="99" t="s">
        <v>2842</v>
      </c>
    </row>
    <row r="814" spans="1:27" ht="17.25" customHeight="1">
      <c r="A814" s="65" t="str">
        <f>IF(priority(Main[[#This Row],[Comments]])&lt;&gt;0, priority(Main[[#This Row],[Comments]]),"")</f>
        <v/>
      </c>
      <c r="B814" s="60" t="s">
        <v>2161</v>
      </c>
      <c r="C814" s="105" t="s">
        <v>2156</v>
      </c>
      <c r="D814" s="74" t="s">
        <v>2726</v>
      </c>
      <c r="E814" s="89">
        <v>40781.401631944442</v>
      </c>
      <c r="F814" s="89"/>
      <c r="G814" s="65" t="str">
        <f>IF(stdProdLT(Main[[#This Row],[Comments]])=0.1,"N/A",IF(stdProdLT(Main[[#This Row],[Comments]])=0,"",TRIM(stdProdLT(Main[[#This Row],[Comments]]))))</f>
        <v/>
      </c>
      <c r="H814" s="98" t="str">
        <f>IF(Main[[#This Row],[Std. Prod. Lead Time]]="N/A", "",IF(AND(Main[[#This Row],[In Stock Date]]&lt;&gt;"",Main[[#This Row],[Revised Due Date]]&lt;&gt;"",Main[[#This Row],[In Stock Date]]&lt;&gt;""),Main[[#This Row],[In Stock Date]]-Main[[#This Row],[Revised Due Date]],""))</f>
        <v/>
      </c>
      <c r="I814" s="110" t="s">
        <v>2047</v>
      </c>
      <c r="J814" s="99" t="s">
        <v>70</v>
      </c>
      <c r="K814" s="99" t="s">
        <v>1922</v>
      </c>
      <c r="L814" s="89"/>
      <c r="M814" s="75" t="str">
        <f>IF(Main[[#This Row],[Tech Start Date]]&lt;1/1/1990,"",IF(Main[[#This Row],[Class]]="C",WORKDAY(Main[[#This Row],[Tech Start Date]],9),IF(Main[[#This Row],[Class]]="B", WORKDAY(Main[[#This Row],[Tech Start Date]],6),IF(Main[[#This Row],[Class]]="A",WORKDAY(Main[[#This Row],[Tech Start Date]],2),""))))</f>
        <v/>
      </c>
      <c r="N814" s="75" t="str">
        <f>IF(Main[[#This Row],[Tech Start Date]]&lt;1/1/1990,"",IF(Main[[#This Row],[Class]]="C",WORKDAY(Main[[#This Row],[Tech Start Date]],19),IF(Main[[#This Row],[Class]]="B", WORKDAY(Main[[#This Row],[Tech Start Date]],12),IF(Main[[#This Row],[Class]]="A",WORKDAY(Main[[#This Row],[Tech Start Date]],4),""))))</f>
        <v/>
      </c>
      <c r="O814" s="75" t="str">
        <f>IF(Main[[#This Row],[Tech Start Date]]&lt;1/1/1990,"",IF(Main[[#This Row],[Class]]="C",WORKDAY(Main[[#This Row],[Tech Start Date]],23),IF(Main[[#This Row],[Class]]="B", WORKDAY(Main[[#This Row],[Tech Start Date]],15),IF(Main[[#This Row],[Class]]="A",WORKDAY(Main[[#This Row],[Tech Start Date]],5),""))))</f>
        <v/>
      </c>
      <c r="P814" s="75" t="str">
        <f>IF(Main[[#This Row],[Tech Start Date]]&lt;1/1/1990,"",IF(Main[[#This Row],[Class]]="C",WORKDAY(Main[[#This Row],[Tech Start Date]],28),IF(Main[[#This Row],[Class]]="B", WORKDAY(Main[[#This Row],[Tech Start Date]],19),IF(Main[[#This Row],[Class]]="A",WORKDAY(Main[[#This Row],[Tech Start Date]],9),""))))</f>
        <v/>
      </c>
      <c r="Q814" s="89">
        <v>40836</v>
      </c>
      <c r="R814" s="121"/>
      <c r="S814" s="99" t="s">
        <v>6</v>
      </c>
      <c r="T814" s="76" t="s">
        <v>4</v>
      </c>
      <c r="U814" s="99" t="s">
        <v>29</v>
      </c>
      <c r="V814" s="99" t="s">
        <v>1916</v>
      </c>
      <c r="W814" s="99" t="s">
        <v>1917</v>
      </c>
      <c r="X814" s="99" t="s">
        <v>2830</v>
      </c>
      <c r="Y814" s="73" t="s">
        <v>2959</v>
      </c>
      <c r="Z814" s="73" t="s">
        <v>30</v>
      </c>
      <c r="AA814" s="99" t="s">
        <v>2830</v>
      </c>
    </row>
    <row r="815" spans="1:27" ht="17.25" customHeight="1">
      <c r="A815" s="65" t="str">
        <f>IF(priority(Main[[#This Row],[Comments]])&lt;&gt;0, priority(Main[[#This Row],[Comments]]),"")</f>
        <v/>
      </c>
      <c r="B815" s="60" t="s">
        <v>2070</v>
      </c>
      <c r="C815" s="105" t="s">
        <v>4</v>
      </c>
      <c r="D815" s="74" t="s">
        <v>2382</v>
      </c>
      <c r="E815" s="89">
        <v>40760.554780092592</v>
      </c>
      <c r="F815" s="89"/>
      <c r="G815" s="65" t="str">
        <f>IF(stdProdLT(Main[[#This Row],[Comments]])=0.1,"N/A",IF(stdProdLT(Main[[#This Row],[Comments]])=0,"",TRIM(stdProdLT(Main[[#This Row],[Comments]]))))</f>
        <v/>
      </c>
      <c r="H815" s="98" t="str">
        <f>IF(Main[[#This Row],[Std. Prod. Lead Time]]="N/A", "",IF(AND(Main[[#This Row],[In Stock Date]]&lt;&gt;"",Main[[#This Row],[Revised Due Date]]&lt;&gt;"",Main[[#This Row],[In Stock Date]]&lt;&gt;""),Main[[#This Row],[In Stock Date]]-Main[[#This Row],[Revised Due Date]],""))</f>
        <v/>
      </c>
      <c r="I815" s="110" t="s">
        <v>4</v>
      </c>
      <c r="J815" s="99" t="s">
        <v>4</v>
      </c>
      <c r="K815" s="99" t="s">
        <v>4</v>
      </c>
      <c r="L815" s="89"/>
      <c r="M815" s="75" t="str">
        <f>IF(Main[[#This Row],[Tech Start Date]]&lt;1/1/1990,"",IF(Main[[#This Row],[Class]]="C",WORKDAY(Main[[#This Row],[Tech Start Date]],9),IF(Main[[#This Row],[Class]]="B", WORKDAY(Main[[#This Row],[Tech Start Date]],6),IF(Main[[#This Row],[Class]]="A",WORKDAY(Main[[#This Row],[Tech Start Date]],2),""))))</f>
        <v/>
      </c>
      <c r="N815" s="75" t="str">
        <f>IF(Main[[#This Row],[Tech Start Date]]&lt;1/1/1990,"",IF(Main[[#This Row],[Class]]="C",WORKDAY(Main[[#This Row],[Tech Start Date]],19),IF(Main[[#This Row],[Class]]="B", WORKDAY(Main[[#This Row],[Tech Start Date]],12),IF(Main[[#This Row],[Class]]="A",WORKDAY(Main[[#This Row],[Tech Start Date]],4),""))))</f>
        <v/>
      </c>
      <c r="O815" s="75" t="str">
        <f>IF(Main[[#This Row],[Tech Start Date]]&lt;1/1/1990,"",IF(Main[[#This Row],[Class]]="C",WORKDAY(Main[[#This Row],[Tech Start Date]],23),IF(Main[[#This Row],[Class]]="B", WORKDAY(Main[[#This Row],[Tech Start Date]],15),IF(Main[[#This Row],[Class]]="A",WORKDAY(Main[[#This Row],[Tech Start Date]],5),""))))</f>
        <v/>
      </c>
      <c r="P815" s="75" t="str">
        <f>IF(Main[[#This Row],[Tech Start Date]]&lt;1/1/1990,"",IF(Main[[#This Row],[Class]]="C",WORKDAY(Main[[#This Row],[Tech Start Date]],28),IF(Main[[#This Row],[Class]]="B", WORKDAY(Main[[#This Row],[Tech Start Date]],19),IF(Main[[#This Row],[Class]]="A",WORKDAY(Main[[#This Row],[Tech Start Date]],9),""))))</f>
        <v/>
      </c>
      <c r="Q815" s="89"/>
      <c r="R815" s="121"/>
      <c r="S815" s="99" t="s">
        <v>6</v>
      </c>
      <c r="T815" s="76" t="s">
        <v>4</v>
      </c>
      <c r="U815" s="99" t="s">
        <v>7</v>
      </c>
      <c r="V815" s="99" t="s">
        <v>1913</v>
      </c>
      <c r="W815" s="99" t="s">
        <v>1917</v>
      </c>
      <c r="X815" s="99" t="s">
        <v>306</v>
      </c>
      <c r="Y815" s="73" t="s">
        <v>4</v>
      </c>
      <c r="Z815" s="73" t="s">
        <v>4</v>
      </c>
      <c r="AA815" s="99" t="s">
        <v>4</v>
      </c>
    </row>
    <row r="816" spans="1:27" ht="17.25" customHeight="1">
      <c r="A816" s="65" t="str">
        <f>IF(priority(Main[[#This Row],[Comments]])&lt;&gt;0, priority(Main[[#This Row],[Comments]]),"")</f>
        <v/>
      </c>
      <c r="B816" s="60" t="s">
        <v>1621</v>
      </c>
      <c r="C816" s="105" t="s">
        <v>4</v>
      </c>
      <c r="D816" s="74" t="s">
        <v>698</v>
      </c>
      <c r="E816" s="89"/>
      <c r="F816" s="89"/>
      <c r="G816" s="65" t="str">
        <f>IF(stdProdLT(Main[[#This Row],[Comments]])=0.1,"N/A",IF(stdProdLT(Main[[#This Row],[Comments]])=0,"",TRIM(stdProdLT(Main[[#This Row],[Comments]]))))</f>
        <v/>
      </c>
      <c r="H816" s="98" t="str">
        <f>IF(Main[[#This Row],[Std. Prod. Lead Time]]="N/A", "",IF(AND(Main[[#This Row],[In Stock Date]]&lt;&gt;"",Main[[#This Row],[Revised Due Date]]&lt;&gt;"",Main[[#This Row],[In Stock Date]]&lt;&gt;""),Main[[#This Row],[In Stock Date]]-Main[[#This Row],[Revised Due Date]],""))</f>
        <v/>
      </c>
      <c r="I816" s="110" t="s">
        <v>4</v>
      </c>
      <c r="J816" s="99" t="s">
        <v>4</v>
      </c>
      <c r="K816" s="99" t="s">
        <v>4</v>
      </c>
      <c r="L816" s="89"/>
      <c r="M816" s="75" t="str">
        <f>IF(Main[[#This Row],[Tech Start Date]]&lt;1/1/1990,"",IF(Main[[#This Row],[Class]]="C",WORKDAY(Main[[#This Row],[Tech Start Date]],9),IF(Main[[#This Row],[Class]]="B", WORKDAY(Main[[#This Row],[Tech Start Date]],6),IF(Main[[#This Row],[Class]]="A",WORKDAY(Main[[#This Row],[Tech Start Date]],2),""))))</f>
        <v/>
      </c>
      <c r="N816" s="75" t="str">
        <f>IF(Main[[#This Row],[Tech Start Date]]&lt;1/1/1990,"",IF(Main[[#This Row],[Class]]="C",WORKDAY(Main[[#This Row],[Tech Start Date]],19),IF(Main[[#This Row],[Class]]="B", WORKDAY(Main[[#This Row],[Tech Start Date]],12),IF(Main[[#This Row],[Class]]="A",WORKDAY(Main[[#This Row],[Tech Start Date]],4),""))))</f>
        <v/>
      </c>
      <c r="O816" s="75" t="str">
        <f>IF(Main[[#This Row],[Tech Start Date]]&lt;1/1/1990,"",IF(Main[[#This Row],[Class]]="C",WORKDAY(Main[[#This Row],[Tech Start Date]],23),IF(Main[[#This Row],[Class]]="B", WORKDAY(Main[[#This Row],[Tech Start Date]],15),IF(Main[[#This Row],[Class]]="A",WORKDAY(Main[[#This Row],[Tech Start Date]],5),""))))</f>
        <v/>
      </c>
      <c r="P816" s="75" t="str">
        <f>IF(Main[[#This Row],[Tech Start Date]]&lt;1/1/1990,"",IF(Main[[#This Row],[Class]]="C",WORKDAY(Main[[#This Row],[Tech Start Date]],28),IF(Main[[#This Row],[Class]]="B", WORKDAY(Main[[#This Row],[Tech Start Date]],19),IF(Main[[#This Row],[Class]]="A",WORKDAY(Main[[#This Row],[Tech Start Date]],9),""))))</f>
        <v/>
      </c>
      <c r="Q816" s="89"/>
      <c r="R816" s="121"/>
      <c r="S816" s="99" t="s">
        <v>49</v>
      </c>
      <c r="T816" s="76" t="s">
        <v>4</v>
      </c>
      <c r="U816" s="99" t="s">
        <v>14</v>
      </c>
      <c r="V816" s="99" t="s">
        <v>1913</v>
      </c>
      <c r="W816" s="99" t="s">
        <v>1917</v>
      </c>
      <c r="X816" s="99" t="s">
        <v>306</v>
      </c>
      <c r="Y816" s="73" t="s">
        <v>4</v>
      </c>
      <c r="Z816" s="73" t="s">
        <v>4</v>
      </c>
      <c r="AA816" s="99" t="s">
        <v>4</v>
      </c>
    </row>
    <row r="817" spans="1:27" ht="17.25" customHeight="1">
      <c r="A817" s="65" t="str">
        <f>IF(priority(Main[[#This Row],[Comments]])&lt;&gt;0, priority(Main[[#This Row],[Comments]]),"")</f>
        <v/>
      </c>
      <c r="B817" s="60" t="s">
        <v>1622</v>
      </c>
      <c r="C817" s="105" t="s">
        <v>4</v>
      </c>
      <c r="D817" s="74" t="s">
        <v>699</v>
      </c>
      <c r="E817" s="89"/>
      <c r="F817" s="89"/>
      <c r="G817" s="65" t="str">
        <f>IF(stdProdLT(Main[[#This Row],[Comments]])=0.1,"N/A",IF(stdProdLT(Main[[#This Row],[Comments]])=0,"",TRIM(stdProdLT(Main[[#This Row],[Comments]]))))</f>
        <v/>
      </c>
      <c r="H817" s="98" t="str">
        <f>IF(Main[[#This Row],[Std. Prod. Lead Time]]="N/A", "",IF(AND(Main[[#This Row],[In Stock Date]]&lt;&gt;"",Main[[#This Row],[Revised Due Date]]&lt;&gt;"",Main[[#This Row],[In Stock Date]]&lt;&gt;""),Main[[#This Row],[In Stock Date]]-Main[[#This Row],[Revised Due Date]],""))</f>
        <v/>
      </c>
      <c r="I817" s="110" t="s">
        <v>4</v>
      </c>
      <c r="J817" s="99" t="s">
        <v>4</v>
      </c>
      <c r="K817" s="99" t="s">
        <v>4</v>
      </c>
      <c r="L817" s="89"/>
      <c r="M817" s="75" t="str">
        <f>IF(Main[[#This Row],[Tech Start Date]]&lt;1/1/1990,"",IF(Main[[#This Row],[Class]]="C",WORKDAY(Main[[#This Row],[Tech Start Date]],9),IF(Main[[#This Row],[Class]]="B", WORKDAY(Main[[#This Row],[Tech Start Date]],6),IF(Main[[#This Row],[Class]]="A",WORKDAY(Main[[#This Row],[Tech Start Date]],2),""))))</f>
        <v/>
      </c>
      <c r="N817" s="75" t="str">
        <f>IF(Main[[#This Row],[Tech Start Date]]&lt;1/1/1990,"",IF(Main[[#This Row],[Class]]="C",WORKDAY(Main[[#This Row],[Tech Start Date]],19),IF(Main[[#This Row],[Class]]="B", WORKDAY(Main[[#This Row],[Tech Start Date]],12),IF(Main[[#This Row],[Class]]="A",WORKDAY(Main[[#This Row],[Tech Start Date]],4),""))))</f>
        <v/>
      </c>
      <c r="O817" s="75" t="str">
        <f>IF(Main[[#This Row],[Tech Start Date]]&lt;1/1/1990,"",IF(Main[[#This Row],[Class]]="C",WORKDAY(Main[[#This Row],[Tech Start Date]],23),IF(Main[[#This Row],[Class]]="B", WORKDAY(Main[[#This Row],[Tech Start Date]],15),IF(Main[[#This Row],[Class]]="A",WORKDAY(Main[[#This Row],[Tech Start Date]],5),""))))</f>
        <v/>
      </c>
      <c r="P817" s="75" t="str">
        <f>IF(Main[[#This Row],[Tech Start Date]]&lt;1/1/1990,"",IF(Main[[#This Row],[Class]]="C",WORKDAY(Main[[#This Row],[Tech Start Date]],28),IF(Main[[#This Row],[Class]]="B", WORKDAY(Main[[#This Row],[Tech Start Date]],19),IF(Main[[#This Row],[Class]]="A",WORKDAY(Main[[#This Row],[Tech Start Date]],9),""))))</f>
        <v/>
      </c>
      <c r="Q817" s="89"/>
      <c r="R817" s="121"/>
      <c r="S817" s="99" t="s">
        <v>11</v>
      </c>
      <c r="T817" s="76" t="s">
        <v>4</v>
      </c>
      <c r="U817" s="99" t="s">
        <v>14</v>
      </c>
      <c r="V817" s="99" t="s">
        <v>1916</v>
      </c>
      <c r="W817" s="99" t="s">
        <v>1921</v>
      </c>
      <c r="X817" s="99" t="s">
        <v>306</v>
      </c>
      <c r="Y817" s="73" t="s">
        <v>4</v>
      </c>
      <c r="Z817" s="73" t="s">
        <v>4</v>
      </c>
      <c r="AA817" s="99" t="s">
        <v>4</v>
      </c>
    </row>
    <row r="818" spans="1:27" ht="17.25" customHeight="1">
      <c r="A818" s="65" t="str">
        <f>IF(priority(Main[[#This Row],[Comments]])&lt;&gt;0, priority(Main[[#This Row],[Comments]]),"")</f>
        <v/>
      </c>
      <c r="B818" s="60" t="s">
        <v>1623</v>
      </c>
      <c r="C818" s="105" t="s">
        <v>211</v>
      </c>
      <c r="D818" s="74" t="s">
        <v>212</v>
      </c>
      <c r="E818" s="89"/>
      <c r="F818" s="89">
        <v>40452</v>
      </c>
      <c r="G818" s="65" t="str">
        <f>IF(stdProdLT(Main[[#This Row],[Comments]])=0.1,"N/A",IF(stdProdLT(Main[[#This Row],[Comments]])=0,"",TRIM(stdProdLT(Main[[#This Row],[Comments]]))))</f>
        <v/>
      </c>
      <c r="H818" s="98" t="str">
        <f>IF(Main[[#This Row],[Std. Prod. Lead Time]]="N/A", "",IF(AND(Main[[#This Row],[In Stock Date]]&lt;&gt;"",Main[[#This Row],[Revised Due Date]]&lt;&gt;"",Main[[#This Row],[In Stock Date]]&lt;&gt;""),Main[[#This Row],[In Stock Date]]-Main[[#This Row],[Revised Due Date]],""))</f>
        <v/>
      </c>
      <c r="I818" s="110" t="s">
        <v>4</v>
      </c>
      <c r="J818" s="99" t="s">
        <v>4</v>
      </c>
      <c r="K818" s="99" t="s">
        <v>4</v>
      </c>
      <c r="L818" s="89"/>
      <c r="M818" s="75" t="str">
        <f>IF(Main[[#This Row],[Tech Start Date]]&lt;1/1/1990,"",IF(Main[[#This Row],[Class]]="C",WORKDAY(Main[[#This Row],[Tech Start Date]],9),IF(Main[[#This Row],[Class]]="B", WORKDAY(Main[[#This Row],[Tech Start Date]],6),IF(Main[[#This Row],[Class]]="A",WORKDAY(Main[[#This Row],[Tech Start Date]],2),""))))</f>
        <v/>
      </c>
      <c r="N818" s="75" t="str">
        <f>IF(Main[[#This Row],[Tech Start Date]]&lt;1/1/1990,"",IF(Main[[#This Row],[Class]]="C",WORKDAY(Main[[#This Row],[Tech Start Date]],19),IF(Main[[#This Row],[Class]]="B", WORKDAY(Main[[#This Row],[Tech Start Date]],12),IF(Main[[#This Row],[Class]]="A",WORKDAY(Main[[#This Row],[Tech Start Date]],4),""))))</f>
        <v/>
      </c>
      <c r="O818" s="75" t="str">
        <f>IF(Main[[#This Row],[Tech Start Date]]&lt;1/1/1990,"",IF(Main[[#This Row],[Class]]="C",WORKDAY(Main[[#This Row],[Tech Start Date]],23),IF(Main[[#This Row],[Class]]="B", WORKDAY(Main[[#This Row],[Tech Start Date]],15),IF(Main[[#This Row],[Class]]="A",WORKDAY(Main[[#This Row],[Tech Start Date]],5),""))))</f>
        <v/>
      </c>
      <c r="P818" s="75" t="str">
        <f>IF(Main[[#This Row],[Tech Start Date]]&lt;1/1/1990,"",IF(Main[[#This Row],[Class]]="C",WORKDAY(Main[[#This Row],[Tech Start Date]],28),IF(Main[[#This Row],[Class]]="B", WORKDAY(Main[[#This Row],[Tech Start Date]],19),IF(Main[[#This Row],[Class]]="A",WORKDAY(Main[[#This Row],[Tech Start Date]],9),""))))</f>
        <v/>
      </c>
      <c r="Q818" s="89">
        <v>40357</v>
      </c>
      <c r="R818" s="121"/>
      <c r="S818" s="99" t="s">
        <v>11</v>
      </c>
      <c r="T818" s="76" t="s">
        <v>4</v>
      </c>
      <c r="U818" s="99" t="s">
        <v>12</v>
      </c>
      <c r="V818" s="99" t="s">
        <v>1913</v>
      </c>
      <c r="W818" s="99" t="s">
        <v>1921</v>
      </c>
      <c r="X818" s="99" t="s">
        <v>2827</v>
      </c>
      <c r="Y818" s="73" t="s">
        <v>4</v>
      </c>
      <c r="Z818" s="73" t="s">
        <v>4</v>
      </c>
      <c r="AA818" s="99" t="s">
        <v>2827</v>
      </c>
    </row>
    <row r="819" spans="1:27" ht="17.25" customHeight="1">
      <c r="A819" s="65" t="str">
        <f>IF(priority(Main[[#This Row],[Comments]])&lt;&gt;0, priority(Main[[#This Row],[Comments]]),"")</f>
        <v/>
      </c>
      <c r="B819" s="60" t="s">
        <v>2222</v>
      </c>
      <c r="C819" s="105" t="s">
        <v>4</v>
      </c>
      <c r="D819" s="74" t="s">
        <v>2223</v>
      </c>
      <c r="E819" s="89">
        <v>40802.257071759261</v>
      </c>
      <c r="F819" s="89"/>
      <c r="G819" s="65" t="str">
        <f>IF(stdProdLT(Main[[#This Row],[Comments]])=0.1,"N/A",IF(stdProdLT(Main[[#This Row],[Comments]])=0,"",TRIM(stdProdLT(Main[[#This Row],[Comments]]))))</f>
        <v/>
      </c>
      <c r="H819" s="98" t="str">
        <f>IF(Main[[#This Row],[Std. Prod. Lead Time]]="N/A", "",IF(AND(Main[[#This Row],[In Stock Date]]&lt;&gt;"",Main[[#This Row],[Revised Due Date]]&lt;&gt;"",Main[[#This Row],[In Stock Date]]&lt;&gt;""),Main[[#This Row],[In Stock Date]]-Main[[#This Row],[Revised Due Date]],""))</f>
        <v/>
      </c>
      <c r="I819" s="110" t="s">
        <v>4</v>
      </c>
      <c r="J819" s="99" t="s">
        <v>4</v>
      </c>
      <c r="K819" s="99" t="s">
        <v>4</v>
      </c>
      <c r="L819" s="89"/>
      <c r="M819" s="75" t="str">
        <f>IF(Main[[#This Row],[Tech Start Date]]&lt;1/1/1990,"",IF(Main[[#This Row],[Class]]="C",WORKDAY(Main[[#This Row],[Tech Start Date]],9),IF(Main[[#This Row],[Class]]="B", WORKDAY(Main[[#This Row],[Tech Start Date]],6),IF(Main[[#This Row],[Class]]="A",WORKDAY(Main[[#This Row],[Tech Start Date]],2),""))))</f>
        <v/>
      </c>
      <c r="N819" s="75" t="str">
        <f>IF(Main[[#This Row],[Tech Start Date]]&lt;1/1/1990,"",IF(Main[[#This Row],[Class]]="C",WORKDAY(Main[[#This Row],[Tech Start Date]],19),IF(Main[[#This Row],[Class]]="B", WORKDAY(Main[[#This Row],[Tech Start Date]],12),IF(Main[[#This Row],[Class]]="A",WORKDAY(Main[[#This Row],[Tech Start Date]],4),""))))</f>
        <v/>
      </c>
      <c r="O819" s="75" t="str">
        <f>IF(Main[[#This Row],[Tech Start Date]]&lt;1/1/1990,"",IF(Main[[#This Row],[Class]]="C",WORKDAY(Main[[#This Row],[Tech Start Date]],23),IF(Main[[#This Row],[Class]]="B", WORKDAY(Main[[#This Row],[Tech Start Date]],15),IF(Main[[#This Row],[Class]]="A",WORKDAY(Main[[#This Row],[Tech Start Date]],5),""))))</f>
        <v/>
      </c>
      <c r="P819" s="75" t="str">
        <f>IF(Main[[#This Row],[Tech Start Date]]&lt;1/1/1990,"",IF(Main[[#This Row],[Class]]="C",WORKDAY(Main[[#This Row],[Tech Start Date]],28),IF(Main[[#This Row],[Class]]="B", WORKDAY(Main[[#This Row],[Tech Start Date]],19),IF(Main[[#This Row],[Class]]="A",WORKDAY(Main[[#This Row],[Tech Start Date]],9),""))))</f>
        <v/>
      </c>
      <c r="Q819" s="89">
        <v>40816</v>
      </c>
      <c r="R819" s="121"/>
      <c r="S819" s="99" t="s">
        <v>6</v>
      </c>
      <c r="T819" s="76" t="s">
        <v>4</v>
      </c>
      <c r="U819" s="99" t="s">
        <v>7</v>
      </c>
      <c r="V819" s="99" t="s">
        <v>1913</v>
      </c>
      <c r="W819" s="99" t="s">
        <v>1921</v>
      </c>
      <c r="X819" s="99" t="s">
        <v>2815</v>
      </c>
      <c r="Y819" s="73" t="s">
        <v>2930</v>
      </c>
      <c r="Z819" s="73" t="s">
        <v>4</v>
      </c>
      <c r="AA819" s="99" t="s">
        <v>2815</v>
      </c>
    </row>
    <row r="820" spans="1:27" ht="17.25" customHeight="1">
      <c r="A820" s="65" t="str">
        <f>IF(priority(Main[[#This Row],[Comments]])&lt;&gt;0, priority(Main[[#This Row],[Comments]]),"")</f>
        <v/>
      </c>
      <c r="B820" s="60" t="s">
        <v>1625</v>
      </c>
      <c r="C820" s="105" t="s">
        <v>347</v>
      </c>
      <c r="D820" s="74" t="s">
        <v>701</v>
      </c>
      <c r="E820" s="89"/>
      <c r="F820" s="89">
        <v>40664</v>
      </c>
      <c r="G820" s="65" t="str">
        <f>IF(stdProdLT(Main[[#This Row],[Comments]])=0.1,"N/A",IF(stdProdLT(Main[[#This Row],[Comments]])=0,"",TRIM(stdProdLT(Main[[#This Row],[Comments]]))))</f>
        <v/>
      </c>
      <c r="H820" s="98" t="str">
        <f>IF(Main[[#This Row],[Std. Prod. Lead Time]]="N/A", "",IF(AND(Main[[#This Row],[In Stock Date]]&lt;&gt;"",Main[[#This Row],[Revised Due Date]]&lt;&gt;"",Main[[#This Row],[In Stock Date]]&lt;&gt;""),Main[[#This Row],[In Stock Date]]-Main[[#This Row],[Revised Due Date]],""))</f>
        <v/>
      </c>
      <c r="I820" s="110" t="s">
        <v>399</v>
      </c>
      <c r="J820" s="99" t="s">
        <v>75</v>
      </c>
      <c r="K820" s="99" t="s">
        <v>1920</v>
      </c>
      <c r="L820" s="89"/>
      <c r="M820" s="75" t="str">
        <f>IF(Main[[#This Row],[Tech Start Date]]&lt;1/1/1990,"",IF(Main[[#This Row],[Class]]="C",WORKDAY(Main[[#This Row],[Tech Start Date]],9),IF(Main[[#This Row],[Class]]="B", WORKDAY(Main[[#This Row],[Tech Start Date]],6),IF(Main[[#This Row],[Class]]="A",WORKDAY(Main[[#This Row],[Tech Start Date]],2),""))))</f>
        <v/>
      </c>
      <c r="N820" s="75" t="str">
        <f>IF(Main[[#This Row],[Tech Start Date]]&lt;1/1/1990,"",IF(Main[[#This Row],[Class]]="C",WORKDAY(Main[[#This Row],[Tech Start Date]],19),IF(Main[[#This Row],[Class]]="B", WORKDAY(Main[[#This Row],[Tech Start Date]],12),IF(Main[[#This Row],[Class]]="A",WORKDAY(Main[[#This Row],[Tech Start Date]],4),""))))</f>
        <v/>
      </c>
      <c r="O820" s="75" t="str">
        <f>IF(Main[[#This Row],[Tech Start Date]]&lt;1/1/1990,"",IF(Main[[#This Row],[Class]]="C",WORKDAY(Main[[#This Row],[Tech Start Date]],23),IF(Main[[#This Row],[Class]]="B", WORKDAY(Main[[#This Row],[Tech Start Date]],15),IF(Main[[#This Row],[Class]]="A",WORKDAY(Main[[#This Row],[Tech Start Date]],5),""))))</f>
        <v/>
      </c>
      <c r="P820" s="75" t="str">
        <f>IF(Main[[#This Row],[Tech Start Date]]&lt;1/1/1990,"",IF(Main[[#This Row],[Class]]="C",WORKDAY(Main[[#This Row],[Tech Start Date]],28),IF(Main[[#This Row],[Class]]="B", WORKDAY(Main[[#This Row],[Tech Start Date]],19),IF(Main[[#This Row],[Class]]="A",WORKDAY(Main[[#This Row],[Tech Start Date]],9),""))))</f>
        <v/>
      </c>
      <c r="Q820" s="89"/>
      <c r="R820" s="121"/>
      <c r="S820" s="99" t="s">
        <v>11</v>
      </c>
      <c r="T820" s="76" t="s">
        <v>4</v>
      </c>
      <c r="U820" s="99" t="s">
        <v>14</v>
      </c>
      <c r="V820" s="99" t="s">
        <v>1916</v>
      </c>
      <c r="W820" s="99" t="s">
        <v>1919</v>
      </c>
      <c r="X820" s="99" t="s">
        <v>50</v>
      </c>
      <c r="Y820" s="73" t="s">
        <v>3087</v>
      </c>
      <c r="Z820" s="73" t="s">
        <v>306</v>
      </c>
      <c r="AA820" s="99" t="s">
        <v>2866</v>
      </c>
    </row>
    <row r="821" spans="1:27" ht="17.25" customHeight="1">
      <c r="A821" s="65" t="str">
        <f>IF(priority(Main[[#This Row],[Comments]])&lt;&gt;0, priority(Main[[#This Row],[Comments]]),"")</f>
        <v/>
      </c>
      <c r="B821" s="60" t="s">
        <v>1626</v>
      </c>
      <c r="C821" s="105" t="s">
        <v>4</v>
      </c>
      <c r="D821" s="74" t="s">
        <v>97</v>
      </c>
      <c r="E821" s="89"/>
      <c r="F821" s="89"/>
      <c r="G821" s="65" t="str">
        <f>IF(stdProdLT(Main[[#This Row],[Comments]])=0.1,"N/A",IF(stdProdLT(Main[[#This Row],[Comments]])=0,"",TRIM(stdProdLT(Main[[#This Row],[Comments]]))))</f>
        <v/>
      </c>
      <c r="H821" s="98" t="str">
        <f>IF(Main[[#This Row],[Std. Prod. Lead Time]]="N/A", "",IF(AND(Main[[#This Row],[In Stock Date]]&lt;&gt;"",Main[[#This Row],[Revised Due Date]]&lt;&gt;"",Main[[#This Row],[In Stock Date]]&lt;&gt;""),Main[[#This Row],[In Stock Date]]-Main[[#This Row],[Revised Due Date]],""))</f>
        <v/>
      </c>
      <c r="I821" s="110" t="s">
        <v>4</v>
      </c>
      <c r="J821" s="99" t="s">
        <v>4</v>
      </c>
      <c r="K821" s="99" t="s">
        <v>4</v>
      </c>
      <c r="L821" s="89"/>
      <c r="M821" s="75" t="str">
        <f>IF(Main[[#This Row],[Tech Start Date]]&lt;1/1/1990,"",IF(Main[[#This Row],[Class]]="C",WORKDAY(Main[[#This Row],[Tech Start Date]],9),IF(Main[[#This Row],[Class]]="B", WORKDAY(Main[[#This Row],[Tech Start Date]],6),IF(Main[[#This Row],[Class]]="A",WORKDAY(Main[[#This Row],[Tech Start Date]],2),""))))</f>
        <v/>
      </c>
      <c r="N821" s="75" t="str">
        <f>IF(Main[[#This Row],[Tech Start Date]]&lt;1/1/1990,"",IF(Main[[#This Row],[Class]]="C",WORKDAY(Main[[#This Row],[Tech Start Date]],19),IF(Main[[#This Row],[Class]]="B", WORKDAY(Main[[#This Row],[Tech Start Date]],12),IF(Main[[#This Row],[Class]]="A",WORKDAY(Main[[#This Row],[Tech Start Date]],4),""))))</f>
        <v/>
      </c>
      <c r="O821" s="75" t="str">
        <f>IF(Main[[#This Row],[Tech Start Date]]&lt;1/1/1990,"",IF(Main[[#This Row],[Class]]="C",WORKDAY(Main[[#This Row],[Tech Start Date]],23),IF(Main[[#This Row],[Class]]="B", WORKDAY(Main[[#This Row],[Tech Start Date]],15),IF(Main[[#This Row],[Class]]="A",WORKDAY(Main[[#This Row],[Tech Start Date]],5),""))))</f>
        <v/>
      </c>
      <c r="P821" s="75" t="str">
        <f>IF(Main[[#This Row],[Tech Start Date]]&lt;1/1/1990,"",IF(Main[[#This Row],[Class]]="C",WORKDAY(Main[[#This Row],[Tech Start Date]],28),IF(Main[[#This Row],[Class]]="B", WORKDAY(Main[[#This Row],[Tech Start Date]],19),IF(Main[[#This Row],[Class]]="A",WORKDAY(Main[[#This Row],[Tech Start Date]],9),""))))</f>
        <v/>
      </c>
      <c r="Q821" s="89">
        <v>40858</v>
      </c>
      <c r="R821" s="121"/>
      <c r="S821" s="99" t="s">
        <v>17</v>
      </c>
      <c r="T821" s="76" t="s">
        <v>4</v>
      </c>
      <c r="U821" s="99" t="s">
        <v>14</v>
      </c>
      <c r="V821" s="99" t="s">
        <v>1913</v>
      </c>
      <c r="W821" s="99" t="s">
        <v>1918</v>
      </c>
      <c r="X821" s="99" t="s">
        <v>50</v>
      </c>
      <c r="Y821" s="73" t="s">
        <v>2953</v>
      </c>
      <c r="Z821" s="73" t="s">
        <v>4</v>
      </c>
      <c r="AA821" s="99" t="s">
        <v>2822</v>
      </c>
    </row>
    <row r="822" spans="1:27" ht="17.25" customHeight="1">
      <c r="A822" s="65" t="str">
        <f>IF(priority(Main[[#This Row],[Comments]])&lt;&gt;0, priority(Main[[#This Row],[Comments]]),"")</f>
        <v/>
      </c>
      <c r="B822" s="60" t="s">
        <v>1627</v>
      </c>
      <c r="C822" s="105" t="s">
        <v>4</v>
      </c>
      <c r="D822" s="74" t="s">
        <v>97</v>
      </c>
      <c r="E822" s="89"/>
      <c r="F822" s="89"/>
      <c r="G822" s="65" t="str">
        <f>IF(stdProdLT(Main[[#This Row],[Comments]])=0.1,"N/A",IF(stdProdLT(Main[[#This Row],[Comments]])=0,"",TRIM(stdProdLT(Main[[#This Row],[Comments]]))))</f>
        <v/>
      </c>
      <c r="H822" s="98" t="str">
        <f>IF(Main[[#This Row],[Std. Prod. Lead Time]]="N/A", "",IF(AND(Main[[#This Row],[In Stock Date]]&lt;&gt;"",Main[[#This Row],[Revised Due Date]]&lt;&gt;"",Main[[#This Row],[In Stock Date]]&lt;&gt;""),Main[[#This Row],[In Stock Date]]-Main[[#This Row],[Revised Due Date]],""))</f>
        <v/>
      </c>
      <c r="I822" s="110" t="s">
        <v>4</v>
      </c>
      <c r="J822" s="99" t="s">
        <v>4</v>
      </c>
      <c r="K822" s="99" t="s">
        <v>4</v>
      </c>
      <c r="L822" s="89"/>
      <c r="M822" s="75" t="str">
        <f>IF(Main[[#This Row],[Tech Start Date]]&lt;1/1/1990,"",IF(Main[[#This Row],[Class]]="C",WORKDAY(Main[[#This Row],[Tech Start Date]],9),IF(Main[[#This Row],[Class]]="B", WORKDAY(Main[[#This Row],[Tech Start Date]],6),IF(Main[[#This Row],[Class]]="A",WORKDAY(Main[[#This Row],[Tech Start Date]],2),""))))</f>
        <v/>
      </c>
      <c r="N822" s="75" t="str">
        <f>IF(Main[[#This Row],[Tech Start Date]]&lt;1/1/1990,"",IF(Main[[#This Row],[Class]]="C",WORKDAY(Main[[#This Row],[Tech Start Date]],19),IF(Main[[#This Row],[Class]]="B", WORKDAY(Main[[#This Row],[Tech Start Date]],12),IF(Main[[#This Row],[Class]]="A",WORKDAY(Main[[#This Row],[Tech Start Date]],4),""))))</f>
        <v/>
      </c>
      <c r="O822" s="75" t="str">
        <f>IF(Main[[#This Row],[Tech Start Date]]&lt;1/1/1990,"",IF(Main[[#This Row],[Class]]="C",WORKDAY(Main[[#This Row],[Tech Start Date]],23),IF(Main[[#This Row],[Class]]="B", WORKDAY(Main[[#This Row],[Tech Start Date]],15),IF(Main[[#This Row],[Class]]="A",WORKDAY(Main[[#This Row],[Tech Start Date]],5),""))))</f>
        <v/>
      </c>
      <c r="P822" s="75" t="str">
        <f>IF(Main[[#This Row],[Tech Start Date]]&lt;1/1/1990,"",IF(Main[[#This Row],[Class]]="C",WORKDAY(Main[[#This Row],[Tech Start Date]],28),IF(Main[[#This Row],[Class]]="B", WORKDAY(Main[[#This Row],[Tech Start Date]],19),IF(Main[[#This Row],[Class]]="A",WORKDAY(Main[[#This Row],[Tech Start Date]],9),""))))</f>
        <v/>
      </c>
      <c r="Q822" s="89">
        <v>40858</v>
      </c>
      <c r="R822" s="121"/>
      <c r="S822" s="99" t="s">
        <v>17</v>
      </c>
      <c r="T822" s="76" t="s">
        <v>4</v>
      </c>
      <c r="U822" s="99" t="s">
        <v>12</v>
      </c>
      <c r="V822" s="99" t="s">
        <v>1913</v>
      </c>
      <c r="W822" s="99" t="s">
        <v>1918</v>
      </c>
      <c r="X822" s="99" t="s">
        <v>50</v>
      </c>
      <c r="Y822" s="73" t="s">
        <v>2953</v>
      </c>
      <c r="Z822" s="73" t="s">
        <v>4</v>
      </c>
      <c r="AA822" s="99" t="s">
        <v>2822</v>
      </c>
    </row>
    <row r="823" spans="1:27" ht="17.25" customHeight="1">
      <c r="A823" s="65" t="str">
        <f>IF(priority(Main[[#This Row],[Comments]])&lt;&gt;0, priority(Main[[#This Row],[Comments]]),"")</f>
        <v/>
      </c>
      <c r="B823" s="60" t="s">
        <v>1628</v>
      </c>
      <c r="C823" s="105" t="s">
        <v>4</v>
      </c>
      <c r="D823" s="74" t="s">
        <v>702</v>
      </c>
      <c r="E823" s="89">
        <v>40455.919641203705</v>
      </c>
      <c r="F823" s="89"/>
      <c r="G823" s="65" t="str">
        <f>IF(stdProdLT(Main[[#This Row],[Comments]])=0.1,"N/A",IF(stdProdLT(Main[[#This Row],[Comments]])=0,"",TRIM(stdProdLT(Main[[#This Row],[Comments]]))))</f>
        <v/>
      </c>
      <c r="H823" s="98" t="str">
        <f>IF(Main[[#This Row],[Std. Prod. Lead Time]]="N/A", "",IF(AND(Main[[#This Row],[In Stock Date]]&lt;&gt;"",Main[[#This Row],[Revised Due Date]]&lt;&gt;"",Main[[#This Row],[In Stock Date]]&lt;&gt;""),Main[[#This Row],[In Stock Date]]-Main[[#This Row],[Revised Due Date]],""))</f>
        <v/>
      </c>
      <c r="I823" s="110" t="s">
        <v>4</v>
      </c>
      <c r="J823" s="99" t="s">
        <v>28</v>
      </c>
      <c r="K823" s="99" t="s">
        <v>1925</v>
      </c>
      <c r="L823" s="89"/>
      <c r="M823" s="75" t="str">
        <f>IF(Main[[#This Row],[Tech Start Date]]&lt;1/1/1990,"",IF(Main[[#This Row],[Class]]="C",WORKDAY(Main[[#This Row],[Tech Start Date]],9),IF(Main[[#This Row],[Class]]="B", WORKDAY(Main[[#This Row],[Tech Start Date]],6),IF(Main[[#This Row],[Class]]="A",WORKDAY(Main[[#This Row],[Tech Start Date]],2),""))))</f>
        <v/>
      </c>
      <c r="N823" s="75" t="str">
        <f>IF(Main[[#This Row],[Tech Start Date]]&lt;1/1/1990,"",IF(Main[[#This Row],[Class]]="C",WORKDAY(Main[[#This Row],[Tech Start Date]],19),IF(Main[[#This Row],[Class]]="B", WORKDAY(Main[[#This Row],[Tech Start Date]],12),IF(Main[[#This Row],[Class]]="A",WORKDAY(Main[[#This Row],[Tech Start Date]],4),""))))</f>
        <v/>
      </c>
      <c r="O823" s="75" t="str">
        <f>IF(Main[[#This Row],[Tech Start Date]]&lt;1/1/1990,"",IF(Main[[#This Row],[Class]]="C",WORKDAY(Main[[#This Row],[Tech Start Date]],23),IF(Main[[#This Row],[Class]]="B", WORKDAY(Main[[#This Row],[Tech Start Date]],15),IF(Main[[#This Row],[Class]]="A",WORKDAY(Main[[#This Row],[Tech Start Date]],5),""))))</f>
        <v/>
      </c>
      <c r="P823" s="75" t="str">
        <f>IF(Main[[#This Row],[Tech Start Date]]&lt;1/1/1990,"",IF(Main[[#This Row],[Class]]="C",WORKDAY(Main[[#This Row],[Tech Start Date]],28),IF(Main[[#This Row],[Class]]="B", WORKDAY(Main[[#This Row],[Tech Start Date]],19),IF(Main[[#This Row],[Class]]="A",WORKDAY(Main[[#This Row],[Tech Start Date]],9),""))))</f>
        <v/>
      </c>
      <c r="Q823" s="89">
        <v>40543</v>
      </c>
      <c r="R823" s="121"/>
      <c r="S823" s="99" t="s">
        <v>17</v>
      </c>
      <c r="T823" s="76" t="s">
        <v>4</v>
      </c>
      <c r="U823" s="99" t="s">
        <v>7</v>
      </c>
      <c r="V823" s="99" t="s">
        <v>1913</v>
      </c>
      <c r="W823" s="99" t="s">
        <v>1917</v>
      </c>
      <c r="X823" s="99" t="s">
        <v>129</v>
      </c>
      <c r="Y823" s="73" t="s">
        <v>2927</v>
      </c>
      <c r="Z823" s="73" t="s">
        <v>129</v>
      </c>
      <c r="AA823" s="99" t="s">
        <v>129</v>
      </c>
    </row>
    <row r="824" spans="1:27" ht="17.25" customHeight="1">
      <c r="A824" s="65" t="str">
        <f>IF(priority(Main[[#This Row],[Comments]])&lt;&gt;0, priority(Main[[#This Row],[Comments]]),"")</f>
        <v/>
      </c>
      <c r="B824" s="60" t="s">
        <v>1629</v>
      </c>
      <c r="C824" s="105" t="s">
        <v>4</v>
      </c>
      <c r="D824" s="74" t="s">
        <v>703</v>
      </c>
      <c r="E824" s="89">
        <v>40711.477789351855</v>
      </c>
      <c r="F824" s="89"/>
      <c r="G824" s="65" t="str">
        <f>IF(stdProdLT(Main[[#This Row],[Comments]])=0.1,"N/A",IF(stdProdLT(Main[[#This Row],[Comments]])=0,"",TRIM(stdProdLT(Main[[#This Row],[Comments]]))))</f>
        <v/>
      </c>
      <c r="H824" s="98" t="str">
        <f>IF(Main[[#This Row],[Std. Prod. Lead Time]]="N/A", "",IF(AND(Main[[#This Row],[In Stock Date]]&lt;&gt;"",Main[[#This Row],[Revised Due Date]]&lt;&gt;"",Main[[#This Row],[In Stock Date]]&lt;&gt;""),Main[[#This Row],[In Stock Date]]-Main[[#This Row],[Revised Due Date]],""))</f>
        <v/>
      </c>
      <c r="I824" s="110" t="s">
        <v>4</v>
      </c>
      <c r="J824" s="99" t="s">
        <v>4</v>
      </c>
      <c r="K824" s="100" t="s">
        <v>4</v>
      </c>
      <c r="L824" s="89"/>
      <c r="M824" s="75" t="str">
        <f>IF(Main[[#This Row],[Tech Start Date]]&lt;1/1/1990,"",IF(Main[[#This Row],[Class]]="C",WORKDAY(Main[[#This Row],[Tech Start Date]],9),IF(Main[[#This Row],[Class]]="B", WORKDAY(Main[[#This Row],[Tech Start Date]],6),IF(Main[[#This Row],[Class]]="A",WORKDAY(Main[[#This Row],[Tech Start Date]],2),""))))</f>
        <v/>
      </c>
      <c r="N824" s="75" t="str">
        <f>IF(Main[[#This Row],[Tech Start Date]]&lt;1/1/1990,"",IF(Main[[#This Row],[Class]]="C",WORKDAY(Main[[#This Row],[Tech Start Date]],19),IF(Main[[#This Row],[Class]]="B", WORKDAY(Main[[#This Row],[Tech Start Date]],12),IF(Main[[#This Row],[Class]]="A",WORKDAY(Main[[#This Row],[Tech Start Date]],4),""))))</f>
        <v/>
      </c>
      <c r="O824" s="75" t="str">
        <f>IF(Main[[#This Row],[Tech Start Date]]&lt;1/1/1990,"",IF(Main[[#This Row],[Class]]="C",WORKDAY(Main[[#This Row],[Tech Start Date]],23),IF(Main[[#This Row],[Class]]="B", WORKDAY(Main[[#This Row],[Tech Start Date]],15),IF(Main[[#This Row],[Class]]="A",WORKDAY(Main[[#This Row],[Tech Start Date]],5),""))))</f>
        <v/>
      </c>
      <c r="P824" s="75" t="str">
        <f>IF(Main[[#This Row],[Tech Start Date]]&lt;1/1/1990,"",IF(Main[[#This Row],[Class]]="C",WORKDAY(Main[[#This Row],[Tech Start Date]],28),IF(Main[[#This Row],[Class]]="B", WORKDAY(Main[[#This Row],[Tech Start Date]],19),IF(Main[[#This Row],[Class]]="A",WORKDAY(Main[[#This Row],[Tech Start Date]],9),""))))</f>
        <v/>
      </c>
      <c r="Q824" s="89">
        <v>40753</v>
      </c>
      <c r="R824" s="121"/>
      <c r="S824" s="99" t="s">
        <v>6</v>
      </c>
      <c r="T824" s="76" t="s">
        <v>4</v>
      </c>
      <c r="U824" s="99" t="s">
        <v>7</v>
      </c>
      <c r="V824" s="99" t="s">
        <v>1913</v>
      </c>
      <c r="W824" s="99" t="s">
        <v>1921</v>
      </c>
      <c r="X824" s="99" t="s">
        <v>2815</v>
      </c>
      <c r="Y824" s="73" t="s">
        <v>2930</v>
      </c>
      <c r="Z824" s="73" t="s">
        <v>4</v>
      </c>
      <c r="AA824" s="99" t="s">
        <v>2815</v>
      </c>
    </row>
    <row r="825" spans="1:27" ht="17.25" customHeight="1">
      <c r="A825" s="65" t="str">
        <f>IF(priority(Main[[#This Row],[Comments]])&lt;&gt;0, priority(Main[[#This Row],[Comments]]),"")</f>
        <v/>
      </c>
      <c r="B825" s="60" t="s">
        <v>1631</v>
      </c>
      <c r="C825" s="105" t="s">
        <v>47</v>
      </c>
      <c r="D825" s="74" t="s">
        <v>705</v>
      </c>
      <c r="E825" s="89"/>
      <c r="F825" s="89"/>
      <c r="G825" s="65" t="str">
        <f>IF(stdProdLT(Main[[#This Row],[Comments]])=0.1,"N/A",IF(stdProdLT(Main[[#This Row],[Comments]])=0,"",TRIM(stdProdLT(Main[[#This Row],[Comments]]))))</f>
        <v/>
      </c>
      <c r="H825" s="98" t="str">
        <f>IF(Main[[#This Row],[Std. Prod. Lead Time]]="N/A", "",IF(AND(Main[[#This Row],[In Stock Date]]&lt;&gt;"",Main[[#This Row],[Revised Due Date]]&lt;&gt;"",Main[[#This Row],[In Stock Date]]&lt;&gt;""),Main[[#This Row],[In Stock Date]]-Main[[#This Row],[Revised Due Date]],""))</f>
        <v/>
      </c>
      <c r="I825" s="110" t="s">
        <v>4</v>
      </c>
      <c r="J825" s="99" t="s">
        <v>4</v>
      </c>
      <c r="K825" s="99" t="s">
        <v>4</v>
      </c>
      <c r="L825" s="89"/>
      <c r="M825" s="75" t="str">
        <f>IF(Main[[#This Row],[Tech Start Date]]&lt;1/1/1990,"",IF(Main[[#This Row],[Class]]="C",WORKDAY(Main[[#This Row],[Tech Start Date]],9),IF(Main[[#This Row],[Class]]="B", WORKDAY(Main[[#This Row],[Tech Start Date]],6),IF(Main[[#This Row],[Class]]="A",WORKDAY(Main[[#This Row],[Tech Start Date]],2),""))))</f>
        <v/>
      </c>
      <c r="N825" s="75" t="str">
        <f>IF(Main[[#This Row],[Tech Start Date]]&lt;1/1/1990,"",IF(Main[[#This Row],[Class]]="C",WORKDAY(Main[[#This Row],[Tech Start Date]],19),IF(Main[[#This Row],[Class]]="B", WORKDAY(Main[[#This Row],[Tech Start Date]],12),IF(Main[[#This Row],[Class]]="A",WORKDAY(Main[[#This Row],[Tech Start Date]],4),""))))</f>
        <v/>
      </c>
      <c r="O825" s="75" t="str">
        <f>IF(Main[[#This Row],[Tech Start Date]]&lt;1/1/1990,"",IF(Main[[#This Row],[Class]]="C",WORKDAY(Main[[#This Row],[Tech Start Date]],23),IF(Main[[#This Row],[Class]]="B", WORKDAY(Main[[#This Row],[Tech Start Date]],15),IF(Main[[#This Row],[Class]]="A",WORKDAY(Main[[#This Row],[Tech Start Date]],5),""))))</f>
        <v/>
      </c>
      <c r="P825" s="75" t="str">
        <f>IF(Main[[#This Row],[Tech Start Date]]&lt;1/1/1990,"",IF(Main[[#This Row],[Class]]="C",WORKDAY(Main[[#This Row],[Tech Start Date]],28),IF(Main[[#This Row],[Class]]="B", WORKDAY(Main[[#This Row],[Tech Start Date]],19),IF(Main[[#This Row],[Class]]="A",WORKDAY(Main[[#This Row],[Tech Start Date]],9),""))))</f>
        <v/>
      </c>
      <c r="Q825" s="89"/>
      <c r="R825" s="121"/>
      <c r="S825" s="99" t="s">
        <v>49</v>
      </c>
      <c r="T825" s="76" t="s">
        <v>4</v>
      </c>
      <c r="U825" s="99" t="s">
        <v>14</v>
      </c>
      <c r="V825" s="99" t="s">
        <v>1916</v>
      </c>
      <c r="W825" s="99" t="s">
        <v>1917</v>
      </c>
      <c r="X825" s="99" t="s">
        <v>306</v>
      </c>
      <c r="Y825" s="73" t="s">
        <v>2935</v>
      </c>
      <c r="Z825" s="73" t="s">
        <v>4</v>
      </c>
      <c r="AA825" s="99" t="s">
        <v>3369</v>
      </c>
    </row>
    <row r="826" spans="1:27" ht="17.25" customHeight="1">
      <c r="A826" s="65" t="str">
        <f>IF(priority(Main[[#This Row],[Comments]])&lt;&gt;0, priority(Main[[#This Row],[Comments]]),"")</f>
        <v/>
      </c>
      <c r="B826" s="60" t="s">
        <v>1457</v>
      </c>
      <c r="C826" s="105" t="s">
        <v>4</v>
      </c>
      <c r="D826" s="74" t="s">
        <v>524</v>
      </c>
      <c r="E826" s="89">
        <v>40926.590763888889</v>
      </c>
      <c r="F826" s="89"/>
      <c r="G826" s="65" t="str">
        <f>IF(stdProdLT(Main[[#This Row],[Comments]])=0.1,"N/A",IF(stdProdLT(Main[[#This Row],[Comments]])=0,"",TRIM(stdProdLT(Main[[#This Row],[Comments]]))))</f>
        <v/>
      </c>
      <c r="H826" s="98" t="str">
        <f>IF(Main[[#This Row],[Std. Prod. Lead Time]]="N/A", "",IF(AND(Main[[#This Row],[In Stock Date]]&lt;&gt;"",Main[[#This Row],[Revised Due Date]]&lt;&gt;"",Main[[#This Row],[In Stock Date]]&lt;&gt;""),Main[[#This Row],[In Stock Date]]-Main[[#This Row],[Revised Due Date]],""))</f>
        <v/>
      </c>
      <c r="I826" s="110" t="s">
        <v>530</v>
      </c>
      <c r="J826" s="99" t="s">
        <v>28</v>
      </c>
      <c r="K826" s="99" t="s">
        <v>1922</v>
      </c>
      <c r="L826" s="89"/>
      <c r="M826" s="75" t="str">
        <f>IF(Main[[#This Row],[Tech Start Date]]&lt;1/1/1990,"",IF(Main[[#This Row],[Class]]="C",WORKDAY(Main[[#This Row],[Tech Start Date]],9),IF(Main[[#This Row],[Class]]="B", WORKDAY(Main[[#This Row],[Tech Start Date]],6),IF(Main[[#This Row],[Class]]="A",WORKDAY(Main[[#This Row],[Tech Start Date]],2),""))))</f>
        <v/>
      </c>
      <c r="N826" s="75" t="str">
        <f>IF(Main[[#This Row],[Tech Start Date]]&lt;1/1/1990,"",IF(Main[[#This Row],[Class]]="C",WORKDAY(Main[[#This Row],[Tech Start Date]],19),IF(Main[[#This Row],[Class]]="B", WORKDAY(Main[[#This Row],[Tech Start Date]],12),IF(Main[[#This Row],[Class]]="A",WORKDAY(Main[[#This Row],[Tech Start Date]],4),""))))</f>
        <v/>
      </c>
      <c r="O826" s="75" t="str">
        <f>IF(Main[[#This Row],[Tech Start Date]]&lt;1/1/1990,"",IF(Main[[#This Row],[Class]]="C",WORKDAY(Main[[#This Row],[Tech Start Date]],23),IF(Main[[#This Row],[Class]]="B", WORKDAY(Main[[#This Row],[Tech Start Date]],15),IF(Main[[#This Row],[Class]]="A",WORKDAY(Main[[#This Row],[Tech Start Date]],5),""))))</f>
        <v/>
      </c>
      <c r="P826" s="75" t="str">
        <f>IF(Main[[#This Row],[Tech Start Date]]&lt;1/1/1990,"",IF(Main[[#This Row],[Class]]="C",WORKDAY(Main[[#This Row],[Tech Start Date]],28),IF(Main[[#This Row],[Class]]="B", WORKDAY(Main[[#This Row],[Tech Start Date]],19),IF(Main[[#This Row],[Class]]="A",WORKDAY(Main[[#This Row],[Tech Start Date]],9),""))))</f>
        <v/>
      </c>
      <c r="Q826" s="89"/>
      <c r="R826" s="121"/>
      <c r="S826" s="99" t="s">
        <v>6</v>
      </c>
      <c r="T826" s="76" t="s">
        <v>4</v>
      </c>
      <c r="U826" s="99" t="s">
        <v>29</v>
      </c>
      <c r="V826" s="99" t="s">
        <v>1916</v>
      </c>
      <c r="W826" s="99" t="s">
        <v>1917</v>
      </c>
      <c r="X826" s="99" t="s">
        <v>2813</v>
      </c>
      <c r="Y826" s="73" t="s">
        <v>2926</v>
      </c>
      <c r="Z826" s="73" t="s">
        <v>30</v>
      </c>
      <c r="AA826" s="99" t="s">
        <v>2813</v>
      </c>
    </row>
    <row r="827" spans="1:27" ht="17.25" customHeight="1">
      <c r="A827" s="65" t="str">
        <f>IF(priority(Main[[#This Row],[Comments]])&lt;&gt;0, priority(Main[[#This Row],[Comments]]),"")</f>
        <v/>
      </c>
      <c r="B827" s="60" t="s">
        <v>2043</v>
      </c>
      <c r="C827" s="105" t="s">
        <v>4</v>
      </c>
      <c r="D827" s="74" t="s">
        <v>2044</v>
      </c>
      <c r="E827" s="89">
        <v>40753.114606481482</v>
      </c>
      <c r="F827" s="89"/>
      <c r="G827" s="65" t="str">
        <f>IF(stdProdLT(Main[[#This Row],[Comments]])=0.1,"N/A",IF(stdProdLT(Main[[#This Row],[Comments]])=0,"",TRIM(stdProdLT(Main[[#This Row],[Comments]]))))</f>
        <v/>
      </c>
      <c r="H827" s="98" t="str">
        <f>IF(Main[[#This Row],[Std. Prod. Lead Time]]="N/A", "",IF(AND(Main[[#This Row],[In Stock Date]]&lt;&gt;"",Main[[#This Row],[Revised Due Date]]&lt;&gt;"",Main[[#This Row],[In Stock Date]]&lt;&gt;""),Main[[#This Row],[In Stock Date]]-Main[[#This Row],[Revised Due Date]],""))</f>
        <v/>
      </c>
      <c r="I827" s="110" t="s">
        <v>4</v>
      </c>
      <c r="J827" s="99" t="s">
        <v>4</v>
      </c>
      <c r="K827" s="99" t="s">
        <v>4</v>
      </c>
      <c r="L827" s="89"/>
      <c r="M827" s="75" t="str">
        <f>IF(Main[[#This Row],[Tech Start Date]]&lt;1/1/1990,"",IF(Main[[#This Row],[Class]]="C",WORKDAY(Main[[#This Row],[Tech Start Date]],9),IF(Main[[#This Row],[Class]]="B", WORKDAY(Main[[#This Row],[Tech Start Date]],6),IF(Main[[#This Row],[Class]]="A",WORKDAY(Main[[#This Row],[Tech Start Date]],2),""))))</f>
        <v/>
      </c>
      <c r="N827" s="75" t="str">
        <f>IF(Main[[#This Row],[Tech Start Date]]&lt;1/1/1990,"",IF(Main[[#This Row],[Class]]="C",WORKDAY(Main[[#This Row],[Tech Start Date]],19),IF(Main[[#This Row],[Class]]="B", WORKDAY(Main[[#This Row],[Tech Start Date]],12),IF(Main[[#This Row],[Class]]="A",WORKDAY(Main[[#This Row],[Tech Start Date]],4),""))))</f>
        <v/>
      </c>
      <c r="O827" s="75" t="str">
        <f>IF(Main[[#This Row],[Tech Start Date]]&lt;1/1/1990,"",IF(Main[[#This Row],[Class]]="C",WORKDAY(Main[[#This Row],[Tech Start Date]],23),IF(Main[[#This Row],[Class]]="B", WORKDAY(Main[[#This Row],[Tech Start Date]],15),IF(Main[[#This Row],[Class]]="A",WORKDAY(Main[[#This Row],[Tech Start Date]],5),""))))</f>
        <v/>
      </c>
      <c r="P827" s="75" t="str">
        <f>IF(Main[[#This Row],[Tech Start Date]]&lt;1/1/1990,"",IF(Main[[#This Row],[Class]]="C",WORKDAY(Main[[#This Row],[Tech Start Date]],28),IF(Main[[#This Row],[Class]]="B", WORKDAY(Main[[#This Row],[Tech Start Date]],19),IF(Main[[#This Row],[Class]]="A",WORKDAY(Main[[#This Row],[Tech Start Date]],9),""))))</f>
        <v/>
      </c>
      <c r="Q827" s="89">
        <v>40786</v>
      </c>
      <c r="R827" s="121"/>
      <c r="S827" s="99" t="s">
        <v>6</v>
      </c>
      <c r="T827" s="76" t="s">
        <v>4</v>
      </c>
      <c r="U827" s="99" t="s">
        <v>7</v>
      </c>
      <c r="V827" s="99" t="s">
        <v>1913</v>
      </c>
      <c r="W827" s="99" t="s">
        <v>4</v>
      </c>
      <c r="X827" s="99" t="s">
        <v>2816</v>
      </c>
      <c r="Y827" s="73" t="s">
        <v>2932</v>
      </c>
      <c r="Z827" s="73" t="s">
        <v>4</v>
      </c>
      <c r="AA827" s="99" t="s">
        <v>2816</v>
      </c>
    </row>
    <row r="828" spans="1:27" ht="17.25" customHeight="1">
      <c r="A828" s="65" t="str">
        <f>IF(priority(Main[[#This Row],[Comments]])&lt;&gt;0, priority(Main[[#This Row],[Comments]]),"")</f>
        <v/>
      </c>
      <c r="B828" s="60" t="s">
        <v>1639</v>
      </c>
      <c r="C828" s="105" t="s">
        <v>4</v>
      </c>
      <c r="D828" s="74" t="s">
        <v>39</v>
      </c>
      <c r="E828" s="89"/>
      <c r="F828" s="89"/>
      <c r="G828" s="65" t="str">
        <f>IF(stdProdLT(Main[[#This Row],[Comments]])=0.1,"N/A",IF(stdProdLT(Main[[#This Row],[Comments]])=0,"",TRIM(stdProdLT(Main[[#This Row],[Comments]]))))</f>
        <v/>
      </c>
      <c r="H828" s="98" t="str">
        <f>IF(Main[[#This Row],[Std. Prod. Lead Time]]="N/A", "",IF(AND(Main[[#This Row],[In Stock Date]]&lt;&gt;"",Main[[#This Row],[Revised Due Date]]&lt;&gt;"",Main[[#This Row],[In Stock Date]]&lt;&gt;""),Main[[#This Row],[In Stock Date]]-Main[[#This Row],[Revised Due Date]],""))</f>
        <v/>
      </c>
      <c r="I828" s="110" t="s">
        <v>4</v>
      </c>
      <c r="J828" s="99" t="s">
        <v>4</v>
      </c>
      <c r="K828" s="99" t="s">
        <v>4</v>
      </c>
      <c r="L828" s="89"/>
      <c r="M828" s="75" t="str">
        <f>IF(Main[[#This Row],[Tech Start Date]]&lt;1/1/1990,"",IF(Main[[#This Row],[Class]]="C",WORKDAY(Main[[#This Row],[Tech Start Date]],9),IF(Main[[#This Row],[Class]]="B", WORKDAY(Main[[#This Row],[Tech Start Date]],6),IF(Main[[#This Row],[Class]]="A",WORKDAY(Main[[#This Row],[Tech Start Date]],2),""))))</f>
        <v/>
      </c>
      <c r="N828" s="75" t="str">
        <f>IF(Main[[#This Row],[Tech Start Date]]&lt;1/1/1990,"",IF(Main[[#This Row],[Class]]="C",WORKDAY(Main[[#This Row],[Tech Start Date]],19),IF(Main[[#This Row],[Class]]="B", WORKDAY(Main[[#This Row],[Tech Start Date]],12),IF(Main[[#This Row],[Class]]="A",WORKDAY(Main[[#This Row],[Tech Start Date]],4),""))))</f>
        <v/>
      </c>
      <c r="O828" s="75" t="str">
        <f>IF(Main[[#This Row],[Tech Start Date]]&lt;1/1/1990,"",IF(Main[[#This Row],[Class]]="C",WORKDAY(Main[[#This Row],[Tech Start Date]],23),IF(Main[[#This Row],[Class]]="B", WORKDAY(Main[[#This Row],[Tech Start Date]],15),IF(Main[[#This Row],[Class]]="A",WORKDAY(Main[[#This Row],[Tech Start Date]],5),""))))</f>
        <v/>
      </c>
      <c r="P828" s="75" t="str">
        <f>IF(Main[[#This Row],[Tech Start Date]]&lt;1/1/1990,"",IF(Main[[#This Row],[Class]]="C",WORKDAY(Main[[#This Row],[Tech Start Date]],28),IF(Main[[#This Row],[Class]]="B", WORKDAY(Main[[#This Row],[Tech Start Date]],19),IF(Main[[#This Row],[Class]]="A",WORKDAY(Main[[#This Row],[Tech Start Date]],9),""))))</f>
        <v/>
      </c>
      <c r="Q828" s="89">
        <v>40669</v>
      </c>
      <c r="R828" s="121"/>
      <c r="S828" s="99" t="s">
        <v>6</v>
      </c>
      <c r="T828" s="76" t="s">
        <v>4</v>
      </c>
      <c r="U828" s="99" t="s">
        <v>14</v>
      </c>
      <c r="V828" s="99" t="s">
        <v>1916</v>
      </c>
      <c r="W828" s="99" t="s">
        <v>4</v>
      </c>
      <c r="X828" s="99" t="s">
        <v>2812</v>
      </c>
      <c r="Y828" s="73" t="s">
        <v>2923</v>
      </c>
      <c r="Z828" s="73" t="s">
        <v>4</v>
      </c>
      <c r="AA828" s="99" t="s">
        <v>2812</v>
      </c>
    </row>
    <row r="829" spans="1:27" ht="17.25" customHeight="1">
      <c r="A829" s="65" t="str">
        <f>IF(priority(Main[[#This Row],[Comments]])&lt;&gt;0, priority(Main[[#This Row],[Comments]]),"")</f>
        <v/>
      </c>
      <c r="B829" s="60" t="s">
        <v>1637</v>
      </c>
      <c r="C829" s="105" t="s">
        <v>67</v>
      </c>
      <c r="D829" s="74" t="s">
        <v>709</v>
      </c>
      <c r="E829" s="89"/>
      <c r="F829" s="89">
        <v>40751</v>
      </c>
      <c r="G829" s="65" t="str">
        <f>IF(stdProdLT(Main[[#This Row],[Comments]])=0.1,"N/A",IF(stdProdLT(Main[[#This Row],[Comments]])=0,"",TRIM(stdProdLT(Main[[#This Row],[Comments]]))))</f>
        <v/>
      </c>
      <c r="H829" s="98" t="str">
        <f>IF(Main[[#This Row],[Std. Prod. Lead Time]]="N/A", "",IF(AND(Main[[#This Row],[In Stock Date]]&lt;&gt;"",Main[[#This Row],[Revised Due Date]]&lt;&gt;"",Main[[#This Row],[In Stock Date]]&lt;&gt;""),Main[[#This Row],[In Stock Date]]-Main[[#This Row],[Revised Due Date]],""))</f>
        <v/>
      </c>
      <c r="I829" s="110" t="s">
        <v>4</v>
      </c>
      <c r="J829" s="99" t="s">
        <v>28</v>
      </c>
      <c r="K829" s="100" t="s">
        <v>1925</v>
      </c>
      <c r="L829" s="89"/>
      <c r="M829" s="75" t="str">
        <f>IF(Main[[#This Row],[Tech Start Date]]&lt;1/1/1990,"",IF(Main[[#This Row],[Class]]="C",WORKDAY(Main[[#This Row],[Tech Start Date]],9),IF(Main[[#This Row],[Class]]="B", WORKDAY(Main[[#This Row],[Tech Start Date]],6),IF(Main[[#This Row],[Class]]="A",WORKDAY(Main[[#This Row],[Tech Start Date]],2),""))))</f>
        <v/>
      </c>
      <c r="N829" s="75" t="str">
        <f>IF(Main[[#This Row],[Tech Start Date]]&lt;1/1/1990,"",IF(Main[[#This Row],[Class]]="C",WORKDAY(Main[[#This Row],[Tech Start Date]],19),IF(Main[[#This Row],[Class]]="B", WORKDAY(Main[[#This Row],[Tech Start Date]],12),IF(Main[[#This Row],[Class]]="A",WORKDAY(Main[[#This Row],[Tech Start Date]],4),""))))</f>
        <v/>
      </c>
      <c r="O829" s="75" t="str">
        <f>IF(Main[[#This Row],[Tech Start Date]]&lt;1/1/1990,"",IF(Main[[#This Row],[Class]]="C",WORKDAY(Main[[#This Row],[Tech Start Date]],23),IF(Main[[#This Row],[Class]]="B", WORKDAY(Main[[#This Row],[Tech Start Date]],15),IF(Main[[#This Row],[Class]]="A",WORKDAY(Main[[#This Row],[Tech Start Date]],5),""))))</f>
        <v/>
      </c>
      <c r="P829" s="75" t="str">
        <f>IF(Main[[#This Row],[Tech Start Date]]&lt;1/1/1990,"",IF(Main[[#This Row],[Class]]="C",WORKDAY(Main[[#This Row],[Tech Start Date]],28),IF(Main[[#This Row],[Class]]="B", WORKDAY(Main[[#This Row],[Tech Start Date]],19),IF(Main[[#This Row],[Class]]="A",WORKDAY(Main[[#This Row],[Tech Start Date]],9),""))))</f>
        <v/>
      </c>
      <c r="Q829" s="89">
        <v>40581</v>
      </c>
      <c r="R829" s="121"/>
      <c r="S829" s="99" t="s">
        <v>17</v>
      </c>
      <c r="T829" s="76" t="s">
        <v>4</v>
      </c>
      <c r="U829" s="99" t="s">
        <v>14</v>
      </c>
      <c r="V829" s="99" t="s">
        <v>1916</v>
      </c>
      <c r="W829" s="99" t="s">
        <v>1919</v>
      </c>
      <c r="X829" s="99" t="s">
        <v>2823</v>
      </c>
      <c r="Y829" s="73" t="s">
        <v>2945</v>
      </c>
      <c r="Z829" s="73" t="s">
        <v>968</v>
      </c>
      <c r="AA829" s="99" t="s">
        <v>2823</v>
      </c>
    </row>
    <row r="830" spans="1:27" ht="17.25" customHeight="1">
      <c r="A830" s="65" t="str">
        <f>IF(priority(Main[[#This Row],[Comments]])&lt;&gt;0, priority(Main[[#This Row],[Comments]]),"")</f>
        <v/>
      </c>
      <c r="B830" s="60" t="s">
        <v>3954</v>
      </c>
      <c r="C830" s="105" t="s">
        <v>4</v>
      </c>
      <c r="D830" s="74" t="s">
        <v>3955</v>
      </c>
      <c r="E830" s="89">
        <v>40969.109456018516</v>
      </c>
      <c r="F830" s="89"/>
      <c r="G830" s="65" t="str">
        <f>IF(stdProdLT(Main[[#This Row],[Comments]])=0.1,"N/A",IF(stdProdLT(Main[[#This Row],[Comments]])=0,"",TRIM(stdProdLT(Main[[#This Row],[Comments]]))))</f>
        <v/>
      </c>
      <c r="H830" s="98" t="str">
        <f>IF(Main[[#This Row],[Std. Prod. Lead Time]]="N/A", "",IF(AND(Main[[#This Row],[In Stock Date]]&lt;&gt;"",Main[[#This Row],[Revised Due Date]]&lt;&gt;"",Main[[#This Row],[In Stock Date]]&lt;&gt;""),Main[[#This Row],[In Stock Date]]-Main[[#This Row],[Revised Due Date]],""))</f>
        <v/>
      </c>
      <c r="I830" s="110" t="s">
        <v>4</v>
      </c>
      <c r="J830" s="99" t="s">
        <v>4</v>
      </c>
      <c r="K830" s="99" t="s">
        <v>4</v>
      </c>
      <c r="L830" s="89"/>
      <c r="M830" s="75" t="str">
        <f>IF(Main[[#This Row],[Tech Start Date]]&lt;1/1/1990,"",IF(Main[[#This Row],[Class]]="C",WORKDAY(Main[[#This Row],[Tech Start Date]],9),IF(Main[[#This Row],[Class]]="B", WORKDAY(Main[[#This Row],[Tech Start Date]],6),IF(Main[[#This Row],[Class]]="A",WORKDAY(Main[[#This Row],[Tech Start Date]],2),""))))</f>
        <v/>
      </c>
      <c r="N830" s="75" t="str">
        <f>IF(Main[[#This Row],[Tech Start Date]]&lt;1/1/1990,"",IF(Main[[#This Row],[Class]]="C",WORKDAY(Main[[#This Row],[Tech Start Date]],19),IF(Main[[#This Row],[Class]]="B", WORKDAY(Main[[#This Row],[Tech Start Date]],12),IF(Main[[#This Row],[Class]]="A",WORKDAY(Main[[#This Row],[Tech Start Date]],4),""))))</f>
        <v/>
      </c>
      <c r="O830" s="75" t="str">
        <f>IF(Main[[#This Row],[Tech Start Date]]&lt;1/1/1990,"",IF(Main[[#This Row],[Class]]="C",WORKDAY(Main[[#This Row],[Tech Start Date]],23),IF(Main[[#This Row],[Class]]="B", WORKDAY(Main[[#This Row],[Tech Start Date]],15),IF(Main[[#This Row],[Class]]="A",WORKDAY(Main[[#This Row],[Tech Start Date]],5),""))))</f>
        <v/>
      </c>
      <c r="P830" s="75" t="str">
        <f>IF(Main[[#This Row],[Tech Start Date]]&lt;1/1/1990,"",IF(Main[[#This Row],[Class]]="C",WORKDAY(Main[[#This Row],[Tech Start Date]],28),IF(Main[[#This Row],[Class]]="B", WORKDAY(Main[[#This Row],[Tech Start Date]],19),IF(Main[[#This Row],[Class]]="A",WORKDAY(Main[[#This Row],[Tech Start Date]],9),""))))</f>
        <v/>
      </c>
      <c r="Q830" s="89">
        <v>41005</v>
      </c>
      <c r="R830" s="121"/>
      <c r="S830" s="99" t="s">
        <v>6</v>
      </c>
      <c r="T830" s="76" t="s">
        <v>4</v>
      </c>
      <c r="U830" s="99" t="s">
        <v>7</v>
      </c>
      <c r="V830" s="99" t="s">
        <v>1916</v>
      </c>
      <c r="W830" s="99" t="s">
        <v>1917</v>
      </c>
      <c r="X830" s="99" t="s">
        <v>2897</v>
      </c>
      <c r="Y830" s="73" t="s">
        <v>3077</v>
      </c>
      <c r="Z830" s="73" t="s">
        <v>4</v>
      </c>
      <c r="AA830" s="99" t="s">
        <v>2897</v>
      </c>
    </row>
    <row r="831" spans="1:27" ht="17.25" customHeight="1">
      <c r="A831" s="65" t="str">
        <f>IF(priority(Main[[#This Row],[Comments]])&lt;&gt;0, priority(Main[[#This Row],[Comments]]),"")</f>
        <v/>
      </c>
      <c r="B831" s="60" t="s">
        <v>1640</v>
      </c>
      <c r="C831" s="105" t="s">
        <v>4</v>
      </c>
      <c r="D831" s="74" t="s">
        <v>710</v>
      </c>
      <c r="E831" s="89"/>
      <c r="F831" s="89"/>
      <c r="G831" s="65" t="str">
        <f>IF(stdProdLT(Main[[#This Row],[Comments]])=0.1,"N/A",IF(stdProdLT(Main[[#This Row],[Comments]])=0,"",TRIM(stdProdLT(Main[[#This Row],[Comments]]))))</f>
        <v/>
      </c>
      <c r="H831" s="98" t="str">
        <f>IF(Main[[#This Row],[Std. Prod. Lead Time]]="N/A", "",IF(AND(Main[[#This Row],[In Stock Date]]&lt;&gt;"",Main[[#This Row],[Revised Due Date]]&lt;&gt;"",Main[[#This Row],[In Stock Date]]&lt;&gt;""),Main[[#This Row],[In Stock Date]]-Main[[#This Row],[Revised Due Date]],""))</f>
        <v/>
      </c>
      <c r="I831" s="110" t="s">
        <v>4</v>
      </c>
      <c r="J831" s="99" t="s">
        <v>28</v>
      </c>
      <c r="K831" s="99" t="s">
        <v>1922</v>
      </c>
      <c r="L831" s="89"/>
      <c r="M831" s="75" t="str">
        <f>IF(Main[[#This Row],[Tech Start Date]]&lt;1/1/1990,"",IF(Main[[#This Row],[Class]]="C",WORKDAY(Main[[#This Row],[Tech Start Date]],9),IF(Main[[#This Row],[Class]]="B", WORKDAY(Main[[#This Row],[Tech Start Date]],6),IF(Main[[#This Row],[Class]]="A",WORKDAY(Main[[#This Row],[Tech Start Date]],2),""))))</f>
        <v/>
      </c>
      <c r="N831" s="75" t="str">
        <f>IF(Main[[#This Row],[Tech Start Date]]&lt;1/1/1990,"",IF(Main[[#This Row],[Class]]="C",WORKDAY(Main[[#This Row],[Tech Start Date]],19),IF(Main[[#This Row],[Class]]="B", WORKDAY(Main[[#This Row],[Tech Start Date]],12),IF(Main[[#This Row],[Class]]="A",WORKDAY(Main[[#This Row],[Tech Start Date]],4),""))))</f>
        <v/>
      </c>
      <c r="O831" s="75" t="str">
        <f>IF(Main[[#This Row],[Tech Start Date]]&lt;1/1/1990,"",IF(Main[[#This Row],[Class]]="C",WORKDAY(Main[[#This Row],[Tech Start Date]],23),IF(Main[[#This Row],[Class]]="B", WORKDAY(Main[[#This Row],[Tech Start Date]],15),IF(Main[[#This Row],[Class]]="A",WORKDAY(Main[[#This Row],[Tech Start Date]],5),""))))</f>
        <v/>
      </c>
      <c r="P831" s="75" t="str">
        <f>IF(Main[[#This Row],[Tech Start Date]]&lt;1/1/1990,"",IF(Main[[#This Row],[Class]]="C",WORKDAY(Main[[#This Row],[Tech Start Date]],28),IF(Main[[#This Row],[Class]]="B", WORKDAY(Main[[#This Row],[Tech Start Date]],19),IF(Main[[#This Row],[Class]]="A",WORKDAY(Main[[#This Row],[Tech Start Date]],9),""))))</f>
        <v/>
      </c>
      <c r="Q831" s="89">
        <v>40647</v>
      </c>
      <c r="R831" s="121"/>
      <c r="S831" s="99" t="s">
        <v>6</v>
      </c>
      <c r="T831" s="76" t="s">
        <v>4</v>
      </c>
      <c r="U831" s="99" t="s">
        <v>14</v>
      </c>
      <c r="V831" s="99" t="s">
        <v>1913</v>
      </c>
      <c r="W831" s="99" t="s">
        <v>1917</v>
      </c>
      <c r="X831" s="99" t="s">
        <v>2815</v>
      </c>
      <c r="Y831" s="73" t="s">
        <v>2930</v>
      </c>
      <c r="Z831" s="73" t="s">
        <v>129</v>
      </c>
      <c r="AA831" s="99" t="s">
        <v>2815</v>
      </c>
    </row>
    <row r="832" spans="1:27" ht="17.25" customHeight="1">
      <c r="A832" s="65" t="str">
        <f>IF(priority(Main[[#This Row],[Comments]])&lt;&gt;0, priority(Main[[#This Row],[Comments]]),"")</f>
        <v/>
      </c>
      <c r="B832" s="60" t="s">
        <v>1510</v>
      </c>
      <c r="C832" s="105" t="s">
        <v>93</v>
      </c>
      <c r="D832" s="74" t="s">
        <v>586</v>
      </c>
      <c r="E832" s="89"/>
      <c r="F832" s="89">
        <v>40302</v>
      </c>
      <c r="G832" s="65" t="str">
        <f>IF(stdProdLT(Main[[#This Row],[Comments]])=0.1,"N/A",IF(stdProdLT(Main[[#This Row],[Comments]])=0,"",TRIM(stdProdLT(Main[[#This Row],[Comments]]))))</f>
        <v/>
      </c>
      <c r="H832" s="98" t="str">
        <f>IF(Main[[#This Row],[Std. Prod. Lead Time]]="N/A", "",IF(AND(Main[[#This Row],[In Stock Date]]&lt;&gt;"",Main[[#This Row],[Revised Due Date]]&lt;&gt;"",Main[[#This Row],[In Stock Date]]&lt;&gt;""),Main[[#This Row],[In Stock Date]]-Main[[#This Row],[Revised Due Date]],""))</f>
        <v/>
      </c>
      <c r="I832" s="110" t="s">
        <v>4</v>
      </c>
      <c r="J832" s="99" t="s">
        <v>4</v>
      </c>
      <c r="K832" s="99" t="s">
        <v>4</v>
      </c>
      <c r="L832" s="89"/>
      <c r="M832" s="75" t="str">
        <f>IF(Main[[#This Row],[Tech Start Date]]&lt;1/1/1990,"",IF(Main[[#This Row],[Class]]="C",WORKDAY(Main[[#This Row],[Tech Start Date]],9),IF(Main[[#This Row],[Class]]="B", WORKDAY(Main[[#This Row],[Tech Start Date]],6),IF(Main[[#This Row],[Class]]="A",WORKDAY(Main[[#This Row],[Tech Start Date]],2),""))))</f>
        <v/>
      </c>
      <c r="N832" s="75" t="str">
        <f>IF(Main[[#This Row],[Tech Start Date]]&lt;1/1/1990,"",IF(Main[[#This Row],[Class]]="C",WORKDAY(Main[[#This Row],[Tech Start Date]],19),IF(Main[[#This Row],[Class]]="B", WORKDAY(Main[[#This Row],[Tech Start Date]],12),IF(Main[[#This Row],[Class]]="A",WORKDAY(Main[[#This Row],[Tech Start Date]],4),""))))</f>
        <v/>
      </c>
      <c r="O832" s="75" t="str">
        <f>IF(Main[[#This Row],[Tech Start Date]]&lt;1/1/1990,"",IF(Main[[#This Row],[Class]]="C",WORKDAY(Main[[#This Row],[Tech Start Date]],23),IF(Main[[#This Row],[Class]]="B", WORKDAY(Main[[#This Row],[Tech Start Date]],15),IF(Main[[#This Row],[Class]]="A",WORKDAY(Main[[#This Row],[Tech Start Date]],5),""))))</f>
        <v/>
      </c>
      <c r="P832" s="75" t="str">
        <f>IF(Main[[#This Row],[Tech Start Date]]&lt;1/1/1990,"",IF(Main[[#This Row],[Class]]="C",WORKDAY(Main[[#This Row],[Tech Start Date]],28),IF(Main[[#This Row],[Class]]="B", WORKDAY(Main[[#This Row],[Tech Start Date]],19),IF(Main[[#This Row],[Class]]="A",WORKDAY(Main[[#This Row],[Tech Start Date]],9),""))))</f>
        <v/>
      </c>
      <c r="Q832" s="89">
        <v>40190</v>
      </c>
      <c r="R832" s="121"/>
      <c r="S832" s="99" t="s">
        <v>11</v>
      </c>
      <c r="T832" s="76" t="s">
        <v>4</v>
      </c>
      <c r="U832" s="99" t="s">
        <v>12</v>
      </c>
      <c r="V832" s="99" t="s">
        <v>1923</v>
      </c>
      <c r="W832" s="99" t="s">
        <v>1919</v>
      </c>
      <c r="X832" s="99" t="s">
        <v>2892</v>
      </c>
      <c r="Y832" s="73" t="s">
        <v>4</v>
      </c>
      <c r="Z832" s="73" t="s">
        <v>4</v>
      </c>
      <c r="AA832" s="99" t="s">
        <v>2892</v>
      </c>
    </row>
    <row r="833" spans="1:27" ht="17.25" customHeight="1">
      <c r="A833" s="65" t="str">
        <f>IF(priority(Main[[#This Row],[Comments]])&lt;&gt;0, priority(Main[[#This Row],[Comments]]),"")</f>
        <v/>
      </c>
      <c r="B833" s="60" t="s">
        <v>1511</v>
      </c>
      <c r="C833" s="105" t="s">
        <v>4</v>
      </c>
      <c r="D833" s="74" t="s">
        <v>587</v>
      </c>
      <c r="E833" s="89"/>
      <c r="F833" s="89">
        <v>40330</v>
      </c>
      <c r="G833" s="65" t="str">
        <f>IF(stdProdLT(Main[[#This Row],[Comments]])=0.1,"N/A",IF(stdProdLT(Main[[#This Row],[Comments]])=0,"",TRIM(stdProdLT(Main[[#This Row],[Comments]]))))</f>
        <v/>
      </c>
      <c r="H833" s="98" t="str">
        <f>IF(Main[[#This Row],[Std. Prod. Lead Time]]="N/A", "",IF(AND(Main[[#This Row],[In Stock Date]]&lt;&gt;"",Main[[#This Row],[Revised Due Date]]&lt;&gt;"",Main[[#This Row],[In Stock Date]]&lt;&gt;""),Main[[#This Row],[In Stock Date]]-Main[[#This Row],[Revised Due Date]],""))</f>
        <v/>
      </c>
      <c r="I833" s="110" t="s">
        <v>4</v>
      </c>
      <c r="J833" s="99" t="s">
        <v>4</v>
      </c>
      <c r="K833" s="99" t="s">
        <v>4</v>
      </c>
      <c r="L833" s="89"/>
      <c r="M833" s="75" t="str">
        <f>IF(Main[[#This Row],[Tech Start Date]]&lt;1/1/1990,"",IF(Main[[#This Row],[Class]]="C",WORKDAY(Main[[#This Row],[Tech Start Date]],9),IF(Main[[#This Row],[Class]]="B", WORKDAY(Main[[#This Row],[Tech Start Date]],6),IF(Main[[#This Row],[Class]]="A",WORKDAY(Main[[#This Row],[Tech Start Date]],2),""))))</f>
        <v/>
      </c>
      <c r="N833" s="75" t="str">
        <f>IF(Main[[#This Row],[Tech Start Date]]&lt;1/1/1990,"",IF(Main[[#This Row],[Class]]="C",WORKDAY(Main[[#This Row],[Tech Start Date]],19),IF(Main[[#This Row],[Class]]="B", WORKDAY(Main[[#This Row],[Tech Start Date]],12),IF(Main[[#This Row],[Class]]="A",WORKDAY(Main[[#This Row],[Tech Start Date]],4),""))))</f>
        <v/>
      </c>
      <c r="O833" s="75" t="str">
        <f>IF(Main[[#This Row],[Tech Start Date]]&lt;1/1/1990,"",IF(Main[[#This Row],[Class]]="C",WORKDAY(Main[[#This Row],[Tech Start Date]],23),IF(Main[[#This Row],[Class]]="B", WORKDAY(Main[[#This Row],[Tech Start Date]],15),IF(Main[[#This Row],[Class]]="A",WORKDAY(Main[[#This Row],[Tech Start Date]],5),""))))</f>
        <v/>
      </c>
      <c r="P833" s="75" t="str">
        <f>IF(Main[[#This Row],[Tech Start Date]]&lt;1/1/1990,"",IF(Main[[#This Row],[Class]]="C",WORKDAY(Main[[#This Row],[Tech Start Date]],28),IF(Main[[#This Row],[Class]]="B", WORKDAY(Main[[#This Row],[Tech Start Date]],19),IF(Main[[#This Row],[Class]]="A",WORKDAY(Main[[#This Row],[Tech Start Date]],9),""))))</f>
        <v/>
      </c>
      <c r="Q833" s="89">
        <v>40210</v>
      </c>
      <c r="R833" s="121"/>
      <c r="S833" s="99" t="s">
        <v>11</v>
      </c>
      <c r="T833" s="76" t="s">
        <v>4</v>
      </c>
      <c r="U833" s="99" t="s">
        <v>12</v>
      </c>
      <c r="V833" s="99" t="s">
        <v>1914</v>
      </c>
      <c r="W833" s="99" t="s">
        <v>1919</v>
      </c>
      <c r="X833" s="99" t="s">
        <v>2818</v>
      </c>
      <c r="Y833" s="73" t="s">
        <v>2937</v>
      </c>
      <c r="Z833" s="73" t="s">
        <v>4</v>
      </c>
      <c r="AA833" s="99" t="s">
        <v>2818</v>
      </c>
    </row>
    <row r="834" spans="1:27" ht="17.25" customHeight="1">
      <c r="A834" s="65" t="str">
        <f>IF(priority(Main[[#This Row],[Comments]])&lt;&gt;0, priority(Main[[#This Row],[Comments]]),"")</f>
        <v/>
      </c>
      <c r="B834" s="60" t="s">
        <v>1512</v>
      </c>
      <c r="C834" s="105" t="s">
        <v>4</v>
      </c>
      <c r="D834" s="74" t="s">
        <v>588</v>
      </c>
      <c r="E834" s="89">
        <v>40217.626817129632</v>
      </c>
      <c r="F834" s="89"/>
      <c r="G834" s="65" t="str">
        <f>IF(stdProdLT(Main[[#This Row],[Comments]])=0.1,"N/A",IF(stdProdLT(Main[[#This Row],[Comments]])=0,"",TRIM(stdProdLT(Main[[#This Row],[Comments]]))))</f>
        <v/>
      </c>
      <c r="H834" s="98" t="str">
        <f>IF(Main[[#This Row],[Std. Prod. Lead Time]]="N/A", "",IF(AND(Main[[#This Row],[In Stock Date]]&lt;&gt;"",Main[[#This Row],[Revised Due Date]]&lt;&gt;"",Main[[#This Row],[In Stock Date]]&lt;&gt;""),Main[[#This Row],[In Stock Date]]-Main[[#This Row],[Revised Due Date]],""))</f>
        <v/>
      </c>
      <c r="I834" s="110" t="s">
        <v>4</v>
      </c>
      <c r="J834" s="99" t="s">
        <v>4</v>
      </c>
      <c r="K834" s="99" t="s">
        <v>4</v>
      </c>
      <c r="L834" s="89"/>
      <c r="M834" s="75" t="str">
        <f>IF(Main[[#This Row],[Tech Start Date]]&lt;1/1/1990,"",IF(Main[[#This Row],[Class]]="C",WORKDAY(Main[[#This Row],[Tech Start Date]],9),IF(Main[[#This Row],[Class]]="B", WORKDAY(Main[[#This Row],[Tech Start Date]],6),IF(Main[[#This Row],[Class]]="A",WORKDAY(Main[[#This Row],[Tech Start Date]],2),""))))</f>
        <v/>
      </c>
      <c r="N834" s="75" t="str">
        <f>IF(Main[[#This Row],[Tech Start Date]]&lt;1/1/1990,"",IF(Main[[#This Row],[Class]]="C",WORKDAY(Main[[#This Row],[Tech Start Date]],19),IF(Main[[#This Row],[Class]]="B", WORKDAY(Main[[#This Row],[Tech Start Date]],12),IF(Main[[#This Row],[Class]]="A",WORKDAY(Main[[#This Row],[Tech Start Date]],4),""))))</f>
        <v/>
      </c>
      <c r="O834" s="75" t="str">
        <f>IF(Main[[#This Row],[Tech Start Date]]&lt;1/1/1990,"",IF(Main[[#This Row],[Class]]="C",WORKDAY(Main[[#This Row],[Tech Start Date]],23),IF(Main[[#This Row],[Class]]="B", WORKDAY(Main[[#This Row],[Tech Start Date]],15),IF(Main[[#This Row],[Class]]="A",WORKDAY(Main[[#This Row],[Tech Start Date]],5),""))))</f>
        <v/>
      </c>
      <c r="P834" s="75" t="str">
        <f>IF(Main[[#This Row],[Tech Start Date]]&lt;1/1/1990,"",IF(Main[[#This Row],[Class]]="C",WORKDAY(Main[[#This Row],[Tech Start Date]],28),IF(Main[[#This Row],[Class]]="B", WORKDAY(Main[[#This Row],[Tech Start Date]],19),IF(Main[[#This Row],[Class]]="A",WORKDAY(Main[[#This Row],[Tech Start Date]],9),""))))</f>
        <v/>
      </c>
      <c r="Q834" s="89">
        <v>40229</v>
      </c>
      <c r="R834" s="121"/>
      <c r="S834" s="99" t="s">
        <v>6</v>
      </c>
      <c r="T834" s="76" t="s">
        <v>4</v>
      </c>
      <c r="U834" s="99" t="s">
        <v>7</v>
      </c>
      <c r="V834" s="99" t="s">
        <v>1913</v>
      </c>
      <c r="W834" s="99" t="s">
        <v>1917</v>
      </c>
      <c r="X834" s="99" t="s">
        <v>2815</v>
      </c>
      <c r="Y834" s="73" t="s">
        <v>2930</v>
      </c>
      <c r="Z834" s="73" t="s">
        <v>4</v>
      </c>
      <c r="AA834" s="99" t="s">
        <v>2815</v>
      </c>
    </row>
    <row r="835" spans="1:27" ht="17.25" customHeight="1">
      <c r="A835" s="65" t="str">
        <f>IF(priority(Main[[#This Row],[Comments]])&lt;&gt;0, priority(Main[[#This Row],[Comments]]),"")</f>
        <v/>
      </c>
      <c r="B835" s="60" t="s">
        <v>1987</v>
      </c>
      <c r="C835" s="105" t="s">
        <v>4</v>
      </c>
      <c r="D835" s="74" t="s">
        <v>1988</v>
      </c>
      <c r="E835" s="89">
        <v>40737.450219907405</v>
      </c>
      <c r="F835" s="89"/>
      <c r="G835" s="65" t="str">
        <f>IF(stdProdLT(Main[[#This Row],[Comments]])=0.1,"N/A",IF(stdProdLT(Main[[#This Row],[Comments]])=0,"",TRIM(stdProdLT(Main[[#This Row],[Comments]]))))</f>
        <v/>
      </c>
      <c r="H835" s="98" t="str">
        <f>IF(Main[[#This Row],[Std. Prod. Lead Time]]="N/A", "",IF(AND(Main[[#This Row],[In Stock Date]]&lt;&gt;"",Main[[#This Row],[Revised Due Date]]&lt;&gt;"",Main[[#This Row],[In Stock Date]]&lt;&gt;""),Main[[#This Row],[In Stock Date]]-Main[[#This Row],[Revised Due Date]],""))</f>
        <v/>
      </c>
      <c r="I835" s="110" t="s">
        <v>4</v>
      </c>
      <c r="J835" s="99" t="s">
        <v>4</v>
      </c>
      <c r="K835" s="99" t="s">
        <v>4</v>
      </c>
      <c r="L835" s="89"/>
      <c r="M835" s="75" t="str">
        <f>IF(Main[[#This Row],[Tech Start Date]]&lt;1/1/1990,"",IF(Main[[#This Row],[Class]]="C",WORKDAY(Main[[#This Row],[Tech Start Date]],9),IF(Main[[#This Row],[Class]]="B", WORKDAY(Main[[#This Row],[Tech Start Date]],6),IF(Main[[#This Row],[Class]]="A",WORKDAY(Main[[#This Row],[Tech Start Date]],2),""))))</f>
        <v/>
      </c>
      <c r="N835" s="75" t="str">
        <f>IF(Main[[#This Row],[Tech Start Date]]&lt;1/1/1990,"",IF(Main[[#This Row],[Class]]="C",WORKDAY(Main[[#This Row],[Tech Start Date]],19),IF(Main[[#This Row],[Class]]="B", WORKDAY(Main[[#This Row],[Tech Start Date]],12),IF(Main[[#This Row],[Class]]="A",WORKDAY(Main[[#This Row],[Tech Start Date]],4),""))))</f>
        <v/>
      </c>
      <c r="O835" s="75" t="str">
        <f>IF(Main[[#This Row],[Tech Start Date]]&lt;1/1/1990,"",IF(Main[[#This Row],[Class]]="C",WORKDAY(Main[[#This Row],[Tech Start Date]],23),IF(Main[[#This Row],[Class]]="B", WORKDAY(Main[[#This Row],[Tech Start Date]],15),IF(Main[[#This Row],[Class]]="A",WORKDAY(Main[[#This Row],[Tech Start Date]],5),""))))</f>
        <v/>
      </c>
      <c r="P835" s="75" t="str">
        <f>IF(Main[[#This Row],[Tech Start Date]]&lt;1/1/1990,"",IF(Main[[#This Row],[Class]]="C",WORKDAY(Main[[#This Row],[Tech Start Date]],28),IF(Main[[#This Row],[Class]]="B", WORKDAY(Main[[#This Row],[Tech Start Date]],19),IF(Main[[#This Row],[Class]]="A",WORKDAY(Main[[#This Row],[Tech Start Date]],9),""))))</f>
        <v/>
      </c>
      <c r="Q835" s="89">
        <v>40759</v>
      </c>
      <c r="R835" s="121"/>
      <c r="S835" s="99" t="s">
        <v>6</v>
      </c>
      <c r="T835" s="76" t="s">
        <v>4</v>
      </c>
      <c r="U835" s="99" t="s">
        <v>7</v>
      </c>
      <c r="V835" s="99" t="s">
        <v>1913</v>
      </c>
      <c r="W835" s="99" t="s">
        <v>1921</v>
      </c>
      <c r="X835" s="99" t="s">
        <v>2815</v>
      </c>
      <c r="Y835" s="73" t="s">
        <v>2930</v>
      </c>
      <c r="Z835" s="73" t="s">
        <v>4</v>
      </c>
      <c r="AA835" s="99" t="s">
        <v>2815</v>
      </c>
    </row>
    <row r="836" spans="1:27" ht="17.25" customHeight="1">
      <c r="A836" s="65" t="str">
        <f>IF(priority(Main[[#This Row],[Comments]])&lt;&gt;0, priority(Main[[#This Row],[Comments]]),"")</f>
        <v/>
      </c>
      <c r="B836" s="60" t="s">
        <v>1437</v>
      </c>
      <c r="C836" s="105" t="s">
        <v>180</v>
      </c>
      <c r="D836" s="74" t="s">
        <v>515</v>
      </c>
      <c r="E836" s="89"/>
      <c r="F836" s="89">
        <v>40374</v>
      </c>
      <c r="G836" s="65" t="str">
        <f>IF(stdProdLT(Main[[#This Row],[Comments]])=0.1,"N/A",IF(stdProdLT(Main[[#This Row],[Comments]])=0,"",TRIM(stdProdLT(Main[[#This Row],[Comments]]))))</f>
        <v/>
      </c>
      <c r="H836" s="98" t="str">
        <f>IF(Main[[#This Row],[Std. Prod. Lead Time]]="N/A", "",IF(AND(Main[[#This Row],[In Stock Date]]&lt;&gt;"",Main[[#This Row],[Revised Due Date]]&lt;&gt;"",Main[[#This Row],[In Stock Date]]&lt;&gt;""),Main[[#This Row],[In Stock Date]]-Main[[#This Row],[Revised Due Date]],""))</f>
        <v/>
      </c>
      <c r="I836" s="110" t="s">
        <v>4</v>
      </c>
      <c r="J836" s="99" t="s">
        <v>4</v>
      </c>
      <c r="K836" s="99" t="s">
        <v>4</v>
      </c>
      <c r="L836" s="89"/>
      <c r="M836" s="75" t="str">
        <f>IF(Main[[#This Row],[Tech Start Date]]&lt;1/1/1990,"",IF(Main[[#This Row],[Class]]="C",WORKDAY(Main[[#This Row],[Tech Start Date]],9),IF(Main[[#This Row],[Class]]="B", WORKDAY(Main[[#This Row],[Tech Start Date]],6),IF(Main[[#This Row],[Class]]="A",WORKDAY(Main[[#This Row],[Tech Start Date]],2),""))))</f>
        <v/>
      </c>
      <c r="N836" s="75" t="str">
        <f>IF(Main[[#This Row],[Tech Start Date]]&lt;1/1/1990,"",IF(Main[[#This Row],[Class]]="C",WORKDAY(Main[[#This Row],[Tech Start Date]],19),IF(Main[[#This Row],[Class]]="B", WORKDAY(Main[[#This Row],[Tech Start Date]],12),IF(Main[[#This Row],[Class]]="A",WORKDAY(Main[[#This Row],[Tech Start Date]],4),""))))</f>
        <v/>
      </c>
      <c r="O836" s="75" t="str">
        <f>IF(Main[[#This Row],[Tech Start Date]]&lt;1/1/1990,"",IF(Main[[#This Row],[Class]]="C",WORKDAY(Main[[#This Row],[Tech Start Date]],23),IF(Main[[#This Row],[Class]]="B", WORKDAY(Main[[#This Row],[Tech Start Date]],15),IF(Main[[#This Row],[Class]]="A",WORKDAY(Main[[#This Row],[Tech Start Date]],5),""))))</f>
        <v/>
      </c>
      <c r="P836" s="75" t="str">
        <f>IF(Main[[#This Row],[Tech Start Date]]&lt;1/1/1990,"",IF(Main[[#This Row],[Class]]="C",WORKDAY(Main[[#This Row],[Tech Start Date]],28),IF(Main[[#This Row],[Class]]="B", WORKDAY(Main[[#This Row],[Tech Start Date]],19),IF(Main[[#This Row],[Class]]="A",WORKDAY(Main[[#This Row],[Tech Start Date]],9),""))))</f>
        <v/>
      </c>
      <c r="Q836" s="89">
        <v>40298</v>
      </c>
      <c r="R836" s="121"/>
      <c r="S836" s="99" t="s">
        <v>11</v>
      </c>
      <c r="T836" s="76" t="s">
        <v>4</v>
      </c>
      <c r="U836" s="99" t="s">
        <v>14</v>
      </c>
      <c r="V836" s="99" t="s">
        <v>1913</v>
      </c>
      <c r="W836" s="99" t="s">
        <v>1919</v>
      </c>
      <c r="X836" s="99" t="s">
        <v>2818</v>
      </c>
      <c r="Y836" s="73" t="s">
        <v>2937</v>
      </c>
      <c r="Z836" s="73" t="s">
        <v>4</v>
      </c>
      <c r="AA836" s="99" t="s">
        <v>2818</v>
      </c>
    </row>
    <row r="837" spans="1:27" ht="17.25" customHeight="1">
      <c r="A837" s="65" t="str">
        <f>IF(priority(Main[[#This Row],[Comments]])&lt;&gt;0, priority(Main[[#This Row],[Comments]]),"")</f>
        <v/>
      </c>
      <c r="B837" s="60" t="s">
        <v>3248</v>
      </c>
      <c r="C837" s="105" t="s">
        <v>4</v>
      </c>
      <c r="D837" s="74" t="s">
        <v>3325</v>
      </c>
      <c r="E837" s="89">
        <v>40931.598935185182</v>
      </c>
      <c r="F837" s="89"/>
      <c r="G837" s="65" t="str">
        <f>IF(stdProdLT(Main[[#This Row],[Comments]])=0.1,"N/A",IF(stdProdLT(Main[[#This Row],[Comments]])=0,"",TRIM(stdProdLT(Main[[#This Row],[Comments]]))))</f>
        <v/>
      </c>
      <c r="H837" s="98" t="str">
        <f>IF(Main[[#This Row],[Std. Prod. Lead Time]]="N/A", "",IF(AND(Main[[#This Row],[In Stock Date]]&lt;&gt;"",Main[[#This Row],[Revised Due Date]]&lt;&gt;"",Main[[#This Row],[In Stock Date]]&lt;&gt;""),Main[[#This Row],[In Stock Date]]-Main[[#This Row],[Revised Due Date]],""))</f>
        <v/>
      </c>
      <c r="I837" s="110" t="s">
        <v>4</v>
      </c>
      <c r="J837" s="99" t="s">
        <v>4</v>
      </c>
      <c r="K837" s="100" t="s">
        <v>4</v>
      </c>
      <c r="L837" s="89"/>
      <c r="M837" s="75" t="str">
        <f>IF(Main[[#This Row],[Tech Start Date]]&lt;1/1/1990,"",IF(Main[[#This Row],[Class]]="C",WORKDAY(Main[[#This Row],[Tech Start Date]],9),IF(Main[[#This Row],[Class]]="B", WORKDAY(Main[[#This Row],[Tech Start Date]],6),IF(Main[[#This Row],[Class]]="A",WORKDAY(Main[[#This Row],[Tech Start Date]],2),""))))</f>
        <v/>
      </c>
      <c r="N837" s="75" t="str">
        <f>IF(Main[[#This Row],[Tech Start Date]]&lt;1/1/1990,"",IF(Main[[#This Row],[Class]]="C",WORKDAY(Main[[#This Row],[Tech Start Date]],19),IF(Main[[#This Row],[Class]]="B", WORKDAY(Main[[#This Row],[Tech Start Date]],12),IF(Main[[#This Row],[Class]]="A",WORKDAY(Main[[#This Row],[Tech Start Date]],4),""))))</f>
        <v/>
      </c>
      <c r="O837" s="75" t="str">
        <f>IF(Main[[#This Row],[Tech Start Date]]&lt;1/1/1990,"",IF(Main[[#This Row],[Class]]="C",WORKDAY(Main[[#This Row],[Tech Start Date]],23),IF(Main[[#This Row],[Class]]="B", WORKDAY(Main[[#This Row],[Tech Start Date]],15),IF(Main[[#This Row],[Class]]="A",WORKDAY(Main[[#This Row],[Tech Start Date]],5),""))))</f>
        <v/>
      </c>
      <c r="P837" s="75" t="str">
        <f>IF(Main[[#This Row],[Tech Start Date]]&lt;1/1/1990,"",IF(Main[[#This Row],[Class]]="C",WORKDAY(Main[[#This Row],[Tech Start Date]],28),IF(Main[[#This Row],[Class]]="B", WORKDAY(Main[[#This Row],[Tech Start Date]],19),IF(Main[[#This Row],[Class]]="A",WORKDAY(Main[[#This Row],[Tech Start Date]],9),""))))</f>
        <v/>
      </c>
      <c r="Q837" s="89"/>
      <c r="R837" s="121"/>
      <c r="S837" s="99" t="s">
        <v>17</v>
      </c>
      <c r="T837" s="76" t="s">
        <v>4</v>
      </c>
      <c r="U837" s="99" t="s">
        <v>29</v>
      </c>
      <c r="V837" s="99" t="s">
        <v>1916</v>
      </c>
      <c r="W837" s="99" t="s">
        <v>1918</v>
      </c>
      <c r="X837" s="99" t="s">
        <v>1972</v>
      </c>
      <c r="Y837" s="73" t="s">
        <v>4</v>
      </c>
      <c r="Z837" s="73" t="s">
        <v>4</v>
      </c>
      <c r="AA837" s="99" t="s">
        <v>1972</v>
      </c>
    </row>
    <row r="838" spans="1:27" ht="17.25" customHeight="1">
      <c r="A838" s="65" t="str">
        <f>IF(priority(Main[[#This Row],[Comments]])&lt;&gt;0, priority(Main[[#This Row],[Comments]]),"")</f>
        <v/>
      </c>
      <c r="B838" s="60" t="s">
        <v>1641</v>
      </c>
      <c r="C838" s="105" t="s">
        <v>4</v>
      </c>
      <c r="D838" s="74" t="s">
        <v>711</v>
      </c>
      <c r="E838" s="89"/>
      <c r="F838" s="89"/>
      <c r="G838" s="65" t="str">
        <f>IF(stdProdLT(Main[[#This Row],[Comments]])=0.1,"N/A",IF(stdProdLT(Main[[#This Row],[Comments]])=0,"",TRIM(stdProdLT(Main[[#This Row],[Comments]]))))</f>
        <v/>
      </c>
      <c r="H838" s="98" t="str">
        <f>IF(Main[[#This Row],[Std. Prod. Lead Time]]="N/A", "",IF(AND(Main[[#This Row],[In Stock Date]]&lt;&gt;"",Main[[#This Row],[Revised Due Date]]&lt;&gt;"",Main[[#This Row],[In Stock Date]]&lt;&gt;""),Main[[#This Row],[In Stock Date]]-Main[[#This Row],[Revised Due Date]],""))</f>
        <v/>
      </c>
      <c r="I838" s="110" t="s">
        <v>4</v>
      </c>
      <c r="J838" s="99" t="s">
        <v>4</v>
      </c>
      <c r="K838" s="100" t="s">
        <v>4</v>
      </c>
      <c r="L838" s="89"/>
      <c r="M838" s="75" t="str">
        <f>IF(Main[[#This Row],[Tech Start Date]]&lt;1/1/1990,"",IF(Main[[#This Row],[Class]]="C",WORKDAY(Main[[#This Row],[Tech Start Date]],9),IF(Main[[#This Row],[Class]]="B", WORKDAY(Main[[#This Row],[Tech Start Date]],6),IF(Main[[#This Row],[Class]]="A",WORKDAY(Main[[#This Row],[Tech Start Date]],2),""))))</f>
        <v/>
      </c>
      <c r="N838" s="75" t="str">
        <f>IF(Main[[#This Row],[Tech Start Date]]&lt;1/1/1990,"",IF(Main[[#This Row],[Class]]="C",WORKDAY(Main[[#This Row],[Tech Start Date]],19),IF(Main[[#This Row],[Class]]="B", WORKDAY(Main[[#This Row],[Tech Start Date]],12),IF(Main[[#This Row],[Class]]="A",WORKDAY(Main[[#This Row],[Tech Start Date]],4),""))))</f>
        <v/>
      </c>
      <c r="O838" s="75" t="str">
        <f>IF(Main[[#This Row],[Tech Start Date]]&lt;1/1/1990,"",IF(Main[[#This Row],[Class]]="C",WORKDAY(Main[[#This Row],[Tech Start Date]],23),IF(Main[[#This Row],[Class]]="B", WORKDAY(Main[[#This Row],[Tech Start Date]],15),IF(Main[[#This Row],[Class]]="A",WORKDAY(Main[[#This Row],[Tech Start Date]],5),""))))</f>
        <v/>
      </c>
      <c r="P838" s="75" t="str">
        <f>IF(Main[[#This Row],[Tech Start Date]]&lt;1/1/1990,"",IF(Main[[#This Row],[Class]]="C",WORKDAY(Main[[#This Row],[Tech Start Date]],28),IF(Main[[#This Row],[Class]]="B", WORKDAY(Main[[#This Row],[Tech Start Date]],19),IF(Main[[#This Row],[Class]]="A",WORKDAY(Main[[#This Row],[Tech Start Date]],9),""))))</f>
        <v/>
      </c>
      <c r="Q838" s="89">
        <v>40672</v>
      </c>
      <c r="R838" s="121"/>
      <c r="S838" s="99" t="s">
        <v>6</v>
      </c>
      <c r="T838" s="76" t="s">
        <v>4</v>
      </c>
      <c r="U838" s="99" t="s">
        <v>14</v>
      </c>
      <c r="V838" s="99" t="s">
        <v>1916</v>
      </c>
      <c r="W838" s="99" t="s">
        <v>4</v>
      </c>
      <c r="X838" s="99" t="s">
        <v>2816</v>
      </c>
      <c r="Y838" s="73" t="s">
        <v>2932</v>
      </c>
      <c r="Z838" s="73" t="s">
        <v>4</v>
      </c>
      <c r="AA838" s="99" t="s">
        <v>2816</v>
      </c>
    </row>
    <row r="839" spans="1:27" ht="17.25" customHeight="1">
      <c r="A839" s="65" t="str">
        <f>IF(priority(Main[[#This Row],[Comments]])&lt;&gt;0, priority(Main[[#This Row],[Comments]]),"")</f>
        <v/>
      </c>
      <c r="B839" s="60" t="s">
        <v>1642</v>
      </c>
      <c r="C839" s="105" t="s">
        <v>4</v>
      </c>
      <c r="D839" s="74" t="s">
        <v>712</v>
      </c>
      <c r="E839" s="89"/>
      <c r="F839" s="89"/>
      <c r="G839" s="65" t="str">
        <f>IF(stdProdLT(Main[[#This Row],[Comments]])=0.1,"N/A",IF(stdProdLT(Main[[#This Row],[Comments]])=0,"",TRIM(stdProdLT(Main[[#This Row],[Comments]]))))</f>
        <v/>
      </c>
      <c r="H839" s="98" t="str">
        <f>IF(Main[[#This Row],[Std. Prod. Lead Time]]="N/A", "",IF(AND(Main[[#This Row],[In Stock Date]]&lt;&gt;"",Main[[#This Row],[Revised Due Date]]&lt;&gt;"",Main[[#This Row],[In Stock Date]]&lt;&gt;""),Main[[#This Row],[In Stock Date]]-Main[[#This Row],[Revised Due Date]],""))</f>
        <v/>
      </c>
      <c r="I839" s="110" t="s">
        <v>4</v>
      </c>
      <c r="J839" s="99" t="s">
        <v>4</v>
      </c>
      <c r="K839" s="99" t="s">
        <v>4</v>
      </c>
      <c r="L839" s="89"/>
      <c r="M839" s="75" t="str">
        <f>IF(Main[[#This Row],[Tech Start Date]]&lt;1/1/1990,"",IF(Main[[#This Row],[Class]]="C",WORKDAY(Main[[#This Row],[Tech Start Date]],9),IF(Main[[#This Row],[Class]]="B", WORKDAY(Main[[#This Row],[Tech Start Date]],6),IF(Main[[#This Row],[Class]]="A",WORKDAY(Main[[#This Row],[Tech Start Date]],2),""))))</f>
        <v/>
      </c>
      <c r="N839" s="75" t="str">
        <f>IF(Main[[#This Row],[Tech Start Date]]&lt;1/1/1990,"",IF(Main[[#This Row],[Class]]="C",WORKDAY(Main[[#This Row],[Tech Start Date]],19),IF(Main[[#This Row],[Class]]="B", WORKDAY(Main[[#This Row],[Tech Start Date]],12),IF(Main[[#This Row],[Class]]="A",WORKDAY(Main[[#This Row],[Tech Start Date]],4),""))))</f>
        <v/>
      </c>
      <c r="O839" s="75" t="str">
        <f>IF(Main[[#This Row],[Tech Start Date]]&lt;1/1/1990,"",IF(Main[[#This Row],[Class]]="C",WORKDAY(Main[[#This Row],[Tech Start Date]],23),IF(Main[[#This Row],[Class]]="B", WORKDAY(Main[[#This Row],[Tech Start Date]],15),IF(Main[[#This Row],[Class]]="A",WORKDAY(Main[[#This Row],[Tech Start Date]],5),""))))</f>
        <v/>
      </c>
      <c r="P839" s="75" t="str">
        <f>IF(Main[[#This Row],[Tech Start Date]]&lt;1/1/1990,"",IF(Main[[#This Row],[Class]]="C",WORKDAY(Main[[#This Row],[Tech Start Date]],28),IF(Main[[#This Row],[Class]]="B", WORKDAY(Main[[#This Row],[Tech Start Date]],19),IF(Main[[#This Row],[Class]]="A",WORKDAY(Main[[#This Row],[Tech Start Date]],9),""))))</f>
        <v/>
      </c>
      <c r="Q839" s="89"/>
      <c r="R839" s="121"/>
      <c r="S839" s="99" t="s">
        <v>23</v>
      </c>
      <c r="T839" s="76" t="s">
        <v>4</v>
      </c>
      <c r="U839" s="99" t="s">
        <v>14</v>
      </c>
      <c r="V839" s="99" t="s">
        <v>1916</v>
      </c>
      <c r="W839" s="99" t="s">
        <v>1917</v>
      </c>
      <c r="X839" s="99" t="s">
        <v>399</v>
      </c>
      <c r="Y839" s="73" t="s">
        <v>4</v>
      </c>
      <c r="Z839" s="73" t="s">
        <v>4</v>
      </c>
      <c r="AA839" s="99" t="s">
        <v>3426</v>
      </c>
    </row>
    <row r="840" spans="1:27" ht="17.25" customHeight="1">
      <c r="A840" s="65" t="str">
        <f>IF(priority(Main[[#This Row],[Comments]])&lt;&gt;0, priority(Main[[#This Row],[Comments]]),"")</f>
        <v/>
      </c>
      <c r="B840" s="60" t="s">
        <v>1852</v>
      </c>
      <c r="C840" s="105" t="s">
        <v>4</v>
      </c>
      <c r="D840" s="74" t="s">
        <v>909</v>
      </c>
      <c r="E840" s="89"/>
      <c r="F840" s="89"/>
      <c r="G840" s="65" t="str">
        <f>IF(stdProdLT(Main[[#This Row],[Comments]])=0.1,"N/A",IF(stdProdLT(Main[[#This Row],[Comments]])=0,"",TRIM(stdProdLT(Main[[#This Row],[Comments]]))))</f>
        <v/>
      </c>
      <c r="H840" s="98" t="str">
        <f>IF(Main[[#This Row],[Std. Prod. Lead Time]]="N/A", "",IF(AND(Main[[#This Row],[In Stock Date]]&lt;&gt;"",Main[[#This Row],[Revised Due Date]]&lt;&gt;"",Main[[#This Row],[In Stock Date]]&lt;&gt;""),Main[[#This Row],[In Stock Date]]-Main[[#This Row],[Revised Due Date]],""))</f>
        <v/>
      </c>
      <c r="I840" s="110" t="s">
        <v>852</v>
      </c>
      <c r="J840" s="99" t="s">
        <v>4</v>
      </c>
      <c r="K840" s="99" t="s">
        <v>1925</v>
      </c>
      <c r="L840" s="89"/>
      <c r="M840" s="75" t="str">
        <f>IF(Main[[#This Row],[Tech Start Date]]&lt;1/1/1990,"",IF(Main[[#This Row],[Class]]="C",WORKDAY(Main[[#This Row],[Tech Start Date]],9),IF(Main[[#This Row],[Class]]="B", WORKDAY(Main[[#This Row],[Tech Start Date]],6),IF(Main[[#This Row],[Class]]="A",WORKDAY(Main[[#This Row],[Tech Start Date]],2),""))))</f>
        <v/>
      </c>
      <c r="N840" s="75" t="str">
        <f>IF(Main[[#This Row],[Tech Start Date]]&lt;1/1/1990,"",IF(Main[[#This Row],[Class]]="C",WORKDAY(Main[[#This Row],[Tech Start Date]],19),IF(Main[[#This Row],[Class]]="B", WORKDAY(Main[[#This Row],[Tech Start Date]],12),IF(Main[[#This Row],[Class]]="A",WORKDAY(Main[[#This Row],[Tech Start Date]],4),""))))</f>
        <v/>
      </c>
      <c r="O840" s="75" t="str">
        <f>IF(Main[[#This Row],[Tech Start Date]]&lt;1/1/1990,"",IF(Main[[#This Row],[Class]]="C",WORKDAY(Main[[#This Row],[Tech Start Date]],23),IF(Main[[#This Row],[Class]]="B", WORKDAY(Main[[#This Row],[Tech Start Date]],15),IF(Main[[#This Row],[Class]]="A",WORKDAY(Main[[#This Row],[Tech Start Date]],5),""))))</f>
        <v/>
      </c>
      <c r="P840" s="75" t="str">
        <f>IF(Main[[#This Row],[Tech Start Date]]&lt;1/1/1990,"",IF(Main[[#This Row],[Class]]="C",WORKDAY(Main[[#This Row],[Tech Start Date]],28),IF(Main[[#This Row],[Class]]="B", WORKDAY(Main[[#This Row],[Tech Start Date]],19),IF(Main[[#This Row],[Class]]="A",WORKDAY(Main[[#This Row],[Tech Start Date]],9),""))))</f>
        <v/>
      </c>
      <c r="Q840" s="89"/>
      <c r="R840" s="121">
        <v>40543</v>
      </c>
      <c r="S840" s="99" t="s">
        <v>17</v>
      </c>
      <c r="T840" s="76" t="s">
        <v>4</v>
      </c>
      <c r="U840" s="99" t="s">
        <v>14</v>
      </c>
      <c r="V840" s="99" t="s">
        <v>1916</v>
      </c>
      <c r="W840" s="99" t="s">
        <v>1921</v>
      </c>
      <c r="X840" s="99" t="s">
        <v>306</v>
      </c>
      <c r="Y840" s="73" t="s">
        <v>4</v>
      </c>
      <c r="Z840" s="73" t="s">
        <v>415</v>
      </c>
      <c r="AA840" s="99" t="s">
        <v>3427</v>
      </c>
    </row>
    <row r="841" spans="1:27" ht="17.25" customHeight="1">
      <c r="A841" s="65" t="str">
        <f>IF(priority(Main[[#This Row],[Comments]])&lt;&gt;0, priority(Main[[#This Row],[Comments]]),"")</f>
        <v/>
      </c>
      <c r="B841" s="60" t="s">
        <v>1643</v>
      </c>
      <c r="C841" s="105" t="s">
        <v>113</v>
      </c>
      <c r="D841" s="74" t="s">
        <v>713</v>
      </c>
      <c r="E841" s="89"/>
      <c r="F841" s="89">
        <v>40817</v>
      </c>
      <c r="G841" s="65" t="str">
        <f>IF(stdProdLT(Main[[#This Row],[Comments]])=0.1,"N/A",IF(stdProdLT(Main[[#This Row],[Comments]])=0,"",TRIM(stdProdLT(Main[[#This Row],[Comments]]))))</f>
        <v/>
      </c>
      <c r="H841" s="98" t="str">
        <f>IF(Main[[#This Row],[Std. Prod. Lead Time]]="N/A", "",IF(AND(Main[[#This Row],[In Stock Date]]&lt;&gt;"",Main[[#This Row],[Revised Due Date]]&lt;&gt;"",Main[[#This Row],[In Stock Date]]&lt;&gt;""),Main[[#This Row],[In Stock Date]]-Main[[#This Row],[Revised Due Date]],""))</f>
        <v/>
      </c>
      <c r="I841" s="110" t="s">
        <v>4</v>
      </c>
      <c r="J841" s="99" t="s">
        <v>28</v>
      </c>
      <c r="K841" s="99" t="s">
        <v>1926</v>
      </c>
      <c r="L841" s="89"/>
      <c r="M841" s="75" t="str">
        <f>IF(Main[[#This Row],[Tech Start Date]]&lt;1/1/1990,"",IF(Main[[#This Row],[Class]]="C",WORKDAY(Main[[#This Row],[Tech Start Date]],9),IF(Main[[#This Row],[Class]]="B", WORKDAY(Main[[#This Row],[Tech Start Date]],6),IF(Main[[#This Row],[Class]]="A",WORKDAY(Main[[#This Row],[Tech Start Date]],2),""))))</f>
        <v/>
      </c>
      <c r="N841" s="75" t="str">
        <f>IF(Main[[#This Row],[Tech Start Date]]&lt;1/1/1990,"",IF(Main[[#This Row],[Class]]="C",WORKDAY(Main[[#This Row],[Tech Start Date]],19),IF(Main[[#This Row],[Class]]="B", WORKDAY(Main[[#This Row],[Tech Start Date]],12),IF(Main[[#This Row],[Class]]="A",WORKDAY(Main[[#This Row],[Tech Start Date]],4),""))))</f>
        <v/>
      </c>
      <c r="O841" s="75" t="str">
        <f>IF(Main[[#This Row],[Tech Start Date]]&lt;1/1/1990,"",IF(Main[[#This Row],[Class]]="C",WORKDAY(Main[[#This Row],[Tech Start Date]],23),IF(Main[[#This Row],[Class]]="B", WORKDAY(Main[[#This Row],[Tech Start Date]],15),IF(Main[[#This Row],[Class]]="A",WORKDAY(Main[[#This Row],[Tech Start Date]],5),""))))</f>
        <v/>
      </c>
      <c r="P841" s="75" t="str">
        <f>IF(Main[[#This Row],[Tech Start Date]]&lt;1/1/1990,"",IF(Main[[#This Row],[Class]]="C",WORKDAY(Main[[#This Row],[Tech Start Date]],28),IF(Main[[#This Row],[Class]]="B", WORKDAY(Main[[#This Row],[Tech Start Date]],19),IF(Main[[#This Row],[Class]]="A",WORKDAY(Main[[#This Row],[Tech Start Date]],9),""))))</f>
        <v/>
      </c>
      <c r="Q841" s="89">
        <v>40634</v>
      </c>
      <c r="R841" s="121"/>
      <c r="S841" s="99" t="s">
        <v>11</v>
      </c>
      <c r="T841" s="76" t="s">
        <v>4</v>
      </c>
      <c r="U841" s="99" t="s">
        <v>14</v>
      </c>
      <c r="V841" s="99" t="s">
        <v>1913</v>
      </c>
      <c r="W841" s="99" t="s">
        <v>1919</v>
      </c>
      <c r="X841" s="99" t="s">
        <v>2827</v>
      </c>
      <c r="Y841" s="73" t="s">
        <v>2933</v>
      </c>
      <c r="Z841" s="73" t="s">
        <v>129</v>
      </c>
      <c r="AA841" s="99" t="s">
        <v>2827</v>
      </c>
    </row>
    <row r="842" spans="1:27" ht="17.25" customHeight="1">
      <c r="A842" s="65" t="str">
        <f>IF(priority(Main[[#This Row],[Comments]])&lt;&gt;0, priority(Main[[#This Row],[Comments]]),"")</f>
        <v/>
      </c>
      <c r="B842" s="60" t="s">
        <v>1644</v>
      </c>
      <c r="C842" s="105" t="s">
        <v>4</v>
      </c>
      <c r="D842" s="74" t="s">
        <v>39</v>
      </c>
      <c r="E842" s="89"/>
      <c r="F842" s="89"/>
      <c r="G842" s="65" t="str">
        <f>IF(stdProdLT(Main[[#This Row],[Comments]])=0.1,"N/A",IF(stdProdLT(Main[[#This Row],[Comments]])=0,"",TRIM(stdProdLT(Main[[#This Row],[Comments]]))))</f>
        <v/>
      </c>
      <c r="H842" s="98" t="str">
        <f>IF(Main[[#This Row],[Std. Prod. Lead Time]]="N/A", "",IF(AND(Main[[#This Row],[In Stock Date]]&lt;&gt;"",Main[[#This Row],[Revised Due Date]]&lt;&gt;"",Main[[#This Row],[In Stock Date]]&lt;&gt;""),Main[[#This Row],[In Stock Date]]-Main[[#This Row],[Revised Due Date]],""))</f>
        <v/>
      </c>
      <c r="I842" s="110" t="s">
        <v>4</v>
      </c>
      <c r="J842" s="99" t="s">
        <v>4</v>
      </c>
      <c r="K842" s="99" t="s">
        <v>4</v>
      </c>
      <c r="L842" s="89"/>
      <c r="M842" s="75" t="str">
        <f>IF(Main[[#This Row],[Tech Start Date]]&lt;1/1/1990,"",IF(Main[[#This Row],[Class]]="C",WORKDAY(Main[[#This Row],[Tech Start Date]],9),IF(Main[[#This Row],[Class]]="B", WORKDAY(Main[[#This Row],[Tech Start Date]],6),IF(Main[[#This Row],[Class]]="A",WORKDAY(Main[[#This Row],[Tech Start Date]],2),""))))</f>
        <v/>
      </c>
      <c r="N842" s="75" t="str">
        <f>IF(Main[[#This Row],[Tech Start Date]]&lt;1/1/1990,"",IF(Main[[#This Row],[Class]]="C",WORKDAY(Main[[#This Row],[Tech Start Date]],19),IF(Main[[#This Row],[Class]]="B", WORKDAY(Main[[#This Row],[Tech Start Date]],12),IF(Main[[#This Row],[Class]]="A",WORKDAY(Main[[#This Row],[Tech Start Date]],4),""))))</f>
        <v/>
      </c>
      <c r="O842" s="75" t="str">
        <f>IF(Main[[#This Row],[Tech Start Date]]&lt;1/1/1990,"",IF(Main[[#This Row],[Class]]="C",WORKDAY(Main[[#This Row],[Tech Start Date]],23),IF(Main[[#This Row],[Class]]="B", WORKDAY(Main[[#This Row],[Tech Start Date]],15),IF(Main[[#This Row],[Class]]="A",WORKDAY(Main[[#This Row],[Tech Start Date]],5),""))))</f>
        <v/>
      </c>
      <c r="P842" s="75" t="str">
        <f>IF(Main[[#This Row],[Tech Start Date]]&lt;1/1/1990,"",IF(Main[[#This Row],[Class]]="C",WORKDAY(Main[[#This Row],[Tech Start Date]],28),IF(Main[[#This Row],[Class]]="B", WORKDAY(Main[[#This Row],[Tech Start Date]],19),IF(Main[[#This Row],[Class]]="A",WORKDAY(Main[[#This Row],[Tech Start Date]],9),""))))</f>
        <v/>
      </c>
      <c r="Q842" s="89">
        <v>40669</v>
      </c>
      <c r="R842" s="121"/>
      <c r="S842" s="99" t="s">
        <v>6</v>
      </c>
      <c r="T842" s="76" t="s">
        <v>4</v>
      </c>
      <c r="U842" s="99" t="s">
        <v>14</v>
      </c>
      <c r="V842" s="99" t="s">
        <v>1916</v>
      </c>
      <c r="W842" s="99" t="s">
        <v>4</v>
      </c>
      <c r="X842" s="99" t="s">
        <v>2812</v>
      </c>
      <c r="Y842" s="73" t="s">
        <v>2923</v>
      </c>
      <c r="Z842" s="73" t="s">
        <v>4</v>
      </c>
      <c r="AA842" s="99" t="s">
        <v>2812</v>
      </c>
    </row>
    <row r="843" spans="1:27" ht="17.25" customHeight="1">
      <c r="A843" s="65" t="str">
        <f>IF(priority(Main[[#This Row],[Comments]])&lt;&gt;0, priority(Main[[#This Row],[Comments]]),"")</f>
        <v/>
      </c>
      <c r="B843" s="60" t="s">
        <v>1645</v>
      </c>
      <c r="C843" s="105" t="s">
        <v>4</v>
      </c>
      <c r="D843" s="74" t="s">
        <v>714</v>
      </c>
      <c r="E843" s="89"/>
      <c r="F843" s="89"/>
      <c r="G843" s="65" t="str">
        <f>IF(stdProdLT(Main[[#This Row],[Comments]])=0.1,"N/A",IF(stdProdLT(Main[[#This Row],[Comments]])=0,"",TRIM(stdProdLT(Main[[#This Row],[Comments]]))))</f>
        <v/>
      </c>
      <c r="H843" s="98" t="str">
        <f>IF(Main[[#This Row],[Std. Prod. Lead Time]]="N/A", "",IF(AND(Main[[#This Row],[In Stock Date]]&lt;&gt;"",Main[[#This Row],[Revised Due Date]]&lt;&gt;"",Main[[#This Row],[In Stock Date]]&lt;&gt;""),Main[[#This Row],[In Stock Date]]-Main[[#This Row],[Revised Due Date]],""))</f>
        <v/>
      </c>
      <c r="I843" s="110" t="s">
        <v>4</v>
      </c>
      <c r="J843" s="99" t="s">
        <v>4</v>
      </c>
      <c r="K843" s="99" t="s">
        <v>4</v>
      </c>
      <c r="L843" s="89"/>
      <c r="M843" s="75" t="str">
        <f>IF(Main[[#This Row],[Tech Start Date]]&lt;1/1/1990,"",IF(Main[[#This Row],[Class]]="C",WORKDAY(Main[[#This Row],[Tech Start Date]],9),IF(Main[[#This Row],[Class]]="B", WORKDAY(Main[[#This Row],[Tech Start Date]],6),IF(Main[[#This Row],[Class]]="A",WORKDAY(Main[[#This Row],[Tech Start Date]],2),""))))</f>
        <v/>
      </c>
      <c r="N843" s="75" t="str">
        <f>IF(Main[[#This Row],[Tech Start Date]]&lt;1/1/1990,"",IF(Main[[#This Row],[Class]]="C",WORKDAY(Main[[#This Row],[Tech Start Date]],19),IF(Main[[#This Row],[Class]]="B", WORKDAY(Main[[#This Row],[Tech Start Date]],12),IF(Main[[#This Row],[Class]]="A",WORKDAY(Main[[#This Row],[Tech Start Date]],4),""))))</f>
        <v/>
      </c>
      <c r="O843" s="75" t="str">
        <f>IF(Main[[#This Row],[Tech Start Date]]&lt;1/1/1990,"",IF(Main[[#This Row],[Class]]="C",WORKDAY(Main[[#This Row],[Tech Start Date]],23),IF(Main[[#This Row],[Class]]="B", WORKDAY(Main[[#This Row],[Tech Start Date]],15),IF(Main[[#This Row],[Class]]="A",WORKDAY(Main[[#This Row],[Tech Start Date]],5),""))))</f>
        <v/>
      </c>
      <c r="P843" s="75" t="str">
        <f>IF(Main[[#This Row],[Tech Start Date]]&lt;1/1/1990,"",IF(Main[[#This Row],[Class]]="C",WORKDAY(Main[[#This Row],[Tech Start Date]],28),IF(Main[[#This Row],[Class]]="B", WORKDAY(Main[[#This Row],[Tech Start Date]],19),IF(Main[[#This Row],[Class]]="A",WORKDAY(Main[[#This Row],[Tech Start Date]],9),""))))</f>
        <v/>
      </c>
      <c r="Q843" s="89"/>
      <c r="R843" s="121"/>
      <c r="S843" s="99" t="s">
        <v>11</v>
      </c>
      <c r="T843" s="76" t="s">
        <v>4</v>
      </c>
      <c r="U843" s="99" t="s">
        <v>12</v>
      </c>
      <c r="V843" s="99" t="s">
        <v>1914</v>
      </c>
      <c r="W843" s="99" t="s">
        <v>4</v>
      </c>
      <c r="X843" s="99" t="s">
        <v>2856</v>
      </c>
      <c r="Y843" s="73" t="s">
        <v>4</v>
      </c>
      <c r="Z843" s="73" t="s">
        <v>4</v>
      </c>
      <c r="AA843" s="99" t="s">
        <v>4</v>
      </c>
    </row>
    <row r="844" spans="1:27" ht="17.25" customHeight="1">
      <c r="A844" s="65" t="str">
        <f>IF(priority(Main[[#This Row],[Comments]])&lt;&gt;0, priority(Main[[#This Row],[Comments]]),"")</f>
        <v/>
      </c>
      <c r="B844" s="60" t="s">
        <v>1647</v>
      </c>
      <c r="C844" s="105" t="s">
        <v>4</v>
      </c>
      <c r="D844" s="74" t="s">
        <v>715</v>
      </c>
      <c r="E844" s="89">
        <v>40715.129143518519</v>
      </c>
      <c r="F844" s="89"/>
      <c r="G844" s="65" t="str">
        <f>IF(stdProdLT(Main[[#This Row],[Comments]])=0.1,"N/A",IF(stdProdLT(Main[[#This Row],[Comments]])=0,"",TRIM(stdProdLT(Main[[#This Row],[Comments]]))))</f>
        <v/>
      </c>
      <c r="H844" s="98" t="str">
        <f>IF(Main[[#This Row],[Std. Prod. Lead Time]]="N/A", "",IF(AND(Main[[#This Row],[In Stock Date]]&lt;&gt;"",Main[[#This Row],[Revised Due Date]]&lt;&gt;"",Main[[#This Row],[In Stock Date]]&lt;&gt;""),Main[[#This Row],[In Stock Date]]-Main[[#This Row],[Revised Due Date]],""))</f>
        <v/>
      </c>
      <c r="I844" s="110" t="s">
        <v>4</v>
      </c>
      <c r="J844" s="99" t="s">
        <v>4</v>
      </c>
      <c r="K844" s="99" t="s">
        <v>4</v>
      </c>
      <c r="L844" s="89"/>
      <c r="M844" s="75" t="str">
        <f>IF(Main[[#This Row],[Tech Start Date]]&lt;1/1/1990,"",IF(Main[[#This Row],[Class]]="C",WORKDAY(Main[[#This Row],[Tech Start Date]],9),IF(Main[[#This Row],[Class]]="B", WORKDAY(Main[[#This Row],[Tech Start Date]],6),IF(Main[[#This Row],[Class]]="A",WORKDAY(Main[[#This Row],[Tech Start Date]],2),""))))</f>
        <v/>
      </c>
      <c r="N844" s="75" t="str">
        <f>IF(Main[[#This Row],[Tech Start Date]]&lt;1/1/1990,"",IF(Main[[#This Row],[Class]]="C",WORKDAY(Main[[#This Row],[Tech Start Date]],19),IF(Main[[#This Row],[Class]]="B", WORKDAY(Main[[#This Row],[Tech Start Date]],12),IF(Main[[#This Row],[Class]]="A",WORKDAY(Main[[#This Row],[Tech Start Date]],4),""))))</f>
        <v/>
      </c>
      <c r="O844" s="75" t="str">
        <f>IF(Main[[#This Row],[Tech Start Date]]&lt;1/1/1990,"",IF(Main[[#This Row],[Class]]="C",WORKDAY(Main[[#This Row],[Tech Start Date]],23),IF(Main[[#This Row],[Class]]="B", WORKDAY(Main[[#This Row],[Tech Start Date]],15),IF(Main[[#This Row],[Class]]="A",WORKDAY(Main[[#This Row],[Tech Start Date]],5),""))))</f>
        <v/>
      </c>
      <c r="P844" s="75" t="str">
        <f>IF(Main[[#This Row],[Tech Start Date]]&lt;1/1/1990,"",IF(Main[[#This Row],[Class]]="C",WORKDAY(Main[[#This Row],[Tech Start Date]],28),IF(Main[[#This Row],[Class]]="B", WORKDAY(Main[[#This Row],[Tech Start Date]],19),IF(Main[[#This Row],[Class]]="A",WORKDAY(Main[[#This Row],[Tech Start Date]],9),""))))</f>
        <v/>
      </c>
      <c r="Q844" s="89">
        <v>40717</v>
      </c>
      <c r="R844" s="121"/>
      <c r="S844" s="99" t="s">
        <v>49</v>
      </c>
      <c r="T844" s="76" t="s">
        <v>4</v>
      </c>
      <c r="U844" s="99" t="s">
        <v>7</v>
      </c>
      <c r="V844" s="99" t="s">
        <v>1914</v>
      </c>
      <c r="W844" s="99" t="s">
        <v>1917</v>
      </c>
      <c r="X844" s="99" t="s">
        <v>2851</v>
      </c>
      <c r="Y844" s="73" t="s">
        <v>2992</v>
      </c>
      <c r="Z844" s="73" t="s">
        <v>4</v>
      </c>
      <c r="AA844" s="99" t="s">
        <v>2851</v>
      </c>
    </row>
    <row r="845" spans="1:27" ht="17.25" customHeight="1">
      <c r="A845" s="65" t="str">
        <f>IF(priority(Main[[#This Row],[Comments]])&lt;&gt;0, priority(Main[[#This Row],[Comments]]),"")</f>
        <v/>
      </c>
      <c r="B845" s="60" t="s">
        <v>2100</v>
      </c>
      <c r="C845" s="105" t="s">
        <v>4</v>
      </c>
      <c r="D845" s="74" t="s">
        <v>2101</v>
      </c>
      <c r="E845" s="89">
        <v>40770.430092592593</v>
      </c>
      <c r="F845" s="89"/>
      <c r="G845" s="65" t="str">
        <f>IF(stdProdLT(Main[[#This Row],[Comments]])=0.1,"N/A",IF(stdProdLT(Main[[#This Row],[Comments]])=0,"",TRIM(stdProdLT(Main[[#This Row],[Comments]]))))</f>
        <v/>
      </c>
      <c r="H845" s="98" t="str">
        <f>IF(Main[[#This Row],[Std. Prod. Lead Time]]="N/A", "",IF(AND(Main[[#This Row],[In Stock Date]]&lt;&gt;"",Main[[#This Row],[Revised Due Date]]&lt;&gt;"",Main[[#This Row],[In Stock Date]]&lt;&gt;""),Main[[#This Row],[In Stock Date]]-Main[[#This Row],[Revised Due Date]],""))</f>
        <v/>
      </c>
      <c r="I845" s="110" t="s">
        <v>4</v>
      </c>
      <c r="J845" s="99" t="s">
        <v>4</v>
      </c>
      <c r="K845" s="99" t="s">
        <v>4</v>
      </c>
      <c r="L845" s="89"/>
      <c r="M845" s="75" t="str">
        <f>IF(Main[[#This Row],[Tech Start Date]]&lt;1/1/1990,"",IF(Main[[#This Row],[Class]]="C",WORKDAY(Main[[#This Row],[Tech Start Date]],9),IF(Main[[#This Row],[Class]]="B", WORKDAY(Main[[#This Row],[Tech Start Date]],6),IF(Main[[#This Row],[Class]]="A",WORKDAY(Main[[#This Row],[Tech Start Date]],2),""))))</f>
        <v/>
      </c>
      <c r="N845" s="75" t="str">
        <f>IF(Main[[#This Row],[Tech Start Date]]&lt;1/1/1990,"",IF(Main[[#This Row],[Class]]="C",WORKDAY(Main[[#This Row],[Tech Start Date]],19),IF(Main[[#This Row],[Class]]="B", WORKDAY(Main[[#This Row],[Tech Start Date]],12),IF(Main[[#This Row],[Class]]="A",WORKDAY(Main[[#This Row],[Tech Start Date]],4),""))))</f>
        <v/>
      </c>
      <c r="O845" s="75" t="str">
        <f>IF(Main[[#This Row],[Tech Start Date]]&lt;1/1/1990,"",IF(Main[[#This Row],[Class]]="C",WORKDAY(Main[[#This Row],[Tech Start Date]],23),IF(Main[[#This Row],[Class]]="B", WORKDAY(Main[[#This Row],[Tech Start Date]],15),IF(Main[[#This Row],[Class]]="A",WORKDAY(Main[[#This Row],[Tech Start Date]],5),""))))</f>
        <v/>
      </c>
      <c r="P845" s="75" t="str">
        <f>IF(Main[[#This Row],[Tech Start Date]]&lt;1/1/1990,"",IF(Main[[#This Row],[Class]]="C",WORKDAY(Main[[#This Row],[Tech Start Date]],28),IF(Main[[#This Row],[Class]]="B", WORKDAY(Main[[#This Row],[Tech Start Date]],19),IF(Main[[#This Row],[Class]]="A",WORKDAY(Main[[#This Row],[Tech Start Date]],9),""))))</f>
        <v/>
      </c>
      <c r="Q845" s="89">
        <v>40791</v>
      </c>
      <c r="R845" s="121"/>
      <c r="S845" s="99" t="s">
        <v>6</v>
      </c>
      <c r="T845" s="76" t="s">
        <v>4</v>
      </c>
      <c r="U845" s="99" t="s">
        <v>7</v>
      </c>
      <c r="V845" s="99" t="s">
        <v>1913</v>
      </c>
      <c r="W845" s="99" t="s">
        <v>4</v>
      </c>
      <c r="X845" s="99" t="s">
        <v>2816</v>
      </c>
      <c r="Y845" s="73" t="s">
        <v>2932</v>
      </c>
      <c r="Z845" s="73" t="s">
        <v>4</v>
      </c>
      <c r="AA845" s="99" t="s">
        <v>2816</v>
      </c>
    </row>
    <row r="846" spans="1:27" ht="17.25" customHeight="1">
      <c r="A846" s="65" t="str">
        <f>IF(priority(Main[[#This Row],[Comments]])&lt;&gt;0, priority(Main[[#This Row],[Comments]]),"")</f>
        <v/>
      </c>
      <c r="B846" s="60" t="s">
        <v>1648</v>
      </c>
      <c r="C846" s="105" t="s">
        <v>4</v>
      </c>
      <c r="D846" s="107" t="s">
        <v>716</v>
      </c>
      <c r="E846" s="89">
        <v>40651.462372685186</v>
      </c>
      <c r="F846" s="89"/>
      <c r="G846" s="65" t="str">
        <f>IF(stdProdLT(Main[[#This Row],[Comments]])=0.1,"N/A",IF(stdProdLT(Main[[#This Row],[Comments]])=0,"",TRIM(stdProdLT(Main[[#This Row],[Comments]]))))</f>
        <v/>
      </c>
      <c r="H846" s="98" t="str">
        <f>IF(Main[[#This Row],[Std. Prod. Lead Time]]="N/A", "",IF(AND(Main[[#This Row],[In Stock Date]]&lt;&gt;"",Main[[#This Row],[Revised Due Date]]&lt;&gt;"",Main[[#This Row],[In Stock Date]]&lt;&gt;""),Main[[#This Row],[In Stock Date]]-Main[[#This Row],[Revised Due Date]],""))</f>
        <v/>
      </c>
      <c r="I846" s="110" t="s">
        <v>30</v>
      </c>
      <c r="J846" s="99" t="s">
        <v>28</v>
      </c>
      <c r="K846" s="99" t="s">
        <v>1922</v>
      </c>
      <c r="L846" s="89"/>
      <c r="M846" s="75" t="str">
        <f>IF(Main[[#This Row],[Tech Start Date]]&lt;1/1/1990,"",IF(Main[[#This Row],[Class]]="C",WORKDAY(Main[[#This Row],[Tech Start Date]],9),IF(Main[[#This Row],[Class]]="B", WORKDAY(Main[[#This Row],[Tech Start Date]],6),IF(Main[[#This Row],[Class]]="A",WORKDAY(Main[[#This Row],[Tech Start Date]],2),""))))</f>
        <v/>
      </c>
      <c r="N846" s="75" t="str">
        <f>IF(Main[[#This Row],[Tech Start Date]]&lt;1/1/1990,"",IF(Main[[#This Row],[Class]]="C",WORKDAY(Main[[#This Row],[Tech Start Date]],19),IF(Main[[#This Row],[Class]]="B", WORKDAY(Main[[#This Row],[Tech Start Date]],12),IF(Main[[#This Row],[Class]]="A",WORKDAY(Main[[#This Row],[Tech Start Date]],4),""))))</f>
        <v/>
      </c>
      <c r="O846" s="75" t="str">
        <f>IF(Main[[#This Row],[Tech Start Date]]&lt;1/1/1990,"",IF(Main[[#This Row],[Class]]="C",WORKDAY(Main[[#This Row],[Tech Start Date]],23),IF(Main[[#This Row],[Class]]="B", WORKDAY(Main[[#This Row],[Tech Start Date]],15),IF(Main[[#This Row],[Class]]="A",WORKDAY(Main[[#This Row],[Tech Start Date]],5),""))))</f>
        <v/>
      </c>
      <c r="P846" s="75" t="str">
        <f>IF(Main[[#This Row],[Tech Start Date]]&lt;1/1/1990,"",IF(Main[[#This Row],[Class]]="C",WORKDAY(Main[[#This Row],[Tech Start Date]],28),IF(Main[[#This Row],[Class]]="B", WORKDAY(Main[[#This Row],[Tech Start Date]],19),IF(Main[[#This Row],[Class]]="A",WORKDAY(Main[[#This Row],[Tech Start Date]],9),""))))</f>
        <v/>
      </c>
      <c r="Q846" s="89">
        <v>40694</v>
      </c>
      <c r="R846" s="121"/>
      <c r="S846" s="99" t="s">
        <v>6</v>
      </c>
      <c r="T846" s="76" t="s">
        <v>4</v>
      </c>
      <c r="U846" s="99" t="s">
        <v>29</v>
      </c>
      <c r="V846" s="99" t="s">
        <v>1916</v>
      </c>
      <c r="W846" s="99" t="s">
        <v>1917</v>
      </c>
      <c r="X846" s="99" t="s">
        <v>30</v>
      </c>
      <c r="Y846" s="73" t="s">
        <v>2951</v>
      </c>
      <c r="Z846" s="73" t="s">
        <v>30</v>
      </c>
      <c r="AA846" s="99" t="s">
        <v>30</v>
      </c>
    </row>
    <row r="847" spans="1:27" ht="17.25" customHeight="1">
      <c r="A847" s="65" t="str">
        <f>IF(priority(Main[[#This Row],[Comments]])&lt;&gt;0, priority(Main[[#This Row],[Comments]]),"")</f>
        <v/>
      </c>
      <c r="B847" s="60" t="s">
        <v>2058</v>
      </c>
      <c r="C847" s="105" t="s">
        <v>4</v>
      </c>
      <c r="D847" s="74" t="s">
        <v>2059</v>
      </c>
      <c r="E847" s="89">
        <v>40759.465995370374</v>
      </c>
      <c r="F847" s="89"/>
      <c r="G847" s="65" t="str">
        <f>IF(stdProdLT(Main[[#This Row],[Comments]])=0.1,"N/A",IF(stdProdLT(Main[[#This Row],[Comments]])=0,"",TRIM(stdProdLT(Main[[#This Row],[Comments]]))))</f>
        <v/>
      </c>
      <c r="H847" s="98" t="str">
        <f>IF(Main[[#This Row],[Std. Prod. Lead Time]]="N/A", "",IF(AND(Main[[#This Row],[In Stock Date]]&lt;&gt;"",Main[[#This Row],[Revised Due Date]]&lt;&gt;"",Main[[#This Row],[In Stock Date]]&lt;&gt;""),Main[[#This Row],[In Stock Date]]-Main[[#This Row],[Revised Due Date]],""))</f>
        <v/>
      </c>
      <c r="I847" s="110" t="s">
        <v>912</v>
      </c>
      <c r="J847" s="99" t="s">
        <v>52</v>
      </c>
      <c r="K847" s="100" t="s">
        <v>4</v>
      </c>
      <c r="L847" s="89"/>
      <c r="M847" s="75" t="str">
        <f>IF(Main[[#This Row],[Tech Start Date]]&lt;1/1/1990,"",IF(Main[[#This Row],[Class]]="C",WORKDAY(Main[[#This Row],[Tech Start Date]],9),IF(Main[[#This Row],[Class]]="B", WORKDAY(Main[[#This Row],[Tech Start Date]],6),IF(Main[[#This Row],[Class]]="A",WORKDAY(Main[[#This Row],[Tech Start Date]],2),""))))</f>
        <v/>
      </c>
      <c r="N847" s="75" t="str">
        <f>IF(Main[[#This Row],[Tech Start Date]]&lt;1/1/1990,"",IF(Main[[#This Row],[Class]]="C",WORKDAY(Main[[#This Row],[Tech Start Date]],19),IF(Main[[#This Row],[Class]]="B", WORKDAY(Main[[#This Row],[Tech Start Date]],12),IF(Main[[#This Row],[Class]]="A",WORKDAY(Main[[#This Row],[Tech Start Date]],4),""))))</f>
        <v/>
      </c>
      <c r="O847" s="75" t="str">
        <f>IF(Main[[#This Row],[Tech Start Date]]&lt;1/1/1990,"",IF(Main[[#This Row],[Class]]="C",WORKDAY(Main[[#This Row],[Tech Start Date]],23),IF(Main[[#This Row],[Class]]="B", WORKDAY(Main[[#This Row],[Tech Start Date]],15),IF(Main[[#This Row],[Class]]="A",WORKDAY(Main[[#This Row],[Tech Start Date]],5),""))))</f>
        <v/>
      </c>
      <c r="P847" s="75" t="str">
        <f>IF(Main[[#This Row],[Tech Start Date]]&lt;1/1/1990,"",IF(Main[[#This Row],[Class]]="C",WORKDAY(Main[[#This Row],[Tech Start Date]],28),IF(Main[[#This Row],[Class]]="B", WORKDAY(Main[[#This Row],[Tech Start Date]],19),IF(Main[[#This Row],[Class]]="A",WORKDAY(Main[[#This Row],[Tech Start Date]],9),""))))</f>
        <v/>
      </c>
      <c r="Q847" s="89"/>
      <c r="R847" s="121"/>
      <c r="S847" s="99" t="s">
        <v>6</v>
      </c>
      <c r="T847" s="76" t="s">
        <v>4</v>
      </c>
      <c r="U847" s="99" t="s">
        <v>29</v>
      </c>
      <c r="V847" s="99" t="s">
        <v>1913</v>
      </c>
      <c r="W847" s="99" t="s">
        <v>1917</v>
      </c>
      <c r="X847" s="99" t="s">
        <v>912</v>
      </c>
      <c r="Y847" s="73" t="s">
        <v>3051</v>
      </c>
      <c r="Z847" s="73" t="s">
        <v>4</v>
      </c>
      <c r="AA847" s="99" t="s">
        <v>912</v>
      </c>
    </row>
    <row r="848" spans="1:27" ht="17.25" customHeight="1">
      <c r="A848" s="65" t="str">
        <f>IF(priority(Main[[#This Row],[Comments]])&lt;&gt;0, priority(Main[[#This Row],[Comments]]),"")</f>
        <v/>
      </c>
      <c r="B848" s="60" t="s">
        <v>1649</v>
      </c>
      <c r="C848" s="105" t="s">
        <v>33</v>
      </c>
      <c r="D848" s="74" t="s">
        <v>717</v>
      </c>
      <c r="E848" s="89"/>
      <c r="F848" s="89">
        <v>40530</v>
      </c>
      <c r="G848" s="65" t="str">
        <f>IF(stdProdLT(Main[[#This Row],[Comments]])=0.1,"N/A",IF(stdProdLT(Main[[#This Row],[Comments]])=0,"",TRIM(stdProdLT(Main[[#This Row],[Comments]]))))</f>
        <v/>
      </c>
      <c r="H848" s="98" t="str">
        <f>IF(Main[[#This Row],[Std. Prod. Lead Time]]="N/A", "",IF(AND(Main[[#This Row],[In Stock Date]]&lt;&gt;"",Main[[#This Row],[Revised Due Date]]&lt;&gt;"",Main[[#This Row],[In Stock Date]]&lt;&gt;""),Main[[#This Row],[In Stock Date]]-Main[[#This Row],[Revised Due Date]],""))</f>
        <v/>
      </c>
      <c r="I848" s="110" t="s">
        <v>74</v>
      </c>
      <c r="J848" s="99" t="s">
        <v>28</v>
      </c>
      <c r="K848" s="99" t="s">
        <v>1925</v>
      </c>
      <c r="L848" s="89"/>
      <c r="M848" s="75" t="str">
        <f>IF(Main[[#This Row],[Tech Start Date]]&lt;1/1/1990,"",IF(Main[[#This Row],[Class]]="C",WORKDAY(Main[[#This Row],[Tech Start Date]],9),IF(Main[[#This Row],[Class]]="B", WORKDAY(Main[[#This Row],[Tech Start Date]],6),IF(Main[[#This Row],[Class]]="A",WORKDAY(Main[[#This Row],[Tech Start Date]],2),""))))</f>
        <v/>
      </c>
      <c r="N848" s="75" t="str">
        <f>IF(Main[[#This Row],[Tech Start Date]]&lt;1/1/1990,"",IF(Main[[#This Row],[Class]]="C",WORKDAY(Main[[#This Row],[Tech Start Date]],19),IF(Main[[#This Row],[Class]]="B", WORKDAY(Main[[#This Row],[Tech Start Date]],12),IF(Main[[#This Row],[Class]]="A",WORKDAY(Main[[#This Row],[Tech Start Date]],4),""))))</f>
        <v/>
      </c>
      <c r="O848" s="75" t="str">
        <f>IF(Main[[#This Row],[Tech Start Date]]&lt;1/1/1990,"",IF(Main[[#This Row],[Class]]="C",WORKDAY(Main[[#This Row],[Tech Start Date]],23),IF(Main[[#This Row],[Class]]="B", WORKDAY(Main[[#This Row],[Tech Start Date]],15),IF(Main[[#This Row],[Class]]="A",WORKDAY(Main[[#This Row],[Tech Start Date]],5),""))))</f>
        <v/>
      </c>
      <c r="P848" s="75" t="str">
        <f>IF(Main[[#This Row],[Tech Start Date]]&lt;1/1/1990,"",IF(Main[[#This Row],[Class]]="C",WORKDAY(Main[[#This Row],[Tech Start Date]],28),IF(Main[[#This Row],[Class]]="B", WORKDAY(Main[[#This Row],[Tech Start Date]],19),IF(Main[[#This Row],[Class]]="A",WORKDAY(Main[[#This Row],[Tech Start Date]],9),""))))</f>
        <v/>
      </c>
      <c r="Q848" s="89">
        <v>40390</v>
      </c>
      <c r="R848" s="121"/>
      <c r="S848" s="99" t="s">
        <v>17</v>
      </c>
      <c r="T848" s="76" t="s">
        <v>4</v>
      </c>
      <c r="U848" s="99" t="s">
        <v>14</v>
      </c>
      <c r="V848" s="99" t="s">
        <v>1916</v>
      </c>
      <c r="W848" s="99" t="s">
        <v>1918</v>
      </c>
      <c r="X848" s="99" t="s">
        <v>2820</v>
      </c>
      <c r="Y848" s="73" t="s">
        <v>4</v>
      </c>
      <c r="Z848" s="73" t="s">
        <v>74</v>
      </c>
      <c r="AA848" s="99" t="s">
        <v>2820</v>
      </c>
    </row>
    <row r="849" spans="1:27" ht="17.25" customHeight="1">
      <c r="A849" s="65" t="str">
        <f>IF(priority(Main[[#This Row],[Comments]])&lt;&gt;0, priority(Main[[#This Row],[Comments]]),"")</f>
        <v/>
      </c>
      <c r="B849" s="60" t="s">
        <v>1650</v>
      </c>
      <c r="C849" s="105" t="s">
        <v>4</v>
      </c>
      <c r="D849" s="74" t="s">
        <v>537</v>
      </c>
      <c r="E849" s="89"/>
      <c r="F849" s="89"/>
      <c r="G849" s="65" t="str">
        <f>IF(stdProdLT(Main[[#This Row],[Comments]])=0.1,"N/A",IF(stdProdLT(Main[[#This Row],[Comments]])=0,"",TRIM(stdProdLT(Main[[#This Row],[Comments]]))))</f>
        <v/>
      </c>
      <c r="H849" s="98" t="str">
        <f>IF(Main[[#This Row],[Std. Prod. Lead Time]]="N/A", "",IF(AND(Main[[#This Row],[In Stock Date]]&lt;&gt;"",Main[[#This Row],[Revised Due Date]]&lt;&gt;"",Main[[#This Row],[In Stock Date]]&lt;&gt;""),Main[[#This Row],[In Stock Date]]-Main[[#This Row],[Revised Due Date]],""))</f>
        <v/>
      </c>
      <c r="I849" s="110" t="s">
        <v>4</v>
      </c>
      <c r="J849" s="99" t="s">
        <v>4</v>
      </c>
      <c r="K849" s="99" t="s">
        <v>4</v>
      </c>
      <c r="L849" s="89"/>
      <c r="M849" s="75" t="str">
        <f>IF(Main[[#This Row],[Tech Start Date]]&lt;1/1/1990,"",IF(Main[[#This Row],[Class]]="C",WORKDAY(Main[[#This Row],[Tech Start Date]],9),IF(Main[[#This Row],[Class]]="B", WORKDAY(Main[[#This Row],[Tech Start Date]],6),IF(Main[[#This Row],[Class]]="A",WORKDAY(Main[[#This Row],[Tech Start Date]],2),""))))</f>
        <v/>
      </c>
      <c r="N849" s="75" t="str">
        <f>IF(Main[[#This Row],[Tech Start Date]]&lt;1/1/1990,"",IF(Main[[#This Row],[Class]]="C",WORKDAY(Main[[#This Row],[Tech Start Date]],19),IF(Main[[#This Row],[Class]]="B", WORKDAY(Main[[#This Row],[Tech Start Date]],12),IF(Main[[#This Row],[Class]]="A",WORKDAY(Main[[#This Row],[Tech Start Date]],4),""))))</f>
        <v/>
      </c>
      <c r="O849" s="75" t="str">
        <f>IF(Main[[#This Row],[Tech Start Date]]&lt;1/1/1990,"",IF(Main[[#This Row],[Class]]="C",WORKDAY(Main[[#This Row],[Tech Start Date]],23),IF(Main[[#This Row],[Class]]="B", WORKDAY(Main[[#This Row],[Tech Start Date]],15),IF(Main[[#This Row],[Class]]="A",WORKDAY(Main[[#This Row],[Tech Start Date]],5),""))))</f>
        <v/>
      </c>
      <c r="P849" s="75" t="str">
        <f>IF(Main[[#This Row],[Tech Start Date]]&lt;1/1/1990,"",IF(Main[[#This Row],[Class]]="C",WORKDAY(Main[[#This Row],[Tech Start Date]],28),IF(Main[[#This Row],[Class]]="B", WORKDAY(Main[[#This Row],[Tech Start Date]],19),IF(Main[[#This Row],[Class]]="A",WORKDAY(Main[[#This Row],[Tech Start Date]],9),""))))</f>
        <v/>
      </c>
      <c r="Q849" s="89">
        <v>40606</v>
      </c>
      <c r="R849" s="121"/>
      <c r="S849" s="99" t="s">
        <v>6</v>
      </c>
      <c r="T849" s="76" t="s">
        <v>4</v>
      </c>
      <c r="U849" s="99" t="s">
        <v>14</v>
      </c>
      <c r="V849" s="99" t="s">
        <v>1916</v>
      </c>
      <c r="W849" s="99" t="s">
        <v>1917</v>
      </c>
      <c r="X849" s="99" t="s">
        <v>2830</v>
      </c>
      <c r="Y849" s="73" t="s">
        <v>2959</v>
      </c>
      <c r="Z849" s="73" t="s">
        <v>4</v>
      </c>
      <c r="AA849" s="99" t="s">
        <v>2830</v>
      </c>
    </row>
    <row r="850" spans="1:27" ht="17.25" customHeight="1">
      <c r="A850" s="65" t="str">
        <f>IF(priority(Main[[#This Row],[Comments]])&lt;&gt;0, priority(Main[[#This Row],[Comments]]),"")</f>
        <v/>
      </c>
      <c r="B850" s="60" t="s">
        <v>1407</v>
      </c>
      <c r="C850" s="105" t="s">
        <v>4</v>
      </c>
      <c r="D850" s="74" t="s">
        <v>1949</v>
      </c>
      <c r="E850" s="89"/>
      <c r="F850" s="89"/>
      <c r="G850" s="65" t="str">
        <f>IF(stdProdLT(Main[[#This Row],[Comments]])=0.1,"N/A",IF(stdProdLT(Main[[#This Row],[Comments]])=0,"",TRIM(stdProdLT(Main[[#This Row],[Comments]]))))</f>
        <v/>
      </c>
      <c r="H850" s="98" t="str">
        <f>IF(Main[[#This Row],[Std. Prod. Lead Time]]="N/A", "",IF(AND(Main[[#This Row],[In Stock Date]]&lt;&gt;"",Main[[#This Row],[Revised Due Date]]&lt;&gt;"",Main[[#This Row],[In Stock Date]]&lt;&gt;""),Main[[#This Row],[In Stock Date]]-Main[[#This Row],[Revised Due Date]],""))</f>
        <v/>
      </c>
      <c r="I850" s="110" t="s">
        <v>4</v>
      </c>
      <c r="J850" s="99" t="s">
        <v>4</v>
      </c>
      <c r="K850" s="99" t="s">
        <v>4</v>
      </c>
      <c r="L850" s="89"/>
      <c r="M850" s="75" t="str">
        <f>IF(Main[[#This Row],[Tech Start Date]]&lt;1/1/1990,"",IF(Main[[#This Row],[Class]]="C",WORKDAY(Main[[#This Row],[Tech Start Date]],9),IF(Main[[#This Row],[Class]]="B", WORKDAY(Main[[#This Row],[Tech Start Date]],6),IF(Main[[#This Row],[Class]]="A",WORKDAY(Main[[#This Row],[Tech Start Date]],2),""))))</f>
        <v/>
      </c>
      <c r="N850" s="75" t="str">
        <f>IF(Main[[#This Row],[Tech Start Date]]&lt;1/1/1990,"",IF(Main[[#This Row],[Class]]="C",WORKDAY(Main[[#This Row],[Tech Start Date]],19),IF(Main[[#This Row],[Class]]="B", WORKDAY(Main[[#This Row],[Tech Start Date]],12),IF(Main[[#This Row],[Class]]="A",WORKDAY(Main[[#This Row],[Tech Start Date]],4),""))))</f>
        <v/>
      </c>
      <c r="O850" s="75" t="str">
        <f>IF(Main[[#This Row],[Tech Start Date]]&lt;1/1/1990,"",IF(Main[[#This Row],[Class]]="C",WORKDAY(Main[[#This Row],[Tech Start Date]],23),IF(Main[[#This Row],[Class]]="B", WORKDAY(Main[[#This Row],[Tech Start Date]],15),IF(Main[[#This Row],[Class]]="A",WORKDAY(Main[[#This Row],[Tech Start Date]],5),""))))</f>
        <v/>
      </c>
      <c r="P850" s="75" t="str">
        <f>IF(Main[[#This Row],[Tech Start Date]]&lt;1/1/1990,"",IF(Main[[#This Row],[Class]]="C",WORKDAY(Main[[#This Row],[Tech Start Date]],28),IF(Main[[#This Row],[Class]]="B", WORKDAY(Main[[#This Row],[Tech Start Date]],19),IF(Main[[#This Row],[Class]]="A",WORKDAY(Main[[#This Row],[Tech Start Date]],9),""))))</f>
        <v/>
      </c>
      <c r="Q850" s="89"/>
      <c r="R850" s="121"/>
      <c r="S850" s="99" t="s">
        <v>6</v>
      </c>
      <c r="T850" s="76" t="s">
        <v>4</v>
      </c>
      <c r="U850" s="99" t="s">
        <v>14</v>
      </c>
      <c r="V850" s="99" t="s">
        <v>1914</v>
      </c>
      <c r="W850" s="99" t="s">
        <v>1915</v>
      </c>
      <c r="X850" s="99" t="s">
        <v>922</v>
      </c>
      <c r="Y850" s="73" t="s">
        <v>3014</v>
      </c>
      <c r="Z850" s="73" t="s">
        <v>4</v>
      </c>
      <c r="AA850" s="99" t="s">
        <v>3396</v>
      </c>
    </row>
    <row r="851" spans="1:27" ht="17.25" customHeight="1">
      <c r="A851" s="65" t="str">
        <f>IF(priority(Main[[#This Row],[Comments]])&lt;&gt;0, priority(Main[[#This Row],[Comments]]),"")</f>
        <v/>
      </c>
      <c r="B851" s="60" t="s">
        <v>1651</v>
      </c>
      <c r="C851" s="105" t="s">
        <v>4</v>
      </c>
      <c r="D851" s="74" t="s">
        <v>718</v>
      </c>
      <c r="E851" s="89"/>
      <c r="F851" s="89">
        <v>40598</v>
      </c>
      <c r="G851" s="65" t="str">
        <f>IF(stdProdLT(Main[[#This Row],[Comments]])=0.1,"N/A",IF(stdProdLT(Main[[#This Row],[Comments]])=0,"",TRIM(stdProdLT(Main[[#This Row],[Comments]]))))</f>
        <v/>
      </c>
      <c r="H851" s="98" t="str">
        <f>IF(Main[[#This Row],[Std. Prod. Lead Time]]="N/A", "",IF(AND(Main[[#This Row],[In Stock Date]]&lt;&gt;"",Main[[#This Row],[Revised Due Date]]&lt;&gt;"",Main[[#This Row],[In Stock Date]]&lt;&gt;""),Main[[#This Row],[In Stock Date]]-Main[[#This Row],[Revised Due Date]],""))</f>
        <v/>
      </c>
      <c r="I851" s="110" t="s">
        <v>306</v>
      </c>
      <c r="J851" s="99" t="s">
        <v>75</v>
      </c>
      <c r="K851" s="99" t="s">
        <v>4</v>
      </c>
      <c r="L851" s="89"/>
      <c r="M851" s="75" t="str">
        <f>IF(Main[[#This Row],[Tech Start Date]]&lt;1/1/1990,"",IF(Main[[#This Row],[Class]]="C",WORKDAY(Main[[#This Row],[Tech Start Date]],9),IF(Main[[#This Row],[Class]]="B", WORKDAY(Main[[#This Row],[Tech Start Date]],6),IF(Main[[#This Row],[Class]]="A",WORKDAY(Main[[#This Row],[Tech Start Date]],2),""))))</f>
        <v/>
      </c>
      <c r="N851" s="75" t="str">
        <f>IF(Main[[#This Row],[Tech Start Date]]&lt;1/1/1990,"",IF(Main[[#This Row],[Class]]="C",WORKDAY(Main[[#This Row],[Tech Start Date]],19),IF(Main[[#This Row],[Class]]="B", WORKDAY(Main[[#This Row],[Tech Start Date]],12),IF(Main[[#This Row],[Class]]="A",WORKDAY(Main[[#This Row],[Tech Start Date]],4),""))))</f>
        <v/>
      </c>
      <c r="O851" s="75" t="str">
        <f>IF(Main[[#This Row],[Tech Start Date]]&lt;1/1/1990,"",IF(Main[[#This Row],[Class]]="C",WORKDAY(Main[[#This Row],[Tech Start Date]],23),IF(Main[[#This Row],[Class]]="B", WORKDAY(Main[[#This Row],[Tech Start Date]],15),IF(Main[[#This Row],[Class]]="A",WORKDAY(Main[[#This Row],[Tech Start Date]],5),""))))</f>
        <v/>
      </c>
      <c r="P851" s="75" t="str">
        <f>IF(Main[[#This Row],[Tech Start Date]]&lt;1/1/1990,"",IF(Main[[#This Row],[Class]]="C",WORKDAY(Main[[#This Row],[Tech Start Date]],28),IF(Main[[#This Row],[Class]]="B", WORKDAY(Main[[#This Row],[Tech Start Date]],19),IF(Main[[#This Row],[Class]]="A",WORKDAY(Main[[#This Row],[Tech Start Date]],9),""))))</f>
        <v/>
      </c>
      <c r="Q851" s="89">
        <v>40598</v>
      </c>
      <c r="R851" s="121"/>
      <c r="S851" s="99" t="s">
        <v>6</v>
      </c>
      <c r="T851" s="76" t="s">
        <v>4</v>
      </c>
      <c r="U851" s="99" t="s">
        <v>14</v>
      </c>
      <c r="V851" s="99" t="s">
        <v>1923</v>
      </c>
      <c r="W851" s="99" t="s">
        <v>1919</v>
      </c>
      <c r="X851" s="99" t="s">
        <v>2842</v>
      </c>
      <c r="Y851" s="73" t="s">
        <v>2973</v>
      </c>
      <c r="Z851" s="73" t="s">
        <v>306</v>
      </c>
      <c r="AA851" s="99" t="s">
        <v>2842</v>
      </c>
    </row>
    <row r="852" spans="1:27" ht="17.25" customHeight="1">
      <c r="A852" s="65" t="str">
        <f>IF(priority(Main[[#This Row],[Comments]])&lt;&gt;0, priority(Main[[#This Row],[Comments]]),"")</f>
        <v/>
      </c>
      <c r="B852" s="60" t="s">
        <v>1652</v>
      </c>
      <c r="C852" s="105" t="s">
        <v>347</v>
      </c>
      <c r="D852" s="74" t="s">
        <v>719</v>
      </c>
      <c r="E852" s="89"/>
      <c r="F852" s="89"/>
      <c r="G852" s="65" t="str">
        <f>IF(stdProdLT(Main[[#This Row],[Comments]])=0.1,"N/A",IF(stdProdLT(Main[[#This Row],[Comments]])=0,"",TRIM(stdProdLT(Main[[#This Row],[Comments]]))))</f>
        <v/>
      </c>
      <c r="H852" s="98" t="str">
        <f>IF(Main[[#This Row],[Std. Prod. Lead Time]]="N/A", "",IF(AND(Main[[#This Row],[In Stock Date]]&lt;&gt;"",Main[[#This Row],[Revised Due Date]]&lt;&gt;"",Main[[#This Row],[In Stock Date]]&lt;&gt;""),Main[[#This Row],[In Stock Date]]-Main[[#This Row],[Revised Due Date]],""))</f>
        <v/>
      </c>
      <c r="I852" s="110" t="s">
        <v>4</v>
      </c>
      <c r="J852" s="99" t="s">
        <v>28</v>
      </c>
      <c r="K852" s="99" t="s">
        <v>1925</v>
      </c>
      <c r="L852" s="89"/>
      <c r="M852" s="75" t="str">
        <f>IF(Main[[#This Row],[Tech Start Date]]&lt;1/1/1990,"",IF(Main[[#This Row],[Class]]="C",WORKDAY(Main[[#This Row],[Tech Start Date]],9),IF(Main[[#This Row],[Class]]="B", WORKDAY(Main[[#This Row],[Tech Start Date]],6),IF(Main[[#This Row],[Class]]="A",WORKDAY(Main[[#This Row],[Tech Start Date]],2),""))))</f>
        <v/>
      </c>
      <c r="N852" s="75" t="str">
        <f>IF(Main[[#This Row],[Tech Start Date]]&lt;1/1/1990,"",IF(Main[[#This Row],[Class]]="C",WORKDAY(Main[[#This Row],[Tech Start Date]],19),IF(Main[[#This Row],[Class]]="B", WORKDAY(Main[[#This Row],[Tech Start Date]],12),IF(Main[[#This Row],[Class]]="A",WORKDAY(Main[[#This Row],[Tech Start Date]],4),""))))</f>
        <v/>
      </c>
      <c r="O852" s="75" t="str">
        <f>IF(Main[[#This Row],[Tech Start Date]]&lt;1/1/1990,"",IF(Main[[#This Row],[Class]]="C",WORKDAY(Main[[#This Row],[Tech Start Date]],23),IF(Main[[#This Row],[Class]]="B", WORKDAY(Main[[#This Row],[Tech Start Date]],15),IF(Main[[#This Row],[Class]]="A",WORKDAY(Main[[#This Row],[Tech Start Date]],5),""))))</f>
        <v/>
      </c>
      <c r="P852" s="75" t="str">
        <f>IF(Main[[#This Row],[Tech Start Date]]&lt;1/1/1990,"",IF(Main[[#This Row],[Class]]="C",WORKDAY(Main[[#This Row],[Tech Start Date]],28),IF(Main[[#This Row],[Class]]="B", WORKDAY(Main[[#This Row],[Tech Start Date]],19),IF(Main[[#This Row],[Class]]="A",WORKDAY(Main[[#This Row],[Tech Start Date]],9),""))))</f>
        <v/>
      </c>
      <c r="Q852" s="89"/>
      <c r="R852" s="121"/>
      <c r="S852" s="99" t="s">
        <v>17</v>
      </c>
      <c r="T852" s="76" t="s">
        <v>4</v>
      </c>
      <c r="U852" s="99" t="s">
        <v>14</v>
      </c>
      <c r="V852" s="99" t="s">
        <v>1916</v>
      </c>
      <c r="W852" s="99" t="s">
        <v>1918</v>
      </c>
      <c r="X852" s="99" t="s">
        <v>50</v>
      </c>
      <c r="Y852" s="73" t="s">
        <v>3087</v>
      </c>
      <c r="Z852" s="73" t="s">
        <v>415</v>
      </c>
      <c r="AA852" s="99" t="s">
        <v>2866</v>
      </c>
    </row>
    <row r="853" spans="1:27" ht="17.25" customHeight="1">
      <c r="A853" s="65" t="str">
        <f>IF(priority(Main[[#This Row],[Comments]])&lt;&gt;0, priority(Main[[#This Row],[Comments]]),"")</f>
        <v/>
      </c>
      <c r="B853" s="60" t="s">
        <v>1654</v>
      </c>
      <c r="C853" s="105" t="s">
        <v>31</v>
      </c>
      <c r="D853" s="74" t="s">
        <v>388</v>
      </c>
      <c r="E853" s="89"/>
      <c r="F853" s="89">
        <v>40288</v>
      </c>
      <c r="G853" s="65" t="str">
        <f>IF(stdProdLT(Main[[#This Row],[Comments]])=0.1,"N/A",IF(stdProdLT(Main[[#This Row],[Comments]])=0,"",TRIM(stdProdLT(Main[[#This Row],[Comments]]))))</f>
        <v/>
      </c>
      <c r="H853" s="98" t="str">
        <f>IF(Main[[#This Row],[Std. Prod. Lead Time]]="N/A", "",IF(AND(Main[[#This Row],[In Stock Date]]&lt;&gt;"",Main[[#This Row],[Revised Due Date]]&lt;&gt;"",Main[[#This Row],[In Stock Date]]&lt;&gt;""),Main[[#This Row],[In Stock Date]]-Main[[#This Row],[Revised Due Date]],""))</f>
        <v/>
      </c>
      <c r="I853" s="110" t="s">
        <v>4</v>
      </c>
      <c r="J853" s="99" t="s">
        <v>4</v>
      </c>
      <c r="K853" s="99" t="s">
        <v>4</v>
      </c>
      <c r="L853" s="89"/>
      <c r="M853" s="75" t="str">
        <f>IF(Main[[#This Row],[Tech Start Date]]&lt;1/1/1990,"",IF(Main[[#This Row],[Class]]="C",WORKDAY(Main[[#This Row],[Tech Start Date]],9),IF(Main[[#This Row],[Class]]="B", WORKDAY(Main[[#This Row],[Tech Start Date]],6),IF(Main[[#This Row],[Class]]="A",WORKDAY(Main[[#This Row],[Tech Start Date]],2),""))))</f>
        <v/>
      </c>
      <c r="N853" s="75" t="str">
        <f>IF(Main[[#This Row],[Tech Start Date]]&lt;1/1/1990,"",IF(Main[[#This Row],[Class]]="C",WORKDAY(Main[[#This Row],[Tech Start Date]],19),IF(Main[[#This Row],[Class]]="B", WORKDAY(Main[[#This Row],[Tech Start Date]],12),IF(Main[[#This Row],[Class]]="A",WORKDAY(Main[[#This Row],[Tech Start Date]],4),""))))</f>
        <v/>
      </c>
      <c r="O853" s="75" t="str">
        <f>IF(Main[[#This Row],[Tech Start Date]]&lt;1/1/1990,"",IF(Main[[#This Row],[Class]]="C",WORKDAY(Main[[#This Row],[Tech Start Date]],23),IF(Main[[#This Row],[Class]]="B", WORKDAY(Main[[#This Row],[Tech Start Date]],15),IF(Main[[#This Row],[Class]]="A",WORKDAY(Main[[#This Row],[Tech Start Date]],5),""))))</f>
        <v/>
      </c>
      <c r="P853" s="75" t="str">
        <f>IF(Main[[#This Row],[Tech Start Date]]&lt;1/1/1990,"",IF(Main[[#This Row],[Class]]="C",WORKDAY(Main[[#This Row],[Tech Start Date]],28),IF(Main[[#This Row],[Class]]="B", WORKDAY(Main[[#This Row],[Tech Start Date]],19),IF(Main[[#This Row],[Class]]="A",WORKDAY(Main[[#This Row],[Tech Start Date]],9),""))))</f>
        <v/>
      </c>
      <c r="Q853" s="89">
        <v>40106</v>
      </c>
      <c r="R853" s="121"/>
      <c r="S853" s="99" t="s">
        <v>11</v>
      </c>
      <c r="T853" s="76" t="s">
        <v>4</v>
      </c>
      <c r="U853" s="99" t="s">
        <v>14</v>
      </c>
      <c r="V853" s="99" t="s">
        <v>1916</v>
      </c>
      <c r="W853" s="99" t="s">
        <v>1924</v>
      </c>
      <c r="X853" s="99" t="s">
        <v>2824</v>
      </c>
      <c r="Y853" s="73" t="s">
        <v>4</v>
      </c>
      <c r="Z853" s="73" t="s">
        <v>4</v>
      </c>
      <c r="AA853" s="99" t="s">
        <v>2824</v>
      </c>
    </row>
    <row r="854" spans="1:27" ht="17.25" customHeight="1">
      <c r="A854" s="65" t="str">
        <f>IF(priority(Main[[#This Row],[Comments]])&lt;&gt;0, priority(Main[[#This Row],[Comments]]),"")</f>
        <v/>
      </c>
      <c r="B854" s="60" t="s">
        <v>1655</v>
      </c>
      <c r="C854" s="105" t="s">
        <v>4</v>
      </c>
      <c r="D854" s="74" t="s">
        <v>721</v>
      </c>
      <c r="E854" s="89"/>
      <c r="F854" s="89">
        <v>40640</v>
      </c>
      <c r="G854" s="65" t="str">
        <f>IF(stdProdLT(Main[[#This Row],[Comments]])=0.1,"N/A",IF(stdProdLT(Main[[#This Row],[Comments]])=0,"",TRIM(stdProdLT(Main[[#This Row],[Comments]]))))</f>
        <v/>
      </c>
      <c r="H854" s="98" t="str">
        <f>IF(Main[[#This Row],[Std. Prod. Lead Time]]="N/A", "",IF(AND(Main[[#This Row],[In Stock Date]]&lt;&gt;"",Main[[#This Row],[Revised Due Date]]&lt;&gt;"",Main[[#This Row],[In Stock Date]]&lt;&gt;""),Main[[#This Row],[In Stock Date]]-Main[[#This Row],[Revised Due Date]],""))</f>
        <v/>
      </c>
      <c r="I854" s="110" t="s">
        <v>4</v>
      </c>
      <c r="J854" s="99" t="s">
        <v>28</v>
      </c>
      <c r="K854" s="99" t="s">
        <v>1926</v>
      </c>
      <c r="L854" s="89"/>
      <c r="M854" s="75" t="str">
        <f>IF(Main[[#This Row],[Tech Start Date]]&lt;1/1/1990,"",IF(Main[[#This Row],[Class]]="C",WORKDAY(Main[[#This Row],[Tech Start Date]],9),IF(Main[[#This Row],[Class]]="B", WORKDAY(Main[[#This Row],[Tech Start Date]],6),IF(Main[[#This Row],[Class]]="A",WORKDAY(Main[[#This Row],[Tech Start Date]],2),""))))</f>
        <v/>
      </c>
      <c r="N854" s="75" t="str">
        <f>IF(Main[[#This Row],[Tech Start Date]]&lt;1/1/1990,"",IF(Main[[#This Row],[Class]]="C",WORKDAY(Main[[#This Row],[Tech Start Date]],19),IF(Main[[#This Row],[Class]]="B", WORKDAY(Main[[#This Row],[Tech Start Date]],12),IF(Main[[#This Row],[Class]]="A",WORKDAY(Main[[#This Row],[Tech Start Date]],4),""))))</f>
        <v/>
      </c>
      <c r="O854" s="75" t="str">
        <f>IF(Main[[#This Row],[Tech Start Date]]&lt;1/1/1990,"",IF(Main[[#This Row],[Class]]="C",WORKDAY(Main[[#This Row],[Tech Start Date]],23),IF(Main[[#This Row],[Class]]="B", WORKDAY(Main[[#This Row],[Tech Start Date]],15),IF(Main[[#This Row],[Class]]="A",WORKDAY(Main[[#This Row],[Tech Start Date]],5),""))))</f>
        <v/>
      </c>
      <c r="P854" s="75" t="str">
        <f>IF(Main[[#This Row],[Tech Start Date]]&lt;1/1/1990,"",IF(Main[[#This Row],[Class]]="C",WORKDAY(Main[[#This Row],[Tech Start Date]],28),IF(Main[[#This Row],[Class]]="B", WORKDAY(Main[[#This Row],[Tech Start Date]],19),IF(Main[[#This Row],[Class]]="A",WORKDAY(Main[[#This Row],[Tech Start Date]],9),""))))</f>
        <v/>
      </c>
      <c r="Q854" s="89">
        <v>40640</v>
      </c>
      <c r="R854" s="121"/>
      <c r="S854" s="99" t="s">
        <v>11</v>
      </c>
      <c r="T854" s="76" t="s">
        <v>4</v>
      </c>
      <c r="U854" s="99" t="s">
        <v>14</v>
      </c>
      <c r="V854" s="99" t="s">
        <v>1913</v>
      </c>
      <c r="W854" s="99" t="s">
        <v>1921</v>
      </c>
      <c r="X854" s="99" t="s">
        <v>2855</v>
      </c>
      <c r="Y854" s="73" t="s">
        <v>2999</v>
      </c>
      <c r="Z854" s="73" t="s">
        <v>129</v>
      </c>
      <c r="AA854" s="99" t="s">
        <v>2855</v>
      </c>
    </row>
    <row r="855" spans="1:27" ht="17.25" customHeight="1">
      <c r="A855" s="65" t="str">
        <f>IF(priority(Main[[#This Row],[Comments]])&lt;&gt;0, priority(Main[[#This Row],[Comments]]),"")</f>
        <v/>
      </c>
      <c r="B855" s="60" t="s">
        <v>1656</v>
      </c>
      <c r="C855" s="105" t="s">
        <v>4</v>
      </c>
      <c r="D855" s="74" t="s">
        <v>722</v>
      </c>
      <c r="E855" s="89"/>
      <c r="F855" s="89"/>
      <c r="G855" s="65" t="str">
        <f>IF(stdProdLT(Main[[#This Row],[Comments]])=0.1,"N/A",IF(stdProdLT(Main[[#This Row],[Comments]])=0,"",TRIM(stdProdLT(Main[[#This Row],[Comments]]))))</f>
        <v/>
      </c>
      <c r="H855" s="98" t="str">
        <f>IF(Main[[#This Row],[Std. Prod. Lead Time]]="N/A", "",IF(AND(Main[[#This Row],[In Stock Date]]&lt;&gt;"",Main[[#This Row],[Revised Due Date]]&lt;&gt;"",Main[[#This Row],[In Stock Date]]&lt;&gt;""),Main[[#This Row],[In Stock Date]]-Main[[#This Row],[Revised Due Date]],""))</f>
        <v/>
      </c>
      <c r="I855" s="110" t="s">
        <v>4</v>
      </c>
      <c r="J855" s="99" t="s">
        <v>4</v>
      </c>
      <c r="K855" s="99" t="s">
        <v>4</v>
      </c>
      <c r="L855" s="89"/>
      <c r="M855" s="75" t="str">
        <f>IF(Main[[#This Row],[Tech Start Date]]&lt;1/1/1990,"",IF(Main[[#This Row],[Class]]="C",WORKDAY(Main[[#This Row],[Tech Start Date]],9),IF(Main[[#This Row],[Class]]="B", WORKDAY(Main[[#This Row],[Tech Start Date]],6),IF(Main[[#This Row],[Class]]="A",WORKDAY(Main[[#This Row],[Tech Start Date]],2),""))))</f>
        <v/>
      </c>
      <c r="N855" s="75" t="str">
        <f>IF(Main[[#This Row],[Tech Start Date]]&lt;1/1/1990,"",IF(Main[[#This Row],[Class]]="C",WORKDAY(Main[[#This Row],[Tech Start Date]],19),IF(Main[[#This Row],[Class]]="B", WORKDAY(Main[[#This Row],[Tech Start Date]],12),IF(Main[[#This Row],[Class]]="A",WORKDAY(Main[[#This Row],[Tech Start Date]],4),""))))</f>
        <v/>
      </c>
      <c r="O855" s="75" t="str">
        <f>IF(Main[[#This Row],[Tech Start Date]]&lt;1/1/1990,"",IF(Main[[#This Row],[Class]]="C",WORKDAY(Main[[#This Row],[Tech Start Date]],23),IF(Main[[#This Row],[Class]]="B", WORKDAY(Main[[#This Row],[Tech Start Date]],15),IF(Main[[#This Row],[Class]]="A",WORKDAY(Main[[#This Row],[Tech Start Date]],5),""))))</f>
        <v/>
      </c>
      <c r="P855" s="75" t="str">
        <f>IF(Main[[#This Row],[Tech Start Date]]&lt;1/1/1990,"",IF(Main[[#This Row],[Class]]="C",WORKDAY(Main[[#This Row],[Tech Start Date]],28),IF(Main[[#This Row],[Class]]="B", WORKDAY(Main[[#This Row],[Tech Start Date]],19),IF(Main[[#This Row],[Class]]="A",WORKDAY(Main[[#This Row],[Tech Start Date]],9),""))))</f>
        <v/>
      </c>
      <c r="Q855" s="89">
        <v>40385</v>
      </c>
      <c r="R855" s="121"/>
      <c r="S855" s="99" t="s">
        <v>6</v>
      </c>
      <c r="T855" s="76" t="s">
        <v>4</v>
      </c>
      <c r="U855" s="99" t="s">
        <v>14</v>
      </c>
      <c r="V855" s="99" t="s">
        <v>1916</v>
      </c>
      <c r="W855" s="99" t="s">
        <v>1915</v>
      </c>
      <c r="X855" s="99" t="s">
        <v>102</v>
      </c>
      <c r="Y855" s="73" t="s">
        <v>3026</v>
      </c>
      <c r="Z855" s="73" t="s">
        <v>4</v>
      </c>
      <c r="AA855" s="99" t="s">
        <v>3389</v>
      </c>
    </row>
    <row r="856" spans="1:27" ht="17.25" customHeight="1">
      <c r="A856" s="65" t="str">
        <f>IF(priority(Main[[#This Row],[Comments]])&lt;&gt;0, priority(Main[[#This Row],[Comments]]),"")</f>
        <v/>
      </c>
      <c r="B856" s="60" t="s">
        <v>2104</v>
      </c>
      <c r="C856" s="105" t="s">
        <v>2105</v>
      </c>
      <c r="D856" s="74" t="s">
        <v>2106</v>
      </c>
      <c r="E856" s="89">
        <v>40766.692789351851</v>
      </c>
      <c r="F856" s="89"/>
      <c r="G856" s="65" t="str">
        <f>IF(stdProdLT(Main[[#This Row],[Comments]])=0.1,"N/A",IF(stdProdLT(Main[[#This Row],[Comments]])=0,"",TRIM(stdProdLT(Main[[#This Row],[Comments]]))))</f>
        <v/>
      </c>
      <c r="H856" s="98" t="str">
        <f>IF(Main[[#This Row],[Std. Prod. Lead Time]]="N/A", "",IF(AND(Main[[#This Row],[In Stock Date]]&lt;&gt;"",Main[[#This Row],[Revised Due Date]]&lt;&gt;"",Main[[#This Row],[In Stock Date]]&lt;&gt;""),Main[[#This Row],[In Stock Date]]-Main[[#This Row],[Revised Due Date]],""))</f>
        <v/>
      </c>
      <c r="I856" s="110" t="s">
        <v>4</v>
      </c>
      <c r="J856" s="99" t="s">
        <v>4</v>
      </c>
      <c r="K856" s="100" t="s">
        <v>4</v>
      </c>
      <c r="L856" s="89"/>
      <c r="M856" s="75" t="str">
        <f>IF(Main[[#This Row],[Tech Start Date]]&lt;1/1/1990,"",IF(Main[[#This Row],[Class]]="C",WORKDAY(Main[[#This Row],[Tech Start Date]],9),IF(Main[[#This Row],[Class]]="B", WORKDAY(Main[[#This Row],[Tech Start Date]],6),IF(Main[[#This Row],[Class]]="A",WORKDAY(Main[[#This Row],[Tech Start Date]],2),""))))</f>
        <v/>
      </c>
      <c r="N856" s="75" t="str">
        <f>IF(Main[[#This Row],[Tech Start Date]]&lt;1/1/1990,"",IF(Main[[#This Row],[Class]]="C",WORKDAY(Main[[#This Row],[Tech Start Date]],19),IF(Main[[#This Row],[Class]]="B", WORKDAY(Main[[#This Row],[Tech Start Date]],12),IF(Main[[#This Row],[Class]]="A",WORKDAY(Main[[#This Row],[Tech Start Date]],4),""))))</f>
        <v/>
      </c>
      <c r="O856" s="75" t="str">
        <f>IF(Main[[#This Row],[Tech Start Date]]&lt;1/1/1990,"",IF(Main[[#This Row],[Class]]="C",WORKDAY(Main[[#This Row],[Tech Start Date]],23),IF(Main[[#This Row],[Class]]="B", WORKDAY(Main[[#This Row],[Tech Start Date]],15),IF(Main[[#This Row],[Class]]="A",WORKDAY(Main[[#This Row],[Tech Start Date]],5),""))))</f>
        <v/>
      </c>
      <c r="P856" s="75" t="str">
        <f>IF(Main[[#This Row],[Tech Start Date]]&lt;1/1/1990,"",IF(Main[[#This Row],[Class]]="C",WORKDAY(Main[[#This Row],[Tech Start Date]],28),IF(Main[[#This Row],[Class]]="B", WORKDAY(Main[[#This Row],[Tech Start Date]],19),IF(Main[[#This Row],[Class]]="A",WORKDAY(Main[[#This Row],[Tech Start Date]],9),""))))</f>
        <v/>
      </c>
      <c r="Q856" s="89">
        <v>40879</v>
      </c>
      <c r="R856" s="121"/>
      <c r="S856" s="99" t="s">
        <v>17</v>
      </c>
      <c r="T856" s="76" t="s">
        <v>4</v>
      </c>
      <c r="U856" s="99" t="s">
        <v>7</v>
      </c>
      <c r="V856" s="99" t="s">
        <v>1928</v>
      </c>
      <c r="W856" s="99" t="s">
        <v>4</v>
      </c>
      <c r="X856" s="99" t="s">
        <v>956</v>
      </c>
      <c r="Y856" s="73" t="s">
        <v>3088</v>
      </c>
      <c r="Z856" s="73" t="s">
        <v>4</v>
      </c>
      <c r="AA856" s="99" t="s">
        <v>956</v>
      </c>
    </row>
    <row r="857" spans="1:27" ht="17.25" customHeight="1">
      <c r="A857" s="65" t="str">
        <f>IF(priority(Main[[#This Row],[Comments]])&lt;&gt;0, priority(Main[[#This Row],[Comments]]),"")</f>
        <v/>
      </c>
      <c r="B857" s="60" t="s">
        <v>2007</v>
      </c>
      <c r="C857" s="105" t="s">
        <v>4</v>
      </c>
      <c r="D857" s="74" t="s">
        <v>2086</v>
      </c>
      <c r="E857" s="89">
        <v>40745.696377314816</v>
      </c>
      <c r="F857" s="89"/>
      <c r="G857" s="65" t="str">
        <f>IF(stdProdLT(Main[[#This Row],[Comments]])=0.1,"N/A",IF(stdProdLT(Main[[#This Row],[Comments]])=0,"",TRIM(stdProdLT(Main[[#This Row],[Comments]]))))</f>
        <v/>
      </c>
      <c r="H857" s="98" t="str">
        <f>IF(Main[[#This Row],[Std. Prod. Lead Time]]="N/A", "",IF(AND(Main[[#This Row],[In Stock Date]]&lt;&gt;"",Main[[#This Row],[Revised Due Date]]&lt;&gt;"",Main[[#This Row],[In Stock Date]]&lt;&gt;""),Main[[#This Row],[In Stock Date]]-Main[[#This Row],[Revised Due Date]],""))</f>
        <v/>
      </c>
      <c r="I857" s="110" t="s">
        <v>431</v>
      </c>
      <c r="J857" s="99" t="s">
        <v>21</v>
      </c>
      <c r="K857" s="99" t="s">
        <v>1922</v>
      </c>
      <c r="L857" s="89"/>
      <c r="M857" s="75" t="str">
        <f>IF(Main[[#This Row],[Tech Start Date]]&lt;1/1/1990,"",IF(Main[[#This Row],[Class]]="C",WORKDAY(Main[[#This Row],[Tech Start Date]],9),IF(Main[[#This Row],[Class]]="B", WORKDAY(Main[[#This Row],[Tech Start Date]],6),IF(Main[[#This Row],[Class]]="A",WORKDAY(Main[[#This Row],[Tech Start Date]],2),""))))</f>
        <v/>
      </c>
      <c r="N857" s="75" t="str">
        <f>IF(Main[[#This Row],[Tech Start Date]]&lt;1/1/1990,"",IF(Main[[#This Row],[Class]]="C",WORKDAY(Main[[#This Row],[Tech Start Date]],19),IF(Main[[#This Row],[Class]]="B", WORKDAY(Main[[#This Row],[Tech Start Date]],12),IF(Main[[#This Row],[Class]]="A",WORKDAY(Main[[#This Row],[Tech Start Date]],4),""))))</f>
        <v/>
      </c>
      <c r="O857" s="75" t="str">
        <f>IF(Main[[#This Row],[Tech Start Date]]&lt;1/1/1990,"",IF(Main[[#This Row],[Class]]="C",WORKDAY(Main[[#This Row],[Tech Start Date]],23),IF(Main[[#This Row],[Class]]="B", WORKDAY(Main[[#This Row],[Tech Start Date]],15),IF(Main[[#This Row],[Class]]="A",WORKDAY(Main[[#This Row],[Tech Start Date]],5),""))))</f>
        <v/>
      </c>
      <c r="P857" s="75" t="str">
        <f>IF(Main[[#This Row],[Tech Start Date]]&lt;1/1/1990,"",IF(Main[[#This Row],[Class]]="C",WORKDAY(Main[[#This Row],[Tech Start Date]],28),IF(Main[[#This Row],[Class]]="B", WORKDAY(Main[[#This Row],[Tech Start Date]],19),IF(Main[[#This Row],[Class]]="A",WORKDAY(Main[[#This Row],[Tech Start Date]],9),""))))</f>
        <v/>
      </c>
      <c r="Q857" s="89">
        <v>40786</v>
      </c>
      <c r="R857" s="121"/>
      <c r="S857" s="99" t="s">
        <v>6</v>
      </c>
      <c r="T857" s="76" t="s">
        <v>4</v>
      </c>
      <c r="U857" s="99" t="s">
        <v>29</v>
      </c>
      <c r="V857" s="99" t="s">
        <v>1916</v>
      </c>
      <c r="W857" s="99" t="s">
        <v>1917</v>
      </c>
      <c r="X857" s="99" t="s">
        <v>30</v>
      </c>
      <c r="Y857" s="73" t="s">
        <v>3089</v>
      </c>
      <c r="Z857" s="73" t="s">
        <v>44</v>
      </c>
      <c r="AA857" s="99" t="s">
        <v>3431</v>
      </c>
    </row>
    <row r="858" spans="1:27" ht="17.25" customHeight="1">
      <c r="A858" s="65" t="str">
        <f>IF(priority(Main[[#This Row],[Comments]])&lt;&gt;0, priority(Main[[#This Row],[Comments]]),"")</f>
        <v/>
      </c>
      <c r="B858" s="60" t="s">
        <v>2184</v>
      </c>
      <c r="C858" s="105" t="s">
        <v>4</v>
      </c>
      <c r="D858" s="74" t="s">
        <v>2185</v>
      </c>
      <c r="E858" s="89"/>
      <c r="F858" s="89"/>
      <c r="G858" s="65" t="str">
        <f>IF(stdProdLT(Main[[#This Row],[Comments]])=0.1,"N/A",IF(stdProdLT(Main[[#This Row],[Comments]])=0,"",TRIM(stdProdLT(Main[[#This Row],[Comments]]))))</f>
        <v/>
      </c>
      <c r="H858" s="98" t="str">
        <f>IF(Main[[#This Row],[Std. Prod. Lead Time]]="N/A", "",IF(AND(Main[[#This Row],[In Stock Date]]&lt;&gt;"",Main[[#This Row],[Revised Due Date]]&lt;&gt;"",Main[[#This Row],[In Stock Date]]&lt;&gt;""),Main[[#This Row],[In Stock Date]]-Main[[#This Row],[Revised Due Date]],""))</f>
        <v/>
      </c>
      <c r="I858" s="110" t="s">
        <v>4</v>
      </c>
      <c r="J858" s="99" t="s">
        <v>4</v>
      </c>
      <c r="K858" s="99" t="s">
        <v>4</v>
      </c>
      <c r="L858" s="89"/>
      <c r="M858" s="75" t="str">
        <f>IF(Main[[#This Row],[Tech Start Date]]&lt;1/1/1990,"",IF(Main[[#This Row],[Class]]="C",WORKDAY(Main[[#This Row],[Tech Start Date]],9),IF(Main[[#This Row],[Class]]="B", WORKDAY(Main[[#This Row],[Tech Start Date]],6),IF(Main[[#This Row],[Class]]="A",WORKDAY(Main[[#This Row],[Tech Start Date]],2),""))))</f>
        <v/>
      </c>
      <c r="N858" s="75" t="str">
        <f>IF(Main[[#This Row],[Tech Start Date]]&lt;1/1/1990,"",IF(Main[[#This Row],[Class]]="C",WORKDAY(Main[[#This Row],[Tech Start Date]],19),IF(Main[[#This Row],[Class]]="B", WORKDAY(Main[[#This Row],[Tech Start Date]],12),IF(Main[[#This Row],[Class]]="A",WORKDAY(Main[[#This Row],[Tech Start Date]],4),""))))</f>
        <v/>
      </c>
      <c r="O858" s="75" t="str">
        <f>IF(Main[[#This Row],[Tech Start Date]]&lt;1/1/1990,"",IF(Main[[#This Row],[Class]]="C",WORKDAY(Main[[#This Row],[Tech Start Date]],23),IF(Main[[#This Row],[Class]]="B", WORKDAY(Main[[#This Row],[Tech Start Date]],15),IF(Main[[#This Row],[Class]]="A",WORKDAY(Main[[#This Row],[Tech Start Date]],5),""))))</f>
        <v/>
      </c>
      <c r="P858" s="75" t="str">
        <f>IF(Main[[#This Row],[Tech Start Date]]&lt;1/1/1990,"",IF(Main[[#This Row],[Class]]="C",WORKDAY(Main[[#This Row],[Tech Start Date]],28),IF(Main[[#This Row],[Class]]="B", WORKDAY(Main[[#This Row],[Tech Start Date]],19),IF(Main[[#This Row],[Class]]="A",WORKDAY(Main[[#This Row],[Tech Start Date]],9),""))))</f>
        <v/>
      </c>
      <c r="Q858" s="89">
        <v>40798</v>
      </c>
      <c r="R858" s="121"/>
      <c r="S858" s="99" t="s">
        <v>49</v>
      </c>
      <c r="T858" s="76" t="s">
        <v>4</v>
      </c>
      <c r="U858" s="99" t="s">
        <v>14</v>
      </c>
      <c r="V858" s="99" t="s">
        <v>1923</v>
      </c>
      <c r="W858" s="99" t="s">
        <v>1921</v>
      </c>
      <c r="X858" s="99" t="s">
        <v>2900</v>
      </c>
      <c r="Y858" s="73" t="s">
        <v>3090</v>
      </c>
      <c r="Z858" s="73" t="s">
        <v>4</v>
      </c>
      <c r="AA858" s="99" t="s">
        <v>2900</v>
      </c>
    </row>
    <row r="859" spans="1:27" ht="17.25" customHeight="1">
      <c r="A859" s="65" t="str">
        <f>IF(priority(Main[[#This Row],[Comments]])&lt;&gt;0, priority(Main[[#This Row],[Comments]]),"")</f>
        <v/>
      </c>
      <c r="B859" s="60" t="s">
        <v>1676</v>
      </c>
      <c r="C859" s="105" t="s">
        <v>72</v>
      </c>
      <c r="D859" s="74" t="s">
        <v>735</v>
      </c>
      <c r="E859" s="89"/>
      <c r="F859" s="89"/>
      <c r="G859" s="65" t="str">
        <f>IF(stdProdLT(Main[[#This Row],[Comments]])=0.1,"N/A",IF(stdProdLT(Main[[#This Row],[Comments]])=0,"",TRIM(stdProdLT(Main[[#This Row],[Comments]]))))</f>
        <v/>
      </c>
      <c r="H859" s="98" t="str">
        <f>IF(Main[[#This Row],[Std. Prod. Lead Time]]="N/A", "",IF(AND(Main[[#This Row],[In Stock Date]]&lt;&gt;"",Main[[#This Row],[Revised Due Date]]&lt;&gt;"",Main[[#This Row],[In Stock Date]]&lt;&gt;""),Main[[#This Row],[In Stock Date]]-Main[[#This Row],[Revised Due Date]],""))</f>
        <v/>
      </c>
      <c r="I859" s="110" t="s">
        <v>4</v>
      </c>
      <c r="J859" s="99" t="s">
        <v>28</v>
      </c>
      <c r="K859" s="99" t="s">
        <v>1922</v>
      </c>
      <c r="L859" s="89"/>
      <c r="M859" s="75" t="str">
        <f>IF(Main[[#This Row],[Tech Start Date]]&lt;1/1/1990,"",IF(Main[[#This Row],[Class]]="C",WORKDAY(Main[[#This Row],[Tech Start Date]],9),IF(Main[[#This Row],[Class]]="B", WORKDAY(Main[[#This Row],[Tech Start Date]],6),IF(Main[[#This Row],[Class]]="A",WORKDAY(Main[[#This Row],[Tech Start Date]],2),""))))</f>
        <v/>
      </c>
      <c r="N859" s="75" t="str">
        <f>IF(Main[[#This Row],[Tech Start Date]]&lt;1/1/1990,"",IF(Main[[#This Row],[Class]]="C",WORKDAY(Main[[#This Row],[Tech Start Date]],19),IF(Main[[#This Row],[Class]]="B", WORKDAY(Main[[#This Row],[Tech Start Date]],12),IF(Main[[#This Row],[Class]]="A",WORKDAY(Main[[#This Row],[Tech Start Date]],4),""))))</f>
        <v/>
      </c>
      <c r="O859" s="75" t="str">
        <f>IF(Main[[#This Row],[Tech Start Date]]&lt;1/1/1990,"",IF(Main[[#This Row],[Class]]="C",WORKDAY(Main[[#This Row],[Tech Start Date]],23),IF(Main[[#This Row],[Class]]="B", WORKDAY(Main[[#This Row],[Tech Start Date]],15),IF(Main[[#This Row],[Class]]="A",WORKDAY(Main[[#This Row],[Tech Start Date]],5),""))))</f>
        <v/>
      </c>
      <c r="P859" s="75" t="str">
        <f>IF(Main[[#This Row],[Tech Start Date]]&lt;1/1/1990,"",IF(Main[[#This Row],[Class]]="C",WORKDAY(Main[[#This Row],[Tech Start Date]],28),IF(Main[[#This Row],[Class]]="B", WORKDAY(Main[[#This Row],[Tech Start Date]],19),IF(Main[[#This Row],[Class]]="A",WORKDAY(Main[[#This Row],[Tech Start Date]],9),""))))</f>
        <v/>
      </c>
      <c r="Q859" s="89"/>
      <c r="R859" s="121"/>
      <c r="S859" s="99" t="s">
        <v>6</v>
      </c>
      <c r="T859" s="76" t="s">
        <v>4</v>
      </c>
      <c r="U859" s="99" t="s">
        <v>14</v>
      </c>
      <c r="V859" s="99" t="s">
        <v>1916</v>
      </c>
      <c r="W859" s="99" t="s">
        <v>1915</v>
      </c>
      <c r="X859" s="99" t="s">
        <v>2841</v>
      </c>
      <c r="Y859" s="73" t="s">
        <v>2972</v>
      </c>
      <c r="Z859" s="73" t="s">
        <v>530</v>
      </c>
      <c r="AA859" s="99" t="s">
        <v>2841</v>
      </c>
    </row>
    <row r="860" spans="1:27" ht="17.25" customHeight="1">
      <c r="A860" s="65" t="str">
        <f>IF(priority(Main[[#This Row],[Comments]])&lt;&gt;0, priority(Main[[#This Row],[Comments]]),"")</f>
        <v/>
      </c>
      <c r="B860" s="60" t="s">
        <v>1677</v>
      </c>
      <c r="C860" s="105" t="s">
        <v>4</v>
      </c>
      <c r="D860" s="74" t="s">
        <v>39</v>
      </c>
      <c r="E860" s="89"/>
      <c r="F860" s="89"/>
      <c r="G860" s="65" t="str">
        <f>IF(stdProdLT(Main[[#This Row],[Comments]])=0.1,"N/A",IF(stdProdLT(Main[[#This Row],[Comments]])=0,"",TRIM(stdProdLT(Main[[#This Row],[Comments]]))))</f>
        <v/>
      </c>
      <c r="H860" s="98" t="str">
        <f>IF(Main[[#This Row],[Std. Prod. Lead Time]]="N/A", "",IF(AND(Main[[#This Row],[In Stock Date]]&lt;&gt;"",Main[[#This Row],[Revised Due Date]]&lt;&gt;"",Main[[#This Row],[In Stock Date]]&lt;&gt;""),Main[[#This Row],[In Stock Date]]-Main[[#This Row],[Revised Due Date]],""))</f>
        <v/>
      </c>
      <c r="I860" s="110" t="s">
        <v>4</v>
      </c>
      <c r="J860" s="99" t="s">
        <v>4</v>
      </c>
      <c r="K860" s="100" t="s">
        <v>4</v>
      </c>
      <c r="L860" s="89"/>
      <c r="M860" s="75" t="str">
        <f>IF(Main[[#This Row],[Tech Start Date]]&lt;1/1/1990,"",IF(Main[[#This Row],[Class]]="C",WORKDAY(Main[[#This Row],[Tech Start Date]],9),IF(Main[[#This Row],[Class]]="B", WORKDAY(Main[[#This Row],[Tech Start Date]],6),IF(Main[[#This Row],[Class]]="A",WORKDAY(Main[[#This Row],[Tech Start Date]],2),""))))</f>
        <v/>
      </c>
      <c r="N860" s="75" t="str">
        <f>IF(Main[[#This Row],[Tech Start Date]]&lt;1/1/1990,"",IF(Main[[#This Row],[Class]]="C",WORKDAY(Main[[#This Row],[Tech Start Date]],19),IF(Main[[#This Row],[Class]]="B", WORKDAY(Main[[#This Row],[Tech Start Date]],12),IF(Main[[#This Row],[Class]]="A",WORKDAY(Main[[#This Row],[Tech Start Date]],4),""))))</f>
        <v/>
      </c>
      <c r="O860" s="75" t="str">
        <f>IF(Main[[#This Row],[Tech Start Date]]&lt;1/1/1990,"",IF(Main[[#This Row],[Class]]="C",WORKDAY(Main[[#This Row],[Tech Start Date]],23),IF(Main[[#This Row],[Class]]="B", WORKDAY(Main[[#This Row],[Tech Start Date]],15),IF(Main[[#This Row],[Class]]="A",WORKDAY(Main[[#This Row],[Tech Start Date]],5),""))))</f>
        <v/>
      </c>
      <c r="P860" s="75" t="str">
        <f>IF(Main[[#This Row],[Tech Start Date]]&lt;1/1/1990,"",IF(Main[[#This Row],[Class]]="C",WORKDAY(Main[[#This Row],[Tech Start Date]],28),IF(Main[[#This Row],[Class]]="B", WORKDAY(Main[[#This Row],[Tech Start Date]],19),IF(Main[[#This Row],[Class]]="A",WORKDAY(Main[[#This Row],[Tech Start Date]],9),""))))</f>
        <v/>
      </c>
      <c r="Q860" s="89">
        <v>40669</v>
      </c>
      <c r="R860" s="121"/>
      <c r="S860" s="99" t="s">
        <v>6</v>
      </c>
      <c r="T860" s="76" t="s">
        <v>4</v>
      </c>
      <c r="U860" s="99" t="s">
        <v>14</v>
      </c>
      <c r="V860" s="99" t="s">
        <v>1916</v>
      </c>
      <c r="W860" s="99" t="s">
        <v>4</v>
      </c>
      <c r="X860" s="99" t="s">
        <v>2812</v>
      </c>
      <c r="Y860" s="73" t="s">
        <v>2923</v>
      </c>
      <c r="Z860" s="73" t="s">
        <v>4</v>
      </c>
      <c r="AA860" s="99" t="s">
        <v>2812</v>
      </c>
    </row>
    <row r="861" spans="1:27" ht="17.25" customHeight="1">
      <c r="A861" s="65" t="str">
        <f>IF(priority(Main[[#This Row],[Comments]])&lt;&gt;0, priority(Main[[#This Row],[Comments]]),"")</f>
        <v/>
      </c>
      <c r="B861" s="60" t="s">
        <v>1658</v>
      </c>
      <c r="C861" s="105" t="s">
        <v>72</v>
      </c>
      <c r="D861" s="74" t="s">
        <v>723</v>
      </c>
      <c r="E861" s="89"/>
      <c r="F861" s="89"/>
      <c r="G861" s="65" t="str">
        <f>IF(stdProdLT(Main[[#This Row],[Comments]])=0.1,"N/A",IF(stdProdLT(Main[[#This Row],[Comments]])=0,"",TRIM(stdProdLT(Main[[#This Row],[Comments]]))))</f>
        <v/>
      </c>
      <c r="H861" s="98" t="str">
        <f>IF(Main[[#This Row],[Std. Prod. Lead Time]]="N/A", "",IF(AND(Main[[#This Row],[In Stock Date]]&lt;&gt;"",Main[[#This Row],[Revised Due Date]]&lt;&gt;"",Main[[#This Row],[In Stock Date]]&lt;&gt;""),Main[[#This Row],[In Stock Date]]-Main[[#This Row],[Revised Due Date]],""))</f>
        <v/>
      </c>
      <c r="I861" s="110" t="s">
        <v>4</v>
      </c>
      <c r="J861" s="99" t="s">
        <v>4</v>
      </c>
      <c r="K861" s="99" t="s">
        <v>4</v>
      </c>
      <c r="L861" s="89"/>
      <c r="M861" s="75" t="str">
        <f>IF(Main[[#This Row],[Tech Start Date]]&lt;1/1/1990,"",IF(Main[[#This Row],[Class]]="C",WORKDAY(Main[[#This Row],[Tech Start Date]],9),IF(Main[[#This Row],[Class]]="B", WORKDAY(Main[[#This Row],[Tech Start Date]],6),IF(Main[[#This Row],[Class]]="A",WORKDAY(Main[[#This Row],[Tech Start Date]],2),""))))</f>
        <v/>
      </c>
      <c r="N861" s="75" t="str">
        <f>IF(Main[[#This Row],[Tech Start Date]]&lt;1/1/1990,"",IF(Main[[#This Row],[Class]]="C",WORKDAY(Main[[#This Row],[Tech Start Date]],19),IF(Main[[#This Row],[Class]]="B", WORKDAY(Main[[#This Row],[Tech Start Date]],12),IF(Main[[#This Row],[Class]]="A",WORKDAY(Main[[#This Row],[Tech Start Date]],4),""))))</f>
        <v/>
      </c>
      <c r="O861" s="75" t="str">
        <f>IF(Main[[#This Row],[Tech Start Date]]&lt;1/1/1990,"",IF(Main[[#This Row],[Class]]="C",WORKDAY(Main[[#This Row],[Tech Start Date]],23),IF(Main[[#This Row],[Class]]="B", WORKDAY(Main[[#This Row],[Tech Start Date]],15),IF(Main[[#This Row],[Class]]="A",WORKDAY(Main[[#This Row],[Tech Start Date]],5),""))))</f>
        <v/>
      </c>
      <c r="P861" s="75" t="str">
        <f>IF(Main[[#This Row],[Tech Start Date]]&lt;1/1/1990,"",IF(Main[[#This Row],[Class]]="C",WORKDAY(Main[[#This Row],[Tech Start Date]],28),IF(Main[[#This Row],[Class]]="B", WORKDAY(Main[[#This Row],[Tech Start Date]],19),IF(Main[[#This Row],[Class]]="A",WORKDAY(Main[[#This Row],[Tech Start Date]],9),""))))</f>
        <v/>
      </c>
      <c r="Q861" s="89"/>
      <c r="R861" s="121"/>
      <c r="S861" s="99" t="s">
        <v>11</v>
      </c>
      <c r="T861" s="76" t="s">
        <v>4</v>
      </c>
      <c r="U861" s="99" t="s">
        <v>14</v>
      </c>
      <c r="V861" s="99" t="s">
        <v>1914</v>
      </c>
      <c r="W861" s="99" t="s">
        <v>1921</v>
      </c>
      <c r="X861" s="99" t="s">
        <v>2821</v>
      </c>
      <c r="Y861" s="73" t="s">
        <v>2942</v>
      </c>
      <c r="Z861" s="73" t="s">
        <v>4</v>
      </c>
      <c r="AA861" s="99" t="s">
        <v>2821</v>
      </c>
    </row>
    <row r="862" spans="1:27" ht="17.25" customHeight="1">
      <c r="A862" s="65" t="str">
        <f>IF(priority(Main[[#This Row],[Comments]])&lt;&gt;0, priority(Main[[#This Row],[Comments]]),"")</f>
        <v/>
      </c>
      <c r="B862" s="60" t="s">
        <v>2159</v>
      </c>
      <c r="C862" s="105" t="s">
        <v>4</v>
      </c>
      <c r="D862" s="74" t="s">
        <v>2383</v>
      </c>
      <c r="E862" s="89">
        <v>40780.672893518517</v>
      </c>
      <c r="F862" s="89"/>
      <c r="G862" s="65" t="str">
        <f>IF(stdProdLT(Main[[#This Row],[Comments]])=0.1,"N/A",IF(stdProdLT(Main[[#This Row],[Comments]])=0,"",TRIM(stdProdLT(Main[[#This Row],[Comments]]))))</f>
        <v/>
      </c>
      <c r="H862" s="98" t="str">
        <f>IF(Main[[#This Row],[Std. Prod. Lead Time]]="N/A", "",IF(AND(Main[[#This Row],[In Stock Date]]&lt;&gt;"",Main[[#This Row],[Revised Due Date]]&lt;&gt;"",Main[[#This Row],[In Stock Date]]&lt;&gt;""),Main[[#This Row],[In Stock Date]]-Main[[#This Row],[Revised Due Date]],""))</f>
        <v/>
      </c>
      <c r="I862" s="110" t="s">
        <v>912</v>
      </c>
      <c r="J862" s="99" t="s">
        <v>52</v>
      </c>
      <c r="K862" s="99" t="s">
        <v>4</v>
      </c>
      <c r="L862" s="89"/>
      <c r="M862" s="75" t="str">
        <f>IF(Main[[#This Row],[Tech Start Date]]&lt;1/1/1990,"",IF(Main[[#This Row],[Class]]="C",WORKDAY(Main[[#This Row],[Tech Start Date]],9),IF(Main[[#This Row],[Class]]="B", WORKDAY(Main[[#This Row],[Tech Start Date]],6),IF(Main[[#This Row],[Class]]="A",WORKDAY(Main[[#This Row],[Tech Start Date]],2),""))))</f>
        <v/>
      </c>
      <c r="N862" s="75" t="str">
        <f>IF(Main[[#This Row],[Tech Start Date]]&lt;1/1/1990,"",IF(Main[[#This Row],[Class]]="C",WORKDAY(Main[[#This Row],[Tech Start Date]],19),IF(Main[[#This Row],[Class]]="B", WORKDAY(Main[[#This Row],[Tech Start Date]],12),IF(Main[[#This Row],[Class]]="A",WORKDAY(Main[[#This Row],[Tech Start Date]],4),""))))</f>
        <v/>
      </c>
      <c r="O862" s="75" t="str">
        <f>IF(Main[[#This Row],[Tech Start Date]]&lt;1/1/1990,"",IF(Main[[#This Row],[Class]]="C",WORKDAY(Main[[#This Row],[Tech Start Date]],23),IF(Main[[#This Row],[Class]]="B", WORKDAY(Main[[#This Row],[Tech Start Date]],15),IF(Main[[#This Row],[Class]]="A",WORKDAY(Main[[#This Row],[Tech Start Date]],5),""))))</f>
        <v/>
      </c>
      <c r="P862" s="75" t="str">
        <f>IF(Main[[#This Row],[Tech Start Date]]&lt;1/1/1990,"",IF(Main[[#This Row],[Class]]="C",WORKDAY(Main[[#This Row],[Tech Start Date]],28),IF(Main[[#This Row],[Class]]="B", WORKDAY(Main[[#This Row],[Tech Start Date]],19),IF(Main[[#This Row],[Class]]="A",WORKDAY(Main[[#This Row],[Tech Start Date]],9),""))))</f>
        <v/>
      </c>
      <c r="Q862" s="89">
        <v>40794</v>
      </c>
      <c r="R862" s="121"/>
      <c r="S862" s="99" t="s">
        <v>6</v>
      </c>
      <c r="T862" s="76" t="s">
        <v>4</v>
      </c>
      <c r="U862" s="99" t="s">
        <v>29</v>
      </c>
      <c r="V862" s="99" t="s">
        <v>1913</v>
      </c>
      <c r="W862" s="99" t="s">
        <v>1921</v>
      </c>
      <c r="X862" s="99" t="s">
        <v>2815</v>
      </c>
      <c r="Y862" s="73" t="s">
        <v>2930</v>
      </c>
      <c r="Z862" s="73" t="s">
        <v>129</v>
      </c>
      <c r="AA862" s="99" t="s">
        <v>2815</v>
      </c>
    </row>
    <row r="863" spans="1:27" ht="17.25" customHeight="1">
      <c r="A863" s="65" t="str">
        <f>IF(priority(Main[[#This Row],[Comments]])&lt;&gt;0, priority(Main[[#This Row],[Comments]]),"")</f>
        <v/>
      </c>
      <c r="B863" s="60" t="s">
        <v>1659</v>
      </c>
      <c r="C863" s="105" t="s">
        <v>4</v>
      </c>
      <c r="D863" s="74" t="s">
        <v>724</v>
      </c>
      <c r="E863" s="89"/>
      <c r="F863" s="89"/>
      <c r="G863" s="65" t="str">
        <f>IF(stdProdLT(Main[[#This Row],[Comments]])=0.1,"N/A",IF(stdProdLT(Main[[#This Row],[Comments]])=0,"",TRIM(stdProdLT(Main[[#This Row],[Comments]]))))</f>
        <v/>
      </c>
      <c r="H863" s="98" t="str">
        <f>IF(Main[[#This Row],[Std. Prod. Lead Time]]="N/A", "",IF(AND(Main[[#This Row],[In Stock Date]]&lt;&gt;"",Main[[#This Row],[Revised Due Date]]&lt;&gt;"",Main[[#This Row],[In Stock Date]]&lt;&gt;""),Main[[#This Row],[In Stock Date]]-Main[[#This Row],[Revised Due Date]],""))</f>
        <v/>
      </c>
      <c r="I863" s="110" t="s">
        <v>4</v>
      </c>
      <c r="J863" s="99" t="s">
        <v>4</v>
      </c>
      <c r="K863" s="99" t="s">
        <v>4</v>
      </c>
      <c r="L863" s="89"/>
      <c r="M863" s="75" t="str">
        <f>IF(Main[[#This Row],[Tech Start Date]]&lt;1/1/1990,"",IF(Main[[#This Row],[Class]]="C",WORKDAY(Main[[#This Row],[Tech Start Date]],9),IF(Main[[#This Row],[Class]]="B", WORKDAY(Main[[#This Row],[Tech Start Date]],6),IF(Main[[#This Row],[Class]]="A",WORKDAY(Main[[#This Row],[Tech Start Date]],2),""))))</f>
        <v/>
      </c>
      <c r="N863" s="75" t="str">
        <f>IF(Main[[#This Row],[Tech Start Date]]&lt;1/1/1990,"",IF(Main[[#This Row],[Class]]="C",WORKDAY(Main[[#This Row],[Tech Start Date]],19),IF(Main[[#This Row],[Class]]="B", WORKDAY(Main[[#This Row],[Tech Start Date]],12),IF(Main[[#This Row],[Class]]="A",WORKDAY(Main[[#This Row],[Tech Start Date]],4),""))))</f>
        <v/>
      </c>
      <c r="O863" s="75" t="str">
        <f>IF(Main[[#This Row],[Tech Start Date]]&lt;1/1/1990,"",IF(Main[[#This Row],[Class]]="C",WORKDAY(Main[[#This Row],[Tech Start Date]],23),IF(Main[[#This Row],[Class]]="B", WORKDAY(Main[[#This Row],[Tech Start Date]],15),IF(Main[[#This Row],[Class]]="A",WORKDAY(Main[[#This Row],[Tech Start Date]],5),""))))</f>
        <v/>
      </c>
      <c r="P863" s="75" t="str">
        <f>IF(Main[[#This Row],[Tech Start Date]]&lt;1/1/1990,"",IF(Main[[#This Row],[Class]]="C",WORKDAY(Main[[#This Row],[Tech Start Date]],28),IF(Main[[#This Row],[Class]]="B", WORKDAY(Main[[#This Row],[Tech Start Date]],19),IF(Main[[#This Row],[Class]]="A",WORKDAY(Main[[#This Row],[Tech Start Date]],9),""))))</f>
        <v/>
      </c>
      <c r="Q863" s="89">
        <v>40403</v>
      </c>
      <c r="R863" s="121"/>
      <c r="S863" s="99" t="s">
        <v>17</v>
      </c>
      <c r="T863" s="76" t="s">
        <v>4</v>
      </c>
      <c r="U863" s="99" t="s">
        <v>14</v>
      </c>
      <c r="V863" s="99" t="s">
        <v>1913</v>
      </c>
      <c r="W863" s="99" t="s">
        <v>1921</v>
      </c>
      <c r="X863" s="99" t="s">
        <v>129</v>
      </c>
      <c r="Y863" s="73" t="s">
        <v>4</v>
      </c>
      <c r="Z863" s="73" t="s">
        <v>4</v>
      </c>
      <c r="AA863" s="99" t="s">
        <v>2822</v>
      </c>
    </row>
    <row r="864" spans="1:27" ht="17.25" customHeight="1">
      <c r="A864" s="65" t="str">
        <f>IF(priority(Main[[#This Row],[Comments]])&lt;&gt;0, priority(Main[[#This Row],[Comments]]),"")</f>
        <v/>
      </c>
      <c r="B864" s="60" t="s">
        <v>1660</v>
      </c>
      <c r="C864" s="105" t="s">
        <v>58</v>
      </c>
      <c r="D864" s="74" t="s">
        <v>202</v>
      </c>
      <c r="E864" s="89"/>
      <c r="F864" s="89">
        <v>40697</v>
      </c>
      <c r="G864" s="65" t="str">
        <f>IF(stdProdLT(Main[[#This Row],[Comments]])=0.1,"N/A",IF(stdProdLT(Main[[#This Row],[Comments]])=0,"",TRIM(stdProdLT(Main[[#This Row],[Comments]]))))</f>
        <v/>
      </c>
      <c r="H864" s="98" t="str">
        <f>IF(Main[[#This Row],[Std. Prod. Lead Time]]="N/A", "",IF(AND(Main[[#This Row],[In Stock Date]]&lt;&gt;"",Main[[#This Row],[Revised Due Date]]&lt;&gt;"",Main[[#This Row],[In Stock Date]]&lt;&gt;""),Main[[#This Row],[In Stock Date]]-Main[[#This Row],[Revised Due Date]],""))</f>
        <v/>
      </c>
      <c r="I864" s="110" t="s">
        <v>4</v>
      </c>
      <c r="J864" s="99" t="s">
        <v>4</v>
      </c>
      <c r="K864" s="100" t="s">
        <v>4</v>
      </c>
      <c r="L864" s="89"/>
      <c r="M864" s="75" t="str">
        <f>IF(Main[[#This Row],[Tech Start Date]]&lt;1/1/1990,"",IF(Main[[#This Row],[Class]]="C",WORKDAY(Main[[#This Row],[Tech Start Date]],9),IF(Main[[#This Row],[Class]]="B", WORKDAY(Main[[#This Row],[Tech Start Date]],6),IF(Main[[#This Row],[Class]]="A",WORKDAY(Main[[#This Row],[Tech Start Date]],2),""))))</f>
        <v/>
      </c>
      <c r="N864" s="75" t="str">
        <f>IF(Main[[#This Row],[Tech Start Date]]&lt;1/1/1990,"",IF(Main[[#This Row],[Class]]="C",WORKDAY(Main[[#This Row],[Tech Start Date]],19),IF(Main[[#This Row],[Class]]="B", WORKDAY(Main[[#This Row],[Tech Start Date]],12),IF(Main[[#This Row],[Class]]="A",WORKDAY(Main[[#This Row],[Tech Start Date]],4),""))))</f>
        <v/>
      </c>
      <c r="O864" s="75" t="str">
        <f>IF(Main[[#This Row],[Tech Start Date]]&lt;1/1/1990,"",IF(Main[[#This Row],[Class]]="C",WORKDAY(Main[[#This Row],[Tech Start Date]],23),IF(Main[[#This Row],[Class]]="B", WORKDAY(Main[[#This Row],[Tech Start Date]],15),IF(Main[[#This Row],[Class]]="A",WORKDAY(Main[[#This Row],[Tech Start Date]],5),""))))</f>
        <v/>
      </c>
      <c r="P864" s="75" t="str">
        <f>IF(Main[[#This Row],[Tech Start Date]]&lt;1/1/1990,"",IF(Main[[#This Row],[Class]]="C",WORKDAY(Main[[#This Row],[Tech Start Date]],28),IF(Main[[#This Row],[Class]]="B", WORKDAY(Main[[#This Row],[Tech Start Date]],19),IF(Main[[#This Row],[Class]]="A",WORKDAY(Main[[#This Row],[Tech Start Date]],9),""))))</f>
        <v/>
      </c>
      <c r="Q864" s="89">
        <v>40539</v>
      </c>
      <c r="R864" s="121"/>
      <c r="S864" s="99" t="s">
        <v>11</v>
      </c>
      <c r="T864" s="76" t="s">
        <v>4</v>
      </c>
      <c r="U864" s="99" t="s">
        <v>14</v>
      </c>
      <c r="V864" s="99" t="s">
        <v>1913</v>
      </c>
      <c r="W864" s="99" t="s">
        <v>1919</v>
      </c>
      <c r="X864" s="99" t="s">
        <v>2823</v>
      </c>
      <c r="Y864" s="73" t="s">
        <v>2945</v>
      </c>
      <c r="Z864" s="73" t="s">
        <v>4</v>
      </c>
      <c r="AA864" s="99" t="s">
        <v>2823</v>
      </c>
    </row>
    <row r="865" spans="1:27" ht="17.25" customHeight="1">
      <c r="A865" s="65" t="str">
        <f>IF(priority(Main[[#This Row],[Comments]])&lt;&gt;0, priority(Main[[#This Row],[Comments]]),"")</f>
        <v/>
      </c>
      <c r="B865" s="60" t="s">
        <v>1663</v>
      </c>
      <c r="C865" s="105" t="s">
        <v>726</v>
      </c>
      <c r="D865" s="74" t="s">
        <v>727</v>
      </c>
      <c r="E865" s="89"/>
      <c r="F865" s="89">
        <v>40633</v>
      </c>
      <c r="G865" s="65" t="str">
        <f>IF(stdProdLT(Main[[#This Row],[Comments]])=0.1,"N/A",IF(stdProdLT(Main[[#This Row],[Comments]])=0,"",TRIM(stdProdLT(Main[[#This Row],[Comments]]))))</f>
        <v/>
      </c>
      <c r="H865" s="98" t="str">
        <f>IF(Main[[#This Row],[Std. Prod. Lead Time]]="N/A", "",IF(AND(Main[[#This Row],[In Stock Date]]&lt;&gt;"",Main[[#This Row],[Revised Due Date]]&lt;&gt;"",Main[[#This Row],[In Stock Date]]&lt;&gt;""),Main[[#This Row],[In Stock Date]]-Main[[#This Row],[Revised Due Date]],""))</f>
        <v/>
      </c>
      <c r="I865" s="110" t="s">
        <v>4</v>
      </c>
      <c r="J865" s="99" t="s">
        <v>4</v>
      </c>
      <c r="K865" s="99" t="s">
        <v>4</v>
      </c>
      <c r="L865" s="89"/>
      <c r="M865" s="75" t="str">
        <f>IF(Main[[#This Row],[Tech Start Date]]&lt;1/1/1990,"",IF(Main[[#This Row],[Class]]="C",WORKDAY(Main[[#This Row],[Tech Start Date]],9),IF(Main[[#This Row],[Class]]="B", WORKDAY(Main[[#This Row],[Tech Start Date]],6),IF(Main[[#This Row],[Class]]="A",WORKDAY(Main[[#This Row],[Tech Start Date]],2),""))))</f>
        <v/>
      </c>
      <c r="N865" s="75" t="str">
        <f>IF(Main[[#This Row],[Tech Start Date]]&lt;1/1/1990,"",IF(Main[[#This Row],[Class]]="C",WORKDAY(Main[[#This Row],[Tech Start Date]],19),IF(Main[[#This Row],[Class]]="B", WORKDAY(Main[[#This Row],[Tech Start Date]],12),IF(Main[[#This Row],[Class]]="A",WORKDAY(Main[[#This Row],[Tech Start Date]],4),""))))</f>
        <v/>
      </c>
      <c r="O865" s="75" t="str">
        <f>IF(Main[[#This Row],[Tech Start Date]]&lt;1/1/1990,"",IF(Main[[#This Row],[Class]]="C",WORKDAY(Main[[#This Row],[Tech Start Date]],23),IF(Main[[#This Row],[Class]]="B", WORKDAY(Main[[#This Row],[Tech Start Date]],15),IF(Main[[#This Row],[Class]]="A",WORKDAY(Main[[#This Row],[Tech Start Date]],5),""))))</f>
        <v/>
      </c>
      <c r="P865" s="75" t="str">
        <f>IF(Main[[#This Row],[Tech Start Date]]&lt;1/1/1990,"",IF(Main[[#This Row],[Class]]="C",WORKDAY(Main[[#This Row],[Tech Start Date]],28),IF(Main[[#This Row],[Class]]="B", WORKDAY(Main[[#This Row],[Tech Start Date]],19),IF(Main[[#This Row],[Class]]="A",WORKDAY(Main[[#This Row],[Tech Start Date]],9),""))))</f>
        <v/>
      </c>
      <c r="Q865" s="89">
        <v>40623</v>
      </c>
      <c r="R865" s="121"/>
      <c r="S865" s="99" t="s">
        <v>11</v>
      </c>
      <c r="T865" s="76" t="s">
        <v>4</v>
      </c>
      <c r="U865" s="99" t="s">
        <v>14</v>
      </c>
      <c r="V865" s="99" t="s">
        <v>1914</v>
      </c>
      <c r="W865" s="99" t="s">
        <v>1921</v>
      </c>
      <c r="X865" s="99" t="s">
        <v>2857</v>
      </c>
      <c r="Y865" s="73" t="s">
        <v>4</v>
      </c>
      <c r="Z865" s="73" t="s">
        <v>4</v>
      </c>
      <c r="AA865" s="99" t="s">
        <v>2857</v>
      </c>
    </row>
    <row r="866" spans="1:27" ht="17.25" customHeight="1">
      <c r="A866" s="65" t="str">
        <f>IF(priority(Main[[#This Row],[Comments]])&lt;&gt;0, priority(Main[[#This Row],[Comments]]),"")</f>
        <v/>
      </c>
      <c r="B866" s="60" t="s">
        <v>1665</v>
      </c>
      <c r="C866" s="105" t="s">
        <v>4</v>
      </c>
      <c r="D866" s="74" t="s">
        <v>97</v>
      </c>
      <c r="E866" s="89"/>
      <c r="F866" s="89"/>
      <c r="G866" s="65" t="str">
        <f>IF(stdProdLT(Main[[#This Row],[Comments]])=0.1,"N/A",IF(stdProdLT(Main[[#This Row],[Comments]])=0,"",TRIM(stdProdLT(Main[[#This Row],[Comments]]))))</f>
        <v/>
      </c>
      <c r="H866" s="98" t="str">
        <f>IF(Main[[#This Row],[Std. Prod. Lead Time]]="N/A", "",IF(AND(Main[[#This Row],[In Stock Date]]&lt;&gt;"",Main[[#This Row],[Revised Due Date]]&lt;&gt;"",Main[[#This Row],[In Stock Date]]&lt;&gt;""),Main[[#This Row],[In Stock Date]]-Main[[#This Row],[Revised Due Date]],""))</f>
        <v/>
      </c>
      <c r="I866" s="110" t="s">
        <v>4</v>
      </c>
      <c r="J866" s="99" t="s">
        <v>4</v>
      </c>
      <c r="K866" s="99" t="s">
        <v>4</v>
      </c>
      <c r="L866" s="89"/>
      <c r="M866" s="75" t="str">
        <f>IF(Main[[#This Row],[Tech Start Date]]&lt;1/1/1990,"",IF(Main[[#This Row],[Class]]="C",WORKDAY(Main[[#This Row],[Tech Start Date]],9),IF(Main[[#This Row],[Class]]="B", WORKDAY(Main[[#This Row],[Tech Start Date]],6),IF(Main[[#This Row],[Class]]="A",WORKDAY(Main[[#This Row],[Tech Start Date]],2),""))))</f>
        <v/>
      </c>
      <c r="N866" s="75" t="str">
        <f>IF(Main[[#This Row],[Tech Start Date]]&lt;1/1/1990,"",IF(Main[[#This Row],[Class]]="C",WORKDAY(Main[[#This Row],[Tech Start Date]],19),IF(Main[[#This Row],[Class]]="B", WORKDAY(Main[[#This Row],[Tech Start Date]],12),IF(Main[[#This Row],[Class]]="A",WORKDAY(Main[[#This Row],[Tech Start Date]],4),""))))</f>
        <v/>
      </c>
      <c r="O866" s="75" t="str">
        <f>IF(Main[[#This Row],[Tech Start Date]]&lt;1/1/1990,"",IF(Main[[#This Row],[Class]]="C",WORKDAY(Main[[#This Row],[Tech Start Date]],23),IF(Main[[#This Row],[Class]]="B", WORKDAY(Main[[#This Row],[Tech Start Date]],15),IF(Main[[#This Row],[Class]]="A",WORKDAY(Main[[#This Row],[Tech Start Date]],5),""))))</f>
        <v/>
      </c>
      <c r="P866" s="75" t="str">
        <f>IF(Main[[#This Row],[Tech Start Date]]&lt;1/1/1990,"",IF(Main[[#This Row],[Class]]="C",WORKDAY(Main[[#This Row],[Tech Start Date]],28),IF(Main[[#This Row],[Class]]="B", WORKDAY(Main[[#This Row],[Tech Start Date]],19),IF(Main[[#This Row],[Class]]="A",WORKDAY(Main[[#This Row],[Tech Start Date]],9),""))))</f>
        <v/>
      </c>
      <c r="Q866" s="89">
        <v>40858</v>
      </c>
      <c r="R866" s="121"/>
      <c r="S866" s="99" t="s">
        <v>17</v>
      </c>
      <c r="T866" s="76" t="s">
        <v>4</v>
      </c>
      <c r="U866" s="99" t="s">
        <v>14</v>
      </c>
      <c r="V866" s="99" t="s">
        <v>1913</v>
      </c>
      <c r="W866" s="99" t="s">
        <v>1918</v>
      </c>
      <c r="X866" s="99" t="s">
        <v>50</v>
      </c>
      <c r="Y866" s="73" t="s">
        <v>2953</v>
      </c>
      <c r="Z866" s="73" t="s">
        <v>4</v>
      </c>
      <c r="AA866" s="99" t="s">
        <v>2822</v>
      </c>
    </row>
    <row r="867" spans="1:27" ht="17.25" customHeight="1">
      <c r="A867" s="65" t="str">
        <f>IF(priority(Main[[#This Row],[Comments]])&lt;&gt;0, priority(Main[[#This Row],[Comments]]),"")</f>
        <v/>
      </c>
      <c r="B867" s="60" t="s">
        <v>1666</v>
      </c>
      <c r="C867" s="105" t="s">
        <v>4</v>
      </c>
      <c r="D867" s="74" t="s">
        <v>97</v>
      </c>
      <c r="E867" s="89"/>
      <c r="F867" s="89"/>
      <c r="G867" s="65" t="str">
        <f>IF(stdProdLT(Main[[#This Row],[Comments]])=0.1,"N/A",IF(stdProdLT(Main[[#This Row],[Comments]])=0,"",TRIM(stdProdLT(Main[[#This Row],[Comments]]))))</f>
        <v/>
      </c>
      <c r="H867" s="98" t="str">
        <f>IF(Main[[#This Row],[Std. Prod. Lead Time]]="N/A", "",IF(AND(Main[[#This Row],[In Stock Date]]&lt;&gt;"",Main[[#This Row],[Revised Due Date]]&lt;&gt;"",Main[[#This Row],[In Stock Date]]&lt;&gt;""),Main[[#This Row],[In Stock Date]]-Main[[#This Row],[Revised Due Date]],""))</f>
        <v/>
      </c>
      <c r="I867" s="110" t="s">
        <v>4</v>
      </c>
      <c r="J867" s="99" t="s">
        <v>4</v>
      </c>
      <c r="K867" s="100" t="s">
        <v>4</v>
      </c>
      <c r="L867" s="89"/>
      <c r="M867" s="75" t="str">
        <f>IF(Main[[#This Row],[Tech Start Date]]&lt;1/1/1990,"",IF(Main[[#This Row],[Class]]="C",WORKDAY(Main[[#This Row],[Tech Start Date]],9),IF(Main[[#This Row],[Class]]="B", WORKDAY(Main[[#This Row],[Tech Start Date]],6),IF(Main[[#This Row],[Class]]="A",WORKDAY(Main[[#This Row],[Tech Start Date]],2),""))))</f>
        <v/>
      </c>
      <c r="N867" s="75" t="str">
        <f>IF(Main[[#This Row],[Tech Start Date]]&lt;1/1/1990,"",IF(Main[[#This Row],[Class]]="C",WORKDAY(Main[[#This Row],[Tech Start Date]],19),IF(Main[[#This Row],[Class]]="B", WORKDAY(Main[[#This Row],[Tech Start Date]],12),IF(Main[[#This Row],[Class]]="A",WORKDAY(Main[[#This Row],[Tech Start Date]],4),""))))</f>
        <v/>
      </c>
      <c r="O867" s="75" t="str">
        <f>IF(Main[[#This Row],[Tech Start Date]]&lt;1/1/1990,"",IF(Main[[#This Row],[Class]]="C",WORKDAY(Main[[#This Row],[Tech Start Date]],23),IF(Main[[#This Row],[Class]]="B", WORKDAY(Main[[#This Row],[Tech Start Date]],15),IF(Main[[#This Row],[Class]]="A",WORKDAY(Main[[#This Row],[Tech Start Date]],5),""))))</f>
        <v/>
      </c>
      <c r="P867" s="75" t="str">
        <f>IF(Main[[#This Row],[Tech Start Date]]&lt;1/1/1990,"",IF(Main[[#This Row],[Class]]="C",WORKDAY(Main[[#This Row],[Tech Start Date]],28),IF(Main[[#This Row],[Class]]="B", WORKDAY(Main[[#This Row],[Tech Start Date]],19),IF(Main[[#This Row],[Class]]="A",WORKDAY(Main[[#This Row],[Tech Start Date]],9),""))))</f>
        <v/>
      </c>
      <c r="Q867" s="89">
        <v>40858</v>
      </c>
      <c r="R867" s="121"/>
      <c r="S867" s="99" t="s">
        <v>17</v>
      </c>
      <c r="T867" s="76" t="s">
        <v>4</v>
      </c>
      <c r="U867" s="99" t="s">
        <v>14</v>
      </c>
      <c r="V867" s="99" t="s">
        <v>1913</v>
      </c>
      <c r="W867" s="99" t="s">
        <v>1918</v>
      </c>
      <c r="X867" s="99" t="s">
        <v>50</v>
      </c>
      <c r="Y867" s="73" t="s">
        <v>2953</v>
      </c>
      <c r="Z867" s="73" t="s">
        <v>4</v>
      </c>
      <c r="AA867" s="99" t="s">
        <v>2822</v>
      </c>
    </row>
    <row r="868" spans="1:27" ht="17.25" customHeight="1">
      <c r="A868" s="65" t="str">
        <f>IF(priority(Main[[#This Row],[Comments]])&lt;&gt;0, priority(Main[[#This Row],[Comments]]),"")</f>
        <v/>
      </c>
      <c r="B868" s="60" t="s">
        <v>1667</v>
      </c>
      <c r="C868" s="105" t="s">
        <v>4</v>
      </c>
      <c r="D868" s="74" t="s">
        <v>97</v>
      </c>
      <c r="E868" s="89"/>
      <c r="F868" s="89"/>
      <c r="G868" s="65" t="str">
        <f>IF(stdProdLT(Main[[#This Row],[Comments]])=0.1,"N/A",IF(stdProdLT(Main[[#This Row],[Comments]])=0,"",TRIM(stdProdLT(Main[[#This Row],[Comments]]))))</f>
        <v/>
      </c>
      <c r="H868" s="98" t="str">
        <f>IF(Main[[#This Row],[Std. Prod. Lead Time]]="N/A", "",IF(AND(Main[[#This Row],[In Stock Date]]&lt;&gt;"",Main[[#This Row],[Revised Due Date]]&lt;&gt;"",Main[[#This Row],[In Stock Date]]&lt;&gt;""),Main[[#This Row],[In Stock Date]]-Main[[#This Row],[Revised Due Date]],""))</f>
        <v/>
      </c>
      <c r="I868" s="110" t="s">
        <v>4</v>
      </c>
      <c r="J868" s="99" t="s">
        <v>4</v>
      </c>
      <c r="K868" s="99" t="s">
        <v>4</v>
      </c>
      <c r="L868" s="89"/>
      <c r="M868" s="75" t="str">
        <f>IF(Main[[#This Row],[Tech Start Date]]&lt;1/1/1990,"",IF(Main[[#This Row],[Class]]="C",WORKDAY(Main[[#This Row],[Tech Start Date]],9),IF(Main[[#This Row],[Class]]="B", WORKDAY(Main[[#This Row],[Tech Start Date]],6),IF(Main[[#This Row],[Class]]="A",WORKDAY(Main[[#This Row],[Tech Start Date]],2),""))))</f>
        <v/>
      </c>
      <c r="N868" s="75" t="str">
        <f>IF(Main[[#This Row],[Tech Start Date]]&lt;1/1/1990,"",IF(Main[[#This Row],[Class]]="C",WORKDAY(Main[[#This Row],[Tech Start Date]],19),IF(Main[[#This Row],[Class]]="B", WORKDAY(Main[[#This Row],[Tech Start Date]],12),IF(Main[[#This Row],[Class]]="A",WORKDAY(Main[[#This Row],[Tech Start Date]],4),""))))</f>
        <v/>
      </c>
      <c r="O868" s="75" t="str">
        <f>IF(Main[[#This Row],[Tech Start Date]]&lt;1/1/1990,"",IF(Main[[#This Row],[Class]]="C",WORKDAY(Main[[#This Row],[Tech Start Date]],23),IF(Main[[#This Row],[Class]]="B", WORKDAY(Main[[#This Row],[Tech Start Date]],15),IF(Main[[#This Row],[Class]]="A",WORKDAY(Main[[#This Row],[Tech Start Date]],5),""))))</f>
        <v/>
      </c>
      <c r="P868" s="75" t="str">
        <f>IF(Main[[#This Row],[Tech Start Date]]&lt;1/1/1990,"",IF(Main[[#This Row],[Class]]="C",WORKDAY(Main[[#This Row],[Tech Start Date]],28),IF(Main[[#This Row],[Class]]="B", WORKDAY(Main[[#This Row],[Tech Start Date]],19),IF(Main[[#This Row],[Class]]="A",WORKDAY(Main[[#This Row],[Tech Start Date]],9),""))))</f>
        <v/>
      </c>
      <c r="Q868" s="89">
        <v>40858</v>
      </c>
      <c r="R868" s="121"/>
      <c r="S868" s="99" t="s">
        <v>17</v>
      </c>
      <c r="T868" s="76" t="s">
        <v>4</v>
      </c>
      <c r="U868" s="99" t="s">
        <v>14</v>
      </c>
      <c r="V868" s="99" t="s">
        <v>1913</v>
      </c>
      <c r="W868" s="99" t="s">
        <v>1918</v>
      </c>
      <c r="X868" s="99" t="s">
        <v>50</v>
      </c>
      <c r="Y868" s="73" t="s">
        <v>2953</v>
      </c>
      <c r="Z868" s="73" t="s">
        <v>4</v>
      </c>
      <c r="AA868" s="99" t="s">
        <v>2822</v>
      </c>
    </row>
    <row r="869" spans="1:27" ht="17.25" customHeight="1">
      <c r="A869" s="65" t="str">
        <f>IF(priority(Main[[#This Row],[Comments]])&lt;&gt;0, priority(Main[[#This Row],[Comments]]),"")</f>
        <v/>
      </c>
      <c r="B869" s="60" t="s">
        <v>1251</v>
      </c>
      <c r="C869" s="105" t="s">
        <v>4</v>
      </c>
      <c r="D869" s="74" t="s">
        <v>316</v>
      </c>
      <c r="E869" s="89"/>
      <c r="F869" s="89"/>
      <c r="G869" s="65" t="str">
        <f>IF(stdProdLT(Main[[#This Row],[Comments]])=0.1,"N/A",IF(stdProdLT(Main[[#This Row],[Comments]])=0,"",TRIM(stdProdLT(Main[[#This Row],[Comments]]))))</f>
        <v/>
      </c>
      <c r="H869" s="98" t="str">
        <f>IF(Main[[#This Row],[Std. Prod. Lead Time]]="N/A", "",IF(AND(Main[[#This Row],[In Stock Date]]&lt;&gt;"",Main[[#This Row],[Revised Due Date]]&lt;&gt;"",Main[[#This Row],[In Stock Date]]&lt;&gt;""),Main[[#This Row],[In Stock Date]]-Main[[#This Row],[Revised Due Date]],""))</f>
        <v/>
      </c>
      <c r="I869" s="110" t="s">
        <v>4</v>
      </c>
      <c r="J869" s="99" t="s">
        <v>4</v>
      </c>
      <c r="K869" s="99" t="s">
        <v>4</v>
      </c>
      <c r="L869" s="89"/>
      <c r="M869" s="75" t="str">
        <f>IF(Main[[#This Row],[Tech Start Date]]&lt;1/1/1990,"",IF(Main[[#This Row],[Class]]="C",WORKDAY(Main[[#This Row],[Tech Start Date]],9),IF(Main[[#This Row],[Class]]="B", WORKDAY(Main[[#This Row],[Tech Start Date]],6),IF(Main[[#This Row],[Class]]="A",WORKDAY(Main[[#This Row],[Tech Start Date]],2),""))))</f>
        <v/>
      </c>
      <c r="N869" s="75" t="str">
        <f>IF(Main[[#This Row],[Tech Start Date]]&lt;1/1/1990,"",IF(Main[[#This Row],[Class]]="C",WORKDAY(Main[[#This Row],[Tech Start Date]],19),IF(Main[[#This Row],[Class]]="B", WORKDAY(Main[[#This Row],[Tech Start Date]],12),IF(Main[[#This Row],[Class]]="A",WORKDAY(Main[[#This Row],[Tech Start Date]],4),""))))</f>
        <v/>
      </c>
      <c r="O869" s="75" t="str">
        <f>IF(Main[[#This Row],[Tech Start Date]]&lt;1/1/1990,"",IF(Main[[#This Row],[Class]]="C",WORKDAY(Main[[#This Row],[Tech Start Date]],23),IF(Main[[#This Row],[Class]]="B", WORKDAY(Main[[#This Row],[Tech Start Date]],15),IF(Main[[#This Row],[Class]]="A",WORKDAY(Main[[#This Row],[Tech Start Date]],5),""))))</f>
        <v/>
      </c>
      <c r="P869" s="75" t="str">
        <f>IF(Main[[#This Row],[Tech Start Date]]&lt;1/1/1990,"",IF(Main[[#This Row],[Class]]="C",WORKDAY(Main[[#This Row],[Tech Start Date]],28),IF(Main[[#This Row],[Class]]="B", WORKDAY(Main[[#This Row],[Tech Start Date]],19),IF(Main[[#This Row],[Class]]="A",WORKDAY(Main[[#This Row],[Tech Start Date]],9),""))))</f>
        <v/>
      </c>
      <c r="Q869" s="89">
        <v>40229</v>
      </c>
      <c r="R869" s="121"/>
      <c r="S869" s="99" t="s">
        <v>6</v>
      </c>
      <c r="T869" s="76" t="s">
        <v>4</v>
      </c>
      <c r="U869" s="99" t="s">
        <v>14</v>
      </c>
      <c r="V869" s="99" t="s">
        <v>1913</v>
      </c>
      <c r="W869" s="99" t="s">
        <v>1917</v>
      </c>
      <c r="X869" s="99" t="s">
        <v>2815</v>
      </c>
      <c r="Y869" s="73" t="s">
        <v>2930</v>
      </c>
      <c r="Z869" s="73" t="s">
        <v>4</v>
      </c>
      <c r="AA869" s="99" t="s">
        <v>2815</v>
      </c>
    </row>
    <row r="870" spans="1:27" ht="17.25" customHeight="1">
      <c r="A870" s="65" t="str">
        <f>IF(priority(Main[[#This Row],[Comments]])&lt;&gt;0, priority(Main[[#This Row],[Comments]]),"")</f>
        <v/>
      </c>
      <c r="B870" s="60" t="s">
        <v>1681</v>
      </c>
      <c r="C870" s="105" t="s">
        <v>4</v>
      </c>
      <c r="D870" s="74" t="s">
        <v>740</v>
      </c>
      <c r="E870" s="89">
        <v>40591.815474537034</v>
      </c>
      <c r="F870" s="89"/>
      <c r="G870" s="65" t="str">
        <f>IF(stdProdLT(Main[[#This Row],[Comments]])=0.1,"N/A",IF(stdProdLT(Main[[#This Row],[Comments]])=0,"",TRIM(stdProdLT(Main[[#This Row],[Comments]]))))</f>
        <v/>
      </c>
      <c r="H870" s="98" t="str">
        <f>IF(Main[[#This Row],[Std. Prod. Lead Time]]="N/A", "",IF(AND(Main[[#This Row],[In Stock Date]]&lt;&gt;"",Main[[#This Row],[Revised Due Date]]&lt;&gt;"",Main[[#This Row],[In Stock Date]]&lt;&gt;""),Main[[#This Row],[In Stock Date]]-Main[[#This Row],[Revised Due Date]],""))</f>
        <v/>
      </c>
      <c r="I870" s="110" t="s">
        <v>130</v>
      </c>
      <c r="J870" s="99" t="s">
        <v>70</v>
      </c>
      <c r="K870" s="99" t="s">
        <v>1922</v>
      </c>
      <c r="L870" s="89"/>
      <c r="M870" s="75" t="str">
        <f>IF(Main[[#This Row],[Tech Start Date]]&lt;1/1/1990,"",IF(Main[[#This Row],[Class]]="C",WORKDAY(Main[[#This Row],[Tech Start Date]],9),IF(Main[[#This Row],[Class]]="B", WORKDAY(Main[[#This Row],[Tech Start Date]],6),IF(Main[[#This Row],[Class]]="A",WORKDAY(Main[[#This Row],[Tech Start Date]],2),""))))</f>
        <v/>
      </c>
      <c r="N870" s="75" t="str">
        <f>IF(Main[[#This Row],[Tech Start Date]]&lt;1/1/1990,"",IF(Main[[#This Row],[Class]]="C",WORKDAY(Main[[#This Row],[Tech Start Date]],19),IF(Main[[#This Row],[Class]]="B", WORKDAY(Main[[#This Row],[Tech Start Date]],12),IF(Main[[#This Row],[Class]]="A",WORKDAY(Main[[#This Row],[Tech Start Date]],4),""))))</f>
        <v/>
      </c>
      <c r="O870" s="75" t="str">
        <f>IF(Main[[#This Row],[Tech Start Date]]&lt;1/1/1990,"",IF(Main[[#This Row],[Class]]="C",WORKDAY(Main[[#This Row],[Tech Start Date]],23),IF(Main[[#This Row],[Class]]="B", WORKDAY(Main[[#This Row],[Tech Start Date]],15),IF(Main[[#This Row],[Class]]="A",WORKDAY(Main[[#This Row],[Tech Start Date]],5),""))))</f>
        <v/>
      </c>
      <c r="P870" s="75" t="str">
        <f>IF(Main[[#This Row],[Tech Start Date]]&lt;1/1/1990,"",IF(Main[[#This Row],[Class]]="C",WORKDAY(Main[[#This Row],[Tech Start Date]],28),IF(Main[[#This Row],[Class]]="B", WORKDAY(Main[[#This Row],[Tech Start Date]],19),IF(Main[[#This Row],[Class]]="A",WORKDAY(Main[[#This Row],[Tech Start Date]],9),""))))</f>
        <v/>
      </c>
      <c r="Q870" s="89">
        <v>40736</v>
      </c>
      <c r="R870" s="121"/>
      <c r="S870" s="99" t="s">
        <v>6</v>
      </c>
      <c r="T870" s="76" t="s">
        <v>4</v>
      </c>
      <c r="U870" s="99" t="s">
        <v>29</v>
      </c>
      <c r="V870" s="99" t="s">
        <v>1916</v>
      </c>
      <c r="W870" s="99" t="s">
        <v>1917</v>
      </c>
      <c r="X870" s="99" t="s">
        <v>30</v>
      </c>
      <c r="Y870" s="73" t="s">
        <v>2951</v>
      </c>
      <c r="Z870" s="73" t="s">
        <v>30</v>
      </c>
      <c r="AA870" s="99" t="s">
        <v>30</v>
      </c>
    </row>
    <row r="871" spans="1:27" ht="17.25" customHeight="1">
      <c r="A871" s="65" t="str">
        <f>IF(priority(Main[[#This Row],[Comments]])&lt;&gt;0, priority(Main[[#This Row],[Comments]]),"")</f>
        <v/>
      </c>
      <c r="B871" s="60" t="s">
        <v>2030</v>
      </c>
      <c r="C871" s="105" t="s">
        <v>37</v>
      </c>
      <c r="D871" s="74" t="s">
        <v>485</v>
      </c>
      <c r="E871" s="89"/>
      <c r="F871" s="89"/>
      <c r="G871" s="65" t="str">
        <f>IF(stdProdLT(Main[[#This Row],[Comments]])=0.1,"N/A",IF(stdProdLT(Main[[#This Row],[Comments]])=0,"",TRIM(stdProdLT(Main[[#This Row],[Comments]]))))</f>
        <v/>
      </c>
      <c r="H871" s="98" t="str">
        <f>IF(Main[[#This Row],[Std. Prod. Lead Time]]="N/A", "",IF(AND(Main[[#This Row],[In Stock Date]]&lt;&gt;"",Main[[#This Row],[Revised Due Date]]&lt;&gt;"",Main[[#This Row],[In Stock Date]]&lt;&gt;""),Main[[#This Row],[In Stock Date]]-Main[[#This Row],[Revised Due Date]],""))</f>
        <v/>
      </c>
      <c r="I871" s="110" t="s">
        <v>4</v>
      </c>
      <c r="J871" s="99" t="s">
        <v>21</v>
      </c>
      <c r="K871" s="99" t="s">
        <v>4</v>
      </c>
      <c r="L871" s="89"/>
      <c r="M871" s="75" t="str">
        <f>IF(Main[[#This Row],[Tech Start Date]]&lt;1/1/1990,"",IF(Main[[#This Row],[Class]]="C",WORKDAY(Main[[#This Row],[Tech Start Date]],9),IF(Main[[#This Row],[Class]]="B", WORKDAY(Main[[#This Row],[Tech Start Date]],6),IF(Main[[#This Row],[Class]]="A",WORKDAY(Main[[#This Row],[Tech Start Date]],2),""))))</f>
        <v/>
      </c>
      <c r="N871" s="75" t="str">
        <f>IF(Main[[#This Row],[Tech Start Date]]&lt;1/1/1990,"",IF(Main[[#This Row],[Class]]="C",WORKDAY(Main[[#This Row],[Tech Start Date]],19),IF(Main[[#This Row],[Class]]="B", WORKDAY(Main[[#This Row],[Tech Start Date]],12),IF(Main[[#This Row],[Class]]="A",WORKDAY(Main[[#This Row],[Tech Start Date]],4),""))))</f>
        <v/>
      </c>
      <c r="O871" s="75" t="str">
        <f>IF(Main[[#This Row],[Tech Start Date]]&lt;1/1/1990,"",IF(Main[[#This Row],[Class]]="C",WORKDAY(Main[[#This Row],[Tech Start Date]],23),IF(Main[[#This Row],[Class]]="B", WORKDAY(Main[[#This Row],[Tech Start Date]],15),IF(Main[[#This Row],[Class]]="A",WORKDAY(Main[[#This Row],[Tech Start Date]],5),""))))</f>
        <v/>
      </c>
      <c r="P871" s="75" t="str">
        <f>IF(Main[[#This Row],[Tech Start Date]]&lt;1/1/1990,"",IF(Main[[#This Row],[Class]]="C",WORKDAY(Main[[#This Row],[Tech Start Date]],28),IF(Main[[#This Row],[Class]]="B", WORKDAY(Main[[#This Row],[Tech Start Date]],19),IF(Main[[#This Row],[Class]]="A",WORKDAY(Main[[#This Row],[Tech Start Date]],9),""))))</f>
        <v/>
      </c>
      <c r="Q871" s="89">
        <v>40696</v>
      </c>
      <c r="R871" s="121"/>
      <c r="S871" s="99" t="s">
        <v>6</v>
      </c>
      <c r="T871" s="76" t="s">
        <v>4</v>
      </c>
      <c r="U871" s="99" t="s">
        <v>12</v>
      </c>
      <c r="V871" s="99" t="s">
        <v>1913</v>
      </c>
      <c r="W871" s="99" t="s">
        <v>1924</v>
      </c>
      <c r="X871" s="99" t="s">
        <v>50</v>
      </c>
      <c r="Y871" s="73" t="s">
        <v>3091</v>
      </c>
      <c r="Z871" s="73" t="s">
        <v>3154</v>
      </c>
      <c r="AA871" s="99" t="s">
        <v>970</v>
      </c>
    </row>
    <row r="872" spans="1:27" ht="17.25" customHeight="1">
      <c r="A872" s="65" t="str">
        <f>IF(priority(Main[[#This Row],[Comments]])&lt;&gt;0, priority(Main[[#This Row],[Comments]]),"")</f>
        <v/>
      </c>
      <c r="B872" s="60" t="s">
        <v>2188</v>
      </c>
      <c r="C872" s="105" t="s">
        <v>4</v>
      </c>
      <c r="D872" s="74" t="s">
        <v>2189</v>
      </c>
      <c r="E872" s="89"/>
      <c r="F872" s="89">
        <v>40848</v>
      </c>
      <c r="G872" s="65" t="str">
        <f>IF(stdProdLT(Main[[#This Row],[Comments]])=0.1,"N/A",IF(stdProdLT(Main[[#This Row],[Comments]])=0,"",TRIM(stdProdLT(Main[[#This Row],[Comments]]))))</f>
        <v/>
      </c>
      <c r="H872" s="98" t="str">
        <f>IF(Main[[#This Row],[Std. Prod. Lead Time]]="N/A", "",IF(AND(Main[[#This Row],[In Stock Date]]&lt;&gt;"",Main[[#This Row],[Revised Due Date]]&lt;&gt;"",Main[[#This Row],[In Stock Date]]&lt;&gt;""),Main[[#This Row],[In Stock Date]]-Main[[#This Row],[Revised Due Date]],""))</f>
        <v/>
      </c>
      <c r="I872" s="110" t="s">
        <v>4</v>
      </c>
      <c r="J872" s="99" t="s">
        <v>4</v>
      </c>
      <c r="K872" s="99" t="s">
        <v>4</v>
      </c>
      <c r="L872" s="89"/>
      <c r="M872" s="75" t="str">
        <f>IF(Main[[#This Row],[Tech Start Date]]&lt;1/1/1990,"",IF(Main[[#This Row],[Class]]="C",WORKDAY(Main[[#This Row],[Tech Start Date]],9),IF(Main[[#This Row],[Class]]="B", WORKDAY(Main[[#This Row],[Tech Start Date]],6),IF(Main[[#This Row],[Class]]="A",WORKDAY(Main[[#This Row],[Tech Start Date]],2),""))))</f>
        <v/>
      </c>
      <c r="N872" s="75" t="str">
        <f>IF(Main[[#This Row],[Tech Start Date]]&lt;1/1/1990,"",IF(Main[[#This Row],[Class]]="C",WORKDAY(Main[[#This Row],[Tech Start Date]],19),IF(Main[[#This Row],[Class]]="B", WORKDAY(Main[[#This Row],[Tech Start Date]],12),IF(Main[[#This Row],[Class]]="A",WORKDAY(Main[[#This Row],[Tech Start Date]],4),""))))</f>
        <v/>
      </c>
      <c r="O872" s="75" t="str">
        <f>IF(Main[[#This Row],[Tech Start Date]]&lt;1/1/1990,"",IF(Main[[#This Row],[Class]]="C",WORKDAY(Main[[#This Row],[Tech Start Date]],23),IF(Main[[#This Row],[Class]]="B", WORKDAY(Main[[#This Row],[Tech Start Date]],15),IF(Main[[#This Row],[Class]]="A",WORKDAY(Main[[#This Row],[Tech Start Date]],5),""))))</f>
        <v/>
      </c>
      <c r="P872" s="75" t="str">
        <f>IF(Main[[#This Row],[Tech Start Date]]&lt;1/1/1990,"",IF(Main[[#This Row],[Class]]="C",WORKDAY(Main[[#This Row],[Tech Start Date]],28),IF(Main[[#This Row],[Class]]="B", WORKDAY(Main[[#This Row],[Tech Start Date]],19),IF(Main[[#This Row],[Class]]="A",WORKDAY(Main[[#This Row],[Tech Start Date]],9),""))))</f>
        <v/>
      </c>
      <c r="Q872" s="89">
        <v>40800</v>
      </c>
      <c r="R872" s="121"/>
      <c r="S872" s="99" t="s">
        <v>11</v>
      </c>
      <c r="T872" s="76" t="s">
        <v>4</v>
      </c>
      <c r="U872" s="99" t="s">
        <v>14</v>
      </c>
      <c r="V872" s="99" t="s">
        <v>1923</v>
      </c>
      <c r="W872" s="99" t="s">
        <v>1921</v>
      </c>
      <c r="X872" s="99" t="s">
        <v>2899</v>
      </c>
      <c r="Y872" s="73" t="s">
        <v>3092</v>
      </c>
      <c r="Z872" s="73" t="s">
        <v>4</v>
      </c>
      <c r="AA872" s="99" t="s">
        <v>2899</v>
      </c>
    </row>
    <row r="873" spans="1:27" ht="17.25" customHeight="1">
      <c r="A873" s="65" t="str">
        <f>IF(priority(Main[[#This Row],[Comments]])&lt;&gt;0, priority(Main[[#This Row],[Comments]]),"")</f>
        <v/>
      </c>
      <c r="B873" s="60" t="s">
        <v>1682</v>
      </c>
      <c r="C873" s="105" t="s">
        <v>4</v>
      </c>
      <c r="D873" s="74" t="s">
        <v>737</v>
      </c>
      <c r="E873" s="89">
        <v>40520.411597222221</v>
      </c>
      <c r="F873" s="89"/>
      <c r="G873" s="65" t="str">
        <f>IF(stdProdLT(Main[[#This Row],[Comments]])=0.1,"N/A",IF(stdProdLT(Main[[#This Row],[Comments]])=0,"",TRIM(stdProdLT(Main[[#This Row],[Comments]]))))</f>
        <v/>
      </c>
      <c r="H873" s="98" t="str">
        <f>IF(Main[[#This Row],[Std. Prod. Lead Time]]="N/A", "",IF(AND(Main[[#This Row],[In Stock Date]]&lt;&gt;"",Main[[#This Row],[Revised Due Date]]&lt;&gt;"",Main[[#This Row],[In Stock Date]]&lt;&gt;""),Main[[#This Row],[In Stock Date]]-Main[[#This Row],[Revised Due Date]],""))</f>
        <v/>
      </c>
      <c r="I873" s="110" t="s">
        <v>4</v>
      </c>
      <c r="J873" s="99" t="s">
        <v>28</v>
      </c>
      <c r="K873" s="99" t="s">
        <v>4</v>
      </c>
      <c r="L873" s="89"/>
      <c r="M873" s="75" t="str">
        <f>IF(Main[[#This Row],[Tech Start Date]]&lt;1/1/1990,"",IF(Main[[#This Row],[Class]]="C",WORKDAY(Main[[#This Row],[Tech Start Date]],9),IF(Main[[#This Row],[Class]]="B", WORKDAY(Main[[#This Row],[Tech Start Date]],6),IF(Main[[#This Row],[Class]]="A",WORKDAY(Main[[#This Row],[Tech Start Date]],2),""))))</f>
        <v/>
      </c>
      <c r="N873" s="75" t="str">
        <f>IF(Main[[#This Row],[Tech Start Date]]&lt;1/1/1990,"",IF(Main[[#This Row],[Class]]="C",WORKDAY(Main[[#This Row],[Tech Start Date]],19),IF(Main[[#This Row],[Class]]="B", WORKDAY(Main[[#This Row],[Tech Start Date]],12),IF(Main[[#This Row],[Class]]="A",WORKDAY(Main[[#This Row],[Tech Start Date]],4),""))))</f>
        <v/>
      </c>
      <c r="O873" s="75" t="str">
        <f>IF(Main[[#This Row],[Tech Start Date]]&lt;1/1/1990,"",IF(Main[[#This Row],[Class]]="C",WORKDAY(Main[[#This Row],[Tech Start Date]],23),IF(Main[[#This Row],[Class]]="B", WORKDAY(Main[[#This Row],[Tech Start Date]],15),IF(Main[[#This Row],[Class]]="A",WORKDAY(Main[[#This Row],[Tech Start Date]],5),""))))</f>
        <v/>
      </c>
      <c r="P873" s="75" t="str">
        <f>IF(Main[[#This Row],[Tech Start Date]]&lt;1/1/1990,"",IF(Main[[#This Row],[Class]]="C",WORKDAY(Main[[#This Row],[Tech Start Date]],28),IF(Main[[#This Row],[Class]]="B", WORKDAY(Main[[#This Row],[Tech Start Date]],19),IF(Main[[#This Row],[Class]]="A",WORKDAY(Main[[#This Row],[Tech Start Date]],9),""))))</f>
        <v/>
      </c>
      <c r="Q873" s="89">
        <v>40571</v>
      </c>
      <c r="R873" s="121"/>
      <c r="S873" s="99" t="s">
        <v>6</v>
      </c>
      <c r="T873" s="76" t="s">
        <v>4</v>
      </c>
      <c r="U873" s="99" t="s">
        <v>7</v>
      </c>
      <c r="V873" s="99" t="s">
        <v>1913</v>
      </c>
      <c r="W873" s="99" t="s">
        <v>1915</v>
      </c>
      <c r="X873" s="99" t="s">
        <v>2812</v>
      </c>
      <c r="Y873" s="73" t="s">
        <v>2923</v>
      </c>
      <c r="Z873" s="73" t="s">
        <v>129</v>
      </c>
      <c r="AA873" s="99" t="s">
        <v>2812</v>
      </c>
    </row>
    <row r="874" spans="1:27" ht="17.25" customHeight="1">
      <c r="A874" s="65" t="str">
        <f>IF(priority(Main[[#This Row],[Comments]])&lt;&gt;0, priority(Main[[#This Row],[Comments]]),"")</f>
        <v/>
      </c>
      <c r="B874" s="60" t="s">
        <v>1683</v>
      </c>
      <c r="C874" s="105" t="s">
        <v>4</v>
      </c>
      <c r="D874" s="74" t="s">
        <v>738</v>
      </c>
      <c r="E874" s="89"/>
      <c r="F874" s="89"/>
      <c r="G874" s="65" t="str">
        <f>IF(stdProdLT(Main[[#This Row],[Comments]])=0.1,"N/A",IF(stdProdLT(Main[[#This Row],[Comments]])=0,"",TRIM(stdProdLT(Main[[#This Row],[Comments]]))))</f>
        <v/>
      </c>
      <c r="H874" s="98" t="str">
        <f>IF(Main[[#This Row],[Std. Prod. Lead Time]]="N/A", "",IF(AND(Main[[#This Row],[In Stock Date]]&lt;&gt;"",Main[[#This Row],[Revised Due Date]]&lt;&gt;"",Main[[#This Row],[In Stock Date]]&lt;&gt;""),Main[[#This Row],[In Stock Date]]-Main[[#This Row],[Revised Due Date]],""))</f>
        <v/>
      </c>
      <c r="I874" s="110" t="s">
        <v>4</v>
      </c>
      <c r="J874" s="99" t="s">
        <v>28</v>
      </c>
      <c r="K874" s="100" t="s">
        <v>4</v>
      </c>
      <c r="L874" s="89"/>
      <c r="M874" s="75" t="str">
        <f>IF(Main[[#This Row],[Tech Start Date]]&lt;1/1/1990,"",IF(Main[[#This Row],[Class]]="C",WORKDAY(Main[[#This Row],[Tech Start Date]],9),IF(Main[[#This Row],[Class]]="B", WORKDAY(Main[[#This Row],[Tech Start Date]],6),IF(Main[[#This Row],[Class]]="A",WORKDAY(Main[[#This Row],[Tech Start Date]],2),""))))</f>
        <v/>
      </c>
      <c r="N874" s="75" t="str">
        <f>IF(Main[[#This Row],[Tech Start Date]]&lt;1/1/1990,"",IF(Main[[#This Row],[Class]]="C",WORKDAY(Main[[#This Row],[Tech Start Date]],19),IF(Main[[#This Row],[Class]]="B", WORKDAY(Main[[#This Row],[Tech Start Date]],12),IF(Main[[#This Row],[Class]]="A",WORKDAY(Main[[#This Row],[Tech Start Date]],4),""))))</f>
        <v/>
      </c>
      <c r="O874" s="75" t="str">
        <f>IF(Main[[#This Row],[Tech Start Date]]&lt;1/1/1990,"",IF(Main[[#This Row],[Class]]="C",WORKDAY(Main[[#This Row],[Tech Start Date]],23),IF(Main[[#This Row],[Class]]="B", WORKDAY(Main[[#This Row],[Tech Start Date]],15),IF(Main[[#This Row],[Class]]="A",WORKDAY(Main[[#This Row],[Tech Start Date]],5),""))))</f>
        <v/>
      </c>
      <c r="P874" s="75" t="str">
        <f>IF(Main[[#This Row],[Tech Start Date]]&lt;1/1/1990,"",IF(Main[[#This Row],[Class]]="C",WORKDAY(Main[[#This Row],[Tech Start Date]],28),IF(Main[[#This Row],[Class]]="B", WORKDAY(Main[[#This Row],[Tech Start Date]],19),IF(Main[[#This Row],[Class]]="A",WORKDAY(Main[[#This Row],[Tech Start Date]],9),""))))</f>
        <v/>
      </c>
      <c r="Q874" s="89"/>
      <c r="R874" s="121"/>
      <c r="S874" s="99" t="s">
        <v>17</v>
      </c>
      <c r="T874" s="76" t="s">
        <v>4</v>
      </c>
      <c r="U874" s="99" t="s">
        <v>14</v>
      </c>
      <c r="V874" s="99" t="s">
        <v>1913</v>
      </c>
      <c r="W874" s="99" t="s">
        <v>1921</v>
      </c>
      <c r="X874" s="99" t="s">
        <v>922</v>
      </c>
      <c r="Y874" s="73" t="s">
        <v>2976</v>
      </c>
      <c r="Z874" s="73" t="s">
        <v>129</v>
      </c>
      <c r="AA874" s="99" t="s">
        <v>922</v>
      </c>
    </row>
    <row r="875" spans="1:27" ht="17.25" customHeight="1">
      <c r="A875" s="65" t="str">
        <f>IF(priority(Main[[#This Row],[Comments]])&lt;&gt;0, priority(Main[[#This Row],[Comments]]),"")</f>
        <v/>
      </c>
      <c r="B875" s="60" t="s">
        <v>1686</v>
      </c>
      <c r="C875" s="105" t="s">
        <v>4</v>
      </c>
      <c r="D875" s="74" t="s">
        <v>742</v>
      </c>
      <c r="E875" s="89"/>
      <c r="F875" s="89"/>
      <c r="G875" s="65" t="str">
        <f>IF(stdProdLT(Main[[#This Row],[Comments]])=0.1,"N/A",IF(stdProdLT(Main[[#This Row],[Comments]])=0,"",TRIM(stdProdLT(Main[[#This Row],[Comments]]))))</f>
        <v/>
      </c>
      <c r="H875" s="98" t="str">
        <f>IF(Main[[#This Row],[Std. Prod. Lead Time]]="N/A", "",IF(AND(Main[[#This Row],[In Stock Date]]&lt;&gt;"",Main[[#This Row],[Revised Due Date]]&lt;&gt;"",Main[[#This Row],[In Stock Date]]&lt;&gt;""),Main[[#This Row],[In Stock Date]]-Main[[#This Row],[Revised Due Date]],""))</f>
        <v/>
      </c>
      <c r="I875" s="110" t="s">
        <v>4</v>
      </c>
      <c r="J875" s="99" t="s">
        <v>4</v>
      </c>
      <c r="K875" s="99" t="s">
        <v>4</v>
      </c>
      <c r="L875" s="89"/>
      <c r="M875" s="75" t="str">
        <f>IF(Main[[#This Row],[Tech Start Date]]&lt;1/1/1990,"",IF(Main[[#This Row],[Class]]="C",WORKDAY(Main[[#This Row],[Tech Start Date]],9),IF(Main[[#This Row],[Class]]="B", WORKDAY(Main[[#This Row],[Tech Start Date]],6),IF(Main[[#This Row],[Class]]="A",WORKDAY(Main[[#This Row],[Tech Start Date]],2),""))))</f>
        <v/>
      </c>
      <c r="N875" s="75" t="str">
        <f>IF(Main[[#This Row],[Tech Start Date]]&lt;1/1/1990,"",IF(Main[[#This Row],[Class]]="C",WORKDAY(Main[[#This Row],[Tech Start Date]],19),IF(Main[[#This Row],[Class]]="B", WORKDAY(Main[[#This Row],[Tech Start Date]],12),IF(Main[[#This Row],[Class]]="A",WORKDAY(Main[[#This Row],[Tech Start Date]],4),""))))</f>
        <v/>
      </c>
      <c r="O875" s="75" t="str">
        <f>IF(Main[[#This Row],[Tech Start Date]]&lt;1/1/1990,"",IF(Main[[#This Row],[Class]]="C",WORKDAY(Main[[#This Row],[Tech Start Date]],23),IF(Main[[#This Row],[Class]]="B", WORKDAY(Main[[#This Row],[Tech Start Date]],15),IF(Main[[#This Row],[Class]]="A",WORKDAY(Main[[#This Row],[Tech Start Date]],5),""))))</f>
        <v/>
      </c>
      <c r="P875" s="75" t="str">
        <f>IF(Main[[#This Row],[Tech Start Date]]&lt;1/1/1990,"",IF(Main[[#This Row],[Class]]="C",WORKDAY(Main[[#This Row],[Tech Start Date]],28),IF(Main[[#This Row],[Class]]="B", WORKDAY(Main[[#This Row],[Tech Start Date]],19),IF(Main[[#This Row],[Class]]="A",WORKDAY(Main[[#This Row],[Tech Start Date]],9),""))))</f>
        <v/>
      </c>
      <c r="Q875" s="89"/>
      <c r="R875" s="121"/>
      <c r="S875" s="99" t="s">
        <v>23</v>
      </c>
      <c r="T875" s="76" t="s">
        <v>4</v>
      </c>
      <c r="U875" s="99" t="s">
        <v>14</v>
      </c>
      <c r="V875" s="99" t="s">
        <v>1913</v>
      </c>
      <c r="W875" s="99" t="s">
        <v>1917</v>
      </c>
      <c r="X875" s="99" t="s">
        <v>399</v>
      </c>
      <c r="Y875" s="73" t="s">
        <v>4</v>
      </c>
      <c r="Z875" s="73" t="s">
        <v>4</v>
      </c>
      <c r="AA875" s="99" t="s">
        <v>3026</v>
      </c>
    </row>
    <row r="876" spans="1:27" ht="17.25" customHeight="1">
      <c r="A876" s="65" t="str">
        <f>IF(priority(Main[[#This Row],[Comments]])&lt;&gt;0, priority(Main[[#This Row],[Comments]]),"")</f>
        <v/>
      </c>
      <c r="B876" s="60" t="s">
        <v>1832</v>
      </c>
      <c r="C876" s="105" t="s">
        <v>4</v>
      </c>
      <c r="D876" s="74" t="s">
        <v>887</v>
      </c>
      <c r="E876" s="89">
        <v>40371.599317129629</v>
      </c>
      <c r="F876" s="89"/>
      <c r="G876" s="65" t="str">
        <f>IF(stdProdLT(Main[[#This Row],[Comments]])=0.1,"N/A",IF(stdProdLT(Main[[#This Row],[Comments]])=0,"",TRIM(stdProdLT(Main[[#This Row],[Comments]]))))</f>
        <v/>
      </c>
      <c r="H876" s="98" t="str">
        <f>IF(Main[[#This Row],[Std. Prod. Lead Time]]="N/A", "",IF(AND(Main[[#This Row],[In Stock Date]]&lt;&gt;"",Main[[#This Row],[Revised Due Date]]&lt;&gt;"",Main[[#This Row],[In Stock Date]]&lt;&gt;""),Main[[#This Row],[In Stock Date]]-Main[[#This Row],[Revised Due Date]],""))</f>
        <v/>
      </c>
      <c r="I876" s="110" t="s">
        <v>126</v>
      </c>
      <c r="J876" s="99" t="s">
        <v>28</v>
      </c>
      <c r="K876" s="99" t="s">
        <v>1925</v>
      </c>
      <c r="L876" s="89"/>
      <c r="M876" s="75" t="str">
        <f>IF(Main[[#This Row],[Tech Start Date]]&lt;1/1/1990,"",IF(Main[[#This Row],[Class]]="C",WORKDAY(Main[[#This Row],[Tech Start Date]],9),IF(Main[[#This Row],[Class]]="B", WORKDAY(Main[[#This Row],[Tech Start Date]],6),IF(Main[[#This Row],[Class]]="A",WORKDAY(Main[[#This Row],[Tech Start Date]],2),""))))</f>
        <v/>
      </c>
      <c r="N876" s="75" t="str">
        <f>IF(Main[[#This Row],[Tech Start Date]]&lt;1/1/1990,"",IF(Main[[#This Row],[Class]]="C",WORKDAY(Main[[#This Row],[Tech Start Date]],19),IF(Main[[#This Row],[Class]]="B", WORKDAY(Main[[#This Row],[Tech Start Date]],12),IF(Main[[#This Row],[Class]]="A",WORKDAY(Main[[#This Row],[Tech Start Date]],4),""))))</f>
        <v/>
      </c>
      <c r="O876" s="75" t="str">
        <f>IF(Main[[#This Row],[Tech Start Date]]&lt;1/1/1990,"",IF(Main[[#This Row],[Class]]="C",WORKDAY(Main[[#This Row],[Tech Start Date]],23),IF(Main[[#This Row],[Class]]="B", WORKDAY(Main[[#This Row],[Tech Start Date]],15),IF(Main[[#This Row],[Class]]="A",WORKDAY(Main[[#This Row],[Tech Start Date]],5),""))))</f>
        <v/>
      </c>
      <c r="P876" s="75" t="str">
        <f>IF(Main[[#This Row],[Tech Start Date]]&lt;1/1/1990,"",IF(Main[[#This Row],[Class]]="C",WORKDAY(Main[[#This Row],[Tech Start Date]],28),IF(Main[[#This Row],[Class]]="B", WORKDAY(Main[[#This Row],[Tech Start Date]],19),IF(Main[[#This Row],[Class]]="A",WORKDAY(Main[[#This Row],[Tech Start Date]],9),""))))</f>
        <v/>
      </c>
      <c r="Q876" s="89">
        <v>40420</v>
      </c>
      <c r="R876" s="121">
        <v>40420</v>
      </c>
      <c r="S876" s="99" t="s">
        <v>17</v>
      </c>
      <c r="T876" s="76" t="s">
        <v>4</v>
      </c>
      <c r="U876" s="99" t="s">
        <v>29</v>
      </c>
      <c r="V876" s="99" t="s">
        <v>1913</v>
      </c>
      <c r="W876" s="99" t="s">
        <v>1921</v>
      </c>
      <c r="X876" s="99" t="s">
        <v>129</v>
      </c>
      <c r="Y876" s="73" t="s">
        <v>2953</v>
      </c>
      <c r="Z876" s="73" t="s">
        <v>129</v>
      </c>
      <c r="AA876" s="99" t="s">
        <v>2822</v>
      </c>
    </row>
    <row r="877" spans="1:27" ht="17.25" customHeight="1">
      <c r="A877" s="65" t="str">
        <f>IF(priority(Main[[#This Row],[Comments]])&lt;&gt;0, priority(Main[[#This Row],[Comments]]),"")</f>
        <v/>
      </c>
      <c r="B877" s="60" t="s">
        <v>1687</v>
      </c>
      <c r="C877" s="105" t="s">
        <v>4</v>
      </c>
      <c r="D877" s="74" t="s">
        <v>743</v>
      </c>
      <c r="E877" s="89"/>
      <c r="F877" s="89"/>
      <c r="G877" s="65" t="str">
        <f>IF(stdProdLT(Main[[#This Row],[Comments]])=0.1,"N/A",IF(stdProdLT(Main[[#This Row],[Comments]])=0,"",TRIM(stdProdLT(Main[[#This Row],[Comments]]))))</f>
        <v/>
      </c>
      <c r="H877" s="98" t="str">
        <f>IF(Main[[#This Row],[Std. Prod. Lead Time]]="N/A", "",IF(AND(Main[[#This Row],[In Stock Date]]&lt;&gt;"",Main[[#This Row],[Revised Due Date]]&lt;&gt;"",Main[[#This Row],[In Stock Date]]&lt;&gt;""),Main[[#This Row],[In Stock Date]]-Main[[#This Row],[Revised Due Date]],""))</f>
        <v/>
      </c>
      <c r="I877" s="110" t="s">
        <v>4</v>
      </c>
      <c r="J877" s="99" t="s">
        <v>28</v>
      </c>
      <c r="K877" s="99" t="s">
        <v>1920</v>
      </c>
      <c r="L877" s="89"/>
      <c r="M877" s="75" t="str">
        <f>IF(Main[[#This Row],[Tech Start Date]]&lt;1/1/1990,"",IF(Main[[#This Row],[Class]]="C",WORKDAY(Main[[#This Row],[Tech Start Date]],9),IF(Main[[#This Row],[Class]]="B", WORKDAY(Main[[#This Row],[Tech Start Date]],6),IF(Main[[#This Row],[Class]]="A",WORKDAY(Main[[#This Row],[Tech Start Date]],2),""))))</f>
        <v/>
      </c>
      <c r="N877" s="75" t="str">
        <f>IF(Main[[#This Row],[Tech Start Date]]&lt;1/1/1990,"",IF(Main[[#This Row],[Class]]="C",WORKDAY(Main[[#This Row],[Tech Start Date]],19),IF(Main[[#This Row],[Class]]="B", WORKDAY(Main[[#This Row],[Tech Start Date]],12),IF(Main[[#This Row],[Class]]="A",WORKDAY(Main[[#This Row],[Tech Start Date]],4),""))))</f>
        <v/>
      </c>
      <c r="O877" s="75" t="str">
        <f>IF(Main[[#This Row],[Tech Start Date]]&lt;1/1/1990,"",IF(Main[[#This Row],[Class]]="C",WORKDAY(Main[[#This Row],[Tech Start Date]],23),IF(Main[[#This Row],[Class]]="B", WORKDAY(Main[[#This Row],[Tech Start Date]],15),IF(Main[[#This Row],[Class]]="A",WORKDAY(Main[[#This Row],[Tech Start Date]],5),""))))</f>
        <v/>
      </c>
      <c r="P877" s="75" t="str">
        <f>IF(Main[[#This Row],[Tech Start Date]]&lt;1/1/1990,"",IF(Main[[#This Row],[Class]]="C",WORKDAY(Main[[#This Row],[Tech Start Date]],28),IF(Main[[#This Row],[Class]]="B", WORKDAY(Main[[#This Row],[Tech Start Date]],19),IF(Main[[#This Row],[Class]]="A",WORKDAY(Main[[#This Row],[Tech Start Date]],9),""))))</f>
        <v/>
      </c>
      <c r="Q877" s="89"/>
      <c r="R877" s="121"/>
      <c r="S877" s="99" t="s">
        <v>6</v>
      </c>
      <c r="T877" s="76" t="s">
        <v>4</v>
      </c>
      <c r="U877" s="99" t="s">
        <v>14</v>
      </c>
      <c r="V877" s="99" t="s">
        <v>1913</v>
      </c>
      <c r="W877" s="99" t="s">
        <v>1917</v>
      </c>
      <c r="X877" s="99" t="s">
        <v>306</v>
      </c>
      <c r="Y877" s="73" t="s">
        <v>3093</v>
      </c>
      <c r="Z877" s="73" t="s">
        <v>129</v>
      </c>
      <c r="AA877" s="99" t="s">
        <v>3429</v>
      </c>
    </row>
    <row r="878" spans="1:27" ht="17.25" customHeight="1">
      <c r="A878" s="65" t="str">
        <f>IF(priority(Main[[#This Row],[Comments]])&lt;&gt;0, priority(Main[[#This Row],[Comments]]),"")</f>
        <v/>
      </c>
      <c r="B878" s="60" t="s">
        <v>1689</v>
      </c>
      <c r="C878" s="105" t="s">
        <v>4</v>
      </c>
      <c r="D878" s="74" t="s">
        <v>746</v>
      </c>
      <c r="E878" s="89"/>
      <c r="F878" s="89"/>
      <c r="G878" s="65" t="str">
        <f>IF(stdProdLT(Main[[#This Row],[Comments]])=0.1,"N/A",IF(stdProdLT(Main[[#This Row],[Comments]])=0,"",TRIM(stdProdLT(Main[[#This Row],[Comments]]))))</f>
        <v/>
      </c>
      <c r="H878" s="98" t="str">
        <f>IF(Main[[#This Row],[Std. Prod. Lead Time]]="N/A", "",IF(AND(Main[[#This Row],[In Stock Date]]&lt;&gt;"",Main[[#This Row],[Revised Due Date]]&lt;&gt;"",Main[[#This Row],[In Stock Date]]&lt;&gt;""),Main[[#This Row],[In Stock Date]]-Main[[#This Row],[Revised Due Date]],""))</f>
        <v/>
      </c>
      <c r="I878" s="110" t="s">
        <v>4</v>
      </c>
      <c r="J878" s="99" t="s">
        <v>4</v>
      </c>
      <c r="K878" s="99" t="s">
        <v>4</v>
      </c>
      <c r="L878" s="89"/>
      <c r="M878" s="75" t="str">
        <f>IF(Main[[#This Row],[Tech Start Date]]&lt;1/1/1990,"",IF(Main[[#This Row],[Class]]="C",WORKDAY(Main[[#This Row],[Tech Start Date]],9),IF(Main[[#This Row],[Class]]="B", WORKDAY(Main[[#This Row],[Tech Start Date]],6),IF(Main[[#This Row],[Class]]="A",WORKDAY(Main[[#This Row],[Tech Start Date]],2),""))))</f>
        <v/>
      </c>
      <c r="N878" s="75" t="str">
        <f>IF(Main[[#This Row],[Tech Start Date]]&lt;1/1/1990,"",IF(Main[[#This Row],[Class]]="C",WORKDAY(Main[[#This Row],[Tech Start Date]],19),IF(Main[[#This Row],[Class]]="B", WORKDAY(Main[[#This Row],[Tech Start Date]],12),IF(Main[[#This Row],[Class]]="A",WORKDAY(Main[[#This Row],[Tech Start Date]],4),""))))</f>
        <v/>
      </c>
      <c r="O878" s="75" t="str">
        <f>IF(Main[[#This Row],[Tech Start Date]]&lt;1/1/1990,"",IF(Main[[#This Row],[Class]]="C",WORKDAY(Main[[#This Row],[Tech Start Date]],23),IF(Main[[#This Row],[Class]]="B", WORKDAY(Main[[#This Row],[Tech Start Date]],15),IF(Main[[#This Row],[Class]]="A",WORKDAY(Main[[#This Row],[Tech Start Date]],5),""))))</f>
        <v/>
      </c>
      <c r="P878" s="75" t="str">
        <f>IF(Main[[#This Row],[Tech Start Date]]&lt;1/1/1990,"",IF(Main[[#This Row],[Class]]="C",WORKDAY(Main[[#This Row],[Tech Start Date]],28),IF(Main[[#This Row],[Class]]="B", WORKDAY(Main[[#This Row],[Tech Start Date]],19),IF(Main[[#This Row],[Class]]="A",WORKDAY(Main[[#This Row],[Tech Start Date]],9),""))))</f>
        <v/>
      </c>
      <c r="Q878" s="89"/>
      <c r="R878" s="121"/>
      <c r="S878" s="99" t="s">
        <v>11</v>
      </c>
      <c r="T878" s="76" t="s">
        <v>4</v>
      </c>
      <c r="U878" s="99" t="s">
        <v>14</v>
      </c>
      <c r="V878" s="99" t="s">
        <v>1913</v>
      </c>
      <c r="W878" s="99" t="s">
        <v>1917</v>
      </c>
      <c r="X878" s="99" t="s">
        <v>708</v>
      </c>
      <c r="Y878" s="73" t="s">
        <v>3079</v>
      </c>
      <c r="Z878" s="73" t="s">
        <v>4</v>
      </c>
      <c r="AA878" s="99" t="s">
        <v>969</v>
      </c>
    </row>
    <row r="879" spans="1:27" ht="17.25" customHeight="1">
      <c r="A879" s="65" t="str">
        <f>IF(priority(Main[[#This Row],[Comments]])&lt;&gt;0, priority(Main[[#This Row],[Comments]]),"")</f>
        <v/>
      </c>
      <c r="B879" s="60" t="s">
        <v>1690</v>
      </c>
      <c r="C879" s="105" t="s">
        <v>4</v>
      </c>
      <c r="D879" s="74" t="s">
        <v>747</v>
      </c>
      <c r="E879" s="89"/>
      <c r="F879" s="89"/>
      <c r="G879" s="65" t="str">
        <f>IF(stdProdLT(Main[[#This Row],[Comments]])=0.1,"N/A",IF(stdProdLT(Main[[#This Row],[Comments]])=0,"",TRIM(stdProdLT(Main[[#This Row],[Comments]]))))</f>
        <v/>
      </c>
      <c r="H879" s="98" t="str">
        <f>IF(Main[[#This Row],[Std. Prod. Lead Time]]="N/A", "",IF(AND(Main[[#This Row],[In Stock Date]]&lt;&gt;"",Main[[#This Row],[Revised Due Date]]&lt;&gt;"",Main[[#This Row],[In Stock Date]]&lt;&gt;""),Main[[#This Row],[In Stock Date]]-Main[[#This Row],[Revised Due Date]],""))</f>
        <v/>
      </c>
      <c r="I879" s="110" t="s">
        <v>429</v>
      </c>
      <c r="J879" s="99" t="s">
        <v>70</v>
      </c>
      <c r="K879" s="99" t="s">
        <v>4</v>
      </c>
      <c r="L879" s="89"/>
      <c r="M879" s="75" t="str">
        <f>IF(Main[[#This Row],[Tech Start Date]]&lt;1/1/1990,"",IF(Main[[#This Row],[Class]]="C",WORKDAY(Main[[#This Row],[Tech Start Date]],9),IF(Main[[#This Row],[Class]]="B", WORKDAY(Main[[#This Row],[Tech Start Date]],6),IF(Main[[#This Row],[Class]]="A",WORKDAY(Main[[#This Row],[Tech Start Date]],2),""))))</f>
        <v/>
      </c>
      <c r="N879" s="75" t="str">
        <f>IF(Main[[#This Row],[Tech Start Date]]&lt;1/1/1990,"",IF(Main[[#This Row],[Class]]="C",WORKDAY(Main[[#This Row],[Tech Start Date]],19),IF(Main[[#This Row],[Class]]="B", WORKDAY(Main[[#This Row],[Tech Start Date]],12),IF(Main[[#This Row],[Class]]="A",WORKDAY(Main[[#This Row],[Tech Start Date]],4),""))))</f>
        <v/>
      </c>
      <c r="O879" s="75" t="str">
        <f>IF(Main[[#This Row],[Tech Start Date]]&lt;1/1/1990,"",IF(Main[[#This Row],[Class]]="C",WORKDAY(Main[[#This Row],[Tech Start Date]],23),IF(Main[[#This Row],[Class]]="B", WORKDAY(Main[[#This Row],[Tech Start Date]],15),IF(Main[[#This Row],[Class]]="A",WORKDAY(Main[[#This Row],[Tech Start Date]],5),""))))</f>
        <v/>
      </c>
      <c r="P879" s="75" t="str">
        <f>IF(Main[[#This Row],[Tech Start Date]]&lt;1/1/1990,"",IF(Main[[#This Row],[Class]]="C",WORKDAY(Main[[#This Row],[Tech Start Date]],28),IF(Main[[#This Row],[Class]]="B", WORKDAY(Main[[#This Row],[Tech Start Date]],19),IF(Main[[#This Row],[Class]]="A",WORKDAY(Main[[#This Row],[Tech Start Date]],9),""))))</f>
        <v/>
      </c>
      <c r="Q879" s="89">
        <v>40437</v>
      </c>
      <c r="R879" s="121"/>
      <c r="S879" s="99" t="s">
        <v>6</v>
      </c>
      <c r="T879" s="76" t="s">
        <v>4</v>
      </c>
      <c r="U879" s="99" t="s">
        <v>14</v>
      </c>
      <c r="V879" s="99" t="s">
        <v>1916</v>
      </c>
      <c r="W879" s="99" t="s">
        <v>1915</v>
      </c>
      <c r="X879" s="99" t="s">
        <v>2816</v>
      </c>
      <c r="Y879" s="73" t="s">
        <v>2932</v>
      </c>
      <c r="Z879" s="73" t="s">
        <v>530</v>
      </c>
      <c r="AA879" s="99" t="s">
        <v>2816</v>
      </c>
    </row>
    <row r="880" spans="1:27" ht="17.25" customHeight="1">
      <c r="A880" s="65" t="str">
        <f>IF(priority(Main[[#This Row],[Comments]])&lt;&gt;0, priority(Main[[#This Row],[Comments]]),"")</f>
        <v/>
      </c>
      <c r="B880" s="60" t="s">
        <v>2731</v>
      </c>
      <c r="C880" s="105" t="s">
        <v>4</v>
      </c>
      <c r="D880" s="74" t="s">
        <v>2732</v>
      </c>
      <c r="E880" s="89">
        <v>40886.69462962963</v>
      </c>
      <c r="F880" s="89"/>
      <c r="G880" s="65" t="str">
        <f>IF(stdProdLT(Main[[#This Row],[Comments]])=0.1,"N/A",IF(stdProdLT(Main[[#This Row],[Comments]])=0,"",TRIM(stdProdLT(Main[[#This Row],[Comments]]))))</f>
        <v/>
      </c>
      <c r="H880" s="98" t="str">
        <f>IF(Main[[#This Row],[Std. Prod. Lead Time]]="N/A", "",IF(AND(Main[[#This Row],[In Stock Date]]&lt;&gt;"",Main[[#This Row],[Revised Due Date]]&lt;&gt;"",Main[[#This Row],[In Stock Date]]&lt;&gt;""),Main[[#This Row],[In Stock Date]]-Main[[#This Row],[Revised Due Date]],""))</f>
        <v/>
      </c>
      <c r="I880" s="110" t="s">
        <v>4</v>
      </c>
      <c r="J880" s="99" t="s">
        <v>4</v>
      </c>
      <c r="K880" s="100" t="s">
        <v>4</v>
      </c>
      <c r="L880" s="89"/>
      <c r="M880" s="75" t="str">
        <f>IF(Main[[#This Row],[Tech Start Date]]&lt;1/1/1990,"",IF(Main[[#This Row],[Class]]="C",WORKDAY(Main[[#This Row],[Tech Start Date]],9),IF(Main[[#This Row],[Class]]="B", WORKDAY(Main[[#This Row],[Tech Start Date]],6),IF(Main[[#This Row],[Class]]="A",WORKDAY(Main[[#This Row],[Tech Start Date]],2),""))))</f>
        <v/>
      </c>
      <c r="N880" s="75" t="str">
        <f>IF(Main[[#This Row],[Tech Start Date]]&lt;1/1/1990,"",IF(Main[[#This Row],[Class]]="C",WORKDAY(Main[[#This Row],[Tech Start Date]],19),IF(Main[[#This Row],[Class]]="B", WORKDAY(Main[[#This Row],[Tech Start Date]],12),IF(Main[[#This Row],[Class]]="A",WORKDAY(Main[[#This Row],[Tech Start Date]],4),""))))</f>
        <v/>
      </c>
      <c r="O880" s="75" t="str">
        <f>IF(Main[[#This Row],[Tech Start Date]]&lt;1/1/1990,"",IF(Main[[#This Row],[Class]]="C",WORKDAY(Main[[#This Row],[Tech Start Date]],23),IF(Main[[#This Row],[Class]]="B", WORKDAY(Main[[#This Row],[Tech Start Date]],15),IF(Main[[#This Row],[Class]]="A",WORKDAY(Main[[#This Row],[Tech Start Date]],5),""))))</f>
        <v/>
      </c>
      <c r="P880" s="75" t="str">
        <f>IF(Main[[#This Row],[Tech Start Date]]&lt;1/1/1990,"",IF(Main[[#This Row],[Class]]="C",WORKDAY(Main[[#This Row],[Tech Start Date]],28),IF(Main[[#This Row],[Class]]="B", WORKDAY(Main[[#This Row],[Tech Start Date]],19),IF(Main[[#This Row],[Class]]="A",WORKDAY(Main[[#This Row],[Tech Start Date]],9),""))))</f>
        <v/>
      </c>
      <c r="Q880" s="89">
        <v>40959</v>
      </c>
      <c r="R880" s="121"/>
      <c r="S880" s="99" t="s">
        <v>17</v>
      </c>
      <c r="T880" s="76" t="s">
        <v>4</v>
      </c>
      <c r="U880" s="99" t="s">
        <v>7</v>
      </c>
      <c r="V880" s="99" t="s">
        <v>1913</v>
      </c>
      <c r="W880" s="99" t="s">
        <v>4</v>
      </c>
      <c r="X880" s="99" t="s">
        <v>956</v>
      </c>
      <c r="Y880" s="73" t="s">
        <v>3088</v>
      </c>
      <c r="Z880" s="73" t="s">
        <v>4</v>
      </c>
      <c r="AA880" s="99" t="s">
        <v>956</v>
      </c>
    </row>
    <row r="881" spans="1:27" ht="17.25" customHeight="1">
      <c r="A881" s="65" t="str">
        <f>IF(priority(Main[[#This Row],[Comments]])&lt;&gt;0, priority(Main[[#This Row],[Comments]]),"")</f>
        <v/>
      </c>
      <c r="B881" s="60" t="s">
        <v>1694</v>
      </c>
      <c r="C881" s="105" t="s">
        <v>47</v>
      </c>
      <c r="D881" s="74" t="s">
        <v>751</v>
      </c>
      <c r="E881" s="89"/>
      <c r="F881" s="89"/>
      <c r="G881" s="65" t="str">
        <f>IF(stdProdLT(Main[[#This Row],[Comments]])=0.1,"N/A",IF(stdProdLT(Main[[#This Row],[Comments]])=0,"",TRIM(stdProdLT(Main[[#This Row],[Comments]]))))</f>
        <v/>
      </c>
      <c r="H881" s="98" t="str">
        <f>IF(Main[[#This Row],[Std. Prod. Lead Time]]="N/A", "",IF(AND(Main[[#This Row],[In Stock Date]]&lt;&gt;"",Main[[#This Row],[Revised Due Date]]&lt;&gt;"",Main[[#This Row],[In Stock Date]]&lt;&gt;""),Main[[#This Row],[In Stock Date]]-Main[[#This Row],[Revised Due Date]],""))</f>
        <v/>
      </c>
      <c r="I881" s="110" t="s">
        <v>4</v>
      </c>
      <c r="J881" s="99" t="s">
        <v>4</v>
      </c>
      <c r="K881" s="99" t="s">
        <v>4</v>
      </c>
      <c r="L881" s="89"/>
      <c r="M881" s="75" t="str">
        <f>IF(Main[[#This Row],[Tech Start Date]]&lt;1/1/1990,"",IF(Main[[#This Row],[Class]]="C",WORKDAY(Main[[#This Row],[Tech Start Date]],9),IF(Main[[#This Row],[Class]]="B", WORKDAY(Main[[#This Row],[Tech Start Date]],6),IF(Main[[#This Row],[Class]]="A",WORKDAY(Main[[#This Row],[Tech Start Date]],2),""))))</f>
        <v/>
      </c>
      <c r="N881" s="75" t="str">
        <f>IF(Main[[#This Row],[Tech Start Date]]&lt;1/1/1990,"",IF(Main[[#This Row],[Class]]="C",WORKDAY(Main[[#This Row],[Tech Start Date]],19),IF(Main[[#This Row],[Class]]="B", WORKDAY(Main[[#This Row],[Tech Start Date]],12),IF(Main[[#This Row],[Class]]="A",WORKDAY(Main[[#This Row],[Tech Start Date]],4),""))))</f>
        <v/>
      </c>
      <c r="O881" s="75" t="str">
        <f>IF(Main[[#This Row],[Tech Start Date]]&lt;1/1/1990,"",IF(Main[[#This Row],[Class]]="C",WORKDAY(Main[[#This Row],[Tech Start Date]],23),IF(Main[[#This Row],[Class]]="B", WORKDAY(Main[[#This Row],[Tech Start Date]],15),IF(Main[[#This Row],[Class]]="A",WORKDAY(Main[[#This Row],[Tech Start Date]],5),""))))</f>
        <v/>
      </c>
      <c r="P881" s="75" t="str">
        <f>IF(Main[[#This Row],[Tech Start Date]]&lt;1/1/1990,"",IF(Main[[#This Row],[Class]]="C",WORKDAY(Main[[#This Row],[Tech Start Date]],28),IF(Main[[#This Row],[Class]]="B", WORKDAY(Main[[#This Row],[Tech Start Date]],19),IF(Main[[#This Row],[Class]]="A",WORKDAY(Main[[#This Row],[Tech Start Date]],9),""))))</f>
        <v/>
      </c>
      <c r="Q881" s="89"/>
      <c r="R881" s="121"/>
      <c r="S881" s="99" t="s">
        <v>49</v>
      </c>
      <c r="T881" s="76" t="s">
        <v>4</v>
      </c>
      <c r="U881" s="99" t="s">
        <v>14</v>
      </c>
      <c r="V881" s="99" t="s">
        <v>1916</v>
      </c>
      <c r="W881" s="99" t="s">
        <v>1917</v>
      </c>
      <c r="X881" s="99" t="s">
        <v>306</v>
      </c>
      <c r="Y881" s="73" t="s">
        <v>2935</v>
      </c>
      <c r="Z881" s="73" t="s">
        <v>4</v>
      </c>
      <c r="AA881" s="99" t="s">
        <v>3369</v>
      </c>
    </row>
    <row r="882" spans="1:27" ht="17.25" customHeight="1">
      <c r="A882" s="65" t="str">
        <f>IF(priority(Main[[#This Row],[Comments]])&lt;&gt;0, priority(Main[[#This Row],[Comments]]),"")</f>
        <v/>
      </c>
      <c r="B882" s="60" t="s">
        <v>2093</v>
      </c>
      <c r="C882" s="105" t="s">
        <v>951</v>
      </c>
      <c r="D882" s="74" t="s">
        <v>2094</v>
      </c>
      <c r="E882" s="89"/>
      <c r="F882" s="89">
        <v>40871</v>
      </c>
      <c r="G882" s="65" t="str">
        <f>IF(stdProdLT(Main[[#This Row],[Comments]])=0.1,"N/A",IF(stdProdLT(Main[[#This Row],[Comments]])=0,"",TRIM(stdProdLT(Main[[#This Row],[Comments]]))))</f>
        <v/>
      </c>
      <c r="H882" s="98" t="str">
        <f>IF(Main[[#This Row],[Std. Prod. Lead Time]]="N/A", "",IF(AND(Main[[#This Row],[In Stock Date]]&lt;&gt;"",Main[[#This Row],[Revised Due Date]]&lt;&gt;"",Main[[#This Row],[In Stock Date]]&lt;&gt;""),Main[[#This Row],[In Stock Date]]-Main[[#This Row],[Revised Due Date]],""))</f>
        <v/>
      </c>
      <c r="I882" s="110" t="s">
        <v>4</v>
      </c>
      <c r="J882" s="99" t="s">
        <v>4</v>
      </c>
      <c r="K882" s="100" t="s">
        <v>4</v>
      </c>
      <c r="L882" s="89"/>
      <c r="M882" s="75" t="str">
        <f>IF(Main[[#This Row],[Tech Start Date]]&lt;1/1/1990,"",IF(Main[[#This Row],[Class]]="C",WORKDAY(Main[[#This Row],[Tech Start Date]],9),IF(Main[[#This Row],[Class]]="B", WORKDAY(Main[[#This Row],[Tech Start Date]],6),IF(Main[[#This Row],[Class]]="A",WORKDAY(Main[[#This Row],[Tech Start Date]],2),""))))</f>
        <v/>
      </c>
      <c r="N882" s="75" t="str">
        <f>IF(Main[[#This Row],[Tech Start Date]]&lt;1/1/1990,"",IF(Main[[#This Row],[Class]]="C",WORKDAY(Main[[#This Row],[Tech Start Date]],19),IF(Main[[#This Row],[Class]]="B", WORKDAY(Main[[#This Row],[Tech Start Date]],12),IF(Main[[#This Row],[Class]]="A",WORKDAY(Main[[#This Row],[Tech Start Date]],4),""))))</f>
        <v/>
      </c>
      <c r="O882" s="75" t="str">
        <f>IF(Main[[#This Row],[Tech Start Date]]&lt;1/1/1990,"",IF(Main[[#This Row],[Class]]="C",WORKDAY(Main[[#This Row],[Tech Start Date]],23),IF(Main[[#This Row],[Class]]="B", WORKDAY(Main[[#This Row],[Tech Start Date]],15),IF(Main[[#This Row],[Class]]="A",WORKDAY(Main[[#This Row],[Tech Start Date]],5),""))))</f>
        <v/>
      </c>
      <c r="P882" s="75" t="str">
        <f>IF(Main[[#This Row],[Tech Start Date]]&lt;1/1/1990,"",IF(Main[[#This Row],[Class]]="C",WORKDAY(Main[[#This Row],[Tech Start Date]],28),IF(Main[[#This Row],[Class]]="B", WORKDAY(Main[[#This Row],[Tech Start Date]],19),IF(Main[[#This Row],[Class]]="A",WORKDAY(Main[[#This Row],[Tech Start Date]],9),""))))</f>
        <v/>
      </c>
      <c r="Q882" s="89"/>
      <c r="R882" s="121"/>
      <c r="S882" s="99" t="s">
        <v>11</v>
      </c>
      <c r="T882" s="76" t="s">
        <v>4</v>
      </c>
      <c r="U882" s="99" t="s">
        <v>14</v>
      </c>
      <c r="V882" s="99" t="s">
        <v>1916</v>
      </c>
      <c r="W882" s="99" t="s">
        <v>1921</v>
      </c>
      <c r="X882" s="99" t="s">
        <v>50</v>
      </c>
      <c r="Y882" s="73" t="s">
        <v>2955</v>
      </c>
      <c r="Z882" s="73" t="s">
        <v>4</v>
      </c>
      <c r="AA882" s="99" t="s">
        <v>50</v>
      </c>
    </row>
    <row r="883" spans="1:27" ht="17.25" customHeight="1">
      <c r="A883" s="65" t="str">
        <f>IF(priority(Main[[#This Row],[Comments]])&lt;&gt;0, priority(Main[[#This Row],[Comments]]),"")</f>
        <v/>
      </c>
      <c r="B883" s="60" t="s">
        <v>3507</v>
      </c>
      <c r="C883" s="105" t="s">
        <v>4</v>
      </c>
      <c r="D883" s="74" t="s">
        <v>3508</v>
      </c>
      <c r="E883" s="89">
        <v>40948.373171296298</v>
      </c>
      <c r="F883" s="89"/>
      <c r="G883" s="65" t="str">
        <f>IF(stdProdLT(Main[[#This Row],[Comments]])=0.1,"N/A",IF(stdProdLT(Main[[#This Row],[Comments]])=0,"",TRIM(stdProdLT(Main[[#This Row],[Comments]]))))</f>
        <v/>
      </c>
      <c r="H883" s="98" t="str">
        <f>IF(Main[[#This Row],[Std. Prod. Lead Time]]="N/A", "",IF(AND(Main[[#This Row],[In Stock Date]]&lt;&gt;"",Main[[#This Row],[Revised Due Date]]&lt;&gt;"",Main[[#This Row],[In Stock Date]]&lt;&gt;""),Main[[#This Row],[In Stock Date]]-Main[[#This Row],[Revised Due Date]],""))</f>
        <v/>
      </c>
      <c r="I883" s="110" t="s">
        <v>4</v>
      </c>
      <c r="J883" s="99" t="s">
        <v>4</v>
      </c>
      <c r="K883" s="99" t="s">
        <v>4</v>
      </c>
      <c r="L883" s="89"/>
      <c r="M883" s="75" t="str">
        <f>IF(Main[[#This Row],[Tech Start Date]]&lt;1/1/1990,"",IF(Main[[#This Row],[Class]]="C",WORKDAY(Main[[#This Row],[Tech Start Date]],9),IF(Main[[#This Row],[Class]]="B", WORKDAY(Main[[#This Row],[Tech Start Date]],6),IF(Main[[#This Row],[Class]]="A",WORKDAY(Main[[#This Row],[Tech Start Date]],2),""))))</f>
        <v/>
      </c>
      <c r="N883" s="75" t="str">
        <f>IF(Main[[#This Row],[Tech Start Date]]&lt;1/1/1990,"",IF(Main[[#This Row],[Class]]="C",WORKDAY(Main[[#This Row],[Tech Start Date]],19),IF(Main[[#This Row],[Class]]="B", WORKDAY(Main[[#This Row],[Tech Start Date]],12),IF(Main[[#This Row],[Class]]="A",WORKDAY(Main[[#This Row],[Tech Start Date]],4),""))))</f>
        <v/>
      </c>
      <c r="O883" s="75" t="str">
        <f>IF(Main[[#This Row],[Tech Start Date]]&lt;1/1/1990,"",IF(Main[[#This Row],[Class]]="C",WORKDAY(Main[[#This Row],[Tech Start Date]],23),IF(Main[[#This Row],[Class]]="B", WORKDAY(Main[[#This Row],[Tech Start Date]],15),IF(Main[[#This Row],[Class]]="A",WORKDAY(Main[[#This Row],[Tech Start Date]],5),""))))</f>
        <v/>
      </c>
      <c r="P883" s="75" t="str">
        <f>IF(Main[[#This Row],[Tech Start Date]]&lt;1/1/1990,"",IF(Main[[#This Row],[Class]]="C",WORKDAY(Main[[#This Row],[Tech Start Date]],28),IF(Main[[#This Row],[Class]]="B", WORKDAY(Main[[#This Row],[Tech Start Date]],19),IF(Main[[#This Row],[Class]]="A",WORKDAY(Main[[#This Row],[Tech Start Date]],9),""))))</f>
        <v/>
      </c>
      <c r="Q883" s="89">
        <v>40977</v>
      </c>
      <c r="R883" s="121"/>
      <c r="S883" s="99" t="s">
        <v>6</v>
      </c>
      <c r="T883" s="76" t="s">
        <v>4</v>
      </c>
      <c r="U883" s="99" t="s">
        <v>7</v>
      </c>
      <c r="V883" s="99" t="s">
        <v>1913</v>
      </c>
      <c r="W883" s="99" t="s">
        <v>4</v>
      </c>
      <c r="X883" s="99" t="s">
        <v>2816</v>
      </c>
      <c r="Y883" s="73" t="s">
        <v>2932</v>
      </c>
      <c r="Z883" s="73" t="s">
        <v>4</v>
      </c>
      <c r="AA883" s="99" t="s">
        <v>2816</v>
      </c>
    </row>
    <row r="884" spans="1:27" ht="17.25" customHeight="1">
      <c r="A884" s="65" t="str">
        <f>IF(priority(Main[[#This Row],[Comments]])&lt;&gt;0, priority(Main[[#This Row],[Comments]]),"")</f>
        <v/>
      </c>
      <c r="B884" s="60" t="s">
        <v>1897</v>
      </c>
      <c r="C884" s="105" t="s">
        <v>72</v>
      </c>
      <c r="D884" s="74" t="s">
        <v>2107</v>
      </c>
      <c r="E884" s="89">
        <v>40469.926608796297</v>
      </c>
      <c r="F884" s="89">
        <v>40487</v>
      </c>
      <c r="G884" s="65" t="str">
        <f>IF(stdProdLT(Main[[#This Row],[Comments]])=0.1,"N/A",IF(stdProdLT(Main[[#This Row],[Comments]])=0,"",TRIM(stdProdLT(Main[[#This Row],[Comments]]))))</f>
        <v>42</v>
      </c>
      <c r="H884" s="98">
        <f>IF(Main[[#This Row],[Std. Prod. Lead Time]]="N/A", "",IF(AND(Main[[#This Row],[In Stock Date]]&lt;&gt;"",Main[[#This Row],[Revised Due Date]]&lt;&gt;"",Main[[#This Row],[In Stock Date]]&lt;&gt;""),Main[[#This Row],[In Stock Date]]-Main[[#This Row],[Revised Due Date]],""))</f>
        <v>-294</v>
      </c>
      <c r="I884" s="110" t="s">
        <v>2049</v>
      </c>
      <c r="J884" s="99" t="s">
        <v>52</v>
      </c>
      <c r="K884" s="99" t="s">
        <v>1926</v>
      </c>
      <c r="L884" s="89"/>
      <c r="M884" s="75" t="str">
        <f>IF(Main[[#This Row],[Tech Start Date]]&lt;1/1/1990,"",IF(Main[[#This Row],[Class]]="C",WORKDAY(Main[[#This Row],[Tech Start Date]],9),IF(Main[[#This Row],[Class]]="B", WORKDAY(Main[[#This Row],[Tech Start Date]],6),IF(Main[[#This Row],[Class]]="A",WORKDAY(Main[[#This Row],[Tech Start Date]],2),""))))</f>
        <v/>
      </c>
      <c r="N884" s="75" t="str">
        <f>IF(Main[[#This Row],[Tech Start Date]]&lt;1/1/1990,"",IF(Main[[#This Row],[Class]]="C",WORKDAY(Main[[#This Row],[Tech Start Date]],19),IF(Main[[#This Row],[Class]]="B", WORKDAY(Main[[#This Row],[Tech Start Date]],12),IF(Main[[#This Row],[Class]]="A",WORKDAY(Main[[#This Row],[Tech Start Date]],4),""))))</f>
        <v/>
      </c>
      <c r="O884" s="75" t="str">
        <f>IF(Main[[#This Row],[Tech Start Date]]&lt;1/1/1990,"",IF(Main[[#This Row],[Class]]="C",WORKDAY(Main[[#This Row],[Tech Start Date]],23),IF(Main[[#This Row],[Class]]="B", WORKDAY(Main[[#This Row],[Tech Start Date]],15),IF(Main[[#This Row],[Class]]="A",WORKDAY(Main[[#This Row],[Tech Start Date]],5),""))))</f>
        <v/>
      </c>
      <c r="P884" s="75" t="str">
        <f>IF(Main[[#This Row],[Tech Start Date]]&lt;1/1/1990,"",IF(Main[[#This Row],[Class]]="C",WORKDAY(Main[[#This Row],[Tech Start Date]],28),IF(Main[[#This Row],[Class]]="B", WORKDAY(Main[[#This Row],[Tech Start Date]],19),IF(Main[[#This Row],[Class]]="A",WORKDAY(Main[[#This Row],[Tech Start Date]],9),""))))</f>
        <v/>
      </c>
      <c r="Q884" s="89"/>
      <c r="R884" s="121">
        <v>40781</v>
      </c>
      <c r="S884" s="99" t="s">
        <v>6</v>
      </c>
      <c r="T884" s="76" t="s">
        <v>2108</v>
      </c>
      <c r="U884" s="99" t="s">
        <v>29</v>
      </c>
      <c r="V884" s="99" t="s">
        <v>1914</v>
      </c>
      <c r="W884" s="99" t="s">
        <v>1915</v>
      </c>
      <c r="X884" s="99" t="s">
        <v>2895</v>
      </c>
      <c r="Y884" s="73" t="s">
        <v>3073</v>
      </c>
      <c r="Z884" s="73" t="s">
        <v>108</v>
      </c>
      <c r="AA884" s="99" t="s">
        <v>2895</v>
      </c>
    </row>
    <row r="885" spans="1:27" ht="17.25" customHeight="1">
      <c r="A885" s="65" t="str">
        <f>IF(priority(Main[[#This Row],[Comments]])&lt;&gt;0, priority(Main[[#This Row],[Comments]]),"")</f>
        <v/>
      </c>
      <c r="B885" s="60" t="s">
        <v>1861</v>
      </c>
      <c r="C885" s="105" t="s">
        <v>31</v>
      </c>
      <c r="D885" s="74" t="s">
        <v>918</v>
      </c>
      <c r="E885" s="89"/>
      <c r="F885" s="89">
        <v>40664</v>
      </c>
      <c r="G885" s="65" t="str">
        <f>IF(stdProdLT(Main[[#This Row],[Comments]])=0.1,"N/A",IF(stdProdLT(Main[[#This Row],[Comments]])=0,"",TRIM(stdProdLT(Main[[#This Row],[Comments]]))))</f>
        <v/>
      </c>
      <c r="H885" s="98">
        <f>IF(Main[[#This Row],[Std. Prod. Lead Time]]="N/A", "",IF(AND(Main[[#This Row],[In Stock Date]]&lt;&gt;"",Main[[#This Row],[Revised Due Date]]&lt;&gt;"",Main[[#This Row],[In Stock Date]]&lt;&gt;""),Main[[#This Row],[In Stock Date]]-Main[[#This Row],[Revised Due Date]],""))</f>
        <v>87</v>
      </c>
      <c r="I885" s="110" t="s">
        <v>417</v>
      </c>
      <c r="J885" s="99" t="s">
        <v>75</v>
      </c>
      <c r="K885" s="99" t="s">
        <v>1922</v>
      </c>
      <c r="L885" s="89"/>
      <c r="M885" s="75" t="str">
        <f>IF(Main[[#This Row],[Tech Start Date]]&lt;1/1/1990,"",IF(Main[[#This Row],[Class]]="C",WORKDAY(Main[[#This Row],[Tech Start Date]],9),IF(Main[[#This Row],[Class]]="B", WORKDAY(Main[[#This Row],[Tech Start Date]],6),IF(Main[[#This Row],[Class]]="A",WORKDAY(Main[[#This Row],[Tech Start Date]],2),""))))</f>
        <v/>
      </c>
      <c r="N885" s="75" t="str">
        <f>IF(Main[[#This Row],[Tech Start Date]]&lt;1/1/1990,"",IF(Main[[#This Row],[Class]]="C",WORKDAY(Main[[#This Row],[Tech Start Date]],19),IF(Main[[#This Row],[Class]]="B", WORKDAY(Main[[#This Row],[Tech Start Date]],12),IF(Main[[#This Row],[Class]]="A",WORKDAY(Main[[#This Row],[Tech Start Date]],4),""))))</f>
        <v/>
      </c>
      <c r="O885" s="75" t="str">
        <f>IF(Main[[#This Row],[Tech Start Date]]&lt;1/1/1990,"",IF(Main[[#This Row],[Class]]="C",WORKDAY(Main[[#This Row],[Tech Start Date]],23),IF(Main[[#This Row],[Class]]="B", WORKDAY(Main[[#This Row],[Tech Start Date]],15),IF(Main[[#This Row],[Class]]="A",WORKDAY(Main[[#This Row],[Tech Start Date]],5),""))))</f>
        <v/>
      </c>
      <c r="P885" s="75" t="str">
        <f>IF(Main[[#This Row],[Tech Start Date]]&lt;1/1/1990,"",IF(Main[[#This Row],[Class]]="C",WORKDAY(Main[[#This Row],[Tech Start Date]],28),IF(Main[[#This Row],[Class]]="B", WORKDAY(Main[[#This Row],[Tech Start Date]],19),IF(Main[[#This Row],[Class]]="A",WORKDAY(Main[[#This Row],[Tech Start Date]],9),""))))</f>
        <v/>
      </c>
      <c r="Q885" s="89">
        <v>40589</v>
      </c>
      <c r="R885" s="121">
        <v>40577</v>
      </c>
      <c r="S885" s="99" t="s">
        <v>11</v>
      </c>
      <c r="T885" s="76" t="s">
        <v>4</v>
      </c>
      <c r="U885" s="99" t="s">
        <v>14</v>
      </c>
      <c r="V885" s="99" t="s">
        <v>1916</v>
      </c>
      <c r="W885" s="99" t="s">
        <v>1919</v>
      </c>
      <c r="X885" s="99" t="s">
        <v>2819</v>
      </c>
      <c r="Y885" s="73" t="s">
        <v>2961</v>
      </c>
      <c r="Z885" s="73" t="s">
        <v>530</v>
      </c>
      <c r="AA885" s="99" t="s">
        <v>2819</v>
      </c>
    </row>
    <row r="886" spans="1:27" ht="17.25" customHeight="1">
      <c r="A886" s="65" t="str">
        <f>IF(priority(Main[[#This Row],[Comments]])&lt;&gt;0, priority(Main[[#This Row],[Comments]]),"")</f>
        <v/>
      </c>
      <c r="B886" s="60" t="s">
        <v>1691</v>
      </c>
      <c r="C886" s="105" t="s">
        <v>4</v>
      </c>
      <c r="D886" s="74" t="s">
        <v>748</v>
      </c>
      <c r="E886" s="89"/>
      <c r="F886" s="89"/>
      <c r="G886" s="65" t="str">
        <f>IF(stdProdLT(Main[[#This Row],[Comments]])=0.1,"N/A",IF(stdProdLT(Main[[#This Row],[Comments]])=0,"",TRIM(stdProdLT(Main[[#This Row],[Comments]]))))</f>
        <v/>
      </c>
      <c r="H886" s="98" t="str">
        <f>IF(Main[[#This Row],[Std. Prod. Lead Time]]="N/A", "",IF(AND(Main[[#This Row],[In Stock Date]]&lt;&gt;"",Main[[#This Row],[Revised Due Date]]&lt;&gt;"",Main[[#This Row],[In Stock Date]]&lt;&gt;""),Main[[#This Row],[In Stock Date]]-Main[[#This Row],[Revised Due Date]],""))</f>
        <v/>
      </c>
      <c r="I886" s="110" t="s">
        <v>4</v>
      </c>
      <c r="J886" s="99" t="s">
        <v>28</v>
      </c>
      <c r="K886" s="99" t="s">
        <v>1925</v>
      </c>
      <c r="L886" s="89"/>
      <c r="M886" s="75" t="str">
        <f>IF(Main[[#This Row],[Tech Start Date]]&lt;1/1/1990,"",IF(Main[[#This Row],[Class]]="C",WORKDAY(Main[[#This Row],[Tech Start Date]],9),IF(Main[[#This Row],[Class]]="B", WORKDAY(Main[[#This Row],[Tech Start Date]],6),IF(Main[[#This Row],[Class]]="A",WORKDAY(Main[[#This Row],[Tech Start Date]],2),""))))</f>
        <v/>
      </c>
      <c r="N886" s="75" t="str">
        <f>IF(Main[[#This Row],[Tech Start Date]]&lt;1/1/1990,"",IF(Main[[#This Row],[Class]]="C",WORKDAY(Main[[#This Row],[Tech Start Date]],19),IF(Main[[#This Row],[Class]]="B", WORKDAY(Main[[#This Row],[Tech Start Date]],12),IF(Main[[#This Row],[Class]]="A",WORKDAY(Main[[#This Row],[Tech Start Date]],4),""))))</f>
        <v/>
      </c>
      <c r="O886" s="75" t="str">
        <f>IF(Main[[#This Row],[Tech Start Date]]&lt;1/1/1990,"",IF(Main[[#This Row],[Class]]="C",WORKDAY(Main[[#This Row],[Tech Start Date]],23),IF(Main[[#This Row],[Class]]="B", WORKDAY(Main[[#This Row],[Tech Start Date]],15),IF(Main[[#This Row],[Class]]="A",WORKDAY(Main[[#This Row],[Tech Start Date]],5),""))))</f>
        <v/>
      </c>
      <c r="P886" s="75" t="str">
        <f>IF(Main[[#This Row],[Tech Start Date]]&lt;1/1/1990,"",IF(Main[[#This Row],[Class]]="C",WORKDAY(Main[[#This Row],[Tech Start Date]],28),IF(Main[[#This Row],[Class]]="B", WORKDAY(Main[[#This Row],[Tech Start Date]],19),IF(Main[[#This Row],[Class]]="A",WORKDAY(Main[[#This Row],[Tech Start Date]],9),""))))</f>
        <v/>
      </c>
      <c r="Q886" s="89">
        <v>40522</v>
      </c>
      <c r="R886" s="121"/>
      <c r="S886" s="99" t="s">
        <v>17</v>
      </c>
      <c r="T886" s="76" t="s">
        <v>4</v>
      </c>
      <c r="U886" s="99" t="s">
        <v>14</v>
      </c>
      <c r="V886" s="99" t="s">
        <v>1913</v>
      </c>
      <c r="W886" s="99" t="s">
        <v>1918</v>
      </c>
      <c r="X886" s="99" t="s">
        <v>2856</v>
      </c>
      <c r="Y886" s="73" t="s">
        <v>3000</v>
      </c>
      <c r="Z886" s="73" t="s">
        <v>129</v>
      </c>
      <c r="AA886" s="99" t="s">
        <v>2856</v>
      </c>
    </row>
    <row r="887" spans="1:27" ht="17.25" customHeight="1">
      <c r="A887" s="65" t="str">
        <f>IF(priority(Main[[#This Row],[Comments]])&lt;&gt;0, priority(Main[[#This Row],[Comments]]),"")</f>
        <v/>
      </c>
      <c r="B887" s="60" t="s">
        <v>1692</v>
      </c>
      <c r="C887" s="105" t="s">
        <v>67</v>
      </c>
      <c r="D887" s="74" t="s">
        <v>749</v>
      </c>
      <c r="E887" s="89"/>
      <c r="F887" s="89"/>
      <c r="G887" s="65" t="str">
        <f>IF(stdProdLT(Main[[#This Row],[Comments]])=0.1,"N/A",IF(stdProdLT(Main[[#This Row],[Comments]])=0,"",TRIM(stdProdLT(Main[[#This Row],[Comments]]))))</f>
        <v/>
      </c>
      <c r="H887" s="98" t="str">
        <f>IF(Main[[#This Row],[Std. Prod. Lead Time]]="N/A", "",IF(AND(Main[[#This Row],[In Stock Date]]&lt;&gt;"",Main[[#This Row],[Revised Due Date]]&lt;&gt;"",Main[[#This Row],[In Stock Date]]&lt;&gt;""),Main[[#This Row],[In Stock Date]]-Main[[#This Row],[Revised Due Date]],""))</f>
        <v/>
      </c>
      <c r="I887" s="110" t="s">
        <v>4</v>
      </c>
      <c r="J887" s="99" t="s">
        <v>4</v>
      </c>
      <c r="K887" s="100" t="s">
        <v>4</v>
      </c>
      <c r="L887" s="89"/>
      <c r="M887" s="75" t="str">
        <f>IF(Main[[#This Row],[Tech Start Date]]&lt;1/1/1990,"",IF(Main[[#This Row],[Class]]="C",WORKDAY(Main[[#This Row],[Tech Start Date]],9),IF(Main[[#This Row],[Class]]="B", WORKDAY(Main[[#This Row],[Tech Start Date]],6),IF(Main[[#This Row],[Class]]="A",WORKDAY(Main[[#This Row],[Tech Start Date]],2),""))))</f>
        <v/>
      </c>
      <c r="N887" s="75" t="str">
        <f>IF(Main[[#This Row],[Tech Start Date]]&lt;1/1/1990,"",IF(Main[[#This Row],[Class]]="C",WORKDAY(Main[[#This Row],[Tech Start Date]],19),IF(Main[[#This Row],[Class]]="B", WORKDAY(Main[[#This Row],[Tech Start Date]],12),IF(Main[[#This Row],[Class]]="A",WORKDAY(Main[[#This Row],[Tech Start Date]],4),""))))</f>
        <v/>
      </c>
      <c r="O887" s="75" t="str">
        <f>IF(Main[[#This Row],[Tech Start Date]]&lt;1/1/1990,"",IF(Main[[#This Row],[Class]]="C",WORKDAY(Main[[#This Row],[Tech Start Date]],23),IF(Main[[#This Row],[Class]]="B", WORKDAY(Main[[#This Row],[Tech Start Date]],15),IF(Main[[#This Row],[Class]]="A",WORKDAY(Main[[#This Row],[Tech Start Date]],5),""))))</f>
        <v/>
      </c>
      <c r="P887" s="75" t="str">
        <f>IF(Main[[#This Row],[Tech Start Date]]&lt;1/1/1990,"",IF(Main[[#This Row],[Class]]="C",WORKDAY(Main[[#This Row],[Tech Start Date]],28),IF(Main[[#This Row],[Class]]="B", WORKDAY(Main[[#This Row],[Tech Start Date]],19),IF(Main[[#This Row],[Class]]="A",WORKDAY(Main[[#This Row],[Tech Start Date]],9),""))))</f>
        <v/>
      </c>
      <c r="Q887" s="89">
        <v>40241</v>
      </c>
      <c r="R887" s="121"/>
      <c r="S887" s="99" t="s">
        <v>11</v>
      </c>
      <c r="T887" s="76" t="s">
        <v>4</v>
      </c>
      <c r="U887" s="99" t="s">
        <v>14</v>
      </c>
      <c r="V887" s="99" t="s">
        <v>1923</v>
      </c>
      <c r="W887" s="99" t="s">
        <v>1915</v>
      </c>
      <c r="X887" s="99" t="s">
        <v>553</v>
      </c>
      <c r="Y887" s="73" t="s">
        <v>4</v>
      </c>
      <c r="Z887" s="73" t="s">
        <v>4</v>
      </c>
      <c r="AA887" s="99" t="s">
        <v>2852</v>
      </c>
    </row>
    <row r="888" spans="1:27" ht="17.25" customHeight="1">
      <c r="A888" s="65" t="str">
        <f>IF(priority(Main[[#This Row],[Comments]])&lt;&gt;0, priority(Main[[#This Row],[Comments]]),"")</f>
        <v/>
      </c>
      <c r="B888" s="60" t="s">
        <v>1693</v>
      </c>
      <c r="C888" s="105" t="s">
        <v>4</v>
      </c>
      <c r="D888" s="74" t="s">
        <v>750</v>
      </c>
      <c r="E888" s="89"/>
      <c r="F888" s="89"/>
      <c r="G888" s="65" t="str">
        <f>IF(stdProdLT(Main[[#This Row],[Comments]])=0.1,"N/A",IF(stdProdLT(Main[[#This Row],[Comments]])=0,"",TRIM(stdProdLT(Main[[#This Row],[Comments]]))))</f>
        <v/>
      </c>
      <c r="H888" s="98" t="str">
        <f>IF(Main[[#This Row],[Std. Prod. Lead Time]]="N/A", "",IF(AND(Main[[#This Row],[In Stock Date]]&lt;&gt;"",Main[[#This Row],[Revised Due Date]]&lt;&gt;"",Main[[#This Row],[In Stock Date]]&lt;&gt;""),Main[[#This Row],[In Stock Date]]-Main[[#This Row],[Revised Due Date]],""))</f>
        <v/>
      </c>
      <c r="I888" s="110" t="s">
        <v>4</v>
      </c>
      <c r="J888" s="99" t="s">
        <v>28</v>
      </c>
      <c r="K888" s="100" t="s">
        <v>4</v>
      </c>
      <c r="L888" s="89"/>
      <c r="M888" s="75" t="str">
        <f>IF(Main[[#This Row],[Tech Start Date]]&lt;1/1/1990,"",IF(Main[[#This Row],[Class]]="C",WORKDAY(Main[[#This Row],[Tech Start Date]],9),IF(Main[[#This Row],[Class]]="B", WORKDAY(Main[[#This Row],[Tech Start Date]],6),IF(Main[[#This Row],[Class]]="A",WORKDAY(Main[[#This Row],[Tech Start Date]],2),""))))</f>
        <v/>
      </c>
      <c r="N888" s="75" t="str">
        <f>IF(Main[[#This Row],[Tech Start Date]]&lt;1/1/1990,"",IF(Main[[#This Row],[Class]]="C",WORKDAY(Main[[#This Row],[Tech Start Date]],19),IF(Main[[#This Row],[Class]]="B", WORKDAY(Main[[#This Row],[Tech Start Date]],12),IF(Main[[#This Row],[Class]]="A",WORKDAY(Main[[#This Row],[Tech Start Date]],4),""))))</f>
        <v/>
      </c>
      <c r="O888" s="75" t="str">
        <f>IF(Main[[#This Row],[Tech Start Date]]&lt;1/1/1990,"",IF(Main[[#This Row],[Class]]="C",WORKDAY(Main[[#This Row],[Tech Start Date]],23),IF(Main[[#This Row],[Class]]="B", WORKDAY(Main[[#This Row],[Tech Start Date]],15),IF(Main[[#This Row],[Class]]="A",WORKDAY(Main[[#This Row],[Tech Start Date]],5),""))))</f>
        <v/>
      </c>
      <c r="P888" s="75" t="str">
        <f>IF(Main[[#This Row],[Tech Start Date]]&lt;1/1/1990,"",IF(Main[[#This Row],[Class]]="C",WORKDAY(Main[[#This Row],[Tech Start Date]],28),IF(Main[[#This Row],[Class]]="B", WORKDAY(Main[[#This Row],[Tech Start Date]],19),IF(Main[[#This Row],[Class]]="A",WORKDAY(Main[[#This Row],[Tech Start Date]],9),""))))</f>
        <v/>
      </c>
      <c r="Q888" s="89">
        <v>40471</v>
      </c>
      <c r="R888" s="121"/>
      <c r="S888" s="99" t="s">
        <v>6</v>
      </c>
      <c r="T888" s="76" t="s">
        <v>4</v>
      </c>
      <c r="U888" s="99" t="s">
        <v>14</v>
      </c>
      <c r="V888" s="99" t="s">
        <v>1923</v>
      </c>
      <c r="W888" s="99" t="s">
        <v>1915</v>
      </c>
      <c r="X888" s="99" t="s">
        <v>2841</v>
      </c>
      <c r="Y888" s="73" t="s">
        <v>2972</v>
      </c>
      <c r="Z888" s="73" t="s">
        <v>530</v>
      </c>
      <c r="AA888" s="99" t="s">
        <v>2841</v>
      </c>
    </row>
    <row r="889" spans="1:27" ht="17.25" customHeight="1">
      <c r="A889" s="65" t="str">
        <f>IF(priority(Main[[#This Row],[Comments]])&lt;&gt;0, priority(Main[[#This Row],[Comments]]),"")</f>
        <v/>
      </c>
      <c r="B889" s="60" t="s">
        <v>1696</v>
      </c>
      <c r="C889" s="105" t="s">
        <v>275</v>
      </c>
      <c r="D889" s="74" t="s">
        <v>753</v>
      </c>
      <c r="E889" s="89"/>
      <c r="F889" s="89">
        <v>40451</v>
      </c>
      <c r="G889" s="65" t="str">
        <f>IF(stdProdLT(Main[[#This Row],[Comments]])=0.1,"N/A",IF(stdProdLT(Main[[#This Row],[Comments]])=0,"",TRIM(stdProdLT(Main[[#This Row],[Comments]]))))</f>
        <v/>
      </c>
      <c r="H889" s="98" t="str">
        <f>IF(Main[[#This Row],[Std. Prod. Lead Time]]="N/A", "",IF(AND(Main[[#This Row],[In Stock Date]]&lt;&gt;"",Main[[#This Row],[Revised Due Date]]&lt;&gt;"",Main[[#This Row],[In Stock Date]]&lt;&gt;""),Main[[#This Row],[In Stock Date]]-Main[[#This Row],[Revised Due Date]],""))</f>
        <v/>
      </c>
      <c r="I889" s="110" t="s">
        <v>4</v>
      </c>
      <c r="J889" s="99" t="s">
        <v>4</v>
      </c>
      <c r="K889" s="99" t="s">
        <v>4</v>
      </c>
      <c r="L889" s="89"/>
      <c r="M889" s="75" t="str">
        <f>IF(Main[[#This Row],[Tech Start Date]]&lt;1/1/1990,"",IF(Main[[#This Row],[Class]]="C",WORKDAY(Main[[#This Row],[Tech Start Date]],9),IF(Main[[#This Row],[Class]]="B", WORKDAY(Main[[#This Row],[Tech Start Date]],6),IF(Main[[#This Row],[Class]]="A",WORKDAY(Main[[#This Row],[Tech Start Date]],2),""))))</f>
        <v/>
      </c>
      <c r="N889" s="75" t="str">
        <f>IF(Main[[#This Row],[Tech Start Date]]&lt;1/1/1990,"",IF(Main[[#This Row],[Class]]="C",WORKDAY(Main[[#This Row],[Tech Start Date]],19),IF(Main[[#This Row],[Class]]="B", WORKDAY(Main[[#This Row],[Tech Start Date]],12),IF(Main[[#This Row],[Class]]="A",WORKDAY(Main[[#This Row],[Tech Start Date]],4),""))))</f>
        <v/>
      </c>
      <c r="O889" s="75" t="str">
        <f>IF(Main[[#This Row],[Tech Start Date]]&lt;1/1/1990,"",IF(Main[[#This Row],[Class]]="C",WORKDAY(Main[[#This Row],[Tech Start Date]],23),IF(Main[[#This Row],[Class]]="B", WORKDAY(Main[[#This Row],[Tech Start Date]],15),IF(Main[[#This Row],[Class]]="A",WORKDAY(Main[[#This Row],[Tech Start Date]],5),""))))</f>
        <v/>
      </c>
      <c r="P889" s="75" t="str">
        <f>IF(Main[[#This Row],[Tech Start Date]]&lt;1/1/1990,"",IF(Main[[#This Row],[Class]]="C",WORKDAY(Main[[#This Row],[Tech Start Date]],28),IF(Main[[#This Row],[Class]]="B", WORKDAY(Main[[#This Row],[Tech Start Date]],19),IF(Main[[#This Row],[Class]]="A",WORKDAY(Main[[#This Row],[Tech Start Date]],9),""))))</f>
        <v/>
      </c>
      <c r="Q889" s="89">
        <v>40269</v>
      </c>
      <c r="R889" s="121"/>
      <c r="S889" s="99" t="s">
        <v>11</v>
      </c>
      <c r="T889" s="76" t="s">
        <v>4</v>
      </c>
      <c r="U889" s="99" t="s">
        <v>14</v>
      </c>
      <c r="V889" s="99" t="s">
        <v>1916</v>
      </c>
      <c r="W889" s="99" t="s">
        <v>1918</v>
      </c>
      <c r="X889" s="99" t="s">
        <v>65</v>
      </c>
      <c r="Y889" s="73" t="s">
        <v>4</v>
      </c>
      <c r="Z889" s="73" t="s">
        <v>4</v>
      </c>
      <c r="AA889" s="99" t="s">
        <v>65</v>
      </c>
    </row>
    <row r="890" spans="1:27" ht="17.25" customHeight="1">
      <c r="A890" s="65" t="str">
        <f>IF(priority(Main[[#This Row],[Comments]])&lt;&gt;0, priority(Main[[#This Row],[Comments]]),"")</f>
        <v/>
      </c>
      <c r="B890" s="60" t="s">
        <v>2729</v>
      </c>
      <c r="C890" s="105" t="s">
        <v>4</v>
      </c>
      <c r="D890" s="74" t="s">
        <v>3206</v>
      </c>
      <c r="E890" s="89">
        <v>40912.464259259257</v>
      </c>
      <c r="F890" s="89"/>
      <c r="G890" s="65" t="str">
        <f>IF(stdProdLT(Main[[#This Row],[Comments]])=0.1,"N/A",IF(stdProdLT(Main[[#This Row],[Comments]])=0,"",TRIM(stdProdLT(Main[[#This Row],[Comments]]))))</f>
        <v/>
      </c>
      <c r="H890" s="98" t="str">
        <f>IF(Main[[#This Row],[Std. Prod. Lead Time]]="N/A", "",IF(AND(Main[[#This Row],[In Stock Date]]&lt;&gt;"",Main[[#This Row],[Revised Due Date]]&lt;&gt;"",Main[[#This Row],[In Stock Date]]&lt;&gt;""),Main[[#This Row],[In Stock Date]]-Main[[#This Row],[Revised Due Date]],""))</f>
        <v/>
      </c>
      <c r="I890" s="110" t="s">
        <v>30</v>
      </c>
      <c r="J890" s="99" t="s">
        <v>28</v>
      </c>
      <c r="K890" s="99" t="s">
        <v>1922</v>
      </c>
      <c r="L890" s="89"/>
      <c r="M890" s="75" t="str">
        <f>IF(Main[[#This Row],[Tech Start Date]]&lt;1/1/1990,"",IF(Main[[#This Row],[Class]]="C",WORKDAY(Main[[#This Row],[Tech Start Date]],9),IF(Main[[#This Row],[Class]]="B", WORKDAY(Main[[#This Row],[Tech Start Date]],6),IF(Main[[#This Row],[Class]]="A",WORKDAY(Main[[#This Row],[Tech Start Date]],2),""))))</f>
        <v/>
      </c>
      <c r="N890" s="75" t="str">
        <f>IF(Main[[#This Row],[Tech Start Date]]&lt;1/1/1990,"",IF(Main[[#This Row],[Class]]="C",WORKDAY(Main[[#This Row],[Tech Start Date]],19),IF(Main[[#This Row],[Class]]="B", WORKDAY(Main[[#This Row],[Tech Start Date]],12),IF(Main[[#This Row],[Class]]="A",WORKDAY(Main[[#This Row],[Tech Start Date]],4),""))))</f>
        <v/>
      </c>
      <c r="O890" s="75" t="str">
        <f>IF(Main[[#This Row],[Tech Start Date]]&lt;1/1/1990,"",IF(Main[[#This Row],[Class]]="C",WORKDAY(Main[[#This Row],[Tech Start Date]],23),IF(Main[[#This Row],[Class]]="B", WORKDAY(Main[[#This Row],[Tech Start Date]],15),IF(Main[[#This Row],[Class]]="A",WORKDAY(Main[[#This Row],[Tech Start Date]],5),""))))</f>
        <v/>
      </c>
      <c r="P890" s="75" t="str">
        <f>IF(Main[[#This Row],[Tech Start Date]]&lt;1/1/1990,"",IF(Main[[#This Row],[Class]]="C",WORKDAY(Main[[#This Row],[Tech Start Date]],28),IF(Main[[#This Row],[Class]]="B", WORKDAY(Main[[#This Row],[Tech Start Date]],19),IF(Main[[#This Row],[Class]]="A",WORKDAY(Main[[#This Row],[Tech Start Date]],9),""))))</f>
        <v/>
      </c>
      <c r="Q890" s="89">
        <v>40942</v>
      </c>
      <c r="R890" s="121"/>
      <c r="S890" s="99" t="s">
        <v>6</v>
      </c>
      <c r="T890" s="76" t="s">
        <v>4</v>
      </c>
      <c r="U890" s="99" t="s">
        <v>29</v>
      </c>
      <c r="V890" s="99" t="s">
        <v>1916</v>
      </c>
      <c r="W890" s="99" t="s">
        <v>1917</v>
      </c>
      <c r="X890" s="99" t="s">
        <v>2813</v>
      </c>
      <c r="Y890" s="73" t="s">
        <v>2926</v>
      </c>
      <c r="Z890" s="73" t="s">
        <v>30</v>
      </c>
      <c r="AA890" s="99" t="s">
        <v>2813</v>
      </c>
    </row>
    <row r="891" spans="1:27" ht="17.25" customHeight="1">
      <c r="A891" s="65" t="str">
        <f>IF(priority(Main[[#This Row],[Comments]])&lt;&gt;0, priority(Main[[#This Row],[Comments]]),"")</f>
        <v/>
      </c>
      <c r="B891" s="60" t="s">
        <v>1872</v>
      </c>
      <c r="C891" s="105" t="s">
        <v>4</v>
      </c>
      <c r="D891" s="74" t="s">
        <v>2730</v>
      </c>
      <c r="E891" s="89">
        <v>40624.37060185185</v>
      </c>
      <c r="F891" s="89"/>
      <c r="G891" s="65" t="str">
        <f>IF(stdProdLT(Main[[#This Row],[Comments]])=0.1,"N/A",IF(stdProdLT(Main[[#This Row],[Comments]])=0,"",TRIM(stdProdLT(Main[[#This Row],[Comments]]))))</f>
        <v/>
      </c>
      <c r="H891" s="98" t="str">
        <f>IF(Main[[#This Row],[Std. Prod. Lead Time]]="N/A", "",IF(AND(Main[[#This Row],[In Stock Date]]&lt;&gt;"",Main[[#This Row],[Revised Due Date]]&lt;&gt;"",Main[[#This Row],[In Stock Date]]&lt;&gt;""),Main[[#This Row],[In Stock Date]]-Main[[#This Row],[Revised Due Date]],""))</f>
        <v/>
      </c>
      <c r="I891" s="110" t="s">
        <v>877</v>
      </c>
      <c r="J891" s="99" t="s">
        <v>28</v>
      </c>
      <c r="K891" s="99" t="s">
        <v>1926</v>
      </c>
      <c r="L891" s="89"/>
      <c r="M891" s="75" t="str">
        <f>IF(Main[[#This Row],[Tech Start Date]]&lt;1/1/1990,"",IF(Main[[#This Row],[Class]]="C",WORKDAY(Main[[#This Row],[Tech Start Date]],9),IF(Main[[#This Row],[Class]]="B", WORKDAY(Main[[#This Row],[Tech Start Date]],6),IF(Main[[#This Row],[Class]]="A",WORKDAY(Main[[#This Row],[Tech Start Date]],2),""))))</f>
        <v/>
      </c>
      <c r="N891" s="75" t="str">
        <f>IF(Main[[#This Row],[Tech Start Date]]&lt;1/1/1990,"",IF(Main[[#This Row],[Class]]="C",WORKDAY(Main[[#This Row],[Tech Start Date]],19),IF(Main[[#This Row],[Class]]="B", WORKDAY(Main[[#This Row],[Tech Start Date]],12),IF(Main[[#This Row],[Class]]="A",WORKDAY(Main[[#This Row],[Tech Start Date]],4),""))))</f>
        <v/>
      </c>
      <c r="O891" s="75" t="str">
        <f>IF(Main[[#This Row],[Tech Start Date]]&lt;1/1/1990,"",IF(Main[[#This Row],[Class]]="C",WORKDAY(Main[[#This Row],[Tech Start Date]],23),IF(Main[[#This Row],[Class]]="B", WORKDAY(Main[[#This Row],[Tech Start Date]],15),IF(Main[[#This Row],[Class]]="A",WORKDAY(Main[[#This Row],[Tech Start Date]],5),""))))</f>
        <v/>
      </c>
      <c r="P891" s="75" t="str">
        <f>IF(Main[[#This Row],[Tech Start Date]]&lt;1/1/1990,"",IF(Main[[#This Row],[Class]]="C",WORKDAY(Main[[#This Row],[Tech Start Date]],28),IF(Main[[#This Row],[Class]]="B", WORKDAY(Main[[#This Row],[Tech Start Date]],19),IF(Main[[#This Row],[Class]]="A",WORKDAY(Main[[#This Row],[Tech Start Date]],9),""))))</f>
        <v/>
      </c>
      <c r="Q891" s="89">
        <v>40648</v>
      </c>
      <c r="R891" s="121">
        <v>40967</v>
      </c>
      <c r="S891" s="99" t="s">
        <v>6</v>
      </c>
      <c r="T891" s="76" t="s">
        <v>4</v>
      </c>
      <c r="U891" s="99" t="s">
        <v>29</v>
      </c>
      <c r="V891" s="99" t="s">
        <v>1913</v>
      </c>
      <c r="W891" s="99" t="s">
        <v>1917</v>
      </c>
      <c r="X891" s="99" t="s">
        <v>877</v>
      </c>
      <c r="Y891" s="73" t="s">
        <v>4</v>
      </c>
      <c r="Z891" s="73" t="s">
        <v>129</v>
      </c>
      <c r="AA891" s="99" t="s">
        <v>3428</v>
      </c>
    </row>
    <row r="892" spans="1:27" ht="17.25" customHeight="1">
      <c r="A892" s="65" t="str">
        <f>IF(priority(Main[[#This Row],[Comments]])&lt;&gt;0, priority(Main[[#This Row],[Comments]]),"")</f>
        <v/>
      </c>
      <c r="B892" s="60" t="s">
        <v>1668</v>
      </c>
      <c r="C892" s="105" t="s">
        <v>4</v>
      </c>
      <c r="D892" s="74" t="s">
        <v>729</v>
      </c>
      <c r="E892" s="89"/>
      <c r="F892" s="89"/>
      <c r="G892" s="65" t="str">
        <f>IF(stdProdLT(Main[[#This Row],[Comments]])=0.1,"N/A",IF(stdProdLT(Main[[#This Row],[Comments]])=0,"",TRIM(stdProdLT(Main[[#This Row],[Comments]]))))</f>
        <v/>
      </c>
      <c r="H892" s="98" t="str">
        <f>IF(Main[[#This Row],[Std. Prod. Lead Time]]="N/A", "",IF(AND(Main[[#This Row],[In Stock Date]]&lt;&gt;"",Main[[#This Row],[Revised Due Date]]&lt;&gt;"",Main[[#This Row],[In Stock Date]]&lt;&gt;""),Main[[#This Row],[In Stock Date]]-Main[[#This Row],[Revised Due Date]],""))</f>
        <v/>
      </c>
      <c r="I892" s="110" t="s">
        <v>4</v>
      </c>
      <c r="J892" s="99" t="s">
        <v>4</v>
      </c>
      <c r="K892" s="99" t="s">
        <v>4</v>
      </c>
      <c r="L892" s="89"/>
      <c r="M892" s="75" t="str">
        <f>IF(Main[[#This Row],[Tech Start Date]]&lt;1/1/1990,"",IF(Main[[#This Row],[Class]]="C",WORKDAY(Main[[#This Row],[Tech Start Date]],9),IF(Main[[#This Row],[Class]]="B", WORKDAY(Main[[#This Row],[Tech Start Date]],6),IF(Main[[#This Row],[Class]]="A",WORKDAY(Main[[#This Row],[Tech Start Date]],2),""))))</f>
        <v/>
      </c>
      <c r="N892" s="75" t="str">
        <f>IF(Main[[#This Row],[Tech Start Date]]&lt;1/1/1990,"",IF(Main[[#This Row],[Class]]="C",WORKDAY(Main[[#This Row],[Tech Start Date]],19),IF(Main[[#This Row],[Class]]="B", WORKDAY(Main[[#This Row],[Tech Start Date]],12),IF(Main[[#This Row],[Class]]="A",WORKDAY(Main[[#This Row],[Tech Start Date]],4),""))))</f>
        <v/>
      </c>
      <c r="O892" s="75" t="str">
        <f>IF(Main[[#This Row],[Tech Start Date]]&lt;1/1/1990,"",IF(Main[[#This Row],[Class]]="C",WORKDAY(Main[[#This Row],[Tech Start Date]],23),IF(Main[[#This Row],[Class]]="B", WORKDAY(Main[[#This Row],[Tech Start Date]],15),IF(Main[[#This Row],[Class]]="A",WORKDAY(Main[[#This Row],[Tech Start Date]],5),""))))</f>
        <v/>
      </c>
      <c r="P892" s="75" t="str">
        <f>IF(Main[[#This Row],[Tech Start Date]]&lt;1/1/1990,"",IF(Main[[#This Row],[Class]]="C",WORKDAY(Main[[#This Row],[Tech Start Date]],28),IF(Main[[#This Row],[Class]]="B", WORKDAY(Main[[#This Row],[Tech Start Date]],19),IF(Main[[#This Row],[Class]]="A",WORKDAY(Main[[#This Row],[Tech Start Date]],9),""))))</f>
        <v/>
      </c>
      <c r="Q892" s="89"/>
      <c r="R892" s="121"/>
      <c r="S892" s="99" t="s">
        <v>23</v>
      </c>
      <c r="T892" s="76" t="s">
        <v>4</v>
      </c>
      <c r="U892" s="99" t="s">
        <v>14</v>
      </c>
      <c r="V892" s="99" t="s">
        <v>1913</v>
      </c>
      <c r="W892" s="99" t="s">
        <v>1917</v>
      </c>
      <c r="X892" s="99" t="s">
        <v>399</v>
      </c>
      <c r="Y892" s="73" t="s">
        <v>4</v>
      </c>
      <c r="Z892" s="73" t="s">
        <v>4</v>
      </c>
      <c r="AA892" s="99" t="s">
        <v>3026</v>
      </c>
    </row>
    <row r="893" spans="1:27" ht="17.25" customHeight="1">
      <c r="A893" s="65" t="str">
        <f>IF(priority(Main[[#This Row],[Comments]])&lt;&gt;0, priority(Main[[#This Row],[Comments]]),"")</f>
        <v/>
      </c>
      <c r="B893" s="60" t="s">
        <v>1670</v>
      </c>
      <c r="C893" s="105" t="s">
        <v>4</v>
      </c>
      <c r="D893" s="74" t="s">
        <v>731</v>
      </c>
      <c r="E893" s="89">
        <v>40679.253067129626</v>
      </c>
      <c r="F893" s="89"/>
      <c r="G893" s="65" t="str">
        <f>IF(stdProdLT(Main[[#This Row],[Comments]])=0.1,"N/A",IF(stdProdLT(Main[[#This Row],[Comments]])=0,"",TRIM(stdProdLT(Main[[#This Row],[Comments]]))))</f>
        <v/>
      </c>
      <c r="H893" s="98" t="str">
        <f>IF(Main[[#This Row],[Std. Prod. Lead Time]]="N/A", "",IF(AND(Main[[#This Row],[In Stock Date]]&lt;&gt;"",Main[[#This Row],[Revised Due Date]]&lt;&gt;"",Main[[#This Row],[In Stock Date]]&lt;&gt;""),Main[[#This Row],[In Stock Date]]-Main[[#This Row],[Revised Due Date]],""))</f>
        <v/>
      </c>
      <c r="I893" s="110" t="s">
        <v>4</v>
      </c>
      <c r="J893" s="99" t="s">
        <v>4</v>
      </c>
      <c r="K893" s="99" t="s">
        <v>4</v>
      </c>
      <c r="L893" s="89"/>
      <c r="M893" s="75" t="str">
        <f>IF(Main[[#This Row],[Tech Start Date]]&lt;1/1/1990,"",IF(Main[[#This Row],[Class]]="C",WORKDAY(Main[[#This Row],[Tech Start Date]],9),IF(Main[[#This Row],[Class]]="B", WORKDAY(Main[[#This Row],[Tech Start Date]],6),IF(Main[[#This Row],[Class]]="A",WORKDAY(Main[[#This Row],[Tech Start Date]],2),""))))</f>
        <v/>
      </c>
      <c r="N893" s="75" t="str">
        <f>IF(Main[[#This Row],[Tech Start Date]]&lt;1/1/1990,"",IF(Main[[#This Row],[Class]]="C",WORKDAY(Main[[#This Row],[Tech Start Date]],19),IF(Main[[#This Row],[Class]]="B", WORKDAY(Main[[#This Row],[Tech Start Date]],12),IF(Main[[#This Row],[Class]]="A",WORKDAY(Main[[#This Row],[Tech Start Date]],4),""))))</f>
        <v/>
      </c>
      <c r="O893" s="75" t="str">
        <f>IF(Main[[#This Row],[Tech Start Date]]&lt;1/1/1990,"",IF(Main[[#This Row],[Class]]="C",WORKDAY(Main[[#This Row],[Tech Start Date]],23),IF(Main[[#This Row],[Class]]="B", WORKDAY(Main[[#This Row],[Tech Start Date]],15),IF(Main[[#This Row],[Class]]="A",WORKDAY(Main[[#This Row],[Tech Start Date]],5),""))))</f>
        <v/>
      </c>
      <c r="P893" s="75" t="str">
        <f>IF(Main[[#This Row],[Tech Start Date]]&lt;1/1/1990,"",IF(Main[[#This Row],[Class]]="C",WORKDAY(Main[[#This Row],[Tech Start Date]],28),IF(Main[[#This Row],[Class]]="B", WORKDAY(Main[[#This Row],[Tech Start Date]],19),IF(Main[[#This Row],[Class]]="A",WORKDAY(Main[[#This Row],[Tech Start Date]],9),""))))</f>
        <v/>
      </c>
      <c r="Q893" s="89">
        <v>40724</v>
      </c>
      <c r="R893" s="121"/>
      <c r="S893" s="99" t="s">
        <v>6</v>
      </c>
      <c r="T893" s="76" t="s">
        <v>4</v>
      </c>
      <c r="U893" s="99" t="s">
        <v>7</v>
      </c>
      <c r="V893" s="99" t="s">
        <v>1913</v>
      </c>
      <c r="W893" s="99" t="s">
        <v>4</v>
      </c>
      <c r="X893" s="99" t="s">
        <v>2816</v>
      </c>
      <c r="Y893" s="73" t="s">
        <v>2932</v>
      </c>
      <c r="Z893" s="73" t="s">
        <v>4</v>
      </c>
      <c r="AA893" s="99" t="s">
        <v>2816</v>
      </c>
    </row>
    <row r="894" spans="1:27" ht="17.25" customHeight="1">
      <c r="A894" s="65" t="str">
        <f>IF(priority(Main[[#This Row],[Comments]])&lt;&gt;0, priority(Main[[#This Row],[Comments]]),"")</f>
        <v/>
      </c>
      <c r="B894" s="60" t="s">
        <v>1671</v>
      </c>
      <c r="C894" s="105" t="s">
        <v>4</v>
      </c>
      <c r="D894" s="74" t="s">
        <v>732</v>
      </c>
      <c r="E894" s="89">
        <v>40679.252465277779</v>
      </c>
      <c r="F894" s="89"/>
      <c r="G894" s="65" t="str">
        <f>IF(stdProdLT(Main[[#This Row],[Comments]])=0.1,"N/A",IF(stdProdLT(Main[[#This Row],[Comments]])=0,"",TRIM(stdProdLT(Main[[#This Row],[Comments]]))))</f>
        <v/>
      </c>
      <c r="H894" s="98" t="str">
        <f>IF(Main[[#This Row],[Std. Prod. Lead Time]]="N/A", "",IF(AND(Main[[#This Row],[In Stock Date]]&lt;&gt;"",Main[[#This Row],[Revised Due Date]]&lt;&gt;"",Main[[#This Row],[In Stock Date]]&lt;&gt;""),Main[[#This Row],[In Stock Date]]-Main[[#This Row],[Revised Due Date]],""))</f>
        <v/>
      </c>
      <c r="I894" s="110" t="s">
        <v>4</v>
      </c>
      <c r="J894" s="99" t="s">
        <v>4</v>
      </c>
      <c r="K894" s="100" t="s">
        <v>4</v>
      </c>
      <c r="L894" s="89"/>
      <c r="M894" s="75" t="str">
        <f>IF(Main[[#This Row],[Tech Start Date]]&lt;1/1/1990,"",IF(Main[[#This Row],[Class]]="C",WORKDAY(Main[[#This Row],[Tech Start Date]],9),IF(Main[[#This Row],[Class]]="B", WORKDAY(Main[[#This Row],[Tech Start Date]],6),IF(Main[[#This Row],[Class]]="A",WORKDAY(Main[[#This Row],[Tech Start Date]],2),""))))</f>
        <v/>
      </c>
      <c r="N894" s="75" t="str">
        <f>IF(Main[[#This Row],[Tech Start Date]]&lt;1/1/1990,"",IF(Main[[#This Row],[Class]]="C",WORKDAY(Main[[#This Row],[Tech Start Date]],19),IF(Main[[#This Row],[Class]]="B", WORKDAY(Main[[#This Row],[Tech Start Date]],12),IF(Main[[#This Row],[Class]]="A",WORKDAY(Main[[#This Row],[Tech Start Date]],4),""))))</f>
        <v/>
      </c>
      <c r="O894" s="75" t="str">
        <f>IF(Main[[#This Row],[Tech Start Date]]&lt;1/1/1990,"",IF(Main[[#This Row],[Class]]="C",WORKDAY(Main[[#This Row],[Tech Start Date]],23),IF(Main[[#This Row],[Class]]="B", WORKDAY(Main[[#This Row],[Tech Start Date]],15),IF(Main[[#This Row],[Class]]="A",WORKDAY(Main[[#This Row],[Tech Start Date]],5),""))))</f>
        <v/>
      </c>
      <c r="P894" s="75" t="str">
        <f>IF(Main[[#This Row],[Tech Start Date]]&lt;1/1/1990,"",IF(Main[[#This Row],[Class]]="C",WORKDAY(Main[[#This Row],[Tech Start Date]],28),IF(Main[[#This Row],[Class]]="B", WORKDAY(Main[[#This Row],[Tech Start Date]],19),IF(Main[[#This Row],[Class]]="A",WORKDAY(Main[[#This Row],[Tech Start Date]],9),""))))</f>
        <v/>
      </c>
      <c r="Q894" s="89">
        <v>40724</v>
      </c>
      <c r="R894" s="121"/>
      <c r="S894" s="99" t="s">
        <v>6</v>
      </c>
      <c r="T894" s="76" t="s">
        <v>4</v>
      </c>
      <c r="U894" s="99" t="s">
        <v>7</v>
      </c>
      <c r="V894" s="99" t="s">
        <v>1913</v>
      </c>
      <c r="W894" s="99" t="s">
        <v>4</v>
      </c>
      <c r="X894" s="99" t="s">
        <v>2816</v>
      </c>
      <c r="Y894" s="73" t="s">
        <v>2932</v>
      </c>
      <c r="Z894" s="73" t="s">
        <v>4</v>
      </c>
      <c r="AA894" s="99" t="s">
        <v>2816</v>
      </c>
    </row>
    <row r="895" spans="1:27" ht="17.25" customHeight="1">
      <c r="A895" s="65" t="str">
        <f>IF(priority(Main[[#This Row],[Comments]])&lt;&gt;0, priority(Main[[#This Row],[Comments]]),"")</f>
        <v/>
      </c>
      <c r="B895" s="60" t="s">
        <v>1672</v>
      </c>
      <c r="C895" s="105" t="s">
        <v>4</v>
      </c>
      <c r="D895" s="74" t="s">
        <v>733</v>
      </c>
      <c r="E895" s="89">
        <v>40679.253668981481</v>
      </c>
      <c r="F895" s="89"/>
      <c r="G895" s="65" t="str">
        <f>IF(stdProdLT(Main[[#This Row],[Comments]])=0.1,"N/A",IF(stdProdLT(Main[[#This Row],[Comments]])=0,"",TRIM(stdProdLT(Main[[#This Row],[Comments]]))))</f>
        <v/>
      </c>
      <c r="H895" s="98" t="str">
        <f>IF(Main[[#This Row],[Std. Prod. Lead Time]]="N/A", "",IF(AND(Main[[#This Row],[In Stock Date]]&lt;&gt;"",Main[[#This Row],[Revised Due Date]]&lt;&gt;"",Main[[#This Row],[In Stock Date]]&lt;&gt;""),Main[[#This Row],[In Stock Date]]-Main[[#This Row],[Revised Due Date]],""))</f>
        <v/>
      </c>
      <c r="I895" s="110" t="s">
        <v>4</v>
      </c>
      <c r="J895" s="99" t="s">
        <v>4</v>
      </c>
      <c r="K895" s="99" t="s">
        <v>4</v>
      </c>
      <c r="L895" s="89"/>
      <c r="M895" s="75" t="str">
        <f>IF(Main[[#This Row],[Tech Start Date]]&lt;1/1/1990,"",IF(Main[[#This Row],[Class]]="C",WORKDAY(Main[[#This Row],[Tech Start Date]],9),IF(Main[[#This Row],[Class]]="B", WORKDAY(Main[[#This Row],[Tech Start Date]],6),IF(Main[[#This Row],[Class]]="A",WORKDAY(Main[[#This Row],[Tech Start Date]],2),""))))</f>
        <v/>
      </c>
      <c r="N895" s="75" t="str">
        <f>IF(Main[[#This Row],[Tech Start Date]]&lt;1/1/1990,"",IF(Main[[#This Row],[Class]]="C",WORKDAY(Main[[#This Row],[Tech Start Date]],19),IF(Main[[#This Row],[Class]]="B", WORKDAY(Main[[#This Row],[Tech Start Date]],12),IF(Main[[#This Row],[Class]]="A",WORKDAY(Main[[#This Row],[Tech Start Date]],4),""))))</f>
        <v/>
      </c>
      <c r="O895" s="75" t="str">
        <f>IF(Main[[#This Row],[Tech Start Date]]&lt;1/1/1990,"",IF(Main[[#This Row],[Class]]="C",WORKDAY(Main[[#This Row],[Tech Start Date]],23),IF(Main[[#This Row],[Class]]="B", WORKDAY(Main[[#This Row],[Tech Start Date]],15),IF(Main[[#This Row],[Class]]="A",WORKDAY(Main[[#This Row],[Tech Start Date]],5),""))))</f>
        <v/>
      </c>
      <c r="P895" s="75" t="str">
        <f>IF(Main[[#This Row],[Tech Start Date]]&lt;1/1/1990,"",IF(Main[[#This Row],[Class]]="C",WORKDAY(Main[[#This Row],[Tech Start Date]],28),IF(Main[[#This Row],[Class]]="B", WORKDAY(Main[[#This Row],[Tech Start Date]],19),IF(Main[[#This Row],[Class]]="A",WORKDAY(Main[[#This Row],[Tech Start Date]],9),""))))</f>
        <v/>
      </c>
      <c r="Q895" s="89">
        <v>40724</v>
      </c>
      <c r="R895" s="121"/>
      <c r="S895" s="99" t="s">
        <v>6</v>
      </c>
      <c r="T895" s="76" t="s">
        <v>4</v>
      </c>
      <c r="U895" s="99" t="s">
        <v>7</v>
      </c>
      <c r="V895" s="99" t="s">
        <v>1913</v>
      </c>
      <c r="W895" s="99" t="s">
        <v>4</v>
      </c>
      <c r="X895" s="99" t="s">
        <v>2816</v>
      </c>
      <c r="Y895" s="73" t="s">
        <v>2932</v>
      </c>
      <c r="Z895" s="73" t="s">
        <v>4</v>
      </c>
      <c r="AA895" s="99" t="s">
        <v>2816</v>
      </c>
    </row>
    <row r="896" spans="1:27" ht="17.25" customHeight="1">
      <c r="A896" s="65" t="str">
        <f>IF(priority(Main[[#This Row],[Comments]])&lt;&gt;0, priority(Main[[#This Row],[Comments]]),"")</f>
        <v/>
      </c>
      <c r="B896" s="60" t="s">
        <v>1678</v>
      </c>
      <c r="C896" s="105" t="s">
        <v>4</v>
      </c>
      <c r="D896" s="74" t="s">
        <v>736</v>
      </c>
      <c r="E896" s="89"/>
      <c r="F896" s="89">
        <v>40598</v>
      </c>
      <c r="G896" s="65" t="str">
        <f>IF(stdProdLT(Main[[#This Row],[Comments]])=0.1,"N/A",IF(stdProdLT(Main[[#This Row],[Comments]])=0,"",TRIM(stdProdLT(Main[[#This Row],[Comments]]))))</f>
        <v/>
      </c>
      <c r="H896" s="98" t="str">
        <f>IF(Main[[#This Row],[Std. Prod. Lead Time]]="N/A", "",IF(AND(Main[[#This Row],[In Stock Date]]&lt;&gt;"",Main[[#This Row],[Revised Due Date]]&lt;&gt;"",Main[[#This Row],[In Stock Date]]&lt;&gt;""),Main[[#This Row],[In Stock Date]]-Main[[#This Row],[Revised Due Date]],""))</f>
        <v/>
      </c>
      <c r="I896" s="110" t="s">
        <v>4</v>
      </c>
      <c r="J896" s="99" t="s">
        <v>4</v>
      </c>
      <c r="K896" s="99" t="s">
        <v>4</v>
      </c>
      <c r="L896" s="89"/>
      <c r="M896" s="75" t="str">
        <f>IF(Main[[#This Row],[Tech Start Date]]&lt;1/1/1990,"",IF(Main[[#This Row],[Class]]="C",WORKDAY(Main[[#This Row],[Tech Start Date]],9),IF(Main[[#This Row],[Class]]="B", WORKDAY(Main[[#This Row],[Tech Start Date]],6),IF(Main[[#This Row],[Class]]="A",WORKDAY(Main[[#This Row],[Tech Start Date]],2),""))))</f>
        <v/>
      </c>
      <c r="N896" s="75" t="str">
        <f>IF(Main[[#This Row],[Tech Start Date]]&lt;1/1/1990,"",IF(Main[[#This Row],[Class]]="C",WORKDAY(Main[[#This Row],[Tech Start Date]],19),IF(Main[[#This Row],[Class]]="B", WORKDAY(Main[[#This Row],[Tech Start Date]],12),IF(Main[[#This Row],[Class]]="A",WORKDAY(Main[[#This Row],[Tech Start Date]],4),""))))</f>
        <v/>
      </c>
      <c r="O896" s="75" t="str">
        <f>IF(Main[[#This Row],[Tech Start Date]]&lt;1/1/1990,"",IF(Main[[#This Row],[Class]]="C",WORKDAY(Main[[#This Row],[Tech Start Date]],23),IF(Main[[#This Row],[Class]]="B", WORKDAY(Main[[#This Row],[Tech Start Date]],15),IF(Main[[#This Row],[Class]]="A",WORKDAY(Main[[#This Row],[Tech Start Date]],5),""))))</f>
        <v/>
      </c>
      <c r="P896" s="75" t="str">
        <f>IF(Main[[#This Row],[Tech Start Date]]&lt;1/1/1990,"",IF(Main[[#This Row],[Class]]="C",WORKDAY(Main[[#This Row],[Tech Start Date]],28),IF(Main[[#This Row],[Class]]="B", WORKDAY(Main[[#This Row],[Tech Start Date]],19),IF(Main[[#This Row],[Class]]="A",WORKDAY(Main[[#This Row],[Tech Start Date]],9),""))))</f>
        <v/>
      </c>
      <c r="Q896" s="89">
        <v>40598</v>
      </c>
      <c r="R896" s="121"/>
      <c r="S896" s="99" t="s">
        <v>11</v>
      </c>
      <c r="T896" s="76" t="s">
        <v>4</v>
      </c>
      <c r="U896" s="99" t="s">
        <v>14</v>
      </c>
      <c r="V896" s="99" t="s">
        <v>1923</v>
      </c>
      <c r="W896" s="99" t="s">
        <v>1919</v>
      </c>
      <c r="X896" s="99" t="s">
        <v>2842</v>
      </c>
      <c r="Y896" s="73" t="s">
        <v>2973</v>
      </c>
      <c r="Z896" s="73" t="s">
        <v>4</v>
      </c>
      <c r="AA896" s="99" t="s">
        <v>2842</v>
      </c>
    </row>
    <row r="897" spans="1:27" ht="17.25" customHeight="1">
      <c r="A897" s="65" t="str">
        <f>IF(priority(Main[[#This Row],[Comments]])&lt;&gt;0, priority(Main[[#This Row],[Comments]]),"")</f>
        <v/>
      </c>
      <c r="B897" s="60" t="s">
        <v>1703</v>
      </c>
      <c r="C897" s="105" t="s">
        <v>31</v>
      </c>
      <c r="D897" s="74" t="s">
        <v>754</v>
      </c>
      <c r="E897" s="89"/>
      <c r="F897" s="89">
        <v>40602</v>
      </c>
      <c r="G897" s="65" t="str">
        <f>IF(stdProdLT(Main[[#This Row],[Comments]])=0.1,"N/A",IF(stdProdLT(Main[[#This Row],[Comments]])=0,"",TRIM(stdProdLT(Main[[#This Row],[Comments]]))))</f>
        <v/>
      </c>
      <c r="H897" s="98" t="str">
        <f>IF(Main[[#This Row],[Std. Prod. Lead Time]]="N/A", "",IF(AND(Main[[#This Row],[In Stock Date]]&lt;&gt;"",Main[[#This Row],[Revised Due Date]]&lt;&gt;"",Main[[#This Row],[In Stock Date]]&lt;&gt;""),Main[[#This Row],[In Stock Date]]-Main[[#This Row],[Revised Due Date]],""))</f>
        <v/>
      </c>
      <c r="I897" s="110" t="s">
        <v>399</v>
      </c>
      <c r="J897" s="99" t="s">
        <v>75</v>
      </c>
      <c r="K897" s="99" t="s">
        <v>1922</v>
      </c>
      <c r="L897" s="89"/>
      <c r="M897" s="75" t="str">
        <f>IF(Main[[#This Row],[Tech Start Date]]&lt;1/1/1990,"",IF(Main[[#This Row],[Class]]="C",WORKDAY(Main[[#This Row],[Tech Start Date]],9),IF(Main[[#This Row],[Class]]="B", WORKDAY(Main[[#This Row],[Tech Start Date]],6),IF(Main[[#This Row],[Class]]="A",WORKDAY(Main[[#This Row],[Tech Start Date]],2),""))))</f>
        <v/>
      </c>
      <c r="N897" s="75" t="str">
        <f>IF(Main[[#This Row],[Tech Start Date]]&lt;1/1/1990,"",IF(Main[[#This Row],[Class]]="C",WORKDAY(Main[[#This Row],[Tech Start Date]],19),IF(Main[[#This Row],[Class]]="B", WORKDAY(Main[[#This Row],[Tech Start Date]],12),IF(Main[[#This Row],[Class]]="A",WORKDAY(Main[[#This Row],[Tech Start Date]],4),""))))</f>
        <v/>
      </c>
      <c r="O897" s="75" t="str">
        <f>IF(Main[[#This Row],[Tech Start Date]]&lt;1/1/1990,"",IF(Main[[#This Row],[Class]]="C",WORKDAY(Main[[#This Row],[Tech Start Date]],23),IF(Main[[#This Row],[Class]]="B", WORKDAY(Main[[#This Row],[Tech Start Date]],15),IF(Main[[#This Row],[Class]]="A",WORKDAY(Main[[#This Row],[Tech Start Date]],5),""))))</f>
        <v/>
      </c>
      <c r="P897" s="75" t="str">
        <f>IF(Main[[#This Row],[Tech Start Date]]&lt;1/1/1990,"",IF(Main[[#This Row],[Class]]="C",WORKDAY(Main[[#This Row],[Tech Start Date]],28),IF(Main[[#This Row],[Class]]="B", WORKDAY(Main[[#This Row],[Tech Start Date]],19),IF(Main[[#This Row],[Class]]="A",WORKDAY(Main[[#This Row],[Tech Start Date]],9),""))))</f>
        <v/>
      </c>
      <c r="Q897" s="89"/>
      <c r="R897" s="121"/>
      <c r="S897" s="99" t="s">
        <v>11</v>
      </c>
      <c r="T897" s="76" t="s">
        <v>4</v>
      </c>
      <c r="U897" s="99" t="s">
        <v>14</v>
      </c>
      <c r="V897" s="99" t="s">
        <v>1916</v>
      </c>
      <c r="W897" s="99" t="s">
        <v>1919</v>
      </c>
      <c r="X897" s="99" t="s">
        <v>50</v>
      </c>
      <c r="Y897" s="73" t="s">
        <v>2955</v>
      </c>
      <c r="Z897" s="73" t="s">
        <v>306</v>
      </c>
      <c r="AA897" s="99" t="s">
        <v>50</v>
      </c>
    </row>
    <row r="898" spans="1:27" ht="17.25" customHeight="1">
      <c r="A898" s="65" t="str">
        <f>IF(priority(Main[[#This Row],[Comments]])&lt;&gt;0, priority(Main[[#This Row],[Comments]]),"")</f>
        <v/>
      </c>
      <c r="B898" s="60" t="s">
        <v>1704</v>
      </c>
      <c r="C898" s="105" t="s">
        <v>93</v>
      </c>
      <c r="D898" s="74" t="s">
        <v>755</v>
      </c>
      <c r="E898" s="89"/>
      <c r="F898" s="89">
        <v>40302</v>
      </c>
      <c r="G898" s="65" t="str">
        <f>IF(stdProdLT(Main[[#This Row],[Comments]])=0.1,"N/A",IF(stdProdLT(Main[[#This Row],[Comments]])=0,"",TRIM(stdProdLT(Main[[#This Row],[Comments]]))))</f>
        <v/>
      </c>
      <c r="H898" s="98" t="str">
        <f>IF(Main[[#This Row],[Std. Prod. Lead Time]]="N/A", "",IF(AND(Main[[#This Row],[In Stock Date]]&lt;&gt;"",Main[[#This Row],[Revised Due Date]]&lt;&gt;"",Main[[#This Row],[In Stock Date]]&lt;&gt;""),Main[[#This Row],[In Stock Date]]-Main[[#This Row],[Revised Due Date]],""))</f>
        <v/>
      </c>
      <c r="I898" s="110" t="s">
        <v>4</v>
      </c>
      <c r="J898" s="99" t="s">
        <v>4</v>
      </c>
      <c r="K898" s="99" t="s">
        <v>4</v>
      </c>
      <c r="L898" s="89"/>
      <c r="M898" s="75" t="str">
        <f>IF(Main[[#This Row],[Tech Start Date]]&lt;1/1/1990,"",IF(Main[[#This Row],[Class]]="C",WORKDAY(Main[[#This Row],[Tech Start Date]],9),IF(Main[[#This Row],[Class]]="B", WORKDAY(Main[[#This Row],[Tech Start Date]],6),IF(Main[[#This Row],[Class]]="A",WORKDAY(Main[[#This Row],[Tech Start Date]],2),""))))</f>
        <v/>
      </c>
      <c r="N898" s="75" t="str">
        <f>IF(Main[[#This Row],[Tech Start Date]]&lt;1/1/1990,"",IF(Main[[#This Row],[Class]]="C",WORKDAY(Main[[#This Row],[Tech Start Date]],19),IF(Main[[#This Row],[Class]]="B", WORKDAY(Main[[#This Row],[Tech Start Date]],12),IF(Main[[#This Row],[Class]]="A",WORKDAY(Main[[#This Row],[Tech Start Date]],4),""))))</f>
        <v/>
      </c>
      <c r="O898" s="75" t="str">
        <f>IF(Main[[#This Row],[Tech Start Date]]&lt;1/1/1990,"",IF(Main[[#This Row],[Class]]="C",WORKDAY(Main[[#This Row],[Tech Start Date]],23),IF(Main[[#This Row],[Class]]="B", WORKDAY(Main[[#This Row],[Tech Start Date]],15),IF(Main[[#This Row],[Class]]="A",WORKDAY(Main[[#This Row],[Tech Start Date]],5),""))))</f>
        <v/>
      </c>
      <c r="P898" s="75" t="str">
        <f>IF(Main[[#This Row],[Tech Start Date]]&lt;1/1/1990,"",IF(Main[[#This Row],[Class]]="C",WORKDAY(Main[[#This Row],[Tech Start Date]],28),IF(Main[[#This Row],[Class]]="B", WORKDAY(Main[[#This Row],[Tech Start Date]],19),IF(Main[[#This Row],[Class]]="A",WORKDAY(Main[[#This Row],[Tech Start Date]],9),""))))</f>
        <v/>
      </c>
      <c r="Q898" s="89">
        <v>40190</v>
      </c>
      <c r="R898" s="121"/>
      <c r="S898" s="99" t="s">
        <v>11</v>
      </c>
      <c r="T898" s="76" t="s">
        <v>4</v>
      </c>
      <c r="U898" s="99" t="s">
        <v>12</v>
      </c>
      <c r="V898" s="99" t="s">
        <v>1923</v>
      </c>
      <c r="W898" s="99" t="s">
        <v>1919</v>
      </c>
      <c r="X898" s="99" t="s">
        <v>2892</v>
      </c>
      <c r="Y898" s="73" t="s">
        <v>4</v>
      </c>
      <c r="Z898" s="73" t="s">
        <v>4</v>
      </c>
      <c r="AA898" s="99" t="s">
        <v>2892</v>
      </c>
    </row>
    <row r="899" spans="1:27" ht="17.25" customHeight="1">
      <c r="A899" s="65" t="str">
        <f>IF(priority(Main[[#This Row],[Comments]])&lt;&gt;0, priority(Main[[#This Row],[Comments]]),"")</f>
        <v/>
      </c>
      <c r="B899" s="60" t="s">
        <v>1859</v>
      </c>
      <c r="C899" s="105" t="s">
        <v>31</v>
      </c>
      <c r="D899" s="74" t="s">
        <v>917</v>
      </c>
      <c r="E899" s="89"/>
      <c r="F899" s="89">
        <v>40664</v>
      </c>
      <c r="G899" s="65" t="str">
        <f>IF(stdProdLT(Main[[#This Row],[Comments]])=0.1,"N/A",IF(stdProdLT(Main[[#This Row],[Comments]])=0,"",TRIM(stdProdLT(Main[[#This Row],[Comments]]))))</f>
        <v/>
      </c>
      <c r="H899" s="98">
        <f>IF(Main[[#This Row],[Std. Prod. Lead Time]]="N/A", "",IF(AND(Main[[#This Row],[In Stock Date]]&lt;&gt;"",Main[[#This Row],[Revised Due Date]]&lt;&gt;"",Main[[#This Row],[In Stock Date]]&lt;&gt;""),Main[[#This Row],[In Stock Date]]-Main[[#This Row],[Revised Due Date]],""))</f>
        <v>87</v>
      </c>
      <c r="I899" s="110" t="s">
        <v>399</v>
      </c>
      <c r="J899" s="99" t="s">
        <v>75</v>
      </c>
      <c r="K899" s="99" t="s">
        <v>1922</v>
      </c>
      <c r="L899" s="89"/>
      <c r="M899" s="75" t="str">
        <f>IF(Main[[#This Row],[Tech Start Date]]&lt;1/1/1990,"",IF(Main[[#This Row],[Class]]="C",WORKDAY(Main[[#This Row],[Tech Start Date]],9),IF(Main[[#This Row],[Class]]="B", WORKDAY(Main[[#This Row],[Tech Start Date]],6),IF(Main[[#This Row],[Class]]="A",WORKDAY(Main[[#This Row],[Tech Start Date]],2),""))))</f>
        <v/>
      </c>
      <c r="N899" s="75" t="str">
        <f>IF(Main[[#This Row],[Tech Start Date]]&lt;1/1/1990,"",IF(Main[[#This Row],[Class]]="C",WORKDAY(Main[[#This Row],[Tech Start Date]],19),IF(Main[[#This Row],[Class]]="B", WORKDAY(Main[[#This Row],[Tech Start Date]],12),IF(Main[[#This Row],[Class]]="A",WORKDAY(Main[[#This Row],[Tech Start Date]],4),""))))</f>
        <v/>
      </c>
      <c r="O899" s="75" t="str">
        <f>IF(Main[[#This Row],[Tech Start Date]]&lt;1/1/1990,"",IF(Main[[#This Row],[Class]]="C",WORKDAY(Main[[#This Row],[Tech Start Date]],23),IF(Main[[#This Row],[Class]]="B", WORKDAY(Main[[#This Row],[Tech Start Date]],15),IF(Main[[#This Row],[Class]]="A",WORKDAY(Main[[#This Row],[Tech Start Date]],5),""))))</f>
        <v/>
      </c>
      <c r="P899" s="75" t="str">
        <f>IF(Main[[#This Row],[Tech Start Date]]&lt;1/1/1990,"",IF(Main[[#This Row],[Class]]="C",WORKDAY(Main[[#This Row],[Tech Start Date]],28),IF(Main[[#This Row],[Class]]="B", WORKDAY(Main[[#This Row],[Tech Start Date]],19),IF(Main[[#This Row],[Class]]="A",WORKDAY(Main[[#This Row],[Tech Start Date]],9),""))))</f>
        <v/>
      </c>
      <c r="Q899" s="89"/>
      <c r="R899" s="121">
        <v>40577</v>
      </c>
      <c r="S899" s="99" t="s">
        <v>11</v>
      </c>
      <c r="T899" s="76" t="s">
        <v>4</v>
      </c>
      <c r="U899" s="99" t="s">
        <v>14</v>
      </c>
      <c r="V899" s="99" t="s">
        <v>1916</v>
      </c>
      <c r="W899" s="99" t="s">
        <v>1919</v>
      </c>
      <c r="X899" s="99" t="s">
        <v>2819</v>
      </c>
      <c r="Y899" s="73" t="s">
        <v>2961</v>
      </c>
      <c r="Z899" s="73" t="s">
        <v>530</v>
      </c>
      <c r="AA899" s="99" t="s">
        <v>2819</v>
      </c>
    </row>
    <row r="900" spans="1:27" ht="17.25" customHeight="1">
      <c r="A900" s="65" t="str">
        <f>IF(priority(Main[[#This Row],[Comments]])&lt;&gt;0, priority(Main[[#This Row],[Comments]]),"")</f>
        <v/>
      </c>
      <c r="B900" s="60" t="s">
        <v>1725</v>
      </c>
      <c r="C900" s="105" t="s">
        <v>4</v>
      </c>
      <c r="D900" s="74" t="s">
        <v>782</v>
      </c>
      <c r="E900" s="89"/>
      <c r="F900" s="89"/>
      <c r="G900" s="65" t="str">
        <f>IF(stdProdLT(Main[[#This Row],[Comments]])=0.1,"N/A",IF(stdProdLT(Main[[#This Row],[Comments]])=0,"",TRIM(stdProdLT(Main[[#This Row],[Comments]]))))</f>
        <v/>
      </c>
      <c r="H900" s="98" t="str">
        <f>IF(Main[[#This Row],[Std. Prod. Lead Time]]="N/A", "",IF(AND(Main[[#This Row],[In Stock Date]]&lt;&gt;"",Main[[#This Row],[Revised Due Date]]&lt;&gt;"",Main[[#This Row],[In Stock Date]]&lt;&gt;""),Main[[#This Row],[In Stock Date]]-Main[[#This Row],[Revised Due Date]],""))</f>
        <v/>
      </c>
      <c r="I900" s="110" t="s">
        <v>4</v>
      </c>
      <c r="J900" s="99" t="s">
        <v>4</v>
      </c>
      <c r="K900" s="100" t="s">
        <v>4</v>
      </c>
      <c r="L900" s="89"/>
      <c r="M900" s="75" t="str">
        <f>IF(Main[[#This Row],[Tech Start Date]]&lt;1/1/1990,"",IF(Main[[#This Row],[Class]]="C",WORKDAY(Main[[#This Row],[Tech Start Date]],9),IF(Main[[#This Row],[Class]]="B", WORKDAY(Main[[#This Row],[Tech Start Date]],6),IF(Main[[#This Row],[Class]]="A",WORKDAY(Main[[#This Row],[Tech Start Date]],2),""))))</f>
        <v/>
      </c>
      <c r="N900" s="75" t="str">
        <f>IF(Main[[#This Row],[Tech Start Date]]&lt;1/1/1990,"",IF(Main[[#This Row],[Class]]="C",WORKDAY(Main[[#This Row],[Tech Start Date]],19),IF(Main[[#This Row],[Class]]="B", WORKDAY(Main[[#This Row],[Tech Start Date]],12),IF(Main[[#This Row],[Class]]="A",WORKDAY(Main[[#This Row],[Tech Start Date]],4),""))))</f>
        <v/>
      </c>
      <c r="O900" s="75" t="str">
        <f>IF(Main[[#This Row],[Tech Start Date]]&lt;1/1/1990,"",IF(Main[[#This Row],[Class]]="C",WORKDAY(Main[[#This Row],[Tech Start Date]],23),IF(Main[[#This Row],[Class]]="B", WORKDAY(Main[[#This Row],[Tech Start Date]],15),IF(Main[[#This Row],[Class]]="A",WORKDAY(Main[[#This Row],[Tech Start Date]],5),""))))</f>
        <v/>
      </c>
      <c r="P900" s="75" t="str">
        <f>IF(Main[[#This Row],[Tech Start Date]]&lt;1/1/1990,"",IF(Main[[#This Row],[Class]]="C",WORKDAY(Main[[#This Row],[Tech Start Date]],28),IF(Main[[#This Row],[Class]]="B", WORKDAY(Main[[#This Row],[Tech Start Date]],19),IF(Main[[#This Row],[Class]]="A",WORKDAY(Main[[#This Row],[Tech Start Date]],9),""))))</f>
        <v/>
      </c>
      <c r="Q900" s="89"/>
      <c r="R900" s="121"/>
      <c r="S900" s="99" t="s">
        <v>49</v>
      </c>
      <c r="T900" s="76" t="s">
        <v>4</v>
      </c>
      <c r="U900" s="99" t="s">
        <v>103</v>
      </c>
      <c r="V900" s="99" t="s">
        <v>1914</v>
      </c>
      <c r="W900" s="99" t="s">
        <v>1917</v>
      </c>
      <c r="X900" s="99" t="s">
        <v>306</v>
      </c>
      <c r="Y900" s="73" t="s">
        <v>4</v>
      </c>
      <c r="Z900" s="73" t="s">
        <v>4</v>
      </c>
      <c r="AA900" s="99" t="s">
        <v>4</v>
      </c>
    </row>
    <row r="901" spans="1:27" ht="17.25" customHeight="1">
      <c r="A901" s="65" t="str">
        <f>IF(priority(Main[[#This Row],[Comments]])&lt;&gt;0, priority(Main[[#This Row],[Comments]]),"")</f>
        <v/>
      </c>
      <c r="B901" s="60" t="s">
        <v>2190</v>
      </c>
      <c r="C901" s="105" t="s">
        <v>4</v>
      </c>
      <c r="D901" s="74" t="s">
        <v>2191</v>
      </c>
      <c r="E901" s="89"/>
      <c r="F901" s="89"/>
      <c r="G901" s="65" t="str">
        <f>IF(stdProdLT(Main[[#This Row],[Comments]])=0.1,"N/A",IF(stdProdLT(Main[[#This Row],[Comments]])=0,"",TRIM(stdProdLT(Main[[#This Row],[Comments]]))))</f>
        <v/>
      </c>
      <c r="H901" s="98" t="str">
        <f>IF(Main[[#This Row],[Std. Prod. Lead Time]]="N/A", "",IF(AND(Main[[#This Row],[In Stock Date]]&lt;&gt;"",Main[[#This Row],[Revised Due Date]]&lt;&gt;"",Main[[#This Row],[In Stock Date]]&lt;&gt;""),Main[[#This Row],[In Stock Date]]-Main[[#This Row],[Revised Due Date]],""))</f>
        <v/>
      </c>
      <c r="I901" s="110" t="s">
        <v>4</v>
      </c>
      <c r="J901" s="99" t="s">
        <v>4</v>
      </c>
      <c r="K901" s="99" t="s">
        <v>4</v>
      </c>
      <c r="L901" s="89"/>
      <c r="M901" s="75" t="str">
        <f>IF(Main[[#This Row],[Tech Start Date]]&lt;1/1/1990,"",IF(Main[[#This Row],[Class]]="C",WORKDAY(Main[[#This Row],[Tech Start Date]],9),IF(Main[[#This Row],[Class]]="B", WORKDAY(Main[[#This Row],[Tech Start Date]],6),IF(Main[[#This Row],[Class]]="A",WORKDAY(Main[[#This Row],[Tech Start Date]],2),""))))</f>
        <v/>
      </c>
      <c r="N901" s="75" t="str">
        <f>IF(Main[[#This Row],[Tech Start Date]]&lt;1/1/1990,"",IF(Main[[#This Row],[Class]]="C",WORKDAY(Main[[#This Row],[Tech Start Date]],19),IF(Main[[#This Row],[Class]]="B", WORKDAY(Main[[#This Row],[Tech Start Date]],12),IF(Main[[#This Row],[Class]]="A",WORKDAY(Main[[#This Row],[Tech Start Date]],4),""))))</f>
        <v/>
      </c>
      <c r="O901" s="75" t="str">
        <f>IF(Main[[#This Row],[Tech Start Date]]&lt;1/1/1990,"",IF(Main[[#This Row],[Class]]="C",WORKDAY(Main[[#This Row],[Tech Start Date]],23),IF(Main[[#This Row],[Class]]="B", WORKDAY(Main[[#This Row],[Tech Start Date]],15),IF(Main[[#This Row],[Class]]="A",WORKDAY(Main[[#This Row],[Tech Start Date]],5),""))))</f>
        <v/>
      </c>
      <c r="P901" s="75" t="str">
        <f>IF(Main[[#This Row],[Tech Start Date]]&lt;1/1/1990,"",IF(Main[[#This Row],[Class]]="C",WORKDAY(Main[[#This Row],[Tech Start Date]],28),IF(Main[[#This Row],[Class]]="B", WORKDAY(Main[[#This Row],[Tech Start Date]],19),IF(Main[[#This Row],[Class]]="A",WORKDAY(Main[[#This Row],[Tech Start Date]],9),""))))</f>
        <v/>
      </c>
      <c r="Q901" s="89"/>
      <c r="R901" s="121"/>
      <c r="S901" s="99" t="s">
        <v>6</v>
      </c>
      <c r="T901" s="76" t="s">
        <v>4</v>
      </c>
      <c r="U901" s="99" t="s">
        <v>14</v>
      </c>
      <c r="V901" s="99" t="s">
        <v>1928</v>
      </c>
      <c r="W901" s="99" t="s">
        <v>4</v>
      </c>
      <c r="X901" s="99" t="s">
        <v>306</v>
      </c>
      <c r="Y901" s="73" t="s">
        <v>4</v>
      </c>
      <c r="Z901" s="73" t="s">
        <v>4</v>
      </c>
      <c r="AA901" s="99" t="s">
        <v>4</v>
      </c>
    </row>
    <row r="902" spans="1:27" ht="17.25" customHeight="1">
      <c r="A902" s="65" t="str">
        <f>IF(priority(Main[[#This Row],[Comments]])&lt;&gt;0, priority(Main[[#This Row],[Comments]]),"")</f>
        <v/>
      </c>
      <c r="B902" s="60" t="s">
        <v>1698</v>
      </c>
      <c r="C902" s="105" t="s">
        <v>756</v>
      </c>
      <c r="D902" s="74" t="s">
        <v>757</v>
      </c>
      <c r="E902" s="89"/>
      <c r="F902" s="89"/>
      <c r="G902" s="65" t="str">
        <f>IF(stdProdLT(Main[[#This Row],[Comments]])=0.1,"N/A",IF(stdProdLT(Main[[#This Row],[Comments]])=0,"",TRIM(stdProdLT(Main[[#This Row],[Comments]]))))</f>
        <v/>
      </c>
      <c r="H902" s="98" t="str">
        <f>IF(Main[[#This Row],[Std. Prod. Lead Time]]="N/A", "",IF(AND(Main[[#This Row],[In Stock Date]]&lt;&gt;"",Main[[#This Row],[Revised Due Date]]&lt;&gt;"",Main[[#This Row],[In Stock Date]]&lt;&gt;""),Main[[#This Row],[In Stock Date]]-Main[[#This Row],[Revised Due Date]],""))</f>
        <v/>
      </c>
      <c r="I902" s="110" t="s">
        <v>4</v>
      </c>
      <c r="J902" s="99" t="s">
        <v>4</v>
      </c>
      <c r="K902" s="99" t="s">
        <v>4</v>
      </c>
      <c r="L902" s="89"/>
      <c r="M902" s="75" t="str">
        <f>IF(Main[[#This Row],[Tech Start Date]]&lt;1/1/1990,"",IF(Main[[#This Row],[Class]]="C",WORKDAY(Main[[#This Row],[Tech Start Date]],9),IF(Main[[#This Row],[Class]]="B", WORKDAY(Main[[#This Row],[Tech Start Date]],6),IF(Main[[#This Row],[Class]]="A",WORKDAY(Main[[#This Row],[Tech Start Date]],2),""))))</f>
        <v/>
      </c>
      <c r="N902" s="75" t="str">
        <f>IF(Main[[#This Row],[Tech Start Date]]&lt;1/1/1990,"",IF(Main[[#This Row],[Class]]="C",WORKDAY(Main[[#This Row],[Tech Start Date]],19),IF(Main[[#This Row],[Class]]="B", WORKDAY(Main[[#This Row],[Tech Start Date]],12),IF(Main[[#This Row],[Class]]="A",WORKDAY(Main[[#This Row],[Tech Start Date]],4),""))))</f>
        <v/>
      </c>
      <c r="O902" s="75" t="str">
        <f>IF(Main[[#This Row],[Tech Start Date]]&lt;1/1/1990,"",IF(Main[[#This Row],[Class]]="C",WORKDAY(Main[[#This Row],[Tech Start Date]],23),IF(Main[[#This Row],[Class]]="B", WORKDAY(Main[[#This Row],[Tech Start Date]],15),IF(Main[[#This Row],[Class]]="A",WORKDAY(Main[[#This Row],[Tech Start Date]],5),""))))</f>
        <v/>
      </c>
      <c r="P902" s="75" t="str">
        <f>IF(Main[[#This Row],[Tech Start Date]]&lt;1/1/1990,"",IF(Main[[#This Row],[Class]]="C",WORKDAY(Main[[#This Row],[Tech Start Date]],28),IF(Main[[#This Row],[Class]]="B", WORKDAY(Main[[#This Row],[Tech Start Date]],19),IF(Main[[#This Row],[Class]]="A",WORKDAY(Main[[#This Row],[Tech Start Date]],9),""))))</f>
        <v/>
      </c>
      <c r="Q902" s="89"/>
      <c r="R902" s="121"/>
      <c r="S902" s="99" t="s">
        <v>11</v>
      </c>
      <c r="T902" s="76" t="s">
        <v>4</v>
      </c>
      <c r="U902" s="99" t="s">
        <v>14</v>
      </c>
      <c r="V902" s="99" t="s">
        <v>1914</v>
      </c>
      <c r="W902" s="99" t="s">
        <v>1921</v>
      </c>
      <c r="X902" s="99" t="s">
        <v>2821</v>
      </c>
      <c r="Y902" s="73" t="s">
        <v>2942</v>
      </c>
      <c r="Z902" s="73" t="s">
        <v>4</v>
      </c>
      <c r="AA902" s="99" t="s">
        <v>2821</v>
      </c>
    </row>
    <row r="903" spans="1:27" ht="17.25" customHeight="1">
      <c r="A903" s="65" t="str">
        <f>IF(priority(Main[[#This Row],[Comments]])&lt;&gt;0, priority(Main[[#This Row],[Comments]]),"")</f>
        <v/>
      </c>
      <c r="B903" s="60" t="s">
        <v>1699</v>
      </c>
      <c r="C903" s="105" t="s">
        <v>4</v>
      </c>
      <c r="D903" s="74" t="s">
        <v>758</v>
      </c>
      <c r="E903" s="89">
        <v>40436.644293981481</v>
      </c>
      <c r="F903" s="89"/>
      <c r="G903" s="65" t="str">
        <f>IF(stdProdLT(Main[[#This Row],[Comments]])=0.1,"N/A",IF(stdProdLT(Main[[#This Row],[Comments]])=0,"",TRIM(stdProdLT(Main[[#This Row],[Comments]]))))</f>
        <v/>
      </c>
      <c r="H903" s="98" t="str">
        <f>IF(Main[[#This Row],[Std. Prod. Lead Time]]="N/A", "",IF(AND(Main[[#This Row],[In Stock Date]]&lt;&gt;"",Main[[#This Row],[Revised Due Date]]&lt;&gt;"",Main[[#This Row],[In Stock Date]]&lt;&gt;""),Main[[#This Row],[In Stock Date]]-Main[[#This Row],[Revised Due Date]],""))</f>
        <v/>
      </c>
      <c r="I903" s="110" t="s">
        <v>4</v>
      </c>
      <c r="J903" s="99" t="s">
        <v>28</v>
      </c>
      <c r="K903" s="99" t="s">
        <v>4</v>
      </c>
      <c r="L903" s="89"/>
      <c r="M903" s="75" t="str">
        <f>IF(Main[[#This Row],[Tech Start Date]]&lt;1/1/1990,"",IF(Main[[#This Row],[Class]]="C",WORKDAY(Main[[#This Row],[Tech Start Date]],9),IF(Main[[#This Row],[Class]]="B", WORKDAY(Main[[#This Row],[Tech Start Date]],6),IF(Main[[#This Row],[Class]]="A",WORKDAY(Main[[#This Row],[Tech Start Date]],2),""))))</f>
        <v/>
      </c>
      <c r="N903" s="75" t="str">
        <f>IF(Main[[#This Row],[Tech Start Date]]&lt;1/1/1990,"",IF(Main[[#This Row],[Class]]="C",WORKDAY(Main[[#This Row],[Tech Start Date]],19),IF(Main[[#This Row],[Class]]="B", WORKDAY(Main[[#This Row],[Tech Start Date]],12),IF(Main[[#This Row],[Class]]="A",WORKDAY(Main[[#This Row],[Tech Start Date]],4),""))))</f>
        <v/>
      </c>
      <c r="O903" s="75" t="str">
        <f>IF(Main[[#This Row],[Tech Start Date]]&lt;1/1/1990,"",IF(Main[[#This Row],[Class]]="C",WORKDAY(Main[[#This Row],[Tech Start Date]],23),IF(Main[[#This Row],[Class]]="B", WORKDAY(Main[[#This Row],[Tech Start Date]],15),IF(Main[[#This Row],[Class]]="A",WORKDAY(Main[[#This Row],[Tech Start Date]],5),""))))</f>
        <v/>
      </c>
      <c r="P903" s="75" t="str">
        <f>IF(Main[[#This Row],[Tech Start Date]]&lt;1/1/1990,"",IF(Main[[#This Row],[Class]]="C",WORKDAY(Main[[#This Row],[Tech Start Date]],28),IF(Main[[#This Row],[Class]]="B", WORKDAY(Main[[#This Row],[Tech Start Date]],19),IF(Main[[#This Row],[Class]]="A",WORKDAY(Main[[#This Row],[Tech Start Date]],9),""))))</f>
        <v/>
      </c>
      <c r="Q903" s="89"/>
      <c r="R903" s="121"/>
      <c r="S903" s="99" t="s">
        <v>6</v>
      </c>
      <c r="T903" s="76" t="s">
        <v>4</v>
      </c>
      <c r="U903" s="99" t="s">
        <v>7</v>
      </c>
      <c r="V903" s="99" t="s">
        <v>1913</v>
      </c>
      <c r="W903" s="99" t="s">
        <v>1917</v>
      </c>
      <c r="X903" s="99" t="s">
        <v>922</v>
      </c>
      <c r="Y903" s="73" t="s">
        <v>2976</v>
      </c>
      <c r="Z903" s="73" t="s">
        <v>129</v>
      </c>
      <c r="AA903" s="99" t="s">
        <v>922</v>
      </c>
    </row>
    <row r="904" spans="1:27" ht="17.25" customHeight="1">
      <c r="A904" s="65" t="str">
        <f>IF(priority(Main[[#This Row],[Comments]])&lt;&gt;0, priority(Main[[#This Row],[Comments]]),"")</f>
        <v/>
      </c>
      <c r="B904" s="60" t="s">
        <v>1700</v>
      </c>
      <c r="C904" s="105" t="s">
        <v>759</v>
      </c>
      <c r="D904" s="74" t="s">
        <v>760</v>
      </c>
      <c r="E904" s="89"/>
      <c r="F904" s="89"/>
      <c r="G904" s="65" t="str">
        <f>IF(stdProdLT(Main[[#This Row],[Comments]])=0.1,"N/A",IF(stdProdLT(Main[[#This Row],[Comments]])=0,"",TRIM(stdProdLT(Main[[#This Row],[Comments]]))))</f>
        <v/>
      </c>
      <c r="H904" s="98" t="str">
        <f>IF(Main[[#This Row],[Std. Prod. Lead Time]]="N/A", "",IF(AND(Main[[#This Row],[In Stock Date]]&lt;&gt;"",Main[[#This Row],[Revised Due Date]]&lt;&gt;"",Main[[#This Row],[In Stock Date]]&lt;&gt;""),Main[[#This Row],[In Stock Date]]-Main[[#This Row],[Revised Due Date]],""))</f>
        <v/>
      </c>
      <c r="I904" s="110" t="s">
        <v>163</v>
      </c>
      <c r="J904" s="99" t="s">
        <v>4</v>
      </c>
      <c r="K904" s="99" t="s">
        <v>1920</v>
      </c>
      <c r="L904" s="89"/>
      <c r="M904" s="75" t="str">
        <f>IF(Main[[#This Row],[Tech Start Date]]&lt;1/1/1990,"",IF(Main[[#This Row],[Class]]="C",WORKDAY(Main[[#This Row],[Tech Start Date]],9),IF(Main[[#This Row],[Class]]="B", WORKDAY(Main[[#This Row],[Tech Start Date]],6),IF(Main[[#This Row],[Class]]="A",WORKDAY(Main[[#This Row],[Tech Start Date]],2),""))))</f>
        <v/>
      </c>
      <c r="N904" s="75" t="str">
        <f>IF(Main[[#This Row],[Tech Start Date]]&lt;1/1/1990,"",IF(Main[[#This Row],[Class]]="C",WORKDAY(Main[[#This Row],[Tech Start Date]],19),IF(Main[[#This Row],[Class]]="B", WORKDAY(Main[[#This Row],[Tech Start Date]],12),IF(Main[[#This Row],[Class]]="A",WORKDAY(Main[[#This Row],[Tech Start Date]],4),""))))</f>
        <v/>
      </c>
      <c r="O904" s="75" t="str">
        <f>IF(Main[[#This Row],[Tech Start Date]]&lt;1/1/1990,"",IF(Main[[#This Row],[Class]]="C",WORKDAY(Main[[#This Row],[Tech Start Date]],23),IF(Main[[#This Row],[Class]]="B", WORKDAY(Main[[#This Row],[Tech Start Date]],15),IF(Main[[#This Row],[Class]]="A",WORKDAY(Main[[#This Row],[Tech Start Date]],5),""))))</f>
        <v/>
      </c>
      <c r="P904" s="75" t="str">
        <f>IF(Main[[#This Row],[Tech Start Date]]&lt;1/1/1990,"",IF(Main[[#This Row],[Class]]="C",WORKDAY(Main[[#This Row],[Tech Start Date]],28),IF(Main[[#This Row],[Class]]="B", WORKDAY(Main[[#This Row],[Tech Start Date]],19),IF(Main[[#This Row],[Class]]="A",WORKDAY(Main[[#This Row],[Tech Start Date]],9),""))))</f>
        <v/>
      </c>
      <c r="Q904" s="89">
        <v>40421</v>
      </c>
      <c r="R904" s="121"/>
      <c r="S904" s="99" t="s">
        <v>17</v>
      </c>
      <c r="T904" s="76" t="s">
        <v>4</v>
      </c>
      <c r="U904" s="99" t="s">
        <v>14</v>
      </c>
      <c r="V904" s="99" t="s">
        <v>1916</v>
      </c>
      <c r="W904" s="99" t="s">
        <v>1917</v>
      </c>
      <c r="X904" s="99" t="s">
        <v>163</v>
      </c>
      <c r="Y904" s="73" t="s">
        <v>3094</v>
      </c>
      <c r="Z904" s="73" t="s">
        <v>4</v>
      </c>
      <c r="AA904" s="99" t="s">
        <v>163</v>
      </c>
    </row>
    <row r="905" spans="1:27" ht="17.25" customHeight="1">
      <c r="A905" s="65" t="str">
        <f>IF(priority(Main[[#This Row],[Comments]])&lt;&gt;0, priority(Main[[#This Row],[Comments]]),"")</f>
        <v/>
      </c>
      <c r="B905" s="60" t="s">
        <v>1701</v>
      </c>
      <c r="C905" s="105" t="s">
        <v>4</v>
      </c>
      <c r="D905" s="74" t="s">
        <v>761</v>
      </c>
      <c r="E905" s="89"/>
      <c r="F905" s="89"/>
      <c r="G905" s="65" t="str">
        <f>IF(stdProdLT(Main[[#This Row],[Comments]])=0.1,"N/A",IF(stdProdLT(Main[[#This Row],[Comments]])=0,"",TRIM(stdProdLT(Main[[#This Row],[Comments]]))))</f>
        <v/>
      </c>
      <c r="H905" s="98" t="str">
        <f>IF(Main[[#This Row],[Std. Prod. Lead Time]]="N/A", "",IF(AND(Main[[#This Row],[In Stock Date]]&lt;&gt;"",Main[[#This Row],[Revised Due Date]]&lt;&gt;"",Main[[#This Row],[In Stock Date]]&lt;&gt;""),Main[[#This Row],[In Stock Date]]-Main[[#This Row],[Revised Due Date]],""))</f>
        <v/>
      </c>
      <c r="I905" s="110" t="s">
        <v>4</v>
      </c>
      <c r="J905" s="99" t="s">
        <v>4</v>
      </c>
      <c r="K905" s="99" t="s">
        <v>4</v>
      </c>
      <c r="L905" s="89"/>
      <c r="M905" s="75" t="str">
        <f>IF(Main[[#This Row],[Tech Start Date]]&lt;1/1/1990,"",IF(Main[[#This Row],[Class]]="C",WORKDAY(Main[[#This Row],[Tech Start Date]],9),IF(Main[[#This Row],[Class]]="B", WORKDAY(Main[[#This Row],[Tech Start Date]],6),IF(Main[[#This Row],[Class]]="A",WORKDAY(Main[[#This Row],[Tech Start Date]],2),""))))</f>
        <v/>
      </c>
      <c r="N905" s="75" t="str">
        <f>IF(Main[[#This Row],[Tech Start Date]]&lt;1/1/1990,"",IF(Main[[#This Row],[Class]]="C",WORKDAY(Main[[#This Row],[Tech Start Date]],19),IF(Main[[#This Row],[Class]]="B", WORKDAY(Main[[#This Row],[Tech Start Date]],12),IF(Main[[#This Row],[Class]]="A",WORKDAY(Main[[#This Row],[Tech Start Date]],4),""))))</f>
        <v/>
      </c>
      <c r="O905" s="75" t="str">
        <f>IF(Main[[#This Row],[Tech Start Date]]&lt;1/1/1990,"",IF(Main[[#This Row],[Class]]="C",WORKDAY(Main[[#This Row],[Tech Start Date]],23),IF(Main[[#This Row],[Class]]="B", WORKDAY(Main[[#This Row],[Tech Start Date]],15),IF(Main[[#This Row],[Class]]="A",WORKDAY(Main[[#This Row],[Tech Start Date]],5),""))))</f>
        <v/>
      </c>
      <c r="P905" s="75" t="str">
        <f>IF(Main[[#This Row],[Tech Start Date]]&lt;1/1/1990,"",IF(Main[[#This Row],[Class]]="C",WORKDAY(Main[[#This Row],[Tech Start Date]],28),IF(Main[[#This Row],[Class]]="B", WORKDAY(Main[[#This Row],[Tech Start Date]],19),IF(Main[[#This Row],[Class]]="A",WORKDAY(Main[[#This Row],[Tech Start Date]],9),""))))</f>
        <v/>
      </c>
      <c r="Q905" s="89">
        <v>40500</v>
      </c>
      <c r="R905" s="121"/>
      <c r="S905" s="99" t="s">
        <v>11</v>
      </c>
      <c r="T905" s="76" t="s">
        <v>4</v>
      </c>
      <c r="U905" s="99" t="s">
        <v>14</v>
      </c>
      <c r="V905" s="99" t="s">
        <v>1913</v>
      </c>
      <c r="W905" s="99" t="s">
        <v>4</v>
      </c>
      <c r="X905" s="99" t="s">
        <v>2826</v>
      </c>
      <c r="Y905" s="73" t="s">
        <v>3095</v>
      </c>
      <c r="Z905" s="73" t="s">
        <v>4</v>
      </c>
      <c r="AA905" s="99" t="s">
        <v>2843</v>
      </c>
    </row>
    <row r="906" spans="1:27" ht="17.25" customHeight="1">
      <c r="A906" s="65" t="str">
        <f>IF(priority(Main[[#This Row],[Comments]])&lt;&gt;0, priority(Main[[#This Row],[Comments]]),"")</f>
        <v/>
      </c>
      <c r="B906" s="60" t="s">
        <v>1702</v>
      </c>
      <c r="C906" s="105" t="s">
        <v>122</v>
      </c>
      <c r="D906" s="74" t="s">
        <v>696</v>
      </c>
      <c r="E906" s="89"/>
      <c r="F906" s="89"/>
      <c r="G906" s="65" t="str">
        <f>IF(stdProdLT(Main[[#This Row],[Comments]])=0.1,"N/A",IF(stdProdLT(Main[[#This Row],[Comments]])=0,"",TRIM(stdProdLT(Main[[#This Row],[Comments]]))))</f>
        <v/>
      </c>
      <c r="H906" s="98" t="str">
        <f>IF(Main[[#This Row],[Std. Prod. Lead Time]]="N/A", "",IF(AND(Main[[#This Row],[In Stock Date]]&lt;&gt;"",Main[[#This Row],[Revised Due Date]]&lt;&gt;"",Main[[#This Row],[In Stock Date]]&lt;&gt;""),Main[[#This Row],[In Stock Date]]-Main[[#This Row],[Revised Due Date]],""))</f>
        <v/>
      </c>
      <c r="I906" s="110" t="s">
        <v>4</v>
      </c>
      <c r="J906" s="99" t="s">
        <v>4</v>
      </c>
      <c r="K906" s="99" t="s">
        <v>4</v>
      </c>
      <c r="L906" s="89"/>
      <c r="M906" s="75" t="str">
        <f>IF(Main[[#This Row],[Tech Start Date]]&lt;1/1/1990,"",IF(Main[[#This Row],[Class]]="C",WORKDAY(Main[[#This Row],[Tech Start Date]],9),IF(Main[[#This Row],[Class]]="B", WORKDAY(Main[[#This Row],[Tech Start Date]],6),IF(Main[[#This Row],[Class]]="A",WORKDAY(Main[[#This Row],[Tech Start Date]],2),""))))</f>
        <v/>
      </c>
      <c r="N906" s="75" t="str">
        <f>IF(Main[[#This Row],[Tech Start Date]]&lt;1/1/1990,"",IF(Main[[#This Row],[Class]]="C",WORKDAY(Main[[#This Row],[Tech Start Date]],19),IF(Main[[#This Row],[Class]]="B", WORKDAY(Main[[#This Row],[Tech Start Date]],12),IF(Main[[#This Row],[Class]]="A",WORKDAY(Main[[#This Row],[Tech Start Date]],4),""))))</f>
        <v/>
      </c>
      <c r="O906" s="75" t="str">
        <f>IF(Main[[#This Row],[Tech Start Date]]&lt;1/1/1990,"",IF(Main[[#This Row],[Class]]="C",WORKDAY(Main[[#This Row],[Tech Start Date]],23),IF(Main[[#This Row],[Class]]="B", WORKDAY(Main[[#This Row],[Tech Start Date]],15),IF(Main[[#This Row],[Class]]="A",WORKDAY(Main[[#This Row],[Tech Start Date]],5),""))))</f>
        <v/>
      </c>
      <c r="P906" s="75" t="str">
        <f>IF(Main[[#This Row],[Tech Start Date]]&lt;1/1/1990,"",IF(Main[[#This Row],[Class]]="C",WORKDAY(Main[[#This Row],[Tech Start Date]],28),IF(Main[[#This Row],[Class]]="B", WORKDAY(Main[[#This Row],[Tech Start Date]],19),IF(Main[[#This Row],[Class]]="A",WORKDAY(Main[[#This Row],[Tech Start Date]],9),""))))</f>
        <v/>
      </c>
      <c r="Q906" s="89"/>
      <c r="R906" s="121"/>
      <c r="S906" s="99" t="s">
        <v>11</v>
      </c>
      <c r="T906" s="76" t="s">
        <v>4</v>
      </c>
      <c r="U906" s="99" t="s">
        <v>14</v>
      </c>
      <c r="V906" s="99" t="s">
        <v>1913</v>
      </c>
      <c r="W906" s="99" t="s">
        <v>1924</v>
      </c>
      <c r="X906" s="99" t="s">
        <v>2814</v>
      </c>
      <c r="Y906" s="73" t="s">
        <v>3086</v>
      </c>
      <c r="Z906" s="73" t="s">
        <v>4</v>
      </c>
      <c r="AA906" s="99" t="s">
        <v>3425</v>
      </c>
    </row>
    <row r="907" spans="1:27" ht="17.25" customHeight="1">
      <c r="A907" s="65" t="str">
        <f>IF(priority(Main[[#This Row],[Comments]])&lt;&gt;0, priority(Main[[#This Row],[Comments]]),"")</f>
        <v/>
      </c>
      <c r="B907" s="60" t="s">
        <v>1705</v>
      </c>
      <c r="C907" s="105" t="s">
        <v>4</v>
      </c>
      <c r="D907" s="74" t="s">
        <v>767</v>
      </c>
      <c r="E907" s="89"/>
      <c r="F907" s="89"/>
      <c r="G907" s="65" t="str">
        <f>IF(stdProdLT(Main[[#This Row],[Comments]])=0.1,"N/A",IF(stdProdLT(Main[[#This Row],[Comments]])=0,"",TRIM(stdProdLT(Main[[#This Row],[Comments]]))))</f>
        <v/>
      </c>
      <c r="H907" s="98" t="str">
        <f>IF(Main[[#This Row],[Std. Prod. Lead Time]]="N/A", "",IF(AND(Main[[#This Row],[In Stock Date]]&lt;&gt;"",Main[[#This Row],[Revised Due Date]]&lt;&gt;"",Main[[#This Row],[In Stock Date]]&lt;&gt;""),Main[[#This Row],[In Stock Date]]-Main[[#This Row],[Revised Due Date]],""))</f>
        <v/>
      </c>
      <c r="I907" s="110" t="s">
        <v>4</v>
      </c>
      <c r="J907" s="99" t="s">
        <v>4</v>
      </c>
      <c r="K907" s="99" t="s">
        <v>4</v>
      </c>
      <c r="L907" s="89"/>
      <c r="M907" s="75" t="str">
        <f>IF(Main[[#This Row],[Tech Start Date]]&lt;1/1/1990,"",IF(Main[[#This Row],[Class]]="C",WORKDAY(Main[[#This Row],[Tech Start Date]],9),IF(Main[[#This Row],[Class]]="B", WORKDAY(Main[[#This Row],[Tech Start Date]],6),IF(Main[[#This Row],[Class]]="A",WORKDAY(Main[[#This Row],[Tech Start Date]],2),""))))</f>
        <v/>
      </c>
      <c r="N907" s="75" t="str">
        <f>IF(Main[[#This Row],[Tech Start Date]]&lt;1/1/1990,"",IF(Main[[#This Row],[Class]]="C",WORKDAY(Main[[#This Row],[Tech Start Date]],19),IF(Main[[#This Row],[Class]]="B", WORKDAY(Main[[#This Row],[Tech Start Date]],12),IF(Main[[#This Row],[Class]]="A",WORKDAY(Main[[#This Row],[Tech Start Date]],4),""))))</f>
        <v/>
      </c>
      <c r="O907" s="75" t="str">
        <f>IF(Main[[#This Row],[Tech Start Date]]&lt;1/1/1990,"",IF(Main[[#This Row],[Class]]="C",WORKDAY(Main[[#This Row],[Tech Start Date]],23),IF(Main[[#This Row],[Class]]="B", WORKDAY(Main[[#This Row],[Tech Start Date]],15),IF(Main[[#This Row],[Class]]="A",WORKDAY(Main[[#This Row],[Tech Start Date]],5),""))))</f>
        <v/>
      </c>
      <c r="P907" s="75" t="str">
        <f>IF(Main[[#This Row],[Tech Start Date]]&lt;1/1/1990,"",IF(Main[[#This Row],[Class]]="C",WORKDAY(Main[[#This Row],[Tech Start Date]],28),IF(Main[[#This Row],[Class]]="B", WORKDAY(Main[[#This Row],[Tech Start Date]],19),IF(Main[[#This Row],[Class]]="A",WORKDAY(Main[[#This Row],[Tech Start Date]],9),""))))</f>
        <v/>
      </c>
      <c r="Q907" s="89"/>
      <c r="R907" s="121"/>
      <c r="S907" s="99" t="s">
        <v>17</v>
      </c>
      <c r="T907" s="76" t="s">
        <v>4</v>
      </c>
      <c r="U907" s="99" t="s">
        <v>14</v>
      </c>
      <c r="V907" s="99" t="s">
        <v>1916</v>
      </c>
      <c r="W907" s="99" t="s">
        <v>4</v>
      </c>
      <c r="X907" s="99" t="s">
        <v>306</v>
      </c>
      <c r="Y907" s="73" t="s">
        <v>4</v>
      </c>
      <c r="Z907" s="73" t="s">
        <v>4</v>
      </c>
      <c r="AA907" s="99" t="s">
        <v>3430</v>
      </c>
    </row>
    <row r="908" spans="1:27" ht="17.25" customHeight="1">
      <c r="A908" s="65" t="str">
        <f>IF(priority(Main[[#This Row],[Comments]])&lt;&gt;0, priority(Main[[#This Row],[Comments]]),"")</f>
        <v/>
      </c>
      <c r="B908" s="60" t="s">
        <v>1706</v>
      </c>
      <c r="C908" s="105" t="s">
        <v>58</v>
      </c>
      <c r="D908" s="74" t="s">
        <v>202</v>
      </c>
      <c r="E908" s="89"/>
      <c r="F908" s="89">
        <v>40697</v>
      </c>
      <c r="G908" s="65" t="str">
        <f>IF(stdProdLT(Main[[#This Row],[Comments]])=0.1,"N/A",IF(stdProdLT(Main[[#This Row],[Comments]])=0,"",TRIM(stdProdLT(Main[[#This Row],[Comments]]))))</f>
        <v/>
      </c>
      <c r="H908" s="98" t="str">
        <f>IF(Main[[#This Row],[Std. Prod. Lead Time]]="N/A", "",IF(AND(Main[[#This Row],[In Stock Date]]&lt;&gt;"",Main[[#This Row],[Revised Due Date]]&lt;&gt;"",Main[[#This Row],[In Stock Date]]&lt;&gt;""),Main[[#This Row],[In Stock Date]]-Main[[#This Row],[Revised Due Date]],""))</f>
        <v/>
      </c>
      <c r="I908" s="110" t="s">
        <v>4</v>
      </c>
      <c r="J908" s="99" t="s">
        <v>4</v>
      </c>
      <c r="K908" s="99" t="s">
        <v>4</v>
      </c>
      <c r="L908" s="89"/>
      <c r="M908" s="75" t="str">
        <f>IF(Main[[#This Row],[Tech Start Date]]&lt;1/1/1990,"",IF(Main[[#This Row],[Class]]="C",WORKDAY(Main[[#This Row],[Tech Start Date]],9),IF(Main[[#This Row],[Class]]="B", WORKDAY(Main[[#This Row],[Tech Start Date]],6),IF(Main[[#This Row],[Class]]="A",WORKDAY(Main[[#This Row],[Tech Start Date]],2),""))))</f>
        <v/>
      </c>
      <c r="N908" s="75" t="str">
        <f>IF(Main[[#This Row],[Tech Start Date]]&lt;1/1/1990,"",IF(Main[[#This Row],[Class]]="C",WORKDAY(Main[[#This Row],[Tech Start Date]],19),IF(Main[[#This Row],[Class]]="B", WORKDAY(Main[[#This Row],[Tech Start Date]],12),IF(Main[[#This Row],[Class]]="A",WORKDAY(Main[[#This Row],[Tech Start Date]],4),""))))</f>
        <v/>
      </c>
      <c r="O908" s="75" t="str">
        <f>IF(Main[[#This Row],[Tech Start Date]]&lt;1/1/1990,"",IF(Main[[#This Row],[Class]]="C",WORKDAY(Main[[#This Row],[Tech Start Date]],23),IF(Main[[#This Row],[Class]]="B", WORKDAY(Main[[#This Row],[Tech Start Date]],15),IF(Main[[#This Row],[Class]]="A",WORKDAY(Main[[#This Row],[Tech Start Date]],5),""))))</f>
        <v/>
      </c>
      <c r="P908" s="75" t="str">
        <f>IF(Main[[#This Row],[Tech Start Date]]&lt;1/1/1990,"",IF(Main[[#This Row],[Class]]="C",WORKDAY(Main[[#This Row],[Tech Start Date]],28),IF(Main[[#This Row],[Class]]="B", WORKDAY(Main[[#This Row],[Tech Start Date]],19),IF(Main[[#This Row],[Class]]="A",WORKDAY(Main[[#This Row],[Tech Start Date]],9),""))))</f>
        <v/>
      </c>
      <c r="Q908" s="89">
        <v>40539</v>
      </c>
      <c r="R908" s="121"/>
      <c r="S908" s="99" t="s">
        <v>11</v>
      </c>
      <c r="T908" s="76" t="s">
        <v>4</v>
      </c>
      <c r="U908" s="99" t="s">
        <v>14</v>
      </c>
      <c r="V908" s="99" t="s">
        <v>1913</v>
      </c>
      <c r="W908" s="99" t="s">
        <v>1919</v>
      </c>
      <c r="X908" s="99" t="s">
        <v>2823</v>
      </c>
      <c r="Y908" s="73" t="s">
        <v>2945</v>
      </c>
      <c r="Z908" s="73" t="s">
        <v>4</v>
      </c>
      <c r="AA908" s="99" t="s">
        <v>2823</v>
      </c>
    </row>
    <row r="909" spans="1:27" ht="17.25" customHeight="1">
      <c r="A909" s="65" t="str">
        <f>IF(priority(Main[[#This Row],[Comments]])&lt;&gt;0, priority(Main[[#This Row],[Comments]]),"")</f>
        <v/>
      </c>
      <c r="B909" s="60" t="s">
        <v>1723</v>
      </c>
      <c r="C909" s="105" t="s">
        <v>779</v>
      </c>
      <c r="D909" s="74" t="s">
        <v>780</v>
      </c>
      <c r="E909" s="89"/>
      <c r="F909" s="89">
        <v>40591</v>
      </c>
      <c r="G909" s="65" t="str">
        <f>IF(stdProdLT(Main[[#This Row],[Comments]])=0.1,"N/A",IF(stdProdLT(Main[[#This Row],[Comments]])=0,"",TRIM(stdProdLT(Main[[#This Row],[Comments]]))))</f>
        <v/>
      </c>
      <c r="H909" s="98" t="str">
        <f>IF(Main[[#This Row],[Std. Prod. Lead Time]]="N/A", "",IF(AND(Main[[#This Row],[In Stock Date]]&lt;&gt;"",Main[[#This Row],[Revised Due Date]]&lt;&gt;"",Main[[#This Row],[In Stock Date]]&lt;&gt;""),Main[[#This Row],[In Stock Date]]-Main[[#This Row],[Revised Due Date]],""))</f>
        <v/>
      </c>
      <c r="I909" s="110" t="s">
        <v>4</v>
      </c>
      <c r="J909" s="99" t="s">
        <v>4</v>
      </c>
      <c r="K909" s="100" t="s">
        <v>1925</v>
      </c>
      <c r="L909" s="89"/>
      <c r="M909" s="75" t="str">
        <f>IF(Main[[#This Row],[Tech Start Date]]&lt;1/1/1990,"",IF(Main[[#This Row],[Class]]="C",WORKDAY(Main[[#This Row],[Tech Start Date]],9),IF(Main[[#This Row],[Class]]="B", WORKDAY(Main[[#This Row],[Tech Start Date]],6),IF(Main[[#This Row],[Class]]="A",WORKDAY(Main[[#This Row],[Tech Start Date]],2),""))))</f>
        <v/>
      </c>
      <c r="N909" s="75" t="str">
        <f>IF(Main[[#This Row],[Tech Start Date]]&lt;1/1/1990,"",IF(Main[[#This Row],[Class]]="C",WORKDAY(Main[[#This Row],[Tech Start Date]],19),IF(Main[[#This Row],[Class]]="B", WORKDAY(Main[[#This Row],[Tech Start Date]],12),IF(Main[[#This Row],[Class]]="A",WORKDAY(Main[[#This Row],[Tech Start Date]],4),""))))</f>
        <v/>
      </c>
      <c r="O909" s="75" t="str">
        <f>IF(Main[[#This Row],[Tech Start Date]]&lt;1/1/1990,"",IF(Main[[#This Row],[Class]]="C",WORKDAY(Main[[#This Row],[Tech Start Date]],23),IF(Main[[#This Row],[Class]]="B", WORKDAY(Main[[#This Row],[Tech Start Date]],15),IF(Main[[#This Row],[Class]]="A",WORKDAY(Main[[#This Row],[Tech Start Date]],5),""))))</f>
        <v/>
      </c>
      <c r="P909" s="75" t="str">
        <f>IF(Main[[#This Row],[Tech Start Date]]&lt;1/1/1990,"",IF(Main[[#This Row],[Class]]="C",WORKDAY(Main[[#This Row],[Tech Start Date]],28),IF(Main[[#This Row],[Class]]="B", WORKDAY(Main[[#This Row],[Tech Start Date]],19),IF(Main[[#This Row],[Class]]="A",WORKDAY(Main[[#This Row],[Tech Start Date]],9),""))))</f>
        <v/>
      </c>
      <c r="Q909" s="89">
        <v>40514</v>
      </c>
      <c r="R909" s="121"/>
      <c r="S909" s="99" t="s">
        <v>11</v>
      </c>
      <c r="T909" s="76" t="s">
        <v>781</v>
      </c>
      <c r="U909" s="99" t="s">
        <v>14</v>
      </c>
      <c r="V909" s="99" t="s">
        <v>1913</v>
      </c>
      <c r="W909" s="99" t="s">
        <v>1918</v>
      </c>
      <c r="X909" s="99" t="s">
        <v>2898</v>
      </c>
      <c r="Y909" s="73" t="s">
        <v>4</v>
      </c>
      <c r="Z909" s="73" t="s">
        <v>4</v>
      </c>
      <c r="AA909" s="99" t="s">
        <v>2898</v>
      </c>
    </row>
    <row r="910" spans="1:27" ht="17.25" customHeight="1">
      <c r="A910" s="65" t="str">
        <f>IF(priority(Main[[#This Row],[Comments]])&lt;&gt;0, priority(Main[[#This Row],[Comments]]),"")</f>
        <v/>
      </c>
      <c r="B910" s="60" t="s">
        <v>1727</v>
      </c>
      <c r="C910" s="105" t="s">
        <v>4</v>
      </c>
      <c r="D910" s="74" t="s">
        <v>784</v>
      </c>
      <c r="E910" s="89">
        <v>40646.604930555557</v>
      </c>
      <c r="F910" s="89"/>
      <c r="G910" s="65" t="str">
        <f>IF(stdProdLT(Main[[#This Row],[Comments]])=0.1,"N/A",IF(stdProdLT(Main[[#This Row],[Comments]])=0,"",TRIM(stdProdLT(Main[[#This Row],[Comments]]))))</f>
        <v/>
      </c>
      <c r="H910" s="98" t="str">
        <f>IF(Main[[#This Row],[Std. Prod. Lead Time]]="N/A", "",IF(AND(Main[[#This Row],[In Stock Date]]&lt;&gt;"",Main[[#This Row],[Revised Due Date]]&lt;&gt;"",Main[[#This Row],[In Stock Date]]&lt;&gt;""),Main[[#This Row],[In Stock Date]]-Main[[#This Row],[Revised Due Date]],""))</f>
        <v/>
      </c>
      <c r="I910" s="110" t="s">
        <v>4</v>
      </c>
      <c r="J910" s="99" t="s">
        <v>4</v>
      </c>
      <c r="K910" s="99" t="s">
        <v>4</v>
      </c>
      <c r="L910" s="89"/>
      <c r="M910" s="75" t="str">
        <f>IF(Main[[#This Row],[Tech Start Date]]&lt;1/1/1990,"",IF(Main[[#This Row],[Class]]="C",WORKDAY(Main[[#This Row],[Tech Start Date]],9),IF(Main[[#This Row],[Class]]="B", WORKDAY(Main[[#This Row],[Tech Start Date]],6),IF(Main[[#This Row],[Class]]="A",WORKDAY(Main[[#This Row],[Tech Start Date]],2),""))))</f>
        <v/>
      </c>
      <c r="N910" s="75" t="str">
        <f>IF(Main[[#This Row],[Tech Start Date]]&lt;1/1/1990,"",IF(Main[[#This Row],[Class]]="C",WORKDAY(Main[[#This Row],[Tech Start Date]],19),IF(Main[[#This Row],[Class]]="B", WORKDAY(Main[[#This Row],[Tech Start Date]],12),IF(Main[[#This Row],[Class]]="A",WORKDAY(Main[[#This Row],[Tech Start Date]],4),""))))</f>
        <v/>
      </c>
      <c r="O910" s="75" t="str">
        <f>IF(Main[[#This Row],[Tech Start Date]]&lt;1/1/1990,"",IF(Main[[#This Row],[Class]]="C",WORKDAY(Main[[#This Row],[Tech Start Date]],23),IF(Main[[#This Row],[Class]]="B", WORKDAY(Main[[#This Row],[Tech Start Date]],15),IF(Main[[#This Row],[Class]]="A",WORKDAY(Main[[#This Row],[Tech Start Date]],5),""))))</f>
        <v/>
      </c>
      <c r="P910" s="75" t="str">
        <f>IF(Main[[#This Row],[Tech Start Date]]&lt;1/1/1990,"",IF(Main[[#This Row],[Class]]="C",WORKDAY(Main[[#This Row],[Tech Start Date]],28),IF(Main[[#This Row],[Class]]="B", WORKDAY(Main[[#This Row],[Tech Start Date]],19),IF(Main[[#This Row],[Class]]="A",WORKDAY(Main[[#This Row],[Tech Start Date]],9),""))))</f>
        <v/>
      </c>
      <c r="Q910" s="89">
        <v>40683</v>
      </c>
      <c r="R910" s="121"/>
      <c r="S910" s="99" t="s">
        <v>6</v>
      </c>
      <c r="T910" s="76" t="s">
        <v>4</v>
      </c>
      <c r="U910" s="99" t="s">
        <v>7</v>
      </c>
      <c r="V910" s="99" t="s">
        <v>1913</v>
      </c>
      <c r="W910" s="99" t="s">
        <v>4</v>
      </c>
      <c r="X910" s="99" t="s">
        <v>2812</v>
      </c>
      <c r="Y910" s="73" t="s">
        <v>2923</v>
      </c>
      <c r="Z910" s="73" t="s">
        <v>4</v>
      </c>
      <c r="AA910" s="99" t="s">
        <v>2812</v>
      </c>
    </row>
    <row r="911" spans="1:27" ht="17.25" customHeight="1">
      <c r="A911" s="12" t="str">
        <f>IF(priority(Main[[#This Row],[Comments]])&lt;&gt;0, priority(Main[[#This Row],[Comments]]),"")</f>
        <v/>
      </c>
      <c r="B911" s="60" t="s">
        <v>3602</v>
      </c>
      <c r="C911" s="104" t="s">
        <v>4</v>
      </c>
      <c r="D911" s="78" t="s">
        <v>3603</v>
      </c>
      <c r="E911" s="90"/>
      <c r="F911" s="90"/>
      <c r="G911" s="12" t="str">
        <f>IF(stdProdLT(Main[[#This Row],[Comments]])=0.1,"N/A",IF(stdProdLT(Main[[#This Row],[Comments]])=0,"",TRIM(stdProdLT(Main[[#This Row],[Comments]]))))</f>
        <v/>
      </c>
      <c r="H911" s="101" t="str">
        <f>IF(Main[[#This Row],[Std. Prod. Lead Time]]="N/A", "",IF(AND(Main[[#This Row],[In Stock Date]]&lt;&gt;"",Main[[#This Row],[Revised Due Date]]&lt;&gt;"",Main[[#This Row],[In Stock Date]]&lt;&gt;""),Main[[#This Row],[In Stock Date]]-Main[[#This Row],[Revised Due Date]],""))</f>
        <v/>
      </c>
      <c r="I911" s="111" t="s">
        <v>2040</v>
      </c>
      <c r="J911" s="12" t="s">
        <v>28</v>
      </c>
      <c r="K911" s="12" t="s">
        <v>1922</v>
      </c>
      <c r="L911" s="90"/>
      <c r="M911" s="75" t="str">
        <f>IF(Main[[#This Row],[Tech Start Date]]&lt;1/1/1990,"",IF(Main[[#This Row],[Class]]="C",WORKDAY(Main[[#This Row],[Tech Start Date]],9),IF(Main[[#This Row],[Class]]="B", WORKDAY(Main[[#This Row],[Tech Start Date]],6),IF(Main[[#This Row],[Class]]="A",WORKDAY(Main[[#This Row],[Tech Start Date]],2),""))))</f>
        <v/>
      </c>
      <c r="N911" s="75" t="str">
        <f>IF(Main[[#This Row],[Tech Start Date]]&lt;1/1/1990,"",IF(Main[[#This Row],[Class]]="C",WORKDAY(Main[[#This Row],[Tech Start Date]],19),IF(Main[[#This Row],[Class]]="B", WORKDAY(Main[[#This Row],[Tech Start Date]],12),IF(Main[[#This Row],[Class]]="A",WORKDAY(Main[[#This Row],[Tech Start Date]],4),""))))</f>
        <v/>
      </c>
      <c r="O911" s="75" t="str">
        <f>IF(Main[[#This Row],[Tech Start Date]]&lt;1/1/1990,"",IF(Main[[#This Row],[Class]]="C",WORKDAY(Main[[#This Row],[Tech Start Date]],23),IF(Main[[#This Row],[Class]]="B", WORKDAY(Main[[#This Row],[Tech Start Date]],15),IF(Main[[#This Row],[Class]]="A",WORKDAY(Main[[#This Row],[Tech Start Date]],5),""))))</f>
        <v/>
      </c>
      <c r="P911" s="75" t="str">
        <f>IF(Main[[#This Row],[Tech Start Date]]&lt;1/1/1990,"",IF(Main[[#This Row],[Class]]="C",WORKDAY(Main[[#This Row],[Tech Start Date]],28),IF(Main[[#This Row],[Class]]="B", WORKDAY(Main[[#This Row],[Tech Start Date]],19),IF(Main[[#This Row],[Class]]="A",WORKDAY(Main[[#This Row],[Tech Start Date]],9),""))))</f>
        <v/>
      </c>
      <c r="Q911" s="90">
        <v>40964</v>
      </c>
      <c r="R911" s="124"/>
      <c r="S911" s="12" t="s">
        <v>6</v>
      </c>
      <c r="T911" s="79" t="s">
        <v>4</v>
      </c>
      <c r="U911" s="12" t="s">
        <v>14</v>
      </c>
      <c r="V911" s="12" t="s">
        <v>1923</v>
      </c>
      <c r="W911" s="12" t="s">
        <v>1917</v>
      </c>
      <c r="X911" s="12" t="s">
        <v>2040</v>
      </c>
      <c r="Y911" s="77" t="s">
        <v>3150</v>
      </c>
      <c r="Z911" s="77" t="s">
        <v>30</v>
      </c>
      <c r="AA911" s="99" t="s">
        <v>2040</v>
      </c>
    </row>
    <row r="912" spans="1:27" ht="17.25" customHeight="1">
      <c r="A912" s="65" t="str">
        <f>IF(priority(Main[[#This Row],[Comments]])&lt;&gt;0, priority(Main[[#This Row],[Comments]]),"")</f>
        <v/>
      </c>
      <c r="B912" s="60" t="s">
        <v>1729</v>
      </c>
      <c r="C912" s="105" t="s">
        <v>4</v>
      </c>
      <c r="D912" s="74" t="s">
        <v>785</v>
      </c>
      <c r="E912" s="89">
        <v>40584.401712962965</v>
      </c>
      <c r="F912" s="89">
        <v>40602</v>
      </c>
      <c r="G912" s="65" t="str">
        <f>IF(stdProdLT(Main[[#This Row],[Comments]])=0.1,"N/A",IF(stdProdLT(Main[[#This Row],[Comments]])=0,"",TRIM(stdProdLT(Main[[#This Row],[Comments]]))))</f>
        <v/>
      </c>
      <c r="H912" s="98" t="str">
        <f>IF(Main[[#This Row],[Std. Prod. Lead Time]]="N/A", "",IF(AND(Main[[#This Row],[In Stock Date]]&lt;&gt;"",Main[[#This Row],[Revised Due Date]]&lt;&gt;"",Main[[#This Row],[In Stock Date]]&lt;&gt;""),Main[[#This Row],[In Stock Date]]-Main[[#This Row],[Revised Due Date]],""))</f>
        <v/>
      </c>
      <c r="I912" s="110" t="s">
        <v>4</v>
      </c>
      <c r="J912" s="99" t="s">
        <v>28</v>
      </c>
      <c r="K912" s="99" t="s">
        <v>1925</v>
      </c>
      <c r="L912" s="89"/>
      <c r="M912" s="75" t="str">
        <f>IF(Main[[#This Row],[Tech Start Date]]&lt;1/1/1990,"",IF(Main[[#This Row],[Class]]="C",WORKDAY(Main[[#This Row],[Tech Start Date]],9),IF(Main[[#This Row],[Class]]="B", WORKDAY(Main[[#This Row],[Tech Start Date]],6),IF(Main[[#This Row],[Class]]="A",WORKDAY(Main[[#This Row],[Tech Start Date]],2),""))))</f>
        <v/>
      </c>
      <c r="N912" s="75" t="str">
        <f>IF(Main[[#This Row],[Tech Start Date]]&lt;1/1/1990,"",IF(Main[[#This Row],[Class]]="C",WORKDAY(Main[[#This Row],[Tech Start Date]],19),IF(Main[[#This Row],[Class]]="B", WORKDAY(Main[[#This Row],[Tech Start Date]],12),IF(Main[[#This Row],[Class]]="A",WORKDAY(Main[[#This Row],[Tech Start Date]],4),""))))</f>
        <v/>
      </c>
      <c r="O912" s="75" t="str">
        <f>IF(Main[[#This Row],[Tech Start Date]]&lt;1/1/1990,"",IF(Main[[#This Row],[Class]]="C",WORKDAY(Main[[#This Row],[Tech Start Date]],23),IF(Main[[#This Row],[Class]]="B", WORKDAY(Main[[#This Row],[Tech Start Date]],15),IF(Main[[#This Row],[Class]]="A",WORKDAY(Main[[#This Row],[Tech Start Date]],5),""))))</f>
        <v/>
      </c>
      <c r="P912" s="75" t="str">
        <f>IF(Main[[#This Row],[Tech Start Date]]&lt;1/1/1990,"",IF(Main[[#This Row],[Class]]="C",WORKDAY(Main[[#This Row],[Tech Start Date]],28),IF(Main[[#This Row],[Class]]="B", WORKDAY(Main[[#This Row],[Tech Start Date]],19),IF(Main[[#This Row],[Class]]="A",WORKDAY(Main[[#This Row],[Tech Start Date]],9),""))))</f>
        <v/>
      </c>
      <c r="Q912" s="89">
        <v>40602</v>
      </c>
      <c r="R912" s="121"/>
      <c r="S912" s="99" t="s">
        <v>17</v>
      </c>
      <c r="T912" s="76" t="s">
        <v>4</v>
      </c>
      <c r="U912" s="99" t="s">
        <v>7</v>
      </c>
      <c r="V912" s="99" t="s">
        <v>1913</v>
      </c>
      <c r="W912" s="99" t="s">
        <v>1921</v>
      </c>
      <c r="X912" s="99" t="s">
        <v>2822</v>
      </c>
      <c r="Y912" s="73" t="s">
        <v>2944</v>
      </c>
      <c r="Z912" s="73" t="s">
        <v>129</v>
      </c>
      <c r="AA912" s="99" t="s">
        <v>2822</v>
      </c>
    </row>
    <row r="913" spans="1:27" ht="17.25" customHeight="1">
      <c r="A913" s="65" t="str">
        <f>IF(priority(Main[[#This Row],[Comments]])&lt;&gt;0, priority(Main[[#This Row],[Comments]]),"")</f>
        <v/>
      </c>
      <c r="B913" s="60" t="s">
        <v>2081</v>
      </c>
      <c r="C913" s="105" t="s">
        <v>4</v>
      </c>
      <c r="D913" s="74" t="s">
        <v>2392</v>
      </c>
      <c r="E913" s="89">
        <v>40764.689201388886</v>
      </c>
      <c r="F913" s="89"/>
      <c r="G913" s="65" t="str">
        <f>IF(stdProdLT(Main[[#This Row],[Comments]])=0.1,"N/A",IF(stdProdLT(Main[[#This Row],[Comments]])=0,"",TRIM(stdProdLT(Main[[#This Row],[Comments]]))))</f>
        <v/>
      </c>
      <c r="H913" s="98" t="str">
        <f>IF(Main[[#This Row],[Std. Prod. Lead Time]]="N/A", "",IF(AND(Main[[#This Row],[In Stock Date]]&lt;&gt;"",Main[[#This Row],[Revised Due Date]]&lt;&gt;"",Main[[#This Row],[In Stock Date]]&lt;&gt;""),Main[[#This Row],[In Stock Date]]-Main[[#This Row],[Revised Due Date]],""))</f>
        <v/>
      </c>
      <c r="I913" s="110" t="s">
        <v>4</v>
      </c>
      <c r="J913" s="99" t="s">
        <v>4</v>
      </c>
      <c r="K913" s="99" t="s">
        <v>4</v>
      </c>
      <c r="L913" s="89"/>
      <c r="M913" s="75" t="str">
        <f>IF(Main[[#This Row],[Tech Start Date]]&lt;1/1/1990,"",IF(Main[[#This Row],[Class]]="C",WORKDAY(Main[[#This Row],[Tech Start Date]],9),IF(Main[[#This Row],[Class]]="B", WORKDAY(Main[[#This Row],[Tech Start Date]],6),IF(Main[[#This Row],[Class]]="A",WORKDAY(Main[[#This Row],[Tech Start Date]],2),""))))</f>
        <v/>
      </c>
      <c r="N913" s="75" t="str">
        <f>IF(Main[[#This Row],[Tech Start Date]]&lt;1/1/1990,"",IF(Main[[#This Row],[Class]]="C",WORKDAY(Main[[#This Row],[Tech Start Date]],19),IF(Main[[#This Row],[Class]]="B", WORKDAY(Main[[#This Row],[Tech Start Date]],12),IF(Main[[#This Row],[Class]]="A",WORKDAY(Main[[#This Row],[Tech Start Date]],4),""))))</f>
        <v/>
      </c>
      <c r="O913" s="75" t="str">
        <f>IF(Main[[#This Row],[Tech Start Date]]&lt;1/1/1990,"",IF(Main[[#This Row],[Class]]="C",WORKDAY(Main[[#This Row],[Tech Start Date]],23),IF(Main[[#This Row],[Class]]="B", WORKDAY(Main[[#This Row],[Tech Start Date]],15),IF(Main[[#This Row],[Class]]="A",WORKDAY(Main[[#This Row],[Tech Start Date]],5),""))))</f>
        <v/>
      </c>
      <c r="P913" s="75" t="str">
        <f>IF(Main[[#This Row],[Tech Start Date]]&lt;1/1/1990,"",IF(Main[[#This Row],[Class]]="C",WORKDAY(Main[[#This Row],[Tech Start Date]],28),IF(Main[[#This Row],[Class]]="B", WORKDAY(Main[[#This Row],[Tech Start Date]],19),IF(Main[[#This Row],[Class]]="A",WORKDAY(Main[[#This Row],[Tech Start Date]],9),""))))</f>
        <v/>
      </c>
      <c r="Q913" s="89"/>
      <c r="R913" s="121"/>
      <c r="S913" s="99" t="s">
        <v>6</v>
      </c>
      <c r="T913" s="76" t="s">
        <v>4</v>
      </c>
      <c r="U913" s="99" t="s">
        <v>7</v>
      </c>
      <c r="V913" s="99" t="s">
        <v>1914</v>
      </c>
      <c r="W913" s="99" t="s">
        <v>1915</v>
      </c>
      <c r="X913" s="99" t="s">
        <v>306</v>
      </c>
      <c r="Y913" s="73" t="s">
        <v>4</v>
      </c>
      <c r="Z913" s="73" t="s">
        <v>4</v>
      </c>
      <c r="AA913" s="99" t="s">
        <v>4</v>
      </c>
    </row>
    <row r="914" spans="1:27" ht="17.25" customHeight="1">
      <c r="A914" s="65" t="str">
        <f>IF(priority(Main[[#This Row],[Comments]])&lt;&gt;0, priority(Main[[#This Row],[Comments]]),"")</f>
        <v/>
      </c>
      <c r="B914" s="60" t="s">
        <v>1730</v>
      </c>
      <c r="C914" s="105" t="s">
        <v>4</v>
      </c>
      <c r="D914" s="74" t="s">
        <v>786</v>
      </c>
      <c r="E914" s="89">
        <v>40371.351643518516</v>
      </c>
      <c r="F914" s="89"/>
      <c r="G914" s="65" t="str">
        <f>IF(stdProdLT(Main[[#This Row],[Comments]])=0.1,"N/A",IF(stdProdLT(Main[[#This Row],[Comments]])=0,"",TRIM(stdProdLT(Main[[#This Row],[Comments]]))))</f>
        <v/>
      </c>
      <c r="H914" s="98" t="str">
        <f>IF(Main[[#This Row],[Std. Prod. Lead Time]]="N/A", "",IF(AND(Main[[#This Row],[In Stock Date]]&lt;&gt;"",Main[[#This Row],[Revised Due Date]]&lt;&gt;"",Main[[#This Row],[In Stock Date]]&lt;&gt;""),Main[[#This Row],[In Stock Date]]-Main[[#This Row],[Revised Due Date]],""))</f>
        <v/>
      </c>
      <c r="I914" s="110" t="s">
        <v>4</v>
      </c>
      <c r="J914" s="99" t="s">
        <v>4</v>
      </c>
      <c r="K914" s="99" t="s">
        <v>4</v>
      </c>
      <c r="L914" s="89"/>
      <c r="M914" s="75" t="str">
        <f>IF(Main[[#This Row],[Tech Start Date]]&lt;1/1/1990,"",IF(Main[[#This Row],[Class]]="C",WORKDAY(Main[[#This Row],[Tech Start Date]],9),IF(Main[[#This Row],[Class]]="B", WORKDAY(Main[[#This Row],[Tech Start Date]],6),IF(Main[[#This Row],[Class]]="A",WORKDAY(Main[[#This Row],[Tech Start Date]],2),""))))</f>
        <v/>
      </c>
      <c r="N914" s="75" t="str">
        <f>IF(Main[[#This Row],[Tech Start Date]]&lt;1/1/1990,"",IF(Main[[#This Row],[Class]]="C",WORKDAY(Main[[#This Row],[Tech Start Date]],19),IF(Main[[#This Row],[Class]]="B", WORKDAY(Main[[#This Row],[Tech Start Date]],12),IF(Main[[#This Row],[Class]]="A",WORKDAY(Main[[#This Row],[Tech Start Date]],4),""))))</f>
        <v/>
      </c>
      <c r="O914" s="75" t="str">
        <f>IF(Main[[#This Row],[Tech Start Date]]&lt;1/1/1990,"",IF(Main[[#This Row],[Class]]="C",WORKDAY(Main[[#This Row],[Tech Start Date]],23),IF(Main[[#This Row],[Class]]="B", WORKDAY(Main[[#This Row],[Tech Start Date]],15),IF(Main[[#This Row],[Class]]="A",WORKDAY(Main[[#This Row],[Tech Start Date]],5),""))))</f>
        <v/>
      </c>
      <c r="P914" s="75" t="str">
        <f>IF(Main[[#This Row],[Tech Start Date]]&lt;1/1/1990,"",IF(Main[[#This Row],[Class]]="C",WORKDAY(Main[[#This Row],[Tech Start Date]],28),IF(Main[[#This Row],[Class]]="B", WORKDAY(Main[[#This Row],[Tech Start Date]],19),IF(Main[[#This Row],[Class]]="A",WORKDAY(Main[[#This Row],[Tech Start Date]],9),""))))</f>
        <v/>
      </c>
      <c r="Q914" s="89">
        <v>40385</v>
      </c>
      <c r="R914" s="121"/>
      <c r="S914" s="99" t="s">
        <v>6</v>
      </c>
      <c r="T914" s="76" t="s">
        <v>4</v>
      </c>
      <c r="U914" s="99" t="s">
        <v>7</v>
      </c>
      <c r="V914" s="99" t="s">
        <v>1913</v>
      </c>
      <c r="W914" s="99" t="s">
        <v>1915</v>
      </c>
      <c r="X914" s="99" t="s">
        <v>102</v>
      </c>
      <c r="Y914" s="73" t="s">
        <v>3026</v>
      </c>
      <c r="Z914" s="73" t="s">
        <v>4</v>
      </c>
      <c r="AA914" s="99" t="s">
        <v>3389</v>
      </c>
    </row>
    <row r="915" spans="1:27" ht="17.25" customHeight="1">
      <c r="A915" s="65" t="str">
        <f>IF(priority(Main[[#This Row],[Comments]])&lt;&gt;0, priority(Main[[#This Row],[Comments]]),"")</f>
        <v/>
      </c>
      <c r="B915" s="60" t="s">
        <v>1755</v>
      </c>
      <c r="C915" s="105" t="s">
        <v>4</v>
      </c>
      <c r="D915" s="74" t="s">
        <v>794</v>
      </c>
      <c r="E915" s="89"/>
      <c r="F915" s="89"/>
      <c r="G915" s="65" t="str">
        <f>IF(stdProdLT(Main[[#This Row],[Comments]])=0.1,"N/A",IF(stdProdLT(Main[[#This Row],[Comments]])=0,"",TRIM(stdProdLT(Main[[#This Row],[Comments]]))))</f>
        <v/>
      </c>
      <c r="H915" s="98" t="str">
        <f>IF(Main[[#This Row],[Std. Prod. Lead Time]]="N/A", "",IF(AND(Main[[#This Row],[In Stock Date]]&lt;&gt;"",Main[[#This Row],[Revised Due Date]]&lt;&gt;"",Main[[#This Row],[In Stock Date]]&lt;&gt;""),Main[[#This Row],[In Stock Date]]-Main[[#This Row],[Revised Due Date]],""))</f>
        <v/>
      </c>
      <c r="I915" s="110" t="s">
        <v>4</v>
      </c>
      <c r="J915" s="99" t="s">
        <v>4</v>
      </c>
      <c r="K915" s="99" t="s">
        <v>4</v>
      </c>
      <c r="L915" s="89"/>
      <c r="M915" s="75" t="str">
        <f>IF(Main[[#This Row],[Tech Start Date]]&lt;1/1/1990,"",IF(Main[[#This Row],[Class]]="C",WORKDAY(Main[[#This Row],[Tech Start Date]],9),IF(Main[[#This Row],[Class]]="B", WORKDAY(Main[[#This Row],[Tech Start Date]],6),IF(Main[[#This Row],[Class]]="A",WORKDAY(Main[[#This Row],[Tech Start Date]],2),""))))</f>
        <v/>
      </c>
      <c r="N915" s="75" t="str">
        <f>IF(Main[[#This Row],[Tech Start Date]]&lt;1/1/1990,"",IF(Main[[#This Row],[Class]]="C",WORKDAY(Main[[#This Row],[Tech Start Date]],19),IF(Main[[#This Row],[Class]]="B", WORKDAY(Main[[#This Row],[Tech Start Date]],12),IF(Main[[#This Row],[Class]]="A",WORKDAY(Main[[#This Row],[Tech Start Date]],4),""))))</f>
        <v/>
      </c>
      <c r="O915" s="75" t="str">
        <f>IF(Main[[#This Row],[Tech Start Date]]&lt;1/1/1990,"",IF(Main[[#This Row],[Class]]="C",WORKDAY(Main[[#This Row],[Tech Start Date]],23),IF(Main[[#This Row],[Class]]="B", WORKDAY(Main[[#This Row],[Tech Start Date]],15),IF(Main[[#This Row],[Class]]="A",WORKDAY(Main[[#This Row],[Tech Start Date]],5),""))))</f>
        <v/>
      </c>
      <c r="P915" s="75" t="str">
        <f>IF(Main[[#This Row],[Tech Start Date]]&lt;1/1/1990,"",IF(Main[[#This Row],[Class]]="C",WORKDAY(Main[[#This Row],[Tech Start Date]],28),IF(Main[[#This Row],[Class]]="B", WORKDAY(Main[[#This Row],[Tech Start Date]],19),IF(Main[[#This Row],[Class]]="A",WORKDAY(Main[[#This Row],[Tech Start Date]],9),""))))</f>
        <v/>
      </c>
      <c r="Q915" s="89"/>
      <c r="R915" s="121"/>
      <c r="S915" s="99" t="s">
        <v>23</v>
      </c>
      <c r="T915" s="76" t="s">
        <v>4</v>
      </c>
      <c r="U915" s="99" t="s">
        <v>14</v>
      </c>
      <c r="V915" s="99" t="s">
        <v>1916</v>
      </c>
      <c r="W915" s="99" t="s">
        <v>1917</v>
      </c>
      <c r="X915" s="99" t="s">
        <v>306</v>
      </c>
      <c r="Y915" s="73" t="s">
        <v>4</v>
      </c>
      <c r="Z915" s="73" t="s">
        <v>4</v>
      </c>
      <c r="AA915" s="99" t="s">
        <v>4</v>
      </c>
    </row>
    <row r="916" spans="1:27" ht="17.25" customHeight="1">
      <c r="A916" s="65" t="str">
        <f>IF(priority(Main[[#This Row],[Comments]])&lt;&gt;0, priority(Main[[#This Row],[Comments]]),"")</f>
        <v/>
      </c>
      <c r="B916" s="60" t="s">
        <v>1756</v>
      </c>
      <c r="C916" s="105" t="s">
        <v>122</v>
      </c>
      <c r="D916" s="74" t="s">
        <v>795</v>
      </c>
      <c r="E916" s="89"/>
      <c r="F916" s="89"/>
      <c r="G916" s="65" t="str">
        <f>IF(stdProdLT(Main[[#This Row],[Comments]])=0.1,"N/A",IF(stdProdLT(Main[[#This Row],[Comments]])=0,"",TRIM(stdProdLT(Main[[#This Row],[Comments]]))))</f>
        <v/>
      </c>
      <c r="H916" s="98" t="str">
        <f>IF(Main[[#This Row],[Std. Prod. Lead Time]]="N/A", "",IF(AND(Main[[#This Row],[In Stock Date]]&lt;&gt;"",Main[[#This Row],[Revised Due Date]]&lt;&gt;"",Main[[#This Row],[In Stock Date]]&lt;&gt;""),Main[[#This Row],[In Stock Date]]-Main[[#This Row],[Revised Due Date]],""))</f>
        <v/>
      </c>
      <c r="I916" s="110" t="s">
        <v>4</v>
      </c>
      <c r="J916" s="99" t="s">
        <v>4</v>
      </c>
      <c r="K916" s="99" t="s">
        <v>4</v>
      </c>
      <c r="L916" s="89"/>
      <c r="M916" s="75" t="str">
        <f>IF(Main[[#This Row],[Tech Start Date]]&lt;1/1/1990,"",IF(Main[[#This Row],[Class]]="C",WORKDAY(Main[[#This Row],[Tech Start Date]],9),IF(Main[[#This Row],[Class]]="B", WORKDAY(Main[[#This Row],[Tech Start Date]],6),IF(Main[[#This Row],[Class]]="A",WORKDAY(Main[[#This Row],[Tech Start Date]],2),""))))</f>
        <v/>
      </c>
      <c r="N916" s="75" t="str">
        <f>IF(Main[[#This Row],[Tech Start Date]]&lt;1/1/1990,"",IF(Main[[#This Row],[Class]]="C",WORKDAY(Main[[#This Row],[Tech Start Date]],19),IF(Main[[#This Row],[Class]]="B", WORKDAY(Main[[#This Row],[Tech Start Date]],12),IF(Main[[#This Row],[Class]]="A",WORKDAY(Main[[#This Row],[Tech Start Date]],4),""))))</f>
        <v/>
      </c>
      <c r="O916" s="75" t="str">
        <f>IF(Main[[#This Row],[Tech Start Date]]&lt;1/1/1990,"",IF(Main[[#This Row],[Class]]="C",WORKDAY(Main[[#This Row],[Tech Start Date]],23),IF(Main[[#This Row],[Class]]="B", WORKDAY(Main[[#This Row],[Tech Start Date]],15),IF(Main[[#This Row],[Class]]="A",WORKDAY(Main[[#This Row],[Tech Start Date]],5),""))))</f>
        <v/>
      </c>
      <c r="P916" s="75" t="str">
        <f>IF(Main[[#This Row],[Tech Start Date]]&lt;1/1/1990,"",IF(Main[[#This Row],[Class]]="C",WORKDAY(Main[[#This Row],[Tech Start Date]],28),IF(Main[[#This Row],[Class]]="B", WORKDAY(Main[[#This Row],[Tech Start Date]],19),IF(Main[[#This Row],[Class]]="A",WORKDAY(Main[[#This Row],[Tech Start Date]],9),""))))</f>
        <v/>
      </c>
      <c r="Q916" s="89">
        <v>40245</v>
      </c>
      <c r="R916" s="121"/>
      <c r="S916" s="99" t="s">
        <v>11</v>
      </c>
      <c r="T916" s="76" t="s">
        <v>4</v>
      </c>
      <c r="U916" s="99" t="s">
        <v>14</v>
      </c>
      <c r="V916" s="99" t="s">
        <v>1916</v>
      </c>
      <c r="W916" s="99" t="s">
        <v>1915</v>
      </c>
      <c r="X916" s="99" t="s">
        <v>2866</v>
      </c>
      <c r="Y916" s="73" t="s">
        <v>4</v>
      </c>
      <c r="Z916" s="73" t="s">
        <v>4</v>
      </c>
      <c r="AA916" s="99" t="s">
        <v>2866</v>
      </c>
    </row>
    <row r="917" spans="1:27" ht="17.25" customHeight="1">
      <c r="A917" s="65" t="str">
        <f>IF(priority(Main[[#This Row],[Comments]])&lt;&gt;0, priority(Main[[#This Row],[Comments]]),"")</f>
        <v/>
      </c>
      <c r="B917" s="60" t="s">
        <v>1732</v>
      </c>
      <c r="C917" s="105" t="s">
        <v>4</v>
      </c>
      <c r="D917" s="74" t="s">
        <v>787</v>
      </c>
      <c r="E917" s="89"/>
      <c r="F917" s="89"/>
      <c r="G917" s="65" t="str">
        <f>IF(stdProdLT(Main[[#This Row],[Comments]])=0.1,"N/A",IF(stdProdLT(Main[[#This Row],[Comments]])=0,"",TRIM(stdProdLT(Main[[#This Row],[Comments]]))))</f>
        <v/>
      </c>
      <c r="H917" s="98" t="str">
        <f>IF(Main[[#This Row],[Std. Prod. Lead Time]]="N/A", "",IF(AND(Main[[#This Row],[In Stock Date]]&lt;&gt;"",Main[[#This Row],[Revised Due Date]]&lt;&gt;"",Main[[#This Row],[In Stock Date]]&lt;&gt;""),Main[[#This Row],[In Stock Date]]-Main[[#This Row],[Revised Due Date]],""))</f>
        <v/>
      </c>
      <c r="I917" s="110" t="s">
        <v>4</v>
      </c>
      <c r="J917" s="99" t="s">
        <v>28</v>
      </c>
      <c r="K917" s="100" t="s">
        <v>4</v>
      </c>
      <c r="L917" s="89"/>
      <c r="M917" s="75" t="str">
        <f>IF(Main[[#This Row],[Tech Start Date]]&lt;1/1/1990,"",IF(Main[[#This Row],[Class]]="C",WORKDAY(Main[[#This Row],[Tech Start Date]],9),IF(Main[[#This Row],[Class]]="B", WORKDAY(Main[[#This Row],[Tech Start Date]],6),IF(Main[[#This Row],[Class]]="A",WORKDAY(Main[[#This Row],[Tech Start Date]],2),""))))</f>
        <v/>
      </c>
      <c r="N917" s="75" t="str">
        <f>IF(Main[[#This Row],[Tech Start Date]]&lt;1/1/1990,"",IF(Main[[#This Row],[Class]]="C",WORKDAY(Main[[#This Row],[Tech Start Date]],19),IF(Main[[#This Row],[Class]]="B", WORKDAY(Main[[#This Row],[Tech Start Date]],12),IF(Main[[#This Row],[Class]]="A",WORKDAY(Main[[#This Row],[Tech Start Date]],4),""))))</f>
        <v/>
      </c>
      <c r="O917" s="75" t="str">
        <f>IF(Main[[#This Row],[Tech Start Date]]&lt;1/1/1990,"",IF(Main[[#This Row],[Class]]="C",WORKDAY(Main[[#This Row],[Tech Start Date]],23),IF(Main[[#This Row],[Class]]="B", WORKDAY(Main[[#This Row],[Tech Start Date]],15),IF(Main[[#This Row],[Class]]="A",WORKDAY(Main[[#This Row],[Tech Start Date]],5),""))))</f>
        <v/>
      </c>
      <c r="P917" s="75" t="str">
        <f>IF(Main[[#This Row],[Tech Start Date]]&lt;1/1/1990,"",IF(Main[[#This Row],[Class]]="C",WORKDAY(Main[[#This Row],[Tech Start Date]],28),IF(Main[[#This Row],[Class]]="B", WORKDAY(Main[[#This Row],[Tech Start Date]],19),IF(Main[[#This Row],[Class]]="A",WORKDAY(Main[[#This Row],[Tech Start Date]],9),""))))</f>
        <v/>
      </c>
      <c r="Q917" s="89">
        <v>40466</v>
      </c>
      <c r="R917" s="121"/>
      <c r="S917" s="99" t="s">
        <v>6</v>
      </c>
      <c r="T917" s="76" t="s">
        <v>4</v>
      </c>
      <c r="U917" s="99" t="s">
        <v>14</v>
      </c>
      <c r="V917" s="99" t="s">
        <v>1913</v>
      </c>
      <c r="W917" s="99" t="s">
        <v>1917</v>
      </c>
      <c r="X917" s="99" t="s">
        <v>907</v>
      </c>
      <c r="Y917" s="73" t="s">
        <v>3011</v>
      </c>
      <c r="Z917" s="73" t="s">
        <v>129</v>
      </c>
      <c r="AA917" s="99" t="s">
        <v>907</v>
      </c>
    </row>
    <row r="918" spans="1:27" ht="17.25" customHeight="1">
      <c r="A918" s="65" t="str">
        <f>IF(priority(Main[[#This Row],[Comments]])&lt;&gt;0, priority(Main[[#This Row],[Comments]]),"")</f>
        <v/>
      </c>
      <c r="B918" s="60" t="s">
        <v>3326</v>
      </c>
      <c r="C918" s="105" t="s">
        <v>4</v>
      </c>
      <c r="D918" s="74" t="s">
        <v>3604</v>
      </c>
      <c r="E918" s="89">
        <v>40938.727824074071</v>
      </c>
      <c r="F918" s="89"/>
      <c r="G918" s="65" t="str">
        <f>IF(stdProdLT(Main[[#This Row],[Comments]])=0.1,"N/A",IF(stdProdLT(Main[[#This Row],[Comments]])=0,"",TRIM(stdProdLT(Main[[#This Row],[Comments]]))))</f>
        <v/>
      </c>
      <c r="H918" s="98" t="str">
        <f>IF(Main[[#This Row],[Std. Prod. Lead Time]]="N/A", "",IF(AND(Main[[#This Row],[In Stock Date]]&lt;&gt;"",Main[[#This Row],[Revised Due Date]]&lt;&gt;"",Main[[#This Row],[In Stock Date]]&lt;&gt;""),Main[[#This Row],[In Stock Date]]-Main[[#This Row],[Revised Due Date]],""))</f>
        <v/>
      </c>
      <c r="I918" s="110" t="s">
        <v>81</v>
      </c>
      <c r="J918" s="99" t="s">
        <v>52</v>
      </c>
      <c r="K918" s="99" t="s">
        <v>1922</v>
      </c>
      <c r="L918" s="89"/>
      <c r="M918" s="75" t="str">
        <f>IF(Main[[#This Row],[Tech Start Date]]&lt;1/1/1990,"",IF(Main[[#This Row],[Class]]="C",WORKDAY(Main[[#This Row],[Tech Start Date]],9),IF(Main[[#This Row],[Class]]="B", WORKDAY(Main[[#This Row],[Tech Start Date]],6),IF(Main[[#This Row],[Class]]="A",WORKDAY(Main[[#This Row],[Tech Start Date]],2),""))))</f>
        <v/>
      </c>
      <c r="N918" s="75" t="str">
        <f>IF(Main[[#This Row],[Tech Start Date]]&lt;1/1/1990,"",IF(Main[[#This Row],[Class]]="C",WORKDAY(Main[[#This Row],[Tech Start Date]],19),IF(Main[[#This Row],[Class]]="B", WORKDAY(Main[[#This Row],[Tech Start Date]],12),IF(Main[[#This Row],[Class]]="A",WORKDAY(Main[[#This Row],[Tech Start Date]],4),""))))</f>
        <v/>
      </c>
      <c r="O918" s="75" t="str">
        <f>IF(Main[[#This Row],[Tech Start Date]]&lt;1/1/1990,"",IF(Main[[#This Row],[Class]]="C",WORKDAY(Main[[#This Row],[Tech Start Date]],23),IF(Main[[#This Row],[Class]]="B", WORKDAY(Main[[#This Row],[Tech Start Date]],15),IF(Main[[#This Row],[Class]]="A",WORKDAY(Main[[#This Row],[Tech Start Date]],5),""))))</f>
        <v/>
      </c>
      <c r="P918" s="75" t="str">
        <f>IF(Main[[#This Row],[Tech Start Date]]&lt;1/1/1990,"",IF(Main[[#This Row],[Class]]="C",WORKDAY(Main[[#This Row],[Tech Start Date]],28),IF(Main[[#This Row],[Class]]="B", WORKDAY(Main[[#This Row],[Tech Start Date]],19),IF(Main[[#This Row],[Class]]="A",WORKDAY(Main[[#This Row],[Tech Start Date]],9),""))))</f>
        <v/>
      </c>
      <c r="Q918" s="89">
        <v>40970</v>
      </c>
      <c r="R918" s="121"/>
      <c r="S918" s="99" t="s">
        <v>6</v>
      </c>
      <c r="T918" s="76" t="s">
        <v>4</v>
      </c>
      <c r="U918" s="99" t="s">
        <v>29</v>
      </c>
      <c r="V918" s="99" t="s">
        <v>1916</v>
      </c>
      <c r="W918" s="99" t="s">
        <v>1917</v>
      </c>
      <c r="X918" s="99" t="s">
        <v>2813</v>
      </c>
      <c r="Y918" s="73" t="s">
        <v>2926</v>
      </c>
      <c r="Z918" s="73" t="s">
        <v>30</v>
      </c>
      <c r="AA918" s="99" t="s">
        <v>2813</v>
      </c>
    </row>
    <row r="919" spans="1:27" ht="17.25" customHeight="1">
      <c r="A919" s="65" t="str">
        <f>IF(priority(Main[[#This Row],[Comments]])&lt;&gt;0, priority(Main[[#This Row],[Comments]]),"")</f>
        <v/>
      </c>
      <c r="B919" s="60" t="s">
        <v>1735</v>
      </c>
      <c r="C919" s="105" t="s">
        <v>4</v>
      </c>
      <c r="D919" s="74" t="s">
        <v>430</v>
      </c>
      <c r="E919" s="89"/>
      <c r="F919" s="89"/>
      <c r="G919" s="65" t="str">
        <f>IF(stdProdLT(Main[[#This Row],[Comments]])=0.1,"N/A",IF(stdProdLT(Main[[#This Row],[Comments]])=0,"",TRIM(stdProdLT(Main[[#This Row],[Comments]]))))</f>
        <v/>
      </c>
      <c r="H919" s="98" t="str">
        <f>IF(Main[[#This Row],[Std. Prod. Lead Time]]="N/A", "",IF(AND(Main[[#This Row],[In Stock Date]]&lt;&gt;"",Main[[#This Row],[Revised Due Date]]&lt;&gt;"",Main[[#This Row],[In Stock Date]]&lt;&gt;""),Main[[#This Row],[In Stock Date]]-Main[[#This Row],[Revised Due Date]],""))</f>
        <v/>
      </c>
      <c r="I919" s="110" t="s">
        <v>4</v>
      </c>
      <c r="J919" s="99" t="s">
        <v>4</v>
      </c>
      <c r="K919" s="99" t="s">
        <v>4</v>
      </c>
      <c r="L919" s="89"/>
      <c r="M919" s="75" t="str">
        <f>IF(Main[[#This Row],[Tech Start Date]]&lt;1/1/1990,"",IF(Main[[#This Row],[Class]]="C",WORKDAY(Main[[#This Row],[Tech Start Date]],9),IF(Main[[#This Row],[Class]]="B", WORKDAY(Main[[#This Row],[Tech Start Date]],6),IF(Main[[#This Row],[Class]]="A",WORKDAY(Main[[#This Row],[Tech Start Date]],2),""))))</f>
        <v/>
      </c>
      <c r="N919" s="75" t="str">
        <f>IF(Main[[#This Row],[Tech Start Date]]&lt;1/1/1990,"",IF(Main[[#This Row],[Class]]="C",WORKDAY(Main[[#This Row],[Tech Start Date]],19),IF(Main[[#This Row],[Class]]="B", WORKDAY(Main[[#This Row],[Tech Start Date]],12),IF(Main[[#This Row],[Class]]="A",WORKDAY(Main[[#This Row],[Tech Start Date]],4),""))))</f>
        <v/>
      </c>
      <c r="O919" s="75" t="str">
        <f>IF(Main[[#This Row],[Tech Start Date]]&lt;1/1/1990,"",IF(Main[[#This Row],[Class]]="C",WORKDAY(Main[[#This Row],[Tech Start Date]],23),IF(Main[[#This Row],[Class]]="B", WORKDAY(Main[[#This Row],[Tech Start Date]],15),IF(Main[[#This Row],[Class]]="A",WORKDAY(Main[[#This Row],[Tech Start Date]],5),""))))</f>
        <v/>
      </c>
      <c r="P919" s="75" t="str">
        <f>IF(Main[[#This Row],[Tech Start Date]]&lt;1/1/1990,"",IF(Main[[#This Row],[Class]]="C",WORKDAY(Main[[#This Row],[Tech Start Date]],28),IF(Main[[#This Row],[Class]]="B", WORKDAY(Main[[#This Row],[Tech Start Date]],19),IF(Main[[#This Row],[Class]]="A",WORKDAY(Main[[#This Row],[Tech Start Date]],9),""))))</f>
        <v/>
      </c>
      <c r="Q919" s="89"/>
      <c r="R919" s="121"/>
      <c r="S919" s="99" t="s">
        <v>6</v>
      </c>
      <c r="T919" s="76" t="s">
        <v>4</v>
      </c>
      <c r="U919" s="99" t="s">
        <v>14</v>
      </c>
      <c r="V919" s="99" t="s">
        <v>1916</v>
      </c>
      <c r="W919" s="99" t="s">
        <v>1917</v>
      </c>
      <c r="X919" s="99" t="s">
        <v>30</v>
      </c>
      <c r="Y919" s="73" t="s">
        <v>2951</v>
      </c>
      <c r="Z919" s="73" t="s">
        <v>4</v>
      </c>
      <c r="AA919" s="99" t="s">
        <v>30</v>
      </c>
    </row>
    <row r="920" spans="1:27" ht="17.25" customHeight="1">
      <c r="A920" s="65" t="str">
        <f>IF(priority(Main[[#This Row],[Comments]])&lt;&gt;0, priority(Main[[#This Row],[Comments]]),"")</f>
        <v/>
      </c>
      <c r="B920" s="60" t="s">
        <v>1736</v>
      </c>
      <c r="C920" s="105" t="s">
        <v>436</v>
      </c>
      <c r="D920" s="74" t="s">
        <v>789</v>
      </c>
      <c r="E920" s="89"/>
      <c r="F920" s="89"/>
      <c r="G920" s="65" t="str">
        <f>IF(stdProdLT(Main[[#This Row],[Comments]])=0.1,"N/A",IF(stdProdLT(Main[[#This Row],[Comments]])=0,"",TRIM(stdProdLT(Main[[#This Row],[Comments]]))))</f>
        <v/>
      </c>
      <c r="H920" s="98" t="str">
        <f>IF(Main[[#This Row],[Std. Prod. Lead Time]]="N/A", "",IF(AND(Main[[#This Row],[In Stock Date]]&lt;&gt;"",Main[[#This Row],[Revised Due Date]]&lt;&gt;"",Main[[#This Row],[In Stock Date]]&lt;&gt;""),Main[[#This Row],[In Stock Date]]-Main[[#This Row],[Revised Due Date]],""))</f>
        <v/>
      </c>
      <c r="I920" s="110" t="s">
        <v>4</v>
      </c>
      <c r="J920" s="99" t="s">
        <v>4</v>
      </c>
      <c r="K920" s="99" t="s">
        <v>4</v>
      </c>
      <c r="L920" s="89"/>
      <c r="M920" s="75" t="str">
        <f>IF(Main[[#This Row],[Tech Start Date]]&lt;1/1/1990,"",IF(Main[[#This Row],[Class]]="C",WORKDAY(Main[[#This Row],[Tech Start Date]],9),IF(Main[[#This Row],[Class]]="B", WORKDAY(Main[[#This Row],[Tech Start Date]],6),IF(Main[[#This Row],[Class]]="A",WORKDAY(Main[[#This Row],[Tech Start Date]],2),""))))</f>
        <v/>
      </c>
      <c r="N920" s="75" t="str">
        <f>IF(Main[[#This Row],[Tech Start Date]]&lt;1/1/1990,"",IF(Main[[#This Row],[Class]]="C",WORKDAY(Main[[#This Row],[Tech Start Date]],19),IF(Main[[#This Row],[Class]]="B", WORKDAY(Main[[#This Row],[Tech Start Date]],12),IF(Main[[#This Row],[Class]]="A",WORKDAY(Main[[#This Row],[Tech Start Date]],4),""))))</f>
        <v/>
      </c>
      <c r="O920" s="75" t="str">
        <f>IF(Main[[#This Row],[Tech Start Date]]&lt;1/1/1990,"",IF(Main[[#This Row],[Class]]="C",WORKDAY(Main[[#This Row],[Tech Start Date]],23),IF(Main[[#This Row],[Class]]="B", WORKDAY(Main[[#This Row],[Tech Start Date]],15),IF(Main[[#This Row],[Class]]="A",WORKDAY(Main[[#This Row],[Tech Start Date]],5),""))))</f>
        <v/>
      </c>
      <c r="P920" s="75" t="str">
        <f>IF(Main[[#This Row],[Tech Start Date]]&lt;1/1/1990,"",IF(Main[[#This Row],[Class]]="C",WORKDAY(Main[[#This Row],[Tech Start Date]],28),IF(Main[[#This Row],[Class]]="B", WORKDAY(Main[[#This Row],[Tech Start Date]],19),IF(Main[[#This Row],[Class]]="A",WORKDAY(Main[[#This Row],[Tech Start Date]],9),""))))</f>
        <v/>
      </c>
      <c r="Q920" s="89"/>
      <c r="R920" s="121"/>
      <c r="S920" s="99" t="s">
        <v>11</v>
      </c>
      <c r="T920" s="76" t="s">
        <v>4</v>
      </c>
      <c r="U920" s="99" t="s">
        <v>14</v>
      </c>
      <c r="V920" s="99" t="s">
        <v>1913</v>
      </c>
      <c r="W920" s="99" t="s">
        <v>1921</v>
      </c>
      <c r="X920" s="99" t="s">
        <v>2847</v>
      </c>
      <c r="Y920" s="73" t="s">
        <v>2985</v>
      </c>
      <c r="Z920" s="73" t="s">
        <v>4</v>
      </c>
      <c r="AA920" s="99" t="s">
        <v>2847</v>
      </c>
    </row>
    <row r="921" spans="1:27" ht="17.25" customHeight="1">
      <c r="A921" s="65" t="str">
        <f>IF(priority(Main[[#This Row],[Comments]])&lt;&gt;0, priority(Main[[#This Row],[Comments]]),"")</f>
        <v/>
      </c>
      <c r="B921" s="60" t="s">
        <v>1737</v>
      </c>
      <c r="C921" s="105" t="s">
        <v>4</v>
      </c>
      <c r="D921" s="74" t="s">
        <v>790</v>
      </c>
      <c r="E921" s="89">
        <v>40479.428263888891</v>
      </c>
      <c r="F921" s="89"/>
      <c r="G921" s="65" t="str">
        <f>IF(stdProdLT(Main[[#This Row],[Comments]])=0.1,"N/A",IF(stdProdLT(Main[[#This Row],[Comments]])=0,"",TRIM(stdProdLT(Main[[#This Row],[Comments]]))))</f>
        <v/>
      </c>
      <c r="H921" s="98" t="str">
        <f>IF(Main[[#This Row],[Std. Prod. Lead Time]]="N/A", "",IF(AND(Main[[#This Row],[In Stock Date]]&lt;&gt;"",Main[[#This Row],[Revised Due Date]]&lt;&gt;"",Main[[#This Row],[In Stock Date]]&lt;&gt;""),Main[[#This Row],[In Stock Date]]-Main[[#This Row],[Revised Due Date]],""))</f>
        <v/>
      </c>
      <c r="I921" s="110" t="s">
        <v>30</v>
      </c>
      <c r="J921" s="99" t="s">
        <v>28</v>
      </c>
      <c r="K921" s="99" t="s">
        <v>1922</v>
      </c>
      <c r="L921" s="89"/>
      <c r="M921" s="75" t="str">
        <f>IF(Main[[#This Row],[Tech Start Date]]&lt;1/1/1990,"",IF(Main[[#This Row],[Class]]="C",WORKDAY(Main[[#This Row],[Tech Start Date]],9),IF(Main[[#This Row],[Class]]="B", WORKDAY(Main[[#This Row],[Tech Start Date]],6),IF(Main[[#This Row],[Class]]="A",WORKDAY(Main[[#This Row],[Tech Start Date]],2),""))))</f>
        <v/>
      </c>
      <c r="N921" s="75" t="str">
        <f>IF(Main[[#This Row],[Tech Start Date]]&lt;1/1/1990,"",IF(Main[[#This Row],[Class]]="C",WORKDAY(Main[[#This Row],[Tech Start Date]],19),IF(Main[[#This Row],[Class]]="B", WORKDAY(Main[[#This Row],[Tech Start Date]],12),IF(Main[[#This Row],[Class]]="A",WORKDAY(Main[[#This Row],[Tech Start Date]],4),""))))</f>
        <v/>
      </c>
      <c r="O921" s="75" t="str">
        <f>IF(Main[[#This Row],[Tech Start Date]]&lt;1/1/1990,"",IF(Main[[#This Row],[Class]]="C",WORKDAY(Main[[#This Row],[Tech Start Date]],23),IF(Main[[#This Row],[Class]]="B", WORKDAY(Main[[#This Row],[Tech Start Date]],15),IF(Main[[#This Row],[Class]]="A",WORKDAY(Main[[#This Row],[Tech Start Date]],5),""))))</f>
        <v/>
      </c>
      <c r="P921" s="75" t="str">
        <f>IF(Main[[#This Row],[Tech Start Date]]&lt;1/1/1990,"",IF(Main[[#This Row],[Class]]="C",WORKDAY(Main[[#This Row],[Tech Start Date]],28),IF(Main[[#This Row],[Class]]="B", WORKDAY(Main[[#This Row],[Tech Start Date]],19),IF(Main[[#This Row],[Class]]="A",WORKDAY(Main[[#This Row],[Tech Start Date]],9),""))))</f>
        <v/>
      </c>
      <c r="Q921" s="89">
        <v>40512</v>
      </c>
      <c r="R921" s="121"/>
      <c r="S921" s="99" t="s">
        <v>6</v>
      </c>
      <c r="T921" s="76" t="s">
        <v>4</v>
      </c>
      <c r="U921" s="99" t="s">
        <v>534</v>
      </c>
      <c r="V921" s="99" t="s">
        <v>1916</v>
      </c>
      <c r="W921" s="99" t="s">
        <v>1917</v>
      </c>
      <c r="X921" s="99" t="s">
        <v>2885</v>
      </c>
      <c r="Y921" s="73" t="s">
        <v>3096</v>
      </c>
      <c r="Z921" s="73" t="s">
        <v>30</v>
      </c>
      <c r="AA921" s="99" t="s">
        <v>2885</v>
      </c>
    </row>
    <row r="922" spans="1:27" ht="17.25" customHeight="1">
      <c r="A922" s="65" t="str">
        <f>IF(priority(Main[[#This Row],[Comments]])&lt;&gt;0, priority(Main[[#This Row],[Comments]]),"")</f>
        <v/>
      </c>
      <c r="B922" s="60" t="s">
        <v>1738</v>
      </c>
      <c r="C922" s="105" t="s">
        <v>4</v>
      </c>
      <c r="D922" s="74" t="s">
        <v>39</v>
      </c>
      <c r="E922" s="89"/>
      <c r="F922" s="89"/>
      <c r="G922" s="65" t="str">
        <f>IF(stdProdLT(Main[[#This Row],[Comments]])=0.1,"N/A",IF(stdProdLT(Main[[#This Row],[Comments]])=0,"",TRIM(stdProdLT(Main[[#This Row],[Comments]]))))</f>
        <v/>
      </c>
      <c r="H922" s="98" t="str">
        <f>IF(Main[[#This Row],[Std. Prod. Lead Time]]="N/A", "",IF(AND(Main[[#This Row],[In Stock Date]]&lt;&gt;"",Main[[#This Row],[Revised Due Date]]&lt;&gt;"",Main[[#This Row],[In Stock Date]]&lt;&gt;""),Main[[#This Row],[In Stock Date]]-Main[[#This Row],[Revised Due Date]],""))</f>
        <v/>
      </c>
      <c r="I922" s="110" t="s">
        <v>4</v>
      </c>
      <c r="J922" s="99" t="s">
        <v>4</v>
      </c>
      <c r="K922" s="99" t="s">
        <v>4</v>
      </c>
      <c r="L922" s="89"/>
      <c r="M922" s="75" t="str">
        <f>IF(Main[[#This Row],[Tech Start Date]]&lt;1/1/1990,"",IF(Main[[#This Row],[Class]]="C",WORKDAY(Main[[#This Row],[Tech Start Date]],9),IF(Main[[#This Row],[Class]]="B", WORKDAY(Main[[#This Row],[Tech Start Date]],6),IF(Main[[#This Row],[Class]]="A",WORKDAY(Main[[#This Row],[Tech Start Date]],2),""))))</f>
        <v/>
      </c>
      <c r="N922" s="75" t="str">
        <f>IF(Main[[#This Row],[Tech Start Date]]&lt;1/1/1990,"",IF(Main[[#This Row],[Class]]="C",WORKDAY(Main[[#This Row],[Tech Start Date]],19),IF(Main[[#This Row],[Class]]="B", WORKDAY(Main[[#This Row],[Tech Start Date]],12),IF(Main[[#This Row],[Class]]="A",WORKDAY(Main[[#This Row],[Tech Start Date]],4),""))))</f>
        <v/>
      </c>
      <c r="O922" s="75" t="str">
        <f>IF(Main[[#This Row],[Tech Start Date]]&lt;1/1/1990,"",IF(Main[[#This Row],[Class]]="C",WORKDAY(Main[[#This Row],[Tech Start Date]],23),IF(Main[[#This Row],[Class]]="B", WORKDAY(Main[[#This Row],[Tech Start Date]],15),IF(Main[[#This Row],[Class]]="A",WORKDAY(Main[[#This Row],[Tech Start Date]],5),""))))</f>
        <v/>
      </c>
      <c r="P922" s="75" t="str">
        <f>IF(Main[[#This Row],[Tech Start Date]]&lt;1/1/1990,"",IF(Main[[#This Row],[Class]]="C",WORKDAY(Main[[#This Row],[Tech Start Date]],28),IF(Main[[#This Row],[Class]]="B", WORKDAY(Main[[#This Row],[Tech Start Date]],19),IF(Main[[#This Row],[Class]]="A",WORKDAY(Main[[#This Row],[Tech Start Date]],9),""))))</f>
        <v/>
      </c>
      <c r="Q922" s="89">
        <v>40669</v>
      </c>
      <c r="R922" s="121"/>
      <c r="S922" s="99" t="s">
        <v>6</v>
      </c>
      <c r="T922" s="76" t="s">
        <v>4</v>
      </c>
      <c r="U922" s="99" t="s">
        <v>14</v>
      </c>
      <c r="V922" s="99" t="s">
        <v>1916</v>
      </c>
      <c r="W922" s="99" t="s">
        <v>4</v>
      </c>
      <c r="X922" s="99" t="s">
        <v>2812</v>
      </c>
      <c r="Y922" s="73" t="s">
        <v>2923</v>
      </c>
      <c r="Z922" s="73" t="s">
        <v>4</v>
      </c>
      <c r="AA922" s="99" t="s">
        <v>2812</v>
      </c>
    </row>
    <row r="923" spans="1:27" ht="17.25" customHeight="1">
      <c r="A923" s="65" t="str">
        <f>IF(priority(Main[[#This Row],[Comments]])&lt;&gt;0, priority(Main[[#This Row],[Comments]]),"")</f>
        <v/>
      </c>
      <c r="B923" s="60" t="s">
        <v>1739</v>
      </c>
      <c r="C923" s="105" t="s">
        <v>4</v>
      </c>
      <c r="D923" s="74" t="s">
        <v>791</v>
      </c>
      <c r="E923" s="89"/>
      <c r="F923" s="89"/>
      <c r="G923" s="65" t="str">
        <f>IF(stdProdLT(Main[[#This Row],[Comments]])=0.1,"N/A",IF(stdProdLT(Main[[#This Row],[Comments]])=0,"",TRIM(stdProdLT(Main[[#This Row],[Comments]]))))</f>
        <v/>
      </c>
      <c r="H923" s="98" t="str">
        <f>IF(Main[[#This Row],[Std. Prod. Lead Time]]="N/A", "",IF(AND(Main[[#This Row],[In Stock Date]]&lt;&gt;"",Main[[#This Row],[Revised Due Date]]&lt;&gt;"",Main[[#This Row],[In Stock Date]]&lt;&gt;""),Main[[#This Row],[In Stock Date]]-Main[[#This Row],[Revised Due Date]],""))</f>
        <v/>
      </c>
      <c r="I923" s="110" t="s">
        <v>4</v>
      </c>
      <c r="J923" s="99" t="s">
        <v>4</v>
      </c>
      <c r="K923" s="99" t="s">
        <v>4</v>
      </c>
      <c r="L923" s="89"/>
      <c r="M923" s="75" t="str">
        <f>IF(Main[[#This Row],[Tech Start Date]]&lt;1/1/1990,"",IF(Main[[#This Row],[Class]]="C",WORKDAY(Main[[#This Row],[Tech Start Date]],9),IF(Main[[#This Row],[Class]]="B", WORKDAY(Main[[#This Row],[Tech Start Date]],6),IF(Main[[#This Row],[Class]]="A",WORKDAY(Main[[#This Row],[Tech Start Date]],2),""))))</f>
        <v/>
      </c>
      <c r="N923" s="75" t="str">
        <f>IF(Main[[#This Row],[Tech Start Date]]&lt;1/1/1990,"",IF(Main[[#This Row],[Class]]="C",WORKDAY(Main[[#This Row],[Tech Start Date]],19),IF(Main[[#This Row],[Class]]="B", WORKDAY(Main[[#This Row],[Tech Start Date]],12),IF(Main[[#This Row],[Class]]="A",WORKDAY(Main[[#This Row],[Tech Start Date]],4),""))))</f>
        <v/>
      </c>
      <c r="O923" s="75" t="str">
        <f>IF(Main[[#This Row],[Tech Start Date]]&lt;1/1/1990,"",IF(Main[[#This Row],[Class]]="C",WORKDAY(Main[[#This Row],[Tech Start Date]],23),IF(Main[[#This Row],[Class]]="B", WORKDAY(Main[[#This Row],[Tech Start Date]],15),IF(Main[[#This Row],[Class]]="A",WORKDAY(Main[[#This Row],[Tech Start Date]],5),""))))</f>
        <v/>
      </c>
      <c r="P923" s="75" t="str">
        <f>IF(Main[[#This Row],[Tech Start Date]]&lt;1/1/1990,"",IF(Main[[#This Row],[Class]]="C",WORKDAY(Main[[#This Row],[Tech Start Date]],28),IF(Main[[#This Row],[Class]]="B", WORKDAY(Main[[#This Row],[Tech Start Date]],19),IF(Main[[#This Row],[Class]]="A",WORKDAY(Main[[#This Row],[Tech Start Date]],9),""))))</f>
        <v/>
      </c>
      <c r="Q923" s="89"/>
      <c r="R923" s="121"/>
      <c r="S923" s="99" t="s">
        <v>17</v>
      </c>
      <c r="T923" s="76" t="s">
        <v>4</v>
      </c>
      <c r="U923" s="99" t="s">
        <v>14</v>
      </c>
      <c r="V923" s="99" t="s">
        <v>1916</v>
      </c>
      <c r="W923" s="99" t="s">
        <v>4</v>
      </c>
      <c r="X923" s="99" t="s">
        <v>306</v>
      </c>
      <c r="Y923" s="73" t="s">
        <v>4</v>
      </c>
      <c r="Z923" s="73" t="s">
        <v>4</v>
      </c>
      <c r="AA923" s="99" t="s">
        <v>652</v>
      </c>
    </row>
    <row r="924" spans="1:27" ht="17.25" customHeight="1">
      <c r="A924" s="65" t="str">
        <f>IF(priority(Main[[#This Row],[Comments]])&lt;&gt;0, priority(Main[[#This Row],[Comments]]),"")</f>
        <v/>
      </c>
      <c r="B924" s="60" t="s">
        <v>1488</v>
      </c>
      <c r="C924" s="105" t="s">
        <v>37</v>
      </c>
      <c r="D924" s="74" t="s">
        <v>2386</v>
      </c>
      <c r="E924" s="89">
        <v>40682.490115740744</v>
      </c>
      <c r="F924" s="89"/>
      <c r="G924" s="65" t="str">
        <f>IF(stdProdLT(Main[[#This Row],[Comments]])=0.1,"N/A",IF(stdProdLT(Main[[#This Row],[Comments]])=0,"",TRIM(stdProdLT(Main[[#This Row],[Comments]]))))</f>
        <v/>
      </c>
      <c r="H924" s="98" t="str">
        <f>IF(Main[[#This Row],[Std. Prod. Lead Time]]="N/A", "",IF(AND(Main[[#This Row],[In Stock Date]]&lt;&gt;"",Main[[#This Row],[Revised Due Date]]&lt;&gt;"",Main[[#This Row],[In Stock Date]]&lt;&gt;""),Main[[#This Row],[In Stock Date]]-Main[[#This Row],[Revised Due Date]],""))</f>
        <v/>
      </c>
      <c r="I924" s="110" t="s">
        <v>4</v>
      </c>
      <c r="J924" s="99" t="s">
        <v>4</v>
      </c>
      <c r="K924" s="99" t="s">
        <v>4</v>
      </c>
      <c r="L924" s="89"/>
      <c r="M924" s="75" t="str">
        <f>IF(Main[[#This Row],[Tech Start Date]]&lt;1/1/1990,"",IF(Main[[#This Row],[Class]]="C",WORKDAY(Main[[#This Row],[Tech Start Date]],9),IF(Main[[#This Row],[Class]]="B", WORKDAY(Main[[#This Row],[Tech Start Date]],6),IF(Main[[#This Row],[Class]]="A",WORKDAY(Main[[#This Row],[Tech Start Date]],2),""))))</f>
        <v/>
      </c>
      <c r="N924" s="75" t="str">
        <f>IF(Main[[#This Row],[Tech Start Date]]&lt;1/1/1990,"",IF(Main[[#This Row],[Class]]="C",WORKDAY(Main[[#This Row],[Tech Start Date]],19),IF(Main[[#This Row],[Class]]="B", WORKDAY(Main[[#This Row],[Tech Start Date]],12),IF(Main[[#This Row],[Class]]="A",WORKDAY(Main[[#This Row],[Tech Start Date]],4),""))))</f>
        <v/>
      </c>
      <c r="O924" s="75" t="str">
        <f>IF(Main[[#This Row],[Tech Start Date]]&lt;1/1/1990,"",IF(Main[[#This Row],[Class]]="C",WORKDAY(Main[[#This Row],[Tech Start Date]],23),IF(Main[[#This Row],[Class]]="B", WORKDAY(Main[[#This Row],[Tech Start Date]],15),IF(Main[[#This Row],[Class]]="A",WORKDAY(Main[[#This Row],[Tech Start Date]],5),""))))</f>
        <v/>
      </c>
      <c r="P924" s="75" t="str">
        <f>IF(Main[[#This Row],[Tech Start Date]]&lt;1/1/1990,"",IF(Main[[#This Row],[Class]]="C",WORKDAY(Main[[#This Row],[Tech Start Date]],28),IF(Main[[#This Row],[Class]]="B", WORKDAY(Main[[#This Row],[Tech Start Date]],19),IF(Main[[#This Row],[Class]]="A",WORKDAY(Main[[#This Row],[Tech Start Date]],9),""))))</f>
        <v/>
      </c>
      <c r="Q924" s="89">
        <v>40703</v>
      </c>
      <c r="R924" s="121"/>
      <c r="S924" s="99" t="s">
        <v>6</v>
      </c>
      <c r="T924" s="76" t="s">
        <v>4</v>
      </c>
      <c r="U924" s="99" t="s">
        <v>7</v>
      </c>
      <c r="V924" s="99" t="s">
        <v>1913</v>
      </c>
      <c r="W924" s="99" t="s">
        <v>1924</v>
      </c>
      <c r="X924" s="99" t="s">
        <v>970</v>
      </c>
      <c r="Y924" s="73" t="s">
        <v>3091</v>
      </c>
      <c r="Z924" s="73" t="s">
        <v>4</v>
      </c>
      <c r="AA924" s="99" t="s">
        <v>970</v>
      </c>
    </row>
    <row r="925" spans="1:27" ht="17.25" customHeight="1">
      <c r="A925" s="65" t="str">
        <f>IF(priority(Main[[#This Row],[Comments]])&lt;&gt;0, priority(Main[[#This Row],[Comments]]),"")</f>
        <v/>
      </c>
      <c r="B925" s="60" t="s">
        <v>1741</v>
      </c>
      <c r="C925" s="105" t="s">
        <v>4</v>
      </c>
      <c r="D925" s="74" t="s">
        <v>681</v>
      </c>
      <c r="E925" s="89"/>
      <c r="F925" s="89"/>
      <c r="G925" s="65" t="str">
        <f>IF(stdProdLT(Main[[#This Row],[Comments]])=0.1,"N/A",IF(stdProdLT(Main[[#This Row],[Comments]])=0,"",TRIM(stdProdLT(Main[[#This Row],[Comments]]))))</f>
        <v/>
      </c>
      <c r="H925" s="98" t="str">
        <f>IF(Main[[#This Row],[Std. Prod. Lead Time]]="N/A", "",IF(AND(Main[[#This Row],[In Stock Date]]&lt;&gt;"",Main[[#This Row],[Revised Due Date]]&lt;&gt;"",Main[[#This Row],[In Stock Date]]&lt;&gt;""),Main[[#This Row],[In Stock Date]]-Main[[#This Row],[Revised Due Date]],""))</f>
        <v/>
      </c>
      <c r="I925" s="110" t="s">
        <v>4</v>
      </c>
      <c r="J925" s="99" t="s">
        <v>4</v>
      </c>
      <c r="K925" s="99" t="s">
        <v>4</v>
      </c>
      <c r="L925" s="89"/>
      <c r="M925" s="75" t="str">
        <f>IF(Main[[#This Row],[Tech Start Date]]&lt;1/1/1990,"",IF(Main[[#This Row],[Class]]="C",WORKDAY(Main[[#This Row],[Tech Start Date]],9),IF(Main[[#This Row],[Class]]="B", WORKDAY(Main[[#This Row],[Tech Start Date]],6),IF(Main[[#This Row],[Class]]="A",WORKDAY(Main[[#This Row],[Tech Start Date]],2),""))))</f>
        <v/>
      </c>
      <c r="N925" s="75" t="str">
        <f>IF(Main[[#This Row],[Tech Start Date]]&lt;1/1/1990,"",IF(Main[[#This Row],[Class]]="C",WORKDAY(Main[[#This Row],[Tech Start Date]],19),IF(Main[[#This Row],[Class]]="B", WORKDAY(Main[[#This Row],[Tech Start Date]],12),IF(Main[[#This Row],[Class]]="A",WORKDAY(Main[[#This Row],[Tech Start Date]],4),""))))</f>
        <v/>
      </c>
      <c r="O925" s="75" t="str">
        <f>IF(Main[[#This Row],[Tech Start Date]]&lt;1/1/1990,"",IF(Main[[#This Row],[Class]]="C",WORKDAY(Main[[#This Row],[Tech Start Date]],23),IF(Main[[#This Row],[Class]]="B", WORKDAY(Main[[#This Row],[Tech Start Date]],15),IF(Main[[#This Row],[Class]]="A",WORKDAY(Main[[#This Row],[Tech Start Date]],5),""))))</f>
        <v/>
      </c>
      <c r="P925" s="75" t="str">
        <f>IF(Main[[#This Row],[Tech Start Date]]&lt;1/1/1990,"",IF(Main[[#This Row],[Class]]="C",WORKDAY(Main[[#This Row],[Tech Start Date]],28),IF(Main[[#This Row],[Class]]="B", WORKDAY(Main[[#This Row],[Tech Start Date]],19),IF(Main[[#This Row],[Class]]="A",WORKDAY(Main[[#This Row],[Tech Start Date]],9),""))))</f>
        <v/>
      </c>
      <c r="Q925" s="89"/>
      <c r="R925" s="121"/>
      <c r="S925" s="99" t="s">
        <v>23</v>
      </c>
      <c r="T925" s="76" t="s">
        <v>4</v>
      </c>
      <c r="U925" s="99" t="s">
        <v>14</v>
      </c>
      <c r="V925" s="99" t="s">
        <v>1916</v>
      </c>
      <c r="W925" s="99" t="s">
        <v>1917</v>
      </c>
      <c r="X925" s="99" t="s">
        <v>417</v>
      </c>
      <c r="Y925" s="73" t="s">
        <v>3097</v>
      </c>
      <c r="Z925" s="73" t="s">
        <v>4</v>
      </c>
      <c r="AA925" s="99" t="s">
        <v>3421</v>
      </c>
    </row>
    <row r="926" spans="1:27" ht="17.25" customHeight="1">
      <c r="A926" s="65" t="str">
        <f>IF(priority(Main[[#This Row],[Comments]])&lt;&gt;0, priority(Main[[#This Row],[Comments]]),"")</f>
        <v/>
      </c>
      <c r="B926" s="60" t="s">
        <v>1853</v>
      </c>
      <c r="C926" s="105" t="s">
        <v>47</v>
      </c>
      <c r="D926" s="74" t="s">
        <v>910</v>
      </c>
      <c r="E926" s="89">
        <v>39937.598483796297</v>
      </c>
      <c r="F926" s="89"/>
      <c r="G926" s="65" t="str">
        <f>IF(stdProdLT(Main[[#This Row],[Comments]])=0.1,"N/A",IF(stdProdLT(Main[[#This Row],[Comments]])=0,"",TRIM(stdProdLT(Main[[#This Row],[Comments]]))))</f>
        <v/>
      </c>
      <c r="H926" s="98" t="str">
        <f>IF(Main[[#This Row],[Std. Prod. Lead Time]]="N/A", "",IF(AND(Main[[#This Row],[In Stock Date]]&lt;&gt;"",Main[[#This Row],[Revised Due Date]]&lt;&gt;"",Main[[#This Row],[In Stock Date]]&lt;&gt;""),Main[[#This Row],[In Stock Date]]-Main[[#This Row],[Revised Due Date]],""))</f>
        <v/>
      </c>
      <c r="I926" s="110" t="s">
        <v>898</v>
      </c>
      <c r="J926" s="99" t="s">
        <v>4</v>
      </c>
      <c r="K926" s="99" t="s">
        <v>1925</v>
      </c>
      <c r="L926" s="89"/>
      <c r="M926" s="75" t="str">
        <f>IF(Main[[#This Row],[Tech Start Date]]&lt;1/1/1990,"",IF(Main[[#This Row],[Class]]="C",WORKDAY(Main[[#This Row],[Tech Start Date]],9),IF(Main[[#This Row],[Class]]="B", WORKDAY(Main[[#This Row],[Tech Start Date]],6),IF(Main[[#This Row],[Class]]="A",WORKDAY(Main[[#This Row],[Tech Start Date]],2),""))))</f>
        <v/>
      </c>
      <c r="N926" s="75" t="str">
        <f>IF(Main[[#This Row],[Tech Start Date]]&lt;1/1/1990,"",IF(Main[[#This Row],[Class]]="C",WORKDAY(Main[[#This Row],[Tech Start Date]],19),IF(Main[[#This Row],[Class]]="B", WORKDAY(Main[[#This Row],[Tech Start Date]],12),IF(Main[[#This Row],[Class]]="A",WORKDAY(Main[[#This Row],[Tech Start Date]],4),""))))</f>
        <v/>
      </c>
      <c r="O926" s="75" t="str">
        <f>IF(Main[[#This Row],[Tech Start Date]]&lt;1/1/1990,"",IF(Main[[#This Row],[Class]]="C",WORKDAY(Main[[#This Row],[Tech Start Date]],23),IF(Main[[#This Row],[Class]]="B", WORKDAY(Main[[#This Row],[Tech Start Date]],15),IF(Main[[#This Row],[Class]]="A",WORKDAY(Main[[#This Row],[Tech Start Date]],5),""))))</f>
        <v/>
      </c>
      <c r="P926" s="75" t="str">
        <f>IF(Main[[#This Row],[Tech Start Date]]&lt;1/1/1990,"",IF(Main[[#This Row],[Class]]="C",WORKDAY(Main[[#This Row],[Tech Start Date]],28),IF(Main[[#This Row],[Class]]="B", WORKDAY(Main[[#This Row],[Tech Start Date]],19),IF(Main[[#This Row],[Class]]="A",WORKDAY(Main[[#This Row],[Tech Start Date]],9),""))))</f>
        <v/>
      </c>
      <c r="Q926" s="89"/>
      <c r="R926" s="121">
        <v>40945</v>
      </c>
      <c r="S926" s="99" t="s">
        <v>17</v>
      </c>
      <c r="T926" s="76" t="s">
        <v>4</v>
      </c>
      <c r="U926" s="99" t="s">
        <v>29</v>
      </c>
      <c r="V926" s="99" t="s">
        <v>1916</v>
      </c>
      <c r="W926" s="99" t="s">
        <v>1918</v>
      </c>
      <c r="X926" s="99" t="s">
        <v>2821</v>
      </c>
      <c r="Y926" s="73" t="s">
        <v>2942</v>
      </c>
      <c r="Z926" s="73" t="s">
        <v>415</v>
      </c>
      <c r="AA926" s="99" t="s">
        <v>2821</v>
      </c>
    </row>
    <row r="927" spans="1:27" ht="17.25" customHeight="1">
      <c r="A927" s="65" t="str">
        <f>IF(priority(Main[[#This Row],[Comments]])&lt;&gt;0, priority(Main[[#This Row],[Comments]]),"")</f>
        <v/>
      </c>
      <c r="B927" s="60" t="s">
        <v>1742</v>
      </c>
      <c r="C927" s="105" t="s">
        <v>31</v>
      </c>
      <c r="D927" s="74" t="s">
        <v>792</v>
      </c>
      <c r="E927" s="89"/>
      <c r="F927" s="89"/>
      <c r="G927" s="65" t="str">
        <f>IF(stdProdLT(Main[[#This Row],[Comments]])=0.1,"N/A",IF(stdProdLT(Main[[#This Row],[Comments]])=0,"",TRIM(stdProdLT(Main[[#This Row],[Comments]]))))</f>
        <v/>
      </c>
      <c r="H927" s="98" t="str">
        <f>IF(Main[[#This Row],[Std. Prod. Lead Time]]="N/A", "",IF(AND(Main[[#This Row],[In Stock Date]]&lt;&gt;"",Main[[#This Row],[Revised Due Date]]&lt;&gt;"",Main[[#This Row],[In Stock Date]]&lt;&gt;""),Main[[#This Row],[In Stock Date]]-Main[[#This Row],[Revised Due Date]],""))</f>
        <v/>
      </c>
      <c r="I927" s="110" t="s">
        <v>4</v>
      </c>
      <c r="J927" s="99" t="s">
        <v>4</v>
      </c>
      <c r="K927" s="99" t="s">
        <v>4</v>
      </c>
      <c r="L927" s="89"/>
      <c r="M927" s="75" t="str">
        <f>IF(Main[[#This Row],[Tech Start Date]]&lt;1/1/1990,"",IF(Main[[#This Row],[Class]]="C",WORKDAY(Main[[#This Row],[Tech Start Date]],9),IF(Main[[#This Row],[Class]]="B", WORKDAY(Main[[#This Row],[Tech Start Date]],6),IF(Main[[#This Row],[Class]]="A",WORKDAY(Main[[#This Row],[Tech Start Date]],2),""))))</f>
        <v/>
      </c>
      <c r="N927" s="75" t="str">
        <f>IF(Main[[#This Row],[Tech Start Date]]&lt;1/1/1990,"",IF(Main[[#This Row],[Class]]="C",WORKDAY(Main[[#This Row],[Tech Start Date]],19),IF(Main[[#This Row],[Class]]="B", WORKDAY(Main[[#This Row],[Tech Start Date]],12),IF(Main[[#This Row],[Class]]="A",WORKDAY(Main[[#This Row],[Tech Start Date]],4),""))))</f>
        <v/>
      </c>
      <c r="O927" s="75" t="str">
        <f>IF(Main[[#This Row],[Tech Start Date]]&lt;1/1/1990,"",IF(Main[[#This Row],[Class]]="C",WORKDAY(Main[[#This Row],[Tech Start Date]],23),IF(Main[[#This Row],[Class]]="B", WORKDAY(Main[[#This Row],[Tech Start Date]],15),IF(Main[[#This Row],[Class]]="A",WORKDAY(Main[[#This Row],[Tech Start Date]],5),""))))</f>
        <v/>
      </c>
      <c r="P927" s="75" t="str">
        <f>IF(Main[[#This Row],[Tech Start Date]]&lt;1/1/1990,"",IF(Main[[#This Row],[Class]]="C",WORKDAY(Main[[#This Row],[Tech Start Date]],28),IF(Main[[#This Row],[Class]]="B", WORKDAY(Main[[#This Row],[Tech Start Date]],19),IF(Main[[#This Row],[Class]]="A",WORKDAY(Main[[#This Row],[Tech Start Date]],9),""))))</f>
        <v/>
      </c>
      <c r="Q927" s="89">
        <v>40318</v>
      </c>
      <c r="R927" s="121"/>
      <c r="S927" s="99" t="s">
        <v>11</v>
      </c>
      <c r="T927" s="76" t="s">
        <v>4</v>
      </c>
      <c r="U927" s="99" t="s">
        <v>14</v>
      </c>
      <c r="V927" s="99" t="s">
        <v>1923</v>
      </c>
      <c r="W927" s="99" t="s">
        <v>1915</v>
      </c>
      <c r="X927" s="99" t="s">
        <v>2824</v>
      </c>
      <c r="Y927" s="73" t="s">
        <v>4</v>
      </c>
      <c r="Z927" s="73" t="s">
        <v>4</v>
      </c>
      <c r="AA927" s="99" t="s">
        <v>2824</v>
      </c>
    </row>
    <row r="928" spans="1:27" ht="17.25" customHeight="1">
      <c r="A928" s="65" t="str">
        <f>IF(priority(Main[[#This Row],[Comments]])&lt;&gt;0, priority(Main[[#This Row],[Comments]]),"")</f>
        <v/>
      </c>
      <c r="B928" s="60" t="s">
        <v>1768</v>
      </c>
      <c r="C928" s="105" t="s">
        <v>4</v>
      </c>
      <c r="D928" s="74" t="s">
        <v>804</v>
      </c>
      <c r="E928" s="89"/>
      <c r="F928" s="89"/>
      <c r="G928" s="65" t="str">
        <f>IF(stdProdLT(Main[[#This Row],[Comments]])=0.1,"N/A",IF(stdProdLT(Main[[#This Row],[Comments]])=0,"",TRIM(stdProdLT(Main[[#This Row],[Comments]]))))</f>
        <v/>
      </c>
      <c r="H928" s="98" t="str">
        <f>IF(Main[[#This Row],[Std. Prod. Lead Time]]="N/A", "",IF(AND(Main[[#This Row],[In Stock Date]]&lt;&gt;"",Main[[#This Row],[Revised Due Date]]&lt;&gt;"",Main[[#This Row],[In Stock Date]]&lt;&gt;""),Main[[#This Row],[In Stock Date]]-Main[[#This Row],[Revised Due Date]],""))</f>
        <v/>
      </c>
      <c r="I928" s="110" t="s">
        <v>4</v>
      </c>
      <c r="J928" s="99" t="s">
        <v>4</v>
      </c>
      <c r="K928" s="99" t="s">
        <v>4</v>
      </c>
      <c r="L928" s="89"/>
      <c r="M928" s="75" t="str">
        <f>IF(Main[[#This Row],[Tech Start Date]]&lt;1/1/1990,"",IF(Main[[#This Row],[Class]]="C",WORKDAY(Main[[#This Row],[Tech Start Date]],9),IF(Main[[#This Row],[Class]]="B", WORKDAY(Main[[#This Row],[Tech Start Date]],6),IF(Main[[#This Row],[Class]]="A",WORKDAY(Main[[#This Row],[Tech Start Date]],2),""))))</f>
        <v/>
      </c>
      <c r="N928" s="75" t="str">
        <f>IF(Main[[#This Row],[Tech Start Date]]&lt;1/1/1990,"",IF(Main[[#This Row],[Class]]="C",WORKDAY(Main[[#This Row],[Tech Start Date]],19),IF(Main[[#This Row],[Class]]="B", WORKDAY(Main[[#This Row],[Tech Start Date]],12),IF(Main[[#This Row],[Class]]="A",WORKDAY(Main[[#This Row],[Tech Start Date]],4),""))))</f>
        <v/>
      </c>
      <c r="O928" s="75" t="str">
        <f>IF(Main[[#This Row],[Tech Start Date]]&lt;1/1/1990,"",IF(Main[[#This Row],[Class]]="C",WORKDAY(Main[[#This Row],[Tech Start Date]],23),IF(Main[[#This Row],[Class]]="B", WORKDAY(Main[[#This Row],[Tech Start Date]],15),IF(Main[[#This Row],[Class]]="A",WORKDAY(Main[[#This Row],[Tech Start Date]],5),""))))</f>
        <v/>
      </c>
      <c r="P928" s="75" t="str">
        <f>IF(Main[[#This Row],[Tech Start Date]]&lt;1/1/1990,"",IF(Main[[#This Row],[Class]]="C",WORKDAY(Main[[#This Row],[Tech Start Date]],28),IF(Main[[#This Row],[Class]]="B", WORKDAY(Main[[#This Row],[Tech Start Date]],19),IF(Main[[#This Row],[Class]]="A",WORKDAY(Main[[#This Row],[Tech Start Date]],9),""))))</f>
        <v/>
      </c>
      <c r="Q928" s="89"/>
      <c r="R928" s="121"/>
      <c r="S928" s="99" t="s">
        <v>49</v>
      </c>
      <c r="T928" s="76" t="s">
        <v>4</v>
      </c>
      <c r="U928" s="99" t="s">
        <v>14</v>
      </c>
      <c r="V928" s="99" t="s">
        <v>1916</v>
      </c>
      <c r="W928" s="99" t="s">
        <v>1917</v>
      </c>
      <c r="X928" s="99" t="s">
        <v>306</v>
      </c>
      <c r="Y928" s="73" t="s">
        <v>3098</v>
      </c>
      <c r="Z928" s="73" t="s">
        <v>4</v>
      </c>
      <c r="AA928" s="99" t="s">
        <v>306</v>
      </c>
    </row>
    <row r="929" spans="1:27" ht="17.25" customHeight="1">
      <c r="A929" s="65" t="str">
        <f>IF(priority(Main[[#This Row],[Comments]])&lt;&gt;0, priority(Main[[#This Row],[Comments]]),"")</f>
        <v/>
      </c>
      <c r="B929" s="60" t="s">
        <v>3184</v>
      </c>
      <c r="C929" s="105" t="s">
        <v>4</v>
      </c>
      <c r="D929" s="74" t="s">
        <v>3221</v>
      </c>
      <c r="E929" s="89">
        <v>40921.504814814813</v>
      </c>
      <c r="F929" s="89"/>
      <c r="G929" s="65" t="str">
        <f>IF(stdProdLT(Main[[#This Row],[Comments]])=0.1,"N/A",IF(stdProdLT(Main[[#This Row],[Comments]])=0,"",TRIM(stdProdLT(Main[[#This Row],[Comments]]))))</f>
        <v/>
      </c>
      <c r="H929" s="98" t="str">
        <f>IF(Main[[#This Row],[Std. Prod. Lead Time]]="N/A", "",IF(AND(Main[[#This Row],[In Stock Date]]&lt;&gt;"",Main[[#This Row],[Revised Due Date]]&lt;&gt;"",Main[[#This Row],[In Stock Date]]&lt;&gt;""),Main[[#This Row],[In Stock Date]]-Main[[#This Row],[Revised Due Date]],""))</f>
        <v/>
      </c>
      <c r="I929" s="110" t="s">
        <v>2047</v>
      </c>
      <c r="J929" s="99" t="s">
        <v>28</v>
      </c>
      <c r="K929" s="99" t="s">
        <v>1922</v>
      </c>
      <c r="L929" s="89"/>
      <c r="M929" s="75" t="str">
        <f>IF(Main[[#This Row],[Tech Start Date]]&lt;1/1/1990,"",IF(Main[[#This Row],[Class]]="C",WORKDAY(Main[[#This Row],[Tech Start Date]],9),IF(Main[[#This Row],[Class]]="B", WORKDAY(Main[[#This Row],[Tech Start Date]],6),IF(Main[[#This Row],[Class]]="A",WORKDAY(Main[[#This Row],[Tech Start Date]],2),""))))</f>
        <v/>
      </c>
      <c r="N929" s="75" t="str">
        <f>IF(Main[[#This Row],[Tech Start Date]]&lt;1/1/1990,"",IF(Main[[#This Row],[Class]]="C",WORKDAY(Main[[#This Row],[Tech Start Date]],19),IF(Main[[#This Row],[Class]]="B", WORKDAY(Main[[#This Row],[Tech Start Date]],12),IF(Main[[#This Row],[Class]]="A",WORKDAY(Main[[#This Row],[Tech Start Date]],4),""))))</f>
        <v/>
      </c>
      <c r="O929" s="75" t="str">
        <f>IF(Main[[#This Row],[Tech Start Date]]&lt;1/1/1990,"",IF(Main[[#This Row],[Class]]="C",WORKDAY(Main[[#This Row],[Tech Start Date]],23),IF(Main[[#This Row],[Class]]="B", WORKDAY(Main[[#This Row],[Tech Start Date]],15),IF(Main[[#This Row],[Class]]="A",WORKDAY(Main[[#This Row],[Tech Start Date]],5),""))))</f>
        <v/>
      </c>
      <c r="P929" s="75" t="str">
        <f>IF(Main[[#This Row],[Tech Start Date]]&lt;1/1/1990,"",IF(Main[[#This Row],[Class]]="C",WORKDAY(Main[[#This Row],[Tech Start Date]],28),IF(Main[[#This Row],[Class]]="B", WORKDAY(Main[[#This Row],[Tech Start Date]],19),IF(Main[[#This Row],[Class]]="A",WORKDAY(Main[[#This Row],[Tech Start Date]],9),""))))</f>
        <v/>
      </c>
      <c r="Q929" s="89">
        <v>40939</v>
      </c>
      <c r="R929" s="121"/>
      <c r="S929" s="99" t="s">
        <v>6</v>
      </c>
      <c r="T929" s="76" t="s">
        <v>4</v>
      </c>
      <c r="U929" s="99" t="s">
        <v>29</v>
      </c>
      <c r="V929" s="99" t="s">
        <v>1916</v>
      </c>
      <c r="W929" s="99" t="s">
        <v>1917</v>
      </c>
      <c r="X929" s="99" t="s">
        <v>30</v>
      </c>
      <c r="Y929" s="73" t="s">
        <v>3185</v>
      </c>
      <c r="Z929" s="73" t="s">
        <v>30</v>
      </c>
      <c r="AA929" s="99" t="s">
        <v>2897</v>
      </c>
    </row>
    <row r="930" spans="1:27" ht="17.25" customHeight="1">
      <c r="A930" s="65" t="str">
        <f>IF(priority(Main[[#This Row],[Comments]])&lt;&gt;0, priority(Main[[#This Row],[Comments]]),"")</f>
        <v/>
      </c>
      <c r="B930" s="60" t="s">
        <v>3249</v>
      </c>
      <c r="C930" s="105" t="s">
        <v>4</v>
      </c>
      <c r="D930" s="74" t="s">
        <v>3250</v>
      </c>
      <c r="E930" s="89"/>
      <c r="F930" s="89"/>
      <c r="G930" s="65" t="str">
        <f>IF(stdProdLT(Main[[#This Row],[Comments]])=0.1,"N/A",IF(stdProdLT(Main[[#This Row],[Comments]])=0,"",TRIM(stdProdLT(Main[[#This Row],[Comments]]))))</f>
        <v/>
      </c>
      <c r="H930" s="98" t="str">
        <f>IF(Main[[#This Row],[Std. Prod. Lead Time]]="N/A", "",IF(AND(Main[[#This Row],[In Stock Date]]&lt;&gt;"",Main[[#This Row],[Revised Due Date]]&lt;&gt;"",Main[[#This Row],[In Stock Date]]&lt;&gt;""),Main[[#This Row],[In Stock Date]]-Main[[#This Row],[Revised Due Date]],""))</f>
        <v/>
      </c>
      <c r="I930" s="110" t="s">
        <v>4</v>
      </c>
      <c r="J930" s="99" t="s">
        <v>4</v>
      </c>
      <c r="K930" s="100" t="s">
        <v>4</v>
      </c>
      <c r="L930" s="89"/>
      <c r="M930" s="75" t="str">
        <f>IF(Main[[#This Row],[Tech Start Date]]&lt;1/1/1990,"",IF(Main[[#This Row],[Class]]="C",WORKDAY(Main[[#This Row],[Tech Start Date]],9),IF(Main[[#This Row],[Class]]="B", WORKDAY(Main[[#This Row],[Tech Start Date]],6),IF(Main[[#This Row],[Class]]="A",WORKDAY(Main[[#This Row],[Tech Start Date]],2),""))))</f>
        <v/>
      </c>
      <c r="N930" s="75" t="str">
        <f>IF(Main[[#This Row],[Tech Start Date]]&lt;1/1/1990,"",IF(Main[[#This Row],[Class]]="C",WORKDAY(Main[[#This Row],[Tech Start Date]],19),IF(Main[[#This Row],[Class]]="B", WORKDAY(Main[[#This Row],[Tech Start Date]],12),IF(Main[[#This Row],[Class]]="A",WORKDAY(Main[[#This Row],[Tech Start Date]],4),""))))</f>
        <v/>
      </c>
      <c r="O930" s="75" t="str">
        <f>IF(Main[[#This Row],[Tech Start Date]]&lt;1/1/1990,"",IF(Main[[#This Row],[Class]]="C",WORKDAY(Main[[#This Row],[Tech Start Date]],23),IF(Main[[#This Row],[Class]]="B", WORKDAY(Main[[#This Row],[Tech Start Date]],15),IF(Main[[#This Row],[Class]]="A",WORKDAY(Main[[#This Row],[Tech Start Date]],5),""))))</f>
        <v/>
      </c>
      <c r="P930" s="75" t="str">
        <f>IF(Main[[#This Row],[Tech Start Date]]&lt;1/1/1990,"",IF(Main[[#This Row],[Class]]="C",WORKDAY(Main[[#This Row],[Tech Start Date]],28),IF(Main[[#This Row],[Class]]="B", WORKDAY(Main[[#This Row],[Tech Start Date]],19),IF(Main[[#This Row],[Class]]="A",WORKDAY(Main[[#This Row],[Tech Start Date]],9),""))))</f>
        <v/>
      </c>
      <c r="Q930" s="89"/>
      <c r="R930" s="121"/>
      <c r="S930" s="99" t="s">
        <v>17</v>
      </c>
      <c r="T930" s="76" t="s">
        <v>4</v>
      </c>
      <c r="U930" s="99" t="s">
        <v>12</v>
      </c>
      <c r="V930" s="99" t="s">
        <v>1916</v>
      </c>
      <c r="W930" s="99" t="s">
        <v>4</v>
      </c>
      <c r="X930" s="99" t="s">
        <v>1972</v>
      </c>
      <c r="Y930" s="73" t="s">
        <v>4</v>
      </c>
      <c r="Z930" s="73" t="s">
        <v>4</v>
      </c>
      <c r="AA930" s="99" t="s">
        <v>4</v>
      </c>
    </row>
    <row r="931" spans="1:27" ht="17.25" customHeight="1">
      <c r="A931" s="65" t="str">
        <f>IF(priority(Main[[#This Row],[Comments]])&lt;&gt;0, priority(Main[[#This Row],[Comments]]),"")</f>
        <v/>
      </c>
      <c r="B931" s="60" t="s">
        <v>1769</v>
      </c>
      <c r="C931" s="105" t="s">
        <v>4</v>
      </c>
      <c r="D931" s="74" t="s">
        <v>805</v>
      </c>
      <c r="E931" s="89"/>
      <c r="F931" s="89"/>
      <c r="G931" s="65" t="str">
        <f>IF(stdProdLT(Main[[#This Row],[Comments]])=0.1,"N/A",IF(stdProdLT(Main[[#This Row],[Comments]])=0,"",TRIM(stdProdLT(Main[[#This Row],[Comments]]))))</f>
        <v/>
      </c>
      <c r="H931" s="98" t="str">
        <f>IF(Main[[#This Row],[Std. Prod. Lead Time]]="N/A", "",IF(AND(Main[[#This Row],[In Stock Date]]&lt;&gt;"",Main[[#This Row],[Revised Due Date]]&lt;&gt;"",Main[[#This Row],[In Stock Date]]&lt;&gt;""),Main[[#This Row],[In Stock Date]]-Main[[#This Row],[Revised Due Date]],""))</f>
        <v/>
      </c>
      <c r="I931" s="110" t="s">
        <v>4</v>
      </c>
      <c r="J931" s="99" t="s">
        <v>4</v>
      </c>
      <c r="K931" s="99" t="s">
        <v>4</v>
      </c>
      <c r="L931" s="89"/>
      <c r="M931" s="75" t="str">
        <f>IF(Main[[#This Row],[Tech Start Date]]&lt;1/1/1990,"",IF(Main[[#This Row],[Class]]="C",WORKDAY(Main[[#This Row],[Tech Start Date]],9),IF(Main[[#This Row],[Class]]="B", WORKDAY(Main[[#This Row],[Tech Start Date]],6),IF(Main[[#This Row],[Class]]="A",WORKDAY(Main[[#This Row],[Tech Start Date]],2),""))))</f>
        <v/>
      </c>
      <c r="N931" s="75" t="str">
        <f>IF(Main[[#This Row],[Tech Start Date]]&lt;1/1/1990,"",IF(Main[[#This Row],[Class]]="C",WORKDAY(Main[[#This Row],[Tech Start Date]],19),IF(Main[[#This Row],[Class]]="B", WORKDAY(Main[[#This Row],[Tech Start Date]],12),IF(Main[[#This Row],[Class]]="A",WORKDAY(Main[[#This Row],[Tech Start Date]],4),""))))</f>
        <v/>
      </c>
      <c r="O931" s="75" t="str">
        <f>IF(Main[[#This Row],[Tech Start Date]]&lt;1/1/1990,"",IF(Main[[#This Row],[Class]]="C",WORKDAY(Main[[#This Row],[Tech Start Date]],23),IF(Main[[#This Row],[Class]]="B", WORKDAY(Main[[#This Row],[Tech Start Date]],15),IF(Main[[#This Row],[Class]]="A",WORKDAY(Main[[#This Row],[Tech Start Date]],5),""))))</f>
        <v/>
      </c>
      <c r="P931" s="75" t="str">
        <f>IF(Main[[#This Row],[Tech Start Date]]&lt;1/1/1990,"",IF(Main[[#This Row],[Class]]="C",WORKDAY(Main[[#This Row],[Tech Start Date]],28),IF(Main[[#This Row],[Class]]="B", WORKDAY(Main[[#This Row],[Tech Start Date]],19),IF(Main[[#This Row],[Class]]="A",WORKDAY(Main[[#This Row],[Tech Start Date]],9),""))))</f>
        <v/>
      </c>
      <c r="Q931" s="89"/>
      <c r="R931" s="121"/>
      <c r="S931" s="99" t="s">
        <v>6</v>
      </c>
      <c r="T931" s="76" t="s">
        <v>4</v>
      </c>
      <c r="U931" s="99" t="s">
        <v>12</v>
      </c>
      <c r="V931" s="99" t="s">
        <v>1913</v>
      </c>
      <c r="W931" s="99" t="s">
        <v>1917</v>
      </c>
      <c r="X931" s="99" t="s">
        <v>877</v>
      </c>
      <c r="Y931" s="73" t="s">
        <v>3003</v>
      </c>
      <c r="Z931" s="73" t="s">
        <v>4</v>
      </c>
      <c r="AA931" s="99" t="s">
        <v>877</v>
      </c>
    </row>
    <row r="932" spans="1:27" ht="17.25" customHeight="1">
      <c r="A932" s="65" t="str">
        <f>IF(priority(Main[[#This Row],[Comments]])&lt;&gt;0, priority(Main[[#This Row],[Comments]]),"")</f>
        <v/>
      </c>
      <c r="B932" s="60" t="s">
        <v>1744</v>
      </c>
      <c r="C932" s="105" t="s">
        <v>284</v>
      </c>
      <c r="D932" s="74" t="s">
        <v>796</v>
      </c>
      <c r="E932" s="89"/>
      <c r="F932" s="89"/>
      <c r="G932" s="65" t="str">
        <f>IF(stdProdLT(Main[[#This Row],[Comments]])=0.1,"N/A",IF(stdProdLT(Main[[#This Row],[Comments]])=0,"",TRIM(stdProdLT(Main[[#This Row],[Comments]]))))</f>
        <v/>
      </c>
      <c r="H932" s="98" t="str">
        <f>IF(Main[[#This Row],[Std. Prod. Lead Time]]="N/A", "",IF(AND(Main[[#This Row],[In Stock Date]]&lt;&gt;"",Main[[#This Row],[Revised Due Date]]&lt;&gt;"",Main[[#This Row],[In Stock Date]]&lt;&gt;""),Main[[#This Row],[In Stock Date]]-Main[[#This Row],[Revised Due Date]],""))</f>
        <v/>
      </c>
      <c r="I932" s="110" t="s">
        <v>4</v>
      </c>
      <c r="J932" s="99" t="s">
        <v>4</v>
      </c>
      <c r="K932" s="99" t="s">
        <v>4</v>
      </c>
      <c r="L932" s="89"/>
      <c r="M932" s="75" t="str">
        <f>IF(Main[[#This Row],[Tech Start Date]]&lt;1/1/1990,"",IF(Main[[#This Row],[Class]]="C",WORKDAY(Main[[#This Row],[Tech Start Date]],9),IF(Main[[#This Row],[Class]]="B", WORKDAY(Main[[#This Row],[Tech Start Date]],6),IF(Main[[#This Row],[Class]]="A",WORKDAY(Main[[#This Row],[Tech Start Date]],2),""))))</f>
        <v/>
      </c>
      <c r="N932" s="75" t="str">
        <f>IF(Main[[#This Row],[Tech Start Date]]&lt;1/1/1990,"",IF(Main[[#This Row],[Class]]="C",WORKDAY(Main[[#This Row],[Tech Start Date]],19),IF(Main[[#This Row],[Class]]="B", WORKDAY(Main[[#This Row],[Tech Start Date]],12),IF(Main[[#This Row],[Class]]="A",WORKDAY(Main[[#This Row],[Tech Start Date]],4),""))))</f>
        <v/>
      </c>
      <c r="O932" s="75" t="str">
        <f>IF(Main[[#This Row],[Tech Start Date]]&lt;1/1/1990,"",IF(Main[[#This Row],[Class]]="C",WORKDAY(Main[[#This Row],[Tech Start Date]],23),IF(Main[[#This Row],[Class]]="B", WORKDAY(Main[[#This Row],[Tech Start Date]],15),IF(Main[[#This Row],[Class]]="A",WORKDAY(Main[[#This Row],[Tech Start Date]],5),""))))</f>
        <v/>
      </c>
      <c r="P932" s="75" t="str">
        <f>IF(Main[[#This Row],[Tech Start Date]]&lt;1/1/1990,"",IF(Main[[#This Row],[Class]]="C",WORKDAY(Main[[#This Row],[Tech Start Date]],28),IF(Main[[#This Row],[Class]]="B", WORKDAY(Main[[#This Row],[Tech Start Date]],19),IF(Main[[#This Row],[Class]]="A",WORKDAY(Main[[#This Row],[Tech Start Date]],9),""))))</f>
        <v/>
      </c>
      <c r="Q932" s="89">
        <v>40134</v>
      </c>
      <c r="R932" s="121"/>
      <c r="S932" s="99" t="s">
        <v>11</v>
      </c>
      <c r="T932" s="76" t="s">
        <v>4</v>
      </c>
      <c r="U932" s="99" t="s">
        <v>14</v>
      </c>
      <c r="V932" s="99" t="s">
        <v>1923</v>
      </c>
      <c r="W932" s="99" t="s">
        <v>1921</v>
      </c>
      <c r="X932" s="99" t="s">
        <v>2811</v>
      </c>
      <c r="Y932" s="73" t="s">
        <v>4</v>
      </c>
      <c r="Z932" s="73" t="s">
        <v>4</v>
      </c>
      <c r="AA932" s="99" t="s">
        <v>2811</v>
      </c>
    </row>
    <row r="933" spans="1:27" ht="17.25" customHeight="1">
      <c r="A933" s="65" t="str">
        <f>IF(priority(Main[[#This Row],[Comments]])&lt;&gt;0, priority(Main[[#This Row],[Comments]]),"")</f>
        <v/>
      </c>
      <c r="B933" s="60" t="s">
        <v>1745</v>
      </c>
      <c r="C933" s="105" t="s">
        <v>4</v>
      </c>
      <c r="D933" s="74" t="s">
        <v>797</v>
      </c>
      <c r="E933" s="89"/>
      <c r="F933" s="89">
        <v>40598</v>
      </c>
      <c r="G933" s="65" t="str">
        <f>IF(stdProdLT(Main[[#This Row],[Comments]])=0.1,"N/A",IF(stdProdLT(Main[[#This Row],[Comments]])=0,"",TRIM(stdProdLT(Main[[#This Row],[Comments]]))))</f>
        <v/>
      </c>
      <c r="H933" s="98" t="str">
        <f>IF(Main[[#This Row],[Std. Prod. Lead Time]]="N/A", "",IF(AND(Main[[#This Row],[In Stock Date]]&lt;&gt;"",Main[[#This Row],[Revised Due Date]]&lt;&gt;"",Main[[#This Row],[In Stock Date]]&lt;&gt;""),Main[[#This Row],[In Stock Date]]-Main[[#This Row],[Revised Due Date]],""))</f>
        <v/>
      </c>
      <c r="I933" s="110" t="s">
        <v>4</v>
      </c>
      <c r="J933" s="99" t="s">
        <v>4</v>
      </c>
      <c r="K933" s="99" t="s">
        <v>4</v>
      </c>
      <c r="L933" s="89"/>
      <c r="M933" s="75" t="str">
        <f>IF(Main[[#This Row],[Tech Start Date]]&lt;1/1/1990,"",IF(Main[[#This Row],[Class]]="C",WORKDAY(Main[[#This Row],[Tech Start Date]],9),IF(Main[[#This Row],[Class]]="B", WORKDAY(Main[[#This Row],[Tech Start Date]],6),IF(Main[[#This Row],[Class]]="A",WORKDAY(Main[[#This Row],[Tech Start Date]],2),""))))</f>
        <v/>
      </c>
      <c r="N933" s="75" t="str">
        <f>IF(Main[[#This Row],[Tech Start Date]]&lt;1/1/1990,"",IF(Main[[#This Row],[Class]]="C",WORKDAY(Main[[#This Row],[Tech Start Date]],19),IF(Main[[#This Row],[Class]]="B", WORKDAY(Main[[#This Row],[Tech Start Date]],12),IF(Main[[#This Row],[Class]]="A",WORKDAY(Main[[#This Row],[Tech Start Date]],4),""))))</f>
        <v/>
      </c>
      <c r="O933" s="75" t="str">
        <f>IF(Main[[#This Row],[Tech Start Date]]&lt;1/1/1990,"",IF(Main[[#This Row],[Class]]="C",WORKDAY(Main[[#This Row],[Tech Start Date]],23),IF(Main[[#This Row],[Class]]="B", WORKDAY(Main[[#This Row],[Tech Start Date]],15),IF(Main[[#This Row],[Class]]="A",WORKDAY(Main[[#This Row],[Tech Start Date]],5),""))))</f>
        <v/>
      </c>
      <c r="P933" s="75" t="str">
        <f>IF(Main[[#This Row],[Tech Start Date]]&lt;1/1/1990,"",IF(Main[[#This Row],[Class]]="C",WORKDAY(Main[[#This Row],[Tech Start Date]],28),IF(Main[[#This Row],[Class]]="B", WORKDAY(Main[[#This Row],[Tech Start Date]],19),IF(Main[[#This Row],[Class]]="A",WORKDAY(Main[[#This Row],[Tech Start Date]],9),""))))</f>
        <v/>
      </c>
      <c r="Q933" s="89">
        <v>40598</v>
      </c>
      <c r="R933" s="121"/>
      <c r="S933" s="99" t="s">
        <v>11</v>
      </c>
      <c r="T933" s="76" t="s">
        <v>4</v>
      </c>
      <c r="U933" s="99" t="s">
        <v>14</v>
      </c>
      <c r="V933" s="99" t="s">
        <v>1923</v>
      </c>
      <c r="W933" s="99" t="s">
        <v>1919</v>
      </c>
      <c r="X933" s="99" t="s">
        <v>2842</v>
      </c>
      <c r="Y933" s="73" t="s">
        <v>2973</v>
      </c>
      <c r="Z933" s="73" t="s">
        <v>4</v>
      </c>
      <c r="AA933" s="99" t="s">
        <v>2842</v>
      </c>
    </row>
    <row r="934" spans="1:27" ht="17.25" customHeight="1">
      <c r="A934" s="65" t="str">
        <f>IF(priority(Main[[#This Row],[Comments]])&lt;&gt;0, priority(Main[[#This Row],[Comments]]),"")</f>
        <v/>
      </c>
      <c r="B934" s="60" t="s">
        <v>1746</v>
      </c>
      <c r="C934" s="105" t="s">
        <v>436</v>
      </c>
      <c r="D934" s="74" t="s">
        <v>789</v>
      </c>
      <c r="E934" s="89"/>
      <c r="F934" s="89"/>
      <c r="G934" s="65" t="str">
        <f>IF(stdProdLT(Main[[#This Row],[Comments]])=0.1,"N/A",IF(stdProdLT(Main[[#This Row],[Comments]])=0,"",TRIM(stdProdLT(Main[[#This Row],[Comments]]))))</f>
        <v/>
      </c>
      <c r="H934" s="98" t="str">
        <f>IF(Main[[#This Row],[Std. Prod. Lead Time]]="N/A", "",IF(AND(Main[[#This Row],[In Stock Date]]&lt;&gt;"",Main[[#This Row],[Revised Due Date]]&lt;&gt;"",Main[[#This Row],[In Stock Date]]&lt;&gt;""),Main[[#This Row],[In Stock Date]]-Main[[#This Row],[Revised Due Date]],""))</f>
        <v/>
      </c>
      <c r="I934" s="110" t="s">
        <v>4</v>
      </c>
      <c r="J934" s="99" t="s">
        <v>4</v>
      </c>
      <c r="K934" s="99" t="s">
        <v>4</v>
      </c>
      <c r="L934" s="89"/>
      <c r="M934" s="75" t="str">
        <f>IF(Main[[#This Row],[Tech Start Date]]&lt;1/1/1990,"",IF(Main[[#This Row],[Class]]="C",WORKDAY(Main[[#This Row],[Tech Start Date]],9),IF(Main[[#This Row],[Class]]="B", WORKDAY(Main[[#This Row],[Tech Start Date]],6),IF(Main[[#This Row],[Class]]="A",WORKDAY(Main[[#This Row],[Tech Start Date]],2),""))))</f>
        <v/>
      </c>
      <c r="N934" s="75" t="str">
        <f>IF(Main[[#This Row],[Tech Start Date]]&lt;1/1/1990,"",IF(Main[[#This Row],[Class]]="C",WORKDAY(Main[[#This Row],[Tech Start Date]],19),IF(Main[[#This Row],[Class]]="B", WORKDAY(Main[[#This Row],[Tech Start Date]],12),IF(Main[[#This Row],[Class]]="A",WORKDAY(Main[[#This Row],[Tech Start Date]],4),""))))</f>
        <v/>
      </c>
      <c r="O934" s="75" t="str">
        <f>IF(Main[[#This Row],[Tech Start Date]]&lt;1/1/1990,"",IF(Main[[#This Row],[Class]]="C",WORKDAY(Main[[#This Row],[Tech Start Date]],23),IF(Main[[#This Row],[Class]]="B", WORKDAY(Main[[#This Row],[Tech Start Date]],15),IF(Main[[#This Row],[Class]]="A",WORKDAY(Main[[#This Row],[Tech Start Date]],5),""))))</f>
        <v/>
      </c>
      <c r="P934" s="75" t="str">
        <f>IF(Main[[#This Row],[Tech Start Date]]&lt;1/1/1990,"",IF(Main[[#This Row],[Class]]="C",WORKDAY(Main[[#This Row],[Tech Start Date]],28),IF(Main[[#This Row],[Class]]="B", WORKDAY(Main[[#This Row],[Tech Start Date]],19),IF(Main[[#This Row],[Class]]="A",WORKDAY(Main[[#This Row],[Tech Start Date]],9),""))))</f>
        <v/>
      </c>
      <c r="Q934" s="89"/>
      <c r="R934" s="121"/>
      <c r="S934" s="99" t="s">
        <v>11</v>
      </c>
      <c r="T934" s="76" t="s">
        <v>4</v>
      </c>
      <c r="U934" s="99" t="s">
        <v>14</v>
      </c>
      <c r="V934" s="99" t="s">
        <v>1913</v>
      </c>
      <c r="W934" s="99" t="s">
        <v>1921</v>
      </c>
      <c r="X934" s="99" t="s">
        <v>2847</v>
      </c>
      <c r="Y934" s="73" t="s">
        <v>2985</v>
      </c>
      <c r="Z934" s="73" t="s">
        <v>4</v>
      </c>
      <c r="AA934" s="99" t="s">
        <v>2847</v>
      </c>
    </row>
    <row r="935" spans="1:27" ht="17.25" customHeight="1">
      <c r="A935" s="65" t="str">
        <f>IF(priority(Main[[#This Row],[Comments]])&lt;&gt;0, priority(Main[[#This Row],[Comments]]),"")</f>
        <v/>
      </c>
      <c r="B935" s="60" t="s">
        <v>1748</v>
      </c>
      <c r="C935" s="105" t="s">
        <v>4</v>
      </c>
      <c r="D935" s="74" t="s">
        <v>798</v>
      </c>
      <c r="E935" s="89"/>
      <c r="F935" s="89"/>
      <c r="G935" s="65" t="str">
        <f>IF(stdProdLT(Main[[#This Row],[Comments]])=0.1,"N/A",IF(stdProdLT(Main[[#This Row],[Comments]])=0,"",TRIM(stdProdLT(Main[[#This Row],[Comments]]))))</f>
        <v/>
      </c>
      <c r="H935" s="98" t="str">
        <f>IF(Main[[#This Row],[Std. Prod. Lead Time]]="N/A", "",IF(AND(Main[[#This Row],[In Stock Date]]&lt;&gt;"",Main[[#This Row],[Revised Due Date]]&lt;&gt;"",Main[[#This Row],[In Stock Date]]&lt;&gt;""),Main[[#This Row],[In Stock Date]]-Main[[#This Row],[Revised Due Date]],""))</f>
        <v/>
      </c>
      <c r="I935" s="110" t="s">
        <v>4</v>
      </c>
      <c r="J935" s="99" t="s">
        <v>4</v>
      </c>
      <c r="K935" s="99" t="s">
        <v>4</v>
      </c>
      <c r="L935" s="89"/>
      <c r="M935" s="75" t="str">
        <f>IF(Main[[#This Row],[Tech Start Date]]&lt;1/1/1990,"",IF(Main[[#This Row],[Class]]="C",WORKDAY(Main[[#This Row],[Tech Start Date]],9),IF(Main[[#This Row],[Class]]="B", WORKDAY(Main[[#This Row],[Tech Start Date]],6),IF(Main[[#This Row],[Class]]="A",WORKDAY(Main[[#This Row],[Tech Start Date]],2),""))))</f>
        <v/>
      </c>
      <c r="N935" s="75" t="str">
        <f>IF(Main[[#This Row],[Tech Start Date]]&lt;1/1/1990,"",IF(Main[[#This Row],[Class]]="C",WORKDAY(Main[[#This Row],[Tech Start Date]],19),IF(Main[[#This Row],[Class]]="B", WORKDAY(Main[[#This Row],[Tech Start Date]],12),IF(Main[[#This Row],[Class]]="A",WORKDAY(Main[[#This Row],[Tech Start Date]],4),""))))</f>
        <v/>
      </c>
      <c r="O935" s="75" t="str">
        <f>IF(Main[[#This Row],[Tech Start Date]]&lt;1/1/1990,"",IF(Main[[#This Row],[Class]]="C",WORKDAY(Main[[#This Row],[Tech Start Date]],23),IF(Main[[#This Row],[Class]]="B", WORKDAY(Main[[#This Row],[Tech Start Date]],15),IF(Main[[#This Row],[Class]]="A",WORKDAY(Main[[#This Row],[Tech Start Date]],5),""))))</f>
        <v/>
      </c>
      <c r="P935" s="75" t="str">
        <f>IF(Main[[#This Row],[Tech Start Date]]&lt;1/1/1990,"",IF(Main[[#This Row],[Class]]="C",WORKDAY(Main[[#This Row],[Tech Start Date]],28),IF(Main[[#This Row],[Class]]="B", WORKDAY(Main[[#This Row],[Tech Start Date]],19),IF(Main[[#This Row],[Class]]="A",WORKDAY(Main[[#This Row],[Tech Start Date]],9),""))))</f>
        <v/>
      </c>
      <c r="Q935" s="89"/>
      <c r="R935" s="121"/>
      <c r="S935" s="99" t="s">
        <v>23</v>
      </c>
      <c r="T935" s="76" t="s">
        <v>4</v>
      </c>
      <c r="U935" s="99" t="s">
        <v>14</v>
      </c>
      <c r="V935" s="99" t="s">
        <v>1923</v>
      </c>
      <c r="W935" s="99" t="s">
        <v>1917</v>
      </c>
      <c r="X935" s="99" t="s">
        <v>417</v>
      </c>
      <c r="Y935" s="73" t="s">
        <v>3100</v>
      </c>
      <c r="Z935" s="73" t="s">
        <v>4</v>
      </c>
      <c r="AA935" s="99" t="s">
        <v>417</v>
      </c>
    </row>
    <row r="936" spans="1:27" ht="17.25" customHeight="1">
      <c r="A936" s="65" t="str">
        <f>IF(priority(Main[[#This Row],[Comments]])&lt;&gt;0, priority(Main[[#This Row],[Comments]]),"")</f>
        <v/>
      </c>
      <c r="B936" s="60" t="s">
        <v>1096</v>
      </c>
      <c r="C936" s="105" t="s">
        <v>4</v>
      </c>
      <c r="D936" s="74" t="s">
        <v>145</v>
      </c>
      <c r="E936" s="89"/>
      <c r="F936" s="89"/>
      <c r="G936" s="65" t="str">
        <f>IF(stdProdLT(Main[[#This Row],[Comments]])=0.1,"N/A",IF(stdProdLT(Main[[#This Row],[Comments]])=0,"",TRIM(stdProdLT(Main[[#This Row],[Comments]]))))</f>
        <v/>
      </c>
      <c r="H936" s="98" t="str">
        <f>IF(Main[[#This Row],[Std. Prod. Lead Time]]="N/A", "",IF(AND(Main[[#This Row],[In Stock Date]]&lt;&gt;"",Main[[#This Row],[Revised Due Date]]&lt;&gt;"",Main[[#This Row],[In Stock Date]]&lt;&gt;""),Main[[#This Row],[In Stock Date]]-Main[[#This Row],[Revised Due Date]],""))</f>
        <v/>
      </c>
      <c r="I936" s="110" t="s">
        <v>4</v>
      </c>
      <c r="J936" s="99" t="s">
        <v>4</v>
      </c>
      <c r="K936" s="99" t="s">
        <v>4</v>
      </c>
      <c r="L936" s="89"/>
      <c r="M936" s="75" t="str">
        <f>IF(Main[[#This Row],[Tech Start Date]]&lt;1/1/1990,"",IF(Main[[#This Row],[Class]]="C",WORKDAY(Main[[#This Row],[Tech Start Date]],9),IF(Main[[#This Row],[Class]]="B", WORKDAY(Main[[#This Row],[Tech Start Date]],6),IF(Main[[#This Row],[Class]]="A",WORKDAY(Main[[#This Row],[Tech Start Date]],2),""))))</f>
        <v/>
      </c>
      <c r="N936" s="75" t="str">
        <f>IF(Main[[#This Row],[Tech Start Date]]&lt;1/1/1990,"",IF(Main[[#This Row],[Class]]="C",WORKDAY(Main[[#This Row],[Tech Start Date]],19),IF(Main[[#This Row],[Class]]="B", WORKDAY(Main[[#This Row],[Tech Start Date]],12),IF(Main[[#This Row],[Class]]="A",WORKDAY(Main[[#This Row],[Tech Start Date]],4),""))))</f>
        <v/>
      </c>
      <c r="O936" s="75" t="str">
        <f>IF(Main[[#This Row],[Tech Start Date]]&lt;1/1/1990,"",IF(Main[[#This Row],[Class]]="C",WORKDAY(Main[[#This Row],[Tech Start Date]],23),IF(Main[[#This Row],[Class]]="B", WORKDAY(Main[[#This Row],[Tech Start Date]],15),IF(Main[[#This Row],[Class]]="A",WORKDAY(Main[[#This Row],[Tech Start Date]],5),""))))</f>
        <v/>
      </c>
      <c r="P936" s="75" t="str">
        <f>IF(Main[[#This Row],[Tech Start Date]]&lt;1/1/1990,"",IF(Main[[#This Row],[Class]]="C",WORKDAY(Main[[#This Row],[Tech Start Date]],28),IF(Main[[#This Row],[Class]]="B", WORKDAY(Main[[#This Row],[Tech Start Date]],19),IF(Main[[#This Row],[Class]]="A",WORKDAY(Main[[#This Row],[Tech Start Date]],9),""))))</f>
        <v/>
      </c>
      <c r="Q936" s="89"/>
      <c r="R936" s="121"/>
      <c r="S936" s="99" t="s">
        <v>17</v>
      </c>
      <c r="T936" s="76" t="s">
        <v>4</v>
      </c>
      <c r="U936" s="99" t="s">
        <v>14</v>
      </c>
      <c r="V936" s="99" t="s">
        <v>1928</v>
      </c>
      <c r="W936" s="99" t="s">
        <v>1915</v>
      </c>
      <c r="X936" s="99" t="s">
        <v>2901</v>
      </c>
      <c r="Y936" s="73" t="s">
        <v>3099</v>
      </c>
      <c r="Z936" s="73" t="s">
        <v>4</v>
      </c>
      <c r="AA936" s="99" t="s">
        <v>2901</v>
      </c>
    </row>
    <row r="937" spans="1:27" ht="17.25" customHeight="1">
      <c r="A937" s="65" t="str">
        <f>IF(priority(Main[[#This Row],[Comments]])&lt;&gt;0, priority(Main[[#This Row],[Comments]]),"")</f>
        <v/>
      </c>
      <c r="B937" s="60" t="s">
        <v>1680</v>
      </c>
      <c r="C937" s="105" t="s">
        <v>37</v>
      </c>
      <c r="D937" s="74" t="s">
        <v>2387</v>
      </c>
      <c r="E937" s="89">
        <v>40682.483831018515</v>
      </c>
      <c r="F937" s="89"/>
      <c r="G937" s="65" t="str">
        <f>IF(stdProdLT(Main[[#This Row],[Comments]])=0.1,"N/A",IF(stdProdLT(Main[[#This Row],[Comments]])=0,"",TRIM(stdProdLT(Main[[#This Row],[Comments]]))))</f>
        <v/>
      </c>
      <c r="H937" s="98" t="str">
        <f>IF(Main[[#This Row],[Std. Prod. Lead Time]]="N/A", "",IF(AND(Main[[#This Row],[In Stock Date]]&lt;&gt;"",Main[[#This Row],[Revised Due Date]]&lt;&gt;"",Main[[#This Row],[In Stock Date]]&lt;&gt;""),Main[[#This Row],[In Stock Date]]-Main[[#This Row],[Revised Due Date]],""))</f>
        <v/>
      </c>
      <c r="I937" s="110" t="s">
        <v>4</v>
      </c>
      <c r="J937" s="99" t="s">
        <v>4</v>
      </c>
      <c r="K937" s="99" t="s">
        <v>4</v>
      </c>
      <c r="L937" s="89"/>
      <c r="M937" s="75" t="str">
        <f>IF(Main[[#This Row],[Tech Start Date]]&lt;1/1/1990,"",IF(Main[[#This Row],[Class]]="C",WORKDAY(Main[[#This Row],[Tech Start Date]],9),IF(Main[[#This Row],[Class]]="B", WORKDAY(Main[[#This Row],[Tech Start Date]],6),IF(Main[[#This Row],[Class]]="A",WORKDAY(Main[[#This Row],[Tech Start Date]],2),""))))</f>
        <v/>
      </c>
      <c r="N937" s="75" t="str">
        <f>IF(Main[[#This Row],[Tech Start Date]]&lt;1/1/1990,"",IF(Main[[#This Row],[Class]]="C",WORKDAY(Main[[#This Row],[Tech Start Date]],19),IF(Main[[#This Row],[Class]]="B", WORKDAY(Main[[#This Row],[Tech Start Date]],12),IF(Main[[#This Row],[Class]]="A",WORKDAY(Main[[#This Row],[Tech Start Date]],4),""))))</f>
        <v/>
      </c>
      <c r="O937" s="75" t="str">
        <f>IF(Main[[#This Row],[Tech Start Date]]&lt;1/1/1990,"",IF(Main[[#This Row],[Class]]="C",WORKDAY(Main[[#This Row],[Tech Start Date]],23),IF(Main[[#This Row],[Class]]="B", WORKDAY(Main[[#This Row],[Tech Start Date]],15),IF(Main[[#This Row],[Class]]="A",WORKDAY(Main[[#This Row],[Tech Start Date]],5),""))))</f>
        <v/>
      </c>
      <c r="P937" s="75" t="str">
        <f>IF(Main[[#This Row],[Tech Start Date]]&lt;1/1/1990,"",IF(Main[[#This Row],[Class]]="C",WORKDAY(Main[[#This Row],[Tech Start Date]],28),IF(Main[[#This Row],[Class]]="B", WORKDAY(Main[[#This Row],[Tech Start Date]],19),IF(Main[[#This Row],[Class]]="A",WORKDAY(Main[[#This Row],[Tech Start Date]],9),""))))</f>
        <v/>
      </c>
      <c r="Q937" s="89">
        <v>40700</v>
      </c>
      <c r="R937" s="121"/>
      <c r="S937" s="99" t="s">
        <v>6</v>
      </c>
      <c r="T937" s="76" t="s">
        <v>4</v>
      </c>
      <c r="U937" s="99" t="s">
        <v>534</v>
      </c>
      <c r="V937" s="99" t="s">
        <v>1913</v>
      </c>
      <c r="W937" s="99" t="s">
        <v>1924</v>
      </c>
      <c r="X937" s="99" t="s">
        <v>970</v>
      </c>
      <c r="Y937" s="73" t="s">
        <v>3091</v>
      </c>
      <c r="Z937" s="73" t="s">
        <v>4</v>
      </c>
      <c r="AA937" s="99" t="s">
        <v>970</v>
      </c>
    </row>
    <row r="938" spans="1:27" ht="17.25" customHeight="1">
      <c r="A938" s="65" t="str">
        <f>IF(priority(Main[[#This Row],[Comments]])&lt;&gt;0, priority(Main[[#This Row],[Comments]]),"")</f>
        <v/>
      </c>
      <c r="B938" s="60" t="s">
        <v>1749</v>
      </c>
      <c r="C938" s="105" t="s">
        <v>692</v>
      </c>
      <c r="D938" s="74" t="s">
        <v>693</v>
      </c>
      <c r="E938" s="89"/>
      <c r="F938" s="89"/>
      <c r="G938" s="65" t="str">
        <f>IF(stdProdLT(Main[[#This Row],[Comments]])=0.1,"N/A",IF(stdProdLT(Main[[#This Row],[Comments]])=0,"",TRIM(stdProdLT(Main[[#This Row],[Comments]]))))</f>
        <v/>
      </c>
      <c r="H938" s="98" t="str">
        <f>IF(Main[[#This Row],[Std. Prod. Lead Time]]="N/A", "",IF(AND(Main[[#This Row],[In Stock Date]]&lt;&gt;"",Main[[#This Row],[Revised Due Date]]&lt;&gt;"",Main[[#This Row],[In Stock Date]]&lt;&gt;""),Main[[#This Row],[In Stock Date]]-Main[[#This Row],[Revised Due Date]],""))</f>
        <v/>
      </c>
      <c r="I938" s="110" t="s">
        <v>4</v>
      </c>
      <c r="J938" s="99" t="s">
        <v>4</v>
      </c>
      <c r="K938" s="99" t="s">
        <v>4</v>
      </c>
      <c r="L938" s="89"/>
      <c r="M938" s="75" t="str">
        <f>IF(Main[[#This Row],[Tech Start Date]]&lt;1/1/1990,"",IF(Main[[#This Row],[Class]]="C",WORKDAY(Main[[#This Row],[Tech Start Date]],9),IF(Main[[#This Row],[Class]]="B", WORKDAY(Main[[#This Row],[Tech Start Date]],6),IF(Main[[#This Row],[Class]]="A",WORKDAY(Main[[#This Row],[Tech Start Date]],2),""))))</f>
        <v/>
      </c>
      <c r="N938" s="75" t="str">
        <f>IF(Main[[#This Row],[Tech Start Date]]&lt;1/1/1990,"",IF(Main[[#This Row],[Class]]="C",WORKDAY(Main[[#This Row],[Tech Start Date]],19),IF(Main[[#This Row],[Class]]="B", WORKDAY(Main[[#This Row],[Tech Start Date]],12),IF(Main[[#This Row],[Class]]="A",WORKDAY(Main[[#This Row],[Tech Start Date]],4),""))))</f>
        <v/>
      </c>
      <c r="O938" s="75" t="str">
        <f>IF(Main[[#This Row],[Tech Start Date]]&lt;1/1/1990,"",IF(Main[[#This Row],[Class]]="C",WORKDAY(Main[[#This Row],[Tech Start Date]],23),IF(Main[[#This Row],[Class]]="B", WORKDAY(Main[[#This Row],[Tech Start Date]],15),IF(Main[[#This Row],[Class]]="A",WORKDAY(Main[[#This Row],[Tech Start Date]],5),""))))</f>
        <v/>
      </c>
      <c r="P938" s="75" t="str">
        <f>IF(Main[[#This Row],[Tech Start Date]]&lt;1/1/1990,"",IF(Main[[#This Row],[Class]]="C",WORKDAY(Main[[#This Row],[Tech Start Date]],28),IF(Main[[#This Row],[Class]]="B", WORKDAY(Main[[#This Row],[Tech Start Date]],19),IF(Main[[#This Row],[Class]]="A",WORKDAY(Main[[#This Row],[Tech Start Date]],9),""))))</f>
        <v/>
      </c>
      <c r="Q938" s="89">
        <v>40672</v>
      </c>
      <c r="R938" s="121"/>
      <c r="S938" s="99" t="s">
        <v>11</v>
      </c>
      <c r="T938" s="76" t="s">
        <v>4</v>
      </c>
      <c r="U938" s="99" t="s">
        <v>12</v>
      </c>
      <c r="V938" s="99" t="s">
        <v>1913</v>
      </c>
      <c r="W938" s="99" t="s">
        <v>1915</v>
      </c>
      <c r="X938" s="99" t="s">
        <v>2902</v>
      </c>
      <c r="Y938" s="73" t="s">
        <v>4</v>
      </c>
      <c r="Z938" s="73" t="s">
        <v>4</v>
      </c>
      <c r="AA938" s="99" t="s">
        <v>2902</v>
      </c>
    </row>
    <row r="939" spans="1:27" ht="17.25" customHeight="1">
      <c r="A939" s="65" t="str">
        <f>IF(priority(Main[[#This Row],[Comments]])&lt;&gt;0, priority(Main[[#This Row],[Comments]]),"")</f>
        <v/>
      </c>
      <c r="B939" s="60" t="s">
        <v>1750</v>
      </c>
      <c r="C939" s="105" t="s">
        <v>4</v>
      </c>
      <c r="D939" s="74" t="s">
        <v>799</v>
      </c>
      <c r="E939" s="89"/>
      <c r="F939" s="89"/>
      <c r="G939" s="65" t="str">
        <f>IF(stdProdLT(Main[[#This Row],[Comments]])=0.1,"N/A",IF(stdProdLT(Main[[#This Row],[Comments]])=0,"",TRIM(stdProdLT(Main[[#This Row],[Comments]]))))</f>
        <v/>
      </c>
      <c r="H939" s="98" t="str">
        <f>IF(Main[[#This Row],[Std. Prod. Lead Time]]="N/A", "",IF(AND(Main[[#This Row],[In Stock Date]]&lt;&gt;"",Main[[#This Row],[Revised Due Date]]&lt;&gt;"",Main[[#This Row],[In Stock Date]]&lt;&gt;""),Main[[#This Row],[In Stock Date]]-Main[[#This Row],[Revised Due Date]],""))</f>
        <v/>
      </c>
      <c r="I939" s="110" t="s">
        <v>4</v>
      </c>
      <c r="J939" s="99" t="s">
        <v>28</v>
      </c>
      <c r="K939" s="99" t="s">
        <v>1922</v>
      </c>
      <c r="L939" s="89"/>
      <c r="M939" s="75" t="str">
        <f>IF(Main[[#This Row],[Tech Start Date]]&lt;1/1/1990,"",IF(Main[[#This Row],[Class]]="C",WORKDAY(Main[[#This Row],[Tech Start Date]],9),IF(Main[[#This Row],[Class]]="B", WORKDAY(Main[[#This Row],[Tech Start Date]],6),IF(Main[[#This Row],[Class]]="A",WORKDAY(Main[[#This Row],[Tech Start Date]],2),""))))</f>
        <v/>
      </c>
      <c r="N939" s="75" t="str">
        <f>IF(Main[[#This Row],[Tech Start Date]]&lt;1/1/1990,"",IF(Main[[#This Row],[Class]]="C",WORKDAY(Main[[#This Row],[Tech Start Date]],19),IF(Main[[#This Row],[Class]]="B", WORKDAY(Main[[#This Row],[Tech Start Date]],12),IF(Main[[#This Row],[Class]]="A",WORKDAY(Main[[#This Row],[Tech Start Date]],4),""))))</f>
        <v/>
      </c>
      <c r="O939" s="75" t="str">
        <f>IF(Main[[#This Row],[Tech Start Date]]&lt;1/1/1990,"",IF(Main[[#This Row],[Class]]="C",WORKDAY(Main[[#This Row],[Tech Start Date]],23),IF(Main[[#This Row],[Class]]="B", WORKDAY(Main[[#This Row],[Tech Start Date]],15),IF(Main[[#This Row],[Class]]="A",WORKDAY(Main[[#This Row],[Tech Start Date]],5),""))))</f>
        <v/>
      </c>
      <c r="P939" s="75" t="str">
        <f>IF(Main[[#This Row],[Tech Start Date]]&lt;1/1/1990,"",IF(Main[[#This Row],[Class]]="C",WORKDAY(Main[[#This Row],[Tech Start Date]],28),IF(Main[[#This Row],[Class]]="B", WORKDAY(Main[[#This Row],[Tech Start Date]],19),IF(Main[[#This Row],[Class]]="A",WORKDAY(Main[[#This Row],[Tech Start Date]],9),""))))</f>
        <v/>
      </c>
      <c r="Q939" s="89">
        <v>40672</v>
      </c>
      <c r="R939" s="121"/>
      <c r="S939" s="99" t="s">
        <v>6</v>
      </c>
      <c r="T939" s="76" t="s">
        <v>4</v>
      </c>
      <c r="U939" s="99" t="s">
        <v>14</v>
      </c>
      <c r="V939" s="99" t="s">
        <v>1916</v>
      </c>
      <c r="W939" s="99" t="s">
        <v>1915</v>
      </c>
      <c r="X939" s="99" t="s">
        <v>2816</v>
      </c>
      <c r="Y939" s="73" t="s">
        <v>2932</v>
      </c>
      <c r="Z939" s="73" t="s">
        <v>530</v>
      </c>
      <c r="AA939" s="99" t="s">
        <v>2816</v>
      </c>
    </row>
    <row r="940" spans="1:27" ht="17.25" customHeight="1">
      <c r="A940" s="65" t="str">
        <f>IF(priority(Main[[#This Row],[Comments]])&lt;&gt;0, priority(Main[[#This Row],[Comments]]),"")</f>
        <v/>
      </c>
      <c r="B940" s="60" t="s">
        <v>2701</v>
      </c>
      <c r="C940" s="105" t="s">
        <v>47</v>
      </c>
      <c r="D940" s="74" t="s">
        <v>3320</v>
      </c>
      <c r="E940" s="89">
        <v>40893.759675925925</v>
      </c>
      <c r="F940" s="89"/>
      <c r="G940" s="65" t="str">
        <f>IF(stdProdLT(Main[[#This Row],[Comments]])=0.1,"N/A",IF(stdProdLT(Main[[#This Row],[Comments]])=0,"",TRIM(stdProdLT(Main[[#This Row],[Comments]]))))</f>
        <v/>
      </c>
      <c r="H940" s="98" t="str">
        <f>IF(Main[[#This Row],[Std. Prod. Lead Time]]="N/A", "",IF(AND(Main[[#This Row],[In Stock Date]]&lt;&gt;"",Main[[#This Row],[Revised Due Date]]&lt;&gt;"",Main[[#This Row],[In Stock Date]]&lt;&gt;""),Main[[#This Row],[In Stock Date]]-Main[[#This Row],[Revised Due Date]],""))</f>
        <v/>
      </c>
      <c r="I940" s="110" t="s">
        <v>4</v>
      </c>
      <c r="J940" s="99" t="s">
        <v>4</v>
      </c>
      <c r="K940" s="100" t="s">
        <v>4</v>
      </c>
      <c r="L940" s="89"/>
      <c r="M940" s="75" t="str">
        <f>IF(Main[[#This Row],[Tech Start Date]]&lt;1/1/1990,"",IF(Main[[#This Row],[Class]]="C",WORKDAY(Main[[#This Row],[Tech Start Date]],9),IF(Main[[#This Row],[Class]]="B", WORKDAY(Main[[#This Row],[Tech Start Date]],6),IF(Main[[#This Row],[Class]]="A",WORKDAY(Main[[#This Row],[Tech Start Date]],2),""))))</f>
        <v/>
      </c>
      <c r="N940" s="75" t="str">
        <f>IF(Main[[#This Row],[Tech Start Date]]&lt;1/1/1990,"",IF(Main[[#This Row],[Class]]="C",WORKDAY(Main[[#This Row],[Tech Start Date]],19),IF(Main[[#This Row],[Class]]="B", WORKDAY(Main[[#This Row],[Tech Start Date]],12),IF(Main[[#This Row],[Class]]="A",WORKDAY(Main[[#This Row],[Tech Start Date]],4),""))))</f>
        <v/>
      </c>
      <c r="O940" s="75" t="str">
        <f>IF(Main[[#This Row],[Tech Start Date]]&lt;1/1/1990,"",IF(Main[[#This Row],[Class]]="C",WORKDAY(Main[[#This Row],[Tech Start Date]],23),IF(Main[[#This Row],[Class]]="B", WORKDAY(Main[[#This Row],[Tech Start Date]],15),IF(Main[[#This Row],[Class]]="A",WORKDAY(Main[[#This Row],[Tech Start Date]],5),""))))</f>
        <v/>
      </c>
      <c r="P940" s="75" t="str">
        <f>IF(Main[[#This Row],[Tech Start Date]]&lt;1/1/1990,"",IF(Main[[#This Row],[Class]]="C",WORKDAY(Main[[#This Row],[Tech Start Date]],28),IF(Main[[#This Row],[Class]]="B", WORKDAY(Main[[#This Row],[Tech Start Date]],19),IF(Main[[#This Row],[Class]]="A",WORKDAY(Main[[#This Row],[Tech Start Date]],9),""))))</f>
        <v/>
      </c>
      <c r="Q940" s="89">
        <v>40924</v>
      </c>
      <c r="R940" s="121"/>
      <c r="S940" s="99" t="s">
        <v>6</v>
      </c>
      <c r="T940" s="76" t="s">
        <v>4</v>
      </c>
      <c r="U940" s="99" t="s">
        <v>29</v>
      </c>
      <c r="V940" s="99" t="s">
        <v>2279</v>
      </c>
      <c r="W940" s="99" t="s">
        <v>4</v>
      </c>
      <c r="X940" s="99" t="s">
        <v>2859</v>
      </c>
      <c r="Y940" s="73" t="s">
        <v>3004</v>
      </c>
      <c r="Z940" s="73" t="s">
        <v>4</v>
      </c>
      <c r="AA940" s="99" t="s">
        <v>2859</v>
      </c>
    </row>
    <row r="941" spans="1:27" ht="17.25" customHeight="1">
      <c r="A941" s="65" t="str">
        <f>IF(priority(Main[[#This Row],[Comments]])&lt;&gt;0, priority(Main[[#This Row],[Comments]]),"")</f>
        <v/>
      </c>
      <c r="B941" s="60" t="s">
        <v>3321</v>
      </c>
      <c r="C941" s="105" t="s">
        <v>47</v>
      </c>
      <c r="D941" s="74" t="s">
        <v>3322</v>
      </c>
      <c r="E941" s="89">
        <v>40938.416261574072</v>
      </c>
      <c r="F941" s="89"/>
      <c r="G941" s="65" t="str">
        <f>IF(stdProdLT(Main[[#This Row],[Comments]])=0.1,"N/A",IF(stdProdLT(Main[[#This Row],[Comments]])=0,"",TRIM(stdProdLT(Main[[#This Row],[Comments]]))))</f>
        <v/>
      </c>
      <c r="H941" s="98" t="str">
        <f>IF(Main[[#This Row],[Std. Prod. Lead Time]]="N/A", "",IF(AND(Main[[#This Row],[In Stock Date]]&lt;&gt;"",Main[[#This Row],[Revised Due Date]]&lt;&gt;"",Main[[#This Row],[In Stock Date]]&lt;&gt;""),Main[[#This Row],[In Stock Date]]-Main[[#This Row],[Revised Due Date]],""))</f>
        <v/>
      </c>
      <c r="I941" s="110" t="s">
        <v>4</v>
      </c>
      <c r="J941" s="99" t="s">
        <v>4</v>
      </c>
      <c r="K941" s="99" t="s">
        <v>4</v>
      </c>
      <c r="L941" s="89"/>
      <c r="M941" s="75" t="str">
        <f>IF(Main[[#This Row],[Tech Start Date]]&lt;1/1/1990,"",IF(Main[[#This Row],[Class]]="C",WORKDAY(Main[[#This Row],[Tech Start Date]],9),IF(Main[[#This Row],[Class]]="B", WORKDAY(Main[[#This Row],[Tech Start Date]],6),IF(Main[[#This Row],[Class]]="A",WORKDAY(Main[[#This Row],[Tech Start Date]],2),""))))</f>
        <v/>
      </c>
      <c r="N941" s="75" t="str">
        <f>IF(Main[[#This Row],[Tech Start Date]]&lt;1/1/1990,"",IF(Main[[#This Row],[Class]]="C",WORKDAY(Main[[#This Row],[Tech Start Date]],19),IF(Main[[#This Row],[Class]]="B", WORKDAY(Main[[#This Row],[Tech Start Date]],12),IF(Main[[#This Row],[Class]]="A",WORKDAY(Main[[#This Row],[Tech Start Date]],4),""))))</f>
        <v/>
      </c>
      <c r="O941" s="75" t="str">
        <f>IF(Main[[#This Row],[Tech Start Date]]&lt;1/1/1990,"",IF(Main[[#This Row],[Class]]="C",WORKDAY(Main[[#This Row],[Tech Start Date]],23),IF(Main[[#This Row],[Class]]="B", WORKDAY(Main[[#This Row],[Tech Start Date]],15),IF(Main[[#This Row],[Class]]="A",WORKDAY(Main[[#This Row],[Tech Start Date]],5),""))))</f>
        <v/>
      </c>
      <c r="P941" s="75" t="str">
        <f>IF(Main[[#This Row],[Tech Start Date]]&lt;1/1/1990,"",IF(Main[[#This Row],[Class]]="C",WORKDAY(Main[[#This Row],[Tech Start Date]],28),IF(Main[[#This Row],[Class]]="B", WORKDAY(Main[[#This Row],[Tech Start Date]],19),IF(Main[[#This Row],[Class]]="A",WORKDAY(Main[[#This Row],[Tech Start Date]],9),""))))</f>
        <v/>
      </c>
      <c r="Q941" s="89">
        <v>40575</v>
      </c>
      <c r="R941" s="121"/>
      <c r="S941" s="99" t="s">
        <v>6</v>
      </c>
      <c r="T941" s="76" t="s">
        <v>4</v>
      </c>
      <c r="U941" s="99" t="s">
        <v>7</v>
      </c>
      <c r="V941" s="99" t="s">
        <v>2279</v>
      </c>
      <c r="W941" s="99" t="s">
        <v>4</v>
      </c>
      <c r="X941" s="99" t="s">
        <v>2859</v>
      </c>
      <c r="Y941" s="73" t="s">
        <v>3004</v>
      </c>
      <c r="Z941" s="73" t="s">
        <v>4</v>
      </c>
      <c r="AA941" s="99" t="s">
        <v>2859</v>
      </c>
    </row>
    <row r="942" spans="1:27" ht="17.25" customHeight="1">
      <c r="A942" s="65" t="str">
        <f>IF(priority(Main[[#This Row],[Comments]])&lt;&gt;0, priority(Main[[#This Row],[Comments]]),"")</f>
        <v/>
      </c>
      <c r="B942" s="60" t="s">
        <v>1751</v>
      </c>
      <c r="C942" s="105" t="s">
        <v>72</v>
      </c>
      <c r="D942" s="74" t="s">
        <v>800</v>
      </c>
      <c r="E942" s="89"/>
      <c r="F942" s="89"/>
      <c r="G942" s="65" t="str">
        <f>IF(stdProdLT(Main[[#This Row],[Comments]])=0.1,"N/A",IF(stdProdLT(Main[[#This Row],[Comments]])=0,"",TRIM(stdProdLT(Main[[#This Row],[Comments]]))))</f>
        <v/>
      </c>
      <c r="H942" s="98" t="str">
        <f>IF(Main[[#This Row],[Std. Prod. Lead Time]]="N/A", "",IF(AND(Main[[#This Row],[In Stock Date]]&lt;&gt;"",Main[[#This Row],[Revised Due Date]]&lt;&gt;"",Main[[#This Row],[In Stock Date]]&lt;&gt;""),Main[[#This Row],[In Stock Date]]-Main[[#This Row],[Revised Due Date]],""))</f>
        <v/>
      </c>
      <c r="I942" s="110" t="s">
        <v>4</v>
      </c>
      <c r="J942" s="99" t="s">
        <v>52</v>
      </c>
      <c r="K942" s="99" t="s">
        <v>4</v>
      </c>
      <c r="L942" s="89"/>
      <c r="M942" s="75" t="str">
        <f>IF(Main[[#This Row],[Tech Start Date]]&lt;1/1/1990,"",IF(Main[[#This Row],[Class]]="C",WORKDAY(Main[[#This Row],[Tech Start Date]],9),IF(Main[[#This Row],[Class]]="B", WORKDAY(Main[[#This Row],[Tech Start Date]],6),IF(Main[[#This Row],[Class]]="A",WORKDAY(Main[[#This Row],[Tech Start Date]],2),""))))</f>
        <v/>
      </c>
      <c r="N942" s="75" t="str">
        <f>IF(Main[[#This Row],[Tech Start Date]]&lt;1/1/1990,"",IF(Main[[#This Row],[Class]]="C",WORKDAY(Main[[#This Row],[Tech Start Date]],19),IF(Main[[#This Row],[Class]]="B", WORKDAY(Main[[#This Row],[Tech Start Date]],12),IF(Main[[#This Row],[Class]]="A",WORKDAY(Main[[#This Row],[Tech Start Date]],4),""))))</f>
        <v/>
      </c>
      <c r="O942" s="75" t="str">
        <f>IF(Main[[#This Row],[Tech Start Date]]&lt;1/1/1990,"",IF(Main[[#This Row],[Class]]="C",WORKDAY(Main[[#This Row],[Tech Start Date]],23),IF(Main[[#This Row],[Class]]="B", WORKDAY(Main[[#This Row],[Tech Start Date]],15),IF(Main[[#This Row],[Class]]="A",WORKDAY(Main[[#This Row],[Tech Start Date]],5),""))))</f>
        <v/>
      </c>
      <c r="P942" s="75" t="str">
        <f>IF(Main[[#This Row],[Tech Start Date]]&lt;1/1/1990,"",IF(Main[[#This Row],[Class]]="C",WORKDAY(Main[[#This Row],[Tech Start Date]],28),IF(Main[[#This Row],[Class]]="B", WORKDAY(Main[[#This Row],[Tech Start Date]],19),IF(Main[[#This Row],[Class]]="A",WORKDAY(Main[[#This Row],[Tech Start Date]],9),""))))</f>
        <v/>
      </c>
      <c r="Q942" s="89">
        <v>40482</v>
      </c>
      <c r="R942" s="121"/>
      <c r="S942" s="99" t="s">
        <v>11</v>
      </c>
      <c r="T942" s="76" t="s">
        <v>4</v>
      </c>
      <c r="U942" s="99" t="s">
        <v>14</v>
      </c>
      <c r="V942" s="99" t="s">
        <v>1916</v>
      </c>
      <c r="W942" s="99" t="s">
        <v>1921</v>
      </c>
      <c r="X942" s="99" t="s">
        <v>2895</v>
      </c>
      <c r="Y942" s="73" t="s">
        <v>2972</v>
      </c>
      <c r="Z942" s="73" t="s">
        <v>2047</v>
      </c>
      <c r="AA942" s="99" t="s">
        <v>2841</v>
      </c>
    </row>
    <row r="943" spans="1:27" ht="17.25" customHeight="1">
      <c r="A943" s="65" t="str">
        <f>IF(priority(Main[[#This Row],[Comments]])&lt;&gt;0, priority(Main[[#This Row],[Comments]]),"")</f>
        <v/>
      </c>
      <c r="B943" s="60" t="s">
        <v>1752</v>
      </c>
      <c r="C943" s="105" t="s">
        <v>4</v>
      </c>
      <c r="D943" s="74" t="s">
        <v>801</v>
      </c>
      <c r="E943" s="89"/>
      <c r="F943" s="89"/>
      <c r="G943" s="65" t="str">
        <f>IF(stdProdLT(Main[[#This Row],[Comments]])=0.1,"N/A",IF(stdProdLT(Main[[#This Row],[Comments]])=0,"",TRIM(stdProdLT(Main[[#This Row],[Comments]]))))</f>
        <v/>
      </c>
      <c r="H943" s="98" t="str">
        <f>IF(Main[[#This Row],[Std. Prod. Lead Time]]="N/A", "",IF(AND(Main[[#This Row],[In Stock Date]]&lt;&gt;"",Main[[#This Row],[Revised Due Date]]&lt;&gt;"",Main[[#This Row],[In Stock Date]]&lt;&gt;""),Main[[#This Row],[In Stock Date]]-Main[[#This Row],[Revised Due Date]],""))</f>
        <v/>
      </c>
      <c r="I943" s="110" t="s">
        <v>399</v>
      </c>
      <c r="J943" s="99" t="s">
        <v>4</v>
      </c>
      <c r="K943" s="99" t="s">
        <v>4</v>
      </c>
      <c r="L943" s="89"/>
      <c r="M943" s="75" t="str">
        <f>IF(Main[[#This Row],[Tech Start Date]]&lt;1/1/1990,"",IF(Main[[#This Row],[Class]]="C",WORKDAY(Main[[#This Row],[Tech Start Date]],9),IF(Main[[#This Row],[Class]]="B", WORKDAY(Main[[#This Row],[Tech Start Date]],6),IF(Main[[#This Row],[Class]]="A",WORKDAY(Main[[#This Row],[Tech Start Date]],2),""))))</f>
        <v/>
      </c>
      <c r="N943" s="75" t="str">
        <f>IF(Main[[#This Row],[Tech Start Date]]&lt;1/1/1990,"",IF(Main[[#This Row],[Class]]="C",WORKDAY(Main[[#This Row],[Tech Start Date]],19),IF(Main[[#This Row],[Class]]="B", WORKDAY(Main[[#This Row],[Tech Start Date]],12),IF(Main[[#This Row],[Class]]="A",WORKDAY(Main[[#This Row],[Tech Start Date]],4),""))))</f>
        <v/>
      </c>
      <c r="O943" s="75" t="str">
        <f>IF(Main[[#This Row],[Tech Start Date]]&lt;1/1/1990,"",IF(Main[[#This Row],[Class]]="C",WORKDAY(Main[[#This Row],[Tech Start Date]],23),IF(Main[[#This Row],[Class]]="B", WORKDAY(Main[[#This Row],[Tech Start Date]],15),IF(Main[[#This Row],[Class]]="A",WORKDAY(Main[[#This Row],[Tech Start Date]],5),""))))</f>
        <v/>
      </c>
      <c r="P943" s="75" t="str">
        <f>IF(Main[[#This Row],[Tech Start Date]]&lt;1/1/1990,"",IF(Main[[#This Row],[Class]]="C",WORKDAY(Main[[#This Row],[Tech Start Date]],28),IF(Main[[#This Row],[Class]]="B", WORKDAY(Main[[#This Row],[Tech Start Date]],19),IF(Main[[#This Row],[Class]]="A",WORKDAY(Main[[#This Row],[Tech Start Date]],9),""))))</f>
        <v/>
      </c>
      <c r="Q943" s="89">
        <v>40359</v>
      </c>
      <c r="R943" s="121"/>
      <c r="S943" s="99" t="s">
        <v>11</v>
      </c>
      <c r="T943" s="76" t="s">
        <v>4</v>
      </c>
      <c r="U943" s="99" t="s">
        <v>14</v>
      </c>
      <c r="V943" s="99" t="s">
        <v>1916</v>
      </c>
      <c r="W943" s="99" t="s">
        <v>1919</v>
      </c>
      <c r="X943" s="99" t="s">
        <v>2875</v>
      </c>
      <c r="Y943" s="73" t="s">
        <v>3024</v>
      </c>
      <c r="Z943" s="73" t="s">
        <v>306</v>
      </c>
      <c r="AA943" s="99" t="s">
        <v>2875</v>
      </c>
    </row>
    <row r="944" spans="1:27" ht="17.25" customHeight="1">
      <c r="A944" s="65" t="str">
        <f>IF(priority(Main[[#This Row],[Comments]])&lt;&gt;0, priority(Main[[#This Row],[Comments]]),"")</f>
        <v/>
      </c>
      <c r="B944" s="60" t="s">
        <v>1753</v>
      </c>
      <c r="C944" s="105" t="s">
        <v>42</v>
      </c>
      <c r="D944" s="74" t="s">
        <v>802</v>
      </c>
      <c r="E944" s="89">
        <v>39932.448611111111</v>
      </c>
      <c r="F944" s="89"/>
      <c r="G944" s="65" t="str">
        <f>IF(stdProdLT(Main[[#This Row],[Comments]])=0.1,"N/A",IF(stdProdLT(Main[[#This Row],[Comments]])=0,"",TRIM(stdProdLT(Main[[#This Row],[Comments]]))))</f>
        <v/>
      </c>
      <c r="H944" s="98" t="str">
        <f>IF(Main[[#This Row],[Std. Prod. Lead Time]]="N/A", "",IF(AND(Main[[#This Row],[In Stock Date]]&lt;&gt;"",Main[[#This Row],[Revised Due Date]]&lt;&gt;"",Main[[#This Row],[In Stock Date]]&lt;&gt;""),Main[[#This Row],[In Stock Date]]-Main[[#This Row],[Revised Due Date]],""))</f>
        <v/>
      </c>
      <c r="I944" s="110" t="s">
        <v>4</v>
      </c>
      <c r="J944" s="99" t="s">
        <v>4</v>
      </c>
      <c r="K944" s="100" t="s">
        <v>4</v>
      </c>
      <c r="L944" s="89"/>
      <c r="M944" s="75" t="str">
        <f>IF(Main[[#This Row],[Tech Start Date]]&lt;1/1/1990,"",IF(Main[[#This Row],[Class]]="C",WORKDAY(Main[[#This Row],[Tech Start Date]],9),IF(Main[[#This Row],[Class]]="B", WORKDAY(Main[[#This Row],[Tech Start Date]],6),IF(Main[[#This Row],[Class]]="A",WORKDAY(Main[[#This Row],[Tech Start Date]],2),""))))</f>
        <v/>
      </c>
      <c r="N944" s="75" t="str">
        <f>IF(Main[[#This Row],[Tech Start Date]]&lt;1/1/1990,"",IF(Main[[#This Row],[Class]]="C",WORKDAY(Main[[#This Row],[Tech Start Date]],19),IF(Main[[#This Row],[Class]]="B", WORKDAY(Main[[#This Row],[Tech Start Date]],12),IF(Main[[#This Row],[Class]]="A",WORKDAY(Main[[#This Row],[Tech Start Date]],4),""))))</f>
        <v/>
      </c>
      <c r="O944" s="75" t="str">
        <f>IF(Main[[#This Row],[Tech Start Date]]&lt;1/1/1990,"",IF(Main[[#This Row],[Class]]="C",WORKDAY(Main[[#This Row],[Tech Start Date]],23),IF(Main[[#This Row],[Class]]="B", WORKDAY(Main[[#This Row],[Tech Start Date]],15),IF(Main[[#This Row],[Class]]="A",WORKDAY(Main[[#This Row],[Tech Start Date]],5),""))))</f>
        <v/>
      </c>
      <c r="P944" s="75" t="str">
        <f>IF(Main[[#This Row],[Tech Start Date]]&lt;1/1/1990,"",IF(Main[[#This Row],[Class]]="C",WORKDAY(Main[[#This Row],[Tech Start Date]],28),IF(Main[[#This Row],[Class]]="B", WORKDAY(Main[[#This Row],[Tech Start Date]],19),IF(Main[[#This Row],[Class]]="A",WORKDAY(Main[[#This Row],[Tech Start Date]],9),""))))</f>
        <v/>
      </c>
      <c r="Q944" s="89"/>
      <c r="R944" s="121"/>
      <c r="S944" s="99" t="s">
        <v>17</v>
      </c>
      <c r="T944" s="76" t="s">
        <v>4</v>
      </c>
      <c r="U944" s="99" t="s">
        <v>7</v>
      </c>
      <c r="V944" s="99" t="s">
        <v>1916</v>
      </c>
      <c r="W944" s="99" t="s">
        <v>4</v>
      </c>
      <c r="X944" s="99" t="s">
        <v>399</v>
      </c>
      <c r="Y944" s="73" t="s">
        <v>4</v>
      </c>
      <c r="Z944" s="73" t="s">
        <v>4</v>
      </c>
      <c r="AA944" s="99" t="s">
        <v>4</v>
      </c>
    </row>
    <row r="945" spans="1:27" ht="17.25" customHeight="1">
      <c r="A945" s="65" t="str">
        <f>IF(priority(Main[[#This Row],[Comments]])&lt;&gt;0, priority(Main[[#This Row],[Comments]]),"")</f>
        <v/>
      </c>
      <c r="B945" s="60" t="s">
        <v>1712</v>
      </c>
      <c r="C945" s="105" t="s">
        <v>4</v>
      </c>
      <c r="D945" s="74" t="s">
        <v>764</v>
      </c>
      <c r="E945" s="89"/>
      <c r="F945" s="89"/>
      <c r="G945" s="65" t="str">
        <f>IF(stdProdLT(Main[[#This Row],[Comments]])=0.1,"N/A",IF(stdProdLT(Main[[#This Row],[Comments]])=0,"",TRIM(stdProdLT(Main[[#This Row],[Comments]]))))</f>
        <v/>
      </c>
      <c r="H945" s="98" t="str">
        <f>IF(Main[[#This Row],[Std. Prod. Lead Time]]="N/A", "",IF(AND(Main[[#This Row],[In Stock Date]]&lt;&gt;"",Main[[#This Row],[Revised Due Date]]&lt;&gt;"",Main[[#This Row],[In Stock Date]]&lt;&gt;""),Main[[#This Row],[In Stock Date]]-Main[[#This Row],[Revised Due Date]],""))</f>
        <v/>
      </c>
      <c r="I945" s="110" t="s">
        <v>399</v>
      </c>
      <c r="J945" s="99" t="s">
        <v>75</v>
      </c>
      <c r="K945" s="99" t="s">
        <v>4</v>
      </c>
      <c r="L945" s="89"/>
      <c r="M945" s="75" t="str">
        <f>IF(Main[[#This Row],[Tech Start Date]]&lt;1/1/1990,"",IF(Main[[#This Row],[Class]]="C",WORKDAY(Main[[#This Row],[Tech Start Date]],9),IF(Main[[#This Row],[Class]]="B", WORKDAY(Main[[#This Row],[Tech Start Date]],6),IF(Main[[#This Row],[Class]]="A",WORKDAY(Main[[#This Row],[Tech Start Date]],2),""))))</f>
        <v/>
      </c>
      <c r="N945" s="75" t="str">
        <f>IF(Main[[#This Row],[Tech Start Date]]&lt;1/1/1990,"",IF(Main[[#This Row],[Class]]="C",WORKDAY(Main[[#This Row],[Tech Start Date]],19),IF(Main[[#This Row],[Class]]="B", WORKDAY(Main[[#This Row],[Tech Start Date]],12),IF(Main[[#This Row],[Class]]="A",WORKDAY(Main[[#This Row],[Tech Start Date]],4),""))))</f>
        <v/>
      </c>
      <c r="O945" s="75" t="str">
        <f>IF(Main[[#This Row],[Tech Start Date]]&lt;1/1/1990,"",IF(Main[[#This Row],[Class]]="C",WORKDAY(Main[[#This Row],[Tech Start Date]],23),IF(Main[[#This Row],[Class]]="B", WORKDAY(Main[[#This Row],[Tech Start Date]],15),IF(Main[[#This Row],[Class]]="A",WORKDAY(Main[[#This Row],[Tech Start Date]],5),""))))</f>
        <v/>
      </c>
      <c r="P945" s="75" t="str">
        <f>IF(Main[[#This Row],[Tech Start Date]]&lt;1/1/1990,"",IF(Main[[#This Row],[Class]]="C",WORKDAY(Main[[#This Row],[Tech Start Date]],28),IF(Main[[#This Row],[Class]]="B", WORKDAY(Main[[#This Row],[Tech Start Date]],19),IF(Main[[#This Row],[Class]]="A",WORKDAY(Main[[#This Row],[Tech Start Date]],9),""))))</f>
        <v/>
      </c>
      <c r="Q945" s="89">
        <v>40401</v>
      </c>
      <c r="R945" s="121"/>
      <c r="S945" s="99" t="s">
        <v>6</v>
      </c>
      <c r="T945" s="76" t="s">
        <v>4</v>
      </c>
      <c r="U945" s="99" t="s">
        <v>14</v>
      </c>
      <c r="V945" s="99" t="s">
        <v>1916</v>
      </c>
      <c r="W945" s="99" t="s">
        <v>1917</v>
      </c>
      <c r="X945" s="99" t="s">
        <v>399</v>
      </c>
      <c r="Y945" s="73" t="s">
        <v>4</v>
      </c>
      <c r="Z945" s="73" t="s">
        <v>306</v>
      </c>
      <c r="AA945" s="99" t="s">
        <v>4</v>
      </c>
    </row>
    <row r="946" spans="1:27" ht="17.25" customHeight="1">
      <c r="A946" s="65" t="str">
        <f>IF(priority(Main[[#This Row],[Comments]])&lt;&gt;0, priority(Main[[#This Row],[Comments]]),"")</f>
        <v/>
      </c>
      <c r="B946" s="60" t="s">
        <v>1713</v>
      </c>
      <c r="C946" s="105" t="s">
        <v>4</v>
      </c>
      <c r="D946" s="74" t="s">
        <v>766</v>
      </c>
      <c r="E946" s="89">
        <v>40647.40420138889</v>
      </c>
      <c r="F946" s="89"/>
      <c r="G946" s="65" t="str">
        <f>IF(stdProdLT(Main[[#This Row],[Comments]])=0.1,"N/A",IF(stdProdLT(Main[[#This Row],[Comments]])=0,"",TRIM(stdProdLT(Main[[#This Row],[Comments]]))))</f>
        <v/>
      </c>
      <c r="H946" s="98" t="str">
        <f>IF(Main[[#This Row],[Std. Prod. Lead Time]]="N/A", "",IF(AND(Main[[#This Row],[In Stock Date]]&lt;&gt;"",Main[[#This Row],[Revised Due Date]]&lt;&gt;"",Main[[#This Row],[In Stock Date]]&lt;&gt;""),Main[[#This Row],[In Stock Date]]-Main[[#This Row],[Revised Due Date]],""))</f>
        <v/>
      </c>
      <c r="I946" s="110" t="s">
        <v>4</v>
      </c>
      <c r="J946" s="99" t="s">
        <v>4</v>
      </c>
      <c r="K946" s="99" t="s">
        <v>4</v>
      </c>
      <c r="L946" s="89"/>
      <c r="M946" s="75" t="str">
        <f>IF(Main[[#This Row],[Tech Start Date]]&lt;1/1/1990,"",IF(Main[[#This Row],[Class]]="C",WORKDAY(Main[[#This Row],[Tech Start Date]],9),IF(Main[[#This Row],[Class]]="B", WORKDAY(Main[[#This Row],[Tech Start Date]],6),IF(Main[[#This Row],[Class]]="A",WORKDAY(Main[[#This Row],[Tech Start Date]],2),""))))</f>
        <v/>
      </c>
      <c r="N946" s="75" t="str">
        <f>IF(Main[[#This Row],[Tech Start Date]]&lt;1/1/1990,"",IF(Main[[#This Row],[Class]]="C",WORKDAY(Main[[#This Row],[Tech Start Date]],19),IF(Main[[#This Row],[Class]]="B", WORKDAY(Main[[#This Row],[Tech Start Date]],12),IF(Main[[#This Row],[Class]]="A",WORKDAY(Main[[#This Row],[Tech Start Date]],4),""))))</f>
        <v/>
      </c>
      <c r="O946" s="75" t="str">
        <f>IF(Main[[#This Row],[Tech Start Date]]&lt;1/1/1990,"",IF(Main[[#This Row],[Class]]="C",WORKDAY(Main[[#This Row],[Tech Start Date]],23),IF(Main[[#This Row],[Class]]="B", WORKDAY(Main[[#This Row],[Tech Start Date]],15),IF(Main[[#This Row],[Class]]="A",WORKDAY(Main[[#This Row],[Tech Start Date]],5),""))))</f>
        <v/>
      </c>
      <c r="P946" s="75" t="str">
        <f>IF(Main[[#This Row],[Tech Start Date]]&lt;1/1/1990,"",IF(Main[[#This Row],[Class]]="C",WORKDAY(Main[[#This Row],[Tech Start Date]],28),IF(Main[[#This Row],[Class]]="B", WORKDAY(Main[[#This Row],[Tech Start Date]],19),IF(Main[[#This Row],[Class]]="A",WORKDAY(Main[[#This Row],[Tech Start Date]],9),""))))</f>
        <v/>
      </c>
      <c r="Q946" s="89">
        <v>40676</v>
      </c>
      <c r="R946" s="121"/>
      <c r="S946" s="99" t="s">
        <v>6</v>
      </c>
      <c r="T946" s="76" t="s">
        <v>4</v>
      </c>
      <c r="U946" s="99" t="s">
        <v>7</v>
      </c>
      <c r="V946" s="99" t="s">
        <v>1913</v>
      </c>
      <c r="W946" s="99" t="s">
        <v>4</v>
      </c>
      <c r="X946" s="99" t="s">
        <v>2816</v>
      </c>
      <c r="Y946" s="73" t="s">
        <v>2932</v>
      </c>
      <c r="Z946" s="73" t="s">
        <v>4</v>
      </c>
      <c r="AA946" s="99" t="s">
        <v>2816</v>
      </c>
    </row>
    <row r="947" spans="1:27" ht="17.25" customHeight="1">
      <c r="A947" s="65" t="str">
        <f>IF(priority(Main[[#This Row],[Comments]])&lt;&gt;0, priority(Main[[#This Row],[Comments]]),"")</f>
        <v/>
      </c>
      <c r="B947" s="60" t="s">
        <v>1824</v>
      </c>
      <c r="C947" s="105" t="s">
        <v>47</v>
      </c>
      <c r="D947" s="74" t="s">
        <v>876</v>
      </c>
      <c r="E947" s="89">
        <v>39937.613564814812</v>
      </c>
      <c r="F947" s="89"/>
      <c r="G947" s="65" t="str">
        <f>IF(stdProdLT(Main[[#This Row],[Comments]])=0.1,"N/A",IF(stdProdLT(Main[[#This Row],[Comments]])=0,"",TRIM(stdProdLT(Main[[#This Row],[Comments]]))))</f>
        <v/>
      </c>
      <c r="H947" s="98" t="str">
        <f>IF(Main[[#This Row],[Std. Prod. Lead Time]]="N/A", "",IF(AND(Main[[#This Row],[In Stock Date]]&lt;&gt;"",Main[[#This Row],[Revised Due Date]]&lt;&gt;"",Main[[#This Row],[In Stock Date]]&lt;&gt;""),Main[[#This Row],[In Stock Date]]-Main[[#This Row],[Revised Due Date]],""))</f>
        <v/>
      </c>
      <c r="I947" s="110" t="s">
        <v>877</v>
      </c>
      <c r="J947" s="99" t="s">
        <v>4</v>
      </c>
      <c r="K947" s="99" t="s">
        <v>1925</v>
      </c>
      <c r="L947" s="89"/>
      <c r="M947" s="75" t="str">
        <f>IF(Main[[#This Row],[Tech Start Date]]&lt;1/1/1990,"",IF(Main[[#This Row],[Class]]="C",WORKDAY(Main[[#This Row],[Tech Start Date]],9),IF(Main[[#This Row],[Class]]="B", WORKDAY(Main[[#This Row],[Tech Start Date]],6),IF(Main[[#This Row],[Class]]="A",WORKDAY(Main[[#This Row],[Tech Start Date]],2),""))))</f>
        <v/>
      </c>
      <c r="N947" s="75" t="str">
        <f>IF(Main[[#This Row],[Tech Start Date]]&lt;1/1/1990,"",IF(Main[[#This Row],[Class]]="C",WORKDAY(Main[[#This Row],[Tech Start Date]],19),IF(Main[[#This Row],[Class]]="B", WORKDAY(Main[[#This Row],[Tech Start Date]],12),IF(Main[[#This Row],[Class]]="A",WORKDAY(Main[[#This Row],[Tech Start Date]],4),""))))</f>
        <v/>
      </c>
      <c r="O947" s="75" t="str">
        <f>IF(Main[[#This Row],[Tech Start Date]]&lt;1/1/1990,"",IF(Main[[#This Row],[Class]]="C",WORKDAY(Main[[#This Row],[Tech Start Date]],23),IF(Main[[#This Row],[Class]]="B", WORKDAY(Main[[#This Row],[Tech Start Date]],15),IF(Main[[#This Row],[Class]]="A",WORKDAY(Main[[#This Row],[Tech Start Date]],5),""))))</f>
        <v/>
      </c>
      <c r="P947" s="75" t="str">
        <f>IF(Main[[#This Row],[Tech Start Date]]&lt;1/1/1990,"",IF(Main[[#This Row],[Class]]="C",WORKDAY(Main[[#This Row],[Tech Start Date]],28),IF(Main[[#This Row],[Class]]="B", WORKDAY(Main[[#This Row],[Tech Start Date]],19),IF(Main[[#This Row],[Class]]="A",WORKDAY(Main[[#This Row],[Tech Start Date]],9),""))))</f>
        <v/>
      </c>
      <c r="Q947" s="89">
        <v>40267</v>
      </c>
      <c r="R947" s="121">
        <v>40359</v>
      </c>
      <c r="S947" s="99" t="s">
        <v>17</v>
      </c>
      <c r="T947" s="76" t="s">
        <v>4</v>
      </c>
      <c r="U947" s="99" t="s">
        <v>29</v>
      </c>
      <c r="V947" s="99" t="s">
        <v>1913</v>
      </c>
      <c r="W947" s="99" t="s">
        <v>1917</v>
      </c>
      <c r="X947" s="99" t="s">
        <v>306</v>
      </c>
      <c r="Y947" s="73" t="s">
        <v>2935</v>
      </c>
      <c r="Z947" s="73" t="s">
        <v>4</v>
      </c>
      <c r="AA947" s="99" t="s">
        <v>3369</v>
      </c>
    </row>
    <row r="948" spans="1:27" ht="17.25" customHeight="1">
      <c r="A948" s="65" t="str">
        <f>IF(priority(Main[[#This Row],[Comments]])&lt;&gt;0, priority(Main[[#This Row],[Comments]]),"")</f>
        <v/>
      </c>
      <c r="B948" s="60" t="s">
        <v>1714</v>
      </c>
      <c r="C948" s="105" t="s">
        <v>4</v>
      </c>
      <c r="D948" s="74" t="s">
        <v>509</v>
      </c>
      <c r="E948" s="89"/>
      <c r="F948" s="89"/>
      <c r="G948" s="65" t="str">
        <f>IF(stdProdLT(Main[[#This Row],[Comments]])=0.1,"N/A",IF(stdProdLT(Main[[#This Row],[Comments]])=0,"",TRIM(stdProdLT(Main[[#This Row],[Comments]]))))</f>
        <v/>
      </c>
      <c r="H948" s="98" t="str">
        <f>IF(Main[[#This Row],[Std. Prod. Lead Time]]="N/A", "",IF(AND(Main[[#This Row],[In Stock Date]]&lt;&gt;"",Main[[#This Row],[Revised Due Date]]&lt;&gt;"",Main[[#This Row],[In Stock Date]]&lt;&gt;""),Main[[#This Row],[In Stock Date]]-Main[[#This Row],[Revised Due Date]],""))</f>
        <v/>
      </c>
      <c r="I948" s="110" t="s">
        <v>4</v>
      </c>
      <c r="J948" s="99" t="s">
        <v>4</v>
      </c>
      <c r="K948" s="99" t="s">
        <v>4</v>
      </c>
      <c r="L948" s="89"/>
      <c r="M948" s="75" t="str">
        <f>IF(Main[[#This Row],[Tech Start Date]]&lt;1/1/1990,"",IF(Main[[#This Row],[Class]]="C",WORKDAY(Main[[#This Row],[Tech Start Date]],9),IF(Main[[#This Row],[Class]]="B", WORKDAY(Main[[#This Row],[Tech Start Date]],6),IF(Main[[#This Row],[Class]]="A",WORKDAY(Main[[#This Row],[Tech Start Date]],2),""))))</f>
        <v/>
      </c>
      <c r="N948" s="75" t="str">
        <f>IF(Main[[#This Row],[Tech Start Date]]&lt;1/1/1990,"",IF(Main[[#This Row],[Class]]="C",WORKDAY(Main[[#This Row],[Tech Start Date]],19),IF(Main[[#This Row],[Class]]="B", WORKDAY(Main[[#This Row],[Tech Start Date]],12),IF(Main[[#This Row],[Class]]="A",WORKDAY(Main[[#This Row],[Tech Start Date]],4),""))))</f>
        <v/>
      </c>
      <c r="O948" s="75" t="str">
        <f>IF(Main[[#This Row],[Tech Start Date]]&lt;1/1/1990,"",IF(Main[[#This Row],[Class]]="C",WORKDAY(Main[[#This Row],[Tech Start Date]],23),IF(Main[[#This Row],[Class]]="B", WORKDAY(Main[[#This Row],[Tech Start Date]],15),IF(Main[[#This Row],[Class]]="A",WORKDAY(Main[[#This Row],[Tech Start Date]],5),""))))</f>
        <v/>
      </c>
      <c r="P948" s="75" t="str">
        <f>IF(Main[[#This Row],[Tech Start Date]]&lt;1/1/1990,"",IF(Main[[#This Row],[Class]]="C",WORKDAY(Main[[#This Row],[Tech Start Date]],28),IF(Main[[#This Row],[Class]]="B", WORKDAY(Main[[#This Row],[Tech Start Date]],19),IF(Main[[#This Row],[Class]]="A",WORKDAY(Main[[#This Row],[Tech Start Date]],9),""))))</f>
        <v/>
      </c>
      <c r="Q948" s="89"/>
      <c r="R948" s="121"/>
      <c r="S948" s="99" t="s">
        <v>4</v>
      </c>
      <c r="T948" s="76" t="s">
        <v>4</v>
      </c>
      <c r="U948" s="99" t="s">
        <v>14</v>
      </c>
      <c r="V948" s="99" t="s">
        <v>1916</v>
      </c>
      <c r="W948" s="99" t="s">
        <v>4</v>
      </c>
      <c r="X948" s="99" t="s">
        <v>2872</v>
      </c>
      <c r="Y948" s="73" t="s">
        <v>3020</v>
      </c>
      <c r="Z948" s="73" t="s">
        <v>4</v>
      </c>
      <c r="AA948" s="99" t="s">
        <v>2872</v>
      </c>
    </row>
    <row r="949" spans="1:27" ht="17.25" customHeight="1">
      <c r="A949" s="65" t="str">
        <f>IF(priority(Main[[#This Row],[Comments]])&lt;&gt;0, priority(Main[[#This Row],[Comments]]),"")</f>
        <v/>
      </c>
      <c r="B949" s="60" t="s">
        <v>1715</v>
      </c>
      <c r="C949" s="105" t="s">
        <v>277</v>
      </c>
      <c r="D949" s="74" t="s">
        <v>770</v>
      </c>
      <c r="E949" s="89"/>
      <c r="F949" s="89">
        <v>40602</v>
      </c>
      <c r="G949" s="65" t="str">
        <f>IF(stdProdLT(Main[[#This Row],[Comments]])=0.1,"N/A",IF(stdProdLT(Main[[#This Row],[Comments]])=0,"",TRIM(stdProdLT(Main[[#This Row],[Comments]]))))</f>
        <v/>
      </c>
      <c r="H949" s="98" t="str">
        <f>IF(Main[[#This Row],[Std. Prod. Lead Time]]="N/A", "",IF(AND(Main[[#This Row],[In Stock Date]]&lt;&gt;"",Main[[#This Row],[Revised Due Date]]&lt;&gt;"",Main[[#This Row],[In Stock Date]]&lt;&gt;""),Main[[#This Row],[In Stock Date]]-Main[[#This Row],[Revised Due Date]],""))</f>
        <v/>
      </c>
      <c r="I949" s="110" t="s">
        <v>4</v>
      </c>
      <c r="J949" s="99" t="s">
        <v>4</v>
      </c>
      <c r="K949" s="99" t="s">
        <v>4</v>
      </c>
      <c r="L949" s="89"/>
      <c r="M949" s="75" t="str">
        <f>IF(Main[[#This Row],[Tech Start Date]]&lt;1/1/1990,"",IF(Main[[#This Row],[Class]]="C",WORKDAY(Main[[#This Row],[Tech Start Date]],9),IF(Main[[#This Row],[Class]]="B", WORKDAY(Main[[#This Row],[Tech Start Date]],6),IF(Main[[#This Row],[Class]]="A",WORKDAY(Main[[#This Row],[Tech Start Date]],2),""))))</f>
        <v/>
      </c>
      <c r="N949" s="75" t="str">
        <f>IF(Main[[#This Row],[Tech Start Date]]&lt;1/1/1990,"",IF(Main[[#This Row],[Class]]="C",WORKDAY(Main[[#This Row],[Tech Start Date]],19),IF(Main[[#This Row],[Class]]="B", WORKDAY(Main[[#This Row],[Tech Start Date]],12),IF(Main[[#This Row],[Class]]="A",WORKDAY(Main[[#This Row],[Tech Start Date]],4),""))))</f>
        <v/>
      </c>
      <c r="O949" s="75" t="str">
        <f>IF(Main[[#This Row],[Tech Start Date]]&lt;1/1/1990,"",IF(Main[[#This Row],[Class]]="C",WORKDAY(Main[[#This Row],[Tech Start Date]],23),IF(Main[[#This Row],[Class]]="B", WORKDAY(Main[[#This Row],[Tech Start Date]],15),IF(Main[[#This Row],[Class]]="A",WORKDAY(Main[[#This Row],[Tech Start Date]],5),""))))</f>
        <v/>
      </c>
      <c r="P949" s="75" t="str">
        <f>IF(Main[[#This Row],[Tech Start Date]]&lt;1/1/1990,"",IF(Main[[#This Row],[Class]]="C",WORKDAY(Main[[#This Row],[Tech Start Date]],28),IF(Main[[#This Row],[Class]]="B", WORKDAY(Main[[#This Row],[Tech Start Date]],19),IF(Main[[#This Row],[Class]]="A",WORKDAY(Main[[#This Row],[Tech Start Date]],9),""))))</f>
        <v/>
      </c>
      <c r="Q949" s="89">
        <v>40602</v>
      </c>
      <c r="R949" s="121"/>
      <c r="S949" s="99" t="s">
        <v>11</v>
      </c>
      <c r="T949" s="76" t="s">
        <v>4</v>
      </c>
      <c r="U949" s="99" t="s">
        <v>12</v>
      </c>
      <c r="V949" s="99" t="s">
        <v>1914</v>
      </c>
      <c r="W949" s="99" t="s">
        <v>1918</v>
      </c>
      <c r="X949" s="99" t="s">
        <v>2854</v>
      </c>
      <c r="Y949" s="73" t="s">
        <v>4</v>
      </c>
      <c r="Z949" s="73" t="s">
        <v>4</v>
      </c>
      <c r="AA949" s="99" t="s">
        <v>2854</v>
      </c>
    </row>
    <row r="950" spans="1:27" ht="17.25" customHeight="1">
      <c r="A950" s="65" t="str">
        <f>IF(priority(Main[[#This Row],[Comments]])&lt;&gt;0, priority(Main[[#This Row],[Comments]]),"")</f>
        <v/>
      </c>
      <c r="B950" s="60" t="s">
        <v>1716</v>
      </c>
      <c r="C950" s="105" t="s">
        <v>277</v>
      </c>
      <c r="D950" s="74" t="s">
        <v>771</v>
      </c>
      <c r="E950" s="89"/>
      <c r="F950" s="89">
        <v>40602</v>
      </c>
      <c r="G950" s="65" t="str">
        <f>IF(stdProdLT(Main[[#This Row],[Comments]])=0.1,"N/A",IF(stdProdLT(Main[[#This Row],[Comments]])=0,"",TRIM(stdProdLT(Main[[#This Row],[Comments]]))))</f>
        <v/>
      </c>
      <c r="H950" s="98" t="str">
        <f>IF(Main[[#This Row],[Std. Prod. Lead Time]]="N/A", "",IF(AND(Main[[#This Row],[In Stock Date]]&lt;&gt;"",Main[[#This Row],[Revised Due Date]]&lt;&gt;"",Main[[#This Row],[In Stock Date]]&lt;&gt;""),Main[[#This Row],[In Stock Date]]-Main[[#This Row],[Revised Due Date]],""))</f>
        <v/>
      </c>
      <c r="I950" s="110" t="s">
        <v>4</v>
      </c>
      <c r="J950" s="99" t="s">
        <v>4</v>
      </c>
      <c r="K950" s="99" t="s">
        <v>4</v>
      </c>
      <c r="L950" s="89"/>
      <c r="M950" s="75" t="str">
        <f>IF(Main[[#This Row],[Tech Start Date]]&lt;1/1/1990,"",IF(Main[[#This Row],[Class]]="C",WORKDAY(Main[[#This Row],[Tech Start Date]],9),IF(Main[[#This Row],[Class]]="B", WORKDAY(Main[[#This Row],[Tech Start Date]],6),IF(Main[[#This Row],[Class]]="A",WORKDAY(Main[[#This Row],[Tech Start Date]],2),""))))</f>
        <v/>
      </c>
      <c r="N950" s="75" t="str">
        <f>IF(Main[[#This Row],[Tech Start Date]]&lt;1/1/1990,"",IF(Main[[#This Row],[Class]]="C",WORKDAY(Main[[#This Row],[Tech Start Date]],19),IF(Main[[#This Row],[Class]]="B", WORKDAY(Main[[#This Row],[Tech Start Date]],12),IF(Main[[#This Row],[Class]]="A",WORKDAY(Main[[#This Row],[Tech Start Date]],4),""))))</f>
        <v/>
      </c>
      <c r="O950" s="75" t="str">
        <f>IF(Main[[#This Row],[Tech Start Date]]&lt;1/1/1990,"",IF(Main[[#This Row],[Class]]="C",WORKDAY(Main[[#This Row],[Tech Start Date]],23),IF(Main[[#This Row],[Class]]="B", WORKDAY(Main[[#This Row],[Tech Start Date]],15),IF(Main[[#This Row],[Class]]="A",WORKDAY(Main[[#This Row],[Tech Start Date]],5),""))))</f>
        <v/>
      </c>
      <c r="P950" s="75" t="str">
        <f>IF(Main[[#This Row],[Tech Start Date]]&lt;1/1/1990,"",IF(Main[[#This Row],[Class]]="C",WORKDAY(Main[[#This Row],[Tech Start Date]],28),IF(Main[[#This Row],[Class]]="B", WORKDAY(Main[[#This Row],[Tech Start Date]],19),IF(Main[[#This Row],[Class]]="A",WORKDAY(Main[[#This Row],[Tech Start Date]],9),""))))</f>
        <v/>
      </c>
      <c r="Q950" s="89">
        <v>40602</v>
      </c>
      <c r="R950" s="121"/>
      <c r="S950" s="99" t="s">
        <v>11</v>
      </c>
      <c r="T950" s="76" t="s">
        <v>4</v>
      </c>
      <c r="U950" s="99" t="s">
        <v>12</v>
      </c>
      <c r="V950" s="99" t="s">
        <v>1916</v>
      </c>
      <c r="W950" s="99" t="s">
        <v>1918</v>
      </c>
      <c r="X950" s="99" t="s">
        <v>2854</v>
      </c>
      <c r="Y950" s="73" t="s">
        <v>4</v>
      </c>
      <c r="Z950" s="73" t="s">
        <v>4</v>
      </c>
      <c r="AA950" s="99" t="s">
        <v>2854</v>
      </c>
    </row>
    <row r="951" spans="1:27" ht="17.25" customHeight="1">
      <c r="A951" s="65" t="str">
        <f>IF(priority(Main[[#This Row],[Comments]])&lt;&gt;0, priority(Main[[#This Row],[Comments]]),"")</f>
        <v/>
      </c>
      <c r="B951" s="60" t="s">
        <v>3606</v>
      </c>
      <c r="C951" s="105" t="s">
        <v>95</v>
      </c>
      <c r="D951" s="74" t="s">
        <v>3607</v>
      </c>
      <c r="E951" s="89">
        <v>40959.540810185186</v>
      </c>
      <c r="F951" s="89"/>
      <c r="G951" s="65" t="str">
        <f>IF(stdProdLT(Main[[#This Row],[Comments]])=0.1,"N/A",IF(stdProdLT(Main[[#This Row],[Comments]])=0,"",TRIM(stdProdLT(Main[[#This Row],[Comments]]))))</f>
        <v/>
      </c>
      <c r="H951" s="98" t="str">
        <f>IF(Main[[#This Row],[Std. Prod. Lead Time]]="N/A", "",IF(AND(Main[[#This Row],[In Stock Date]]&lt;&gt;"",Main[[#This Row],[Revised Due Date]]&lt;&gt;"",Main[[#This Row],[In Stock Date]]&lt;&gt;""),Main[[#This Row],[In Stock Date]]-Main[[#This Row],[Revised Due Date]],""))</f>
        <v/>
      </c>
      <c r="I951" s="110" t="s">
        <v>4</v>
      </c>
      <c r="J951" s="99" t="s">
        <v>4</v>
      </c>
      <c r="K951" s="99" t="s">
        <v>4</v>
      </c>
      <c r="L951" s="89"/>
      <c r="M951" s="75" t="str">
        <f>IF(Main[[#This Row],[Tech Start Date]]&lt;1/1/1990,"",IF(Main[[#This Row],[Class]]="C",WORKDAY(Main[[#This Row],[Tech Start Date]],9),IF(Main[[#This Row],[Class]]="B", WORKDAY(Main[[#This Row],[Tech Start Date]],6),IF(Main[[#This Row],[Class]]="A",WORKDAY(Main[[#This Row],[Tech Start Date]],2),""))))</f>
        <v/>
      </c>
      <c r="N951" s="75" t="str">
        <f>IF(Main[[#This Row],[Tech Start Date]]&lt;1/1/1990,"",IF(Main[[#This Row],[Class]]="C",WORKDAY(Main[[#This Row],[Tech Start Date]],19),IF(Main[[#This Row],[Class]]="B", WORKDAY(Main[[#This Row],[Tech Start Date]],12),IF(Main[[#This Row],[Class]]="A",WORKDAY(Main[[#This Row],[Tech Start Date]],4),""))))</f>
        <v/>
      </c>
      <c r="O951" s="75" t="str">
        <f>IF(Main[[#This Row],[Tech Start Date]]&lt;1/1/1990,"",IF(Main[[#This Row],[Class]]="C",WORKDAY(Main[[#This Row],[Tech Start Date]],23),IF(Main[[#This Row],[Class]]="B", WORKDAY(Main[[#This Row],[Tech Start Date]],15),IF(Main[[#This Row],[Class]]="A",WORKDAY(Main[[#This Row],[Tech Start Date]],5),""))))</f>
        <v/>
      </c>
      <c r="P951" s="75" t="str">
        <f>IF(Main[[#This Row],[Tech Start Date]]&lt;1/1/1990,"",IF(Main[[#This Row],[Class]]="C",WORKDAY(Main[[#This Row],[Tech Start Date]],28),IF(Main[[#This Row],[Class]]="B", WORKDAY(Main[[#This Row],[Tech Start Date]],19),IF(Main[[#This Row],[Class]]="A",WORKDAY(Main[[#This Row],[Tech Start Date]],9),""))))</f>
        <v/>
      </c>
      <c r="Q951" s="89">
        <v>40999</v>
      </c>
      <c r="R951" s="121"/>
      <c r="S951" s="99" t="s">
        <v>17</v>
      </c>
      <c r="T951" s="76" t="s">
        <v>4</v>
      </c>
      <c r="U951" s="99" t="s">
        <v>7</v>
      </c>
      <c r="V951" s="99" t="s">
        <v>1913</v>
      </c>
      <c r="W951" s="99" t="s">
        <v>1915</v>
      </c>
      <c r="X951" s="99" t="s">
        <v>2846</v>
      </c>
      <c r="Y951" s="73" t="s">
        <v>2984</v>
      </c>
      <c r="Z951" s="73" t="s">
        <v>4</v>
      </c>
      <c r="AA951" s="99" t="s">
        <v>2846</v>
      </c>
    </row>
    <row r="952" spans="1:27" ht="17.25" customHeight="1">
      <c r="A952" s="65" t="str">
        <f>IF(priority(Main[[#This Row],[Comments]])&lt;&gt;0, priority(Main[[#This Row],[Comments]]),"")</f>
        <v/>
      </c>
      <c r="B952" s="60" t="s">
        <v>1860</v>
      </c>
      <c r="C952" s="105" t="s">
        <v>31</v>
      </c>
      <c r="D952" s="74" t="s">
        <v>919</v>
      </c>
      <c r="E952" s="89"/>
      <c r="F952" s="89">
        <v>40664</v>
      </c>
      <c r="G952" s="65" t="str">
        <f>IF(stdProdLT(Main[[#This Row],[Comments]])=0.1,"N/A",IF(stdProdLT(Main[[#This Row],[Comments]])=0,"",TRIM(stdProdLT(Main[[#This Row],[Comments]]))))</f>
        <v/>
      </c>
      <c r="H952" s="98">
        <f>IF(Main[[#This Row],[Std. Prod. Lead Time]]="N/A", "",IF(AND(Main[[#This Row],[In Stock Date]]&lt;&gt;"",Main[[#This Row],[Revised Due Date]]&lt;&gt;"",Main[[#This Row],[In Stock Date]]&lt;&gt;""),Main[[#This Row],[In Stock Date]]-Main[[#This Row],[Revised Due Date]],""))</f>
        <v>87</v>
      </c>
      <c r="I952" s="110" t="s">
        <v>102</v>
      </c>
      <c r="J952" s="99" t="s">
        <v>75</v>
      </c>
      <c r="K952" s="99" t="s">
        <v>1922</v>
      </c>
      <c r="L952" s="89"/>
      <c r="M952" s="75" t="str">
        <f>IF(Main[[#This Row],[Tech Start Date]]&lt;1/1/1990,"",IF(Main[[#This Row],[Class]]="C",WORKDAY(Main[[#This Row],[Tech Start Date]],9),IF(Main[[#This Row],[Class]]="B", WORKDAY(Main[[#This Row],[Tech Start Date]],6),IF(Main[[#This Row],[Class]]="A",WORKDAY(Main[[#This Row],[Tech Start Date]],2),""))))</f>
        <v/>
      </c>
      <c r="N952" s="75" t="str">
        <f>IF(Main[[#This Row],[Tech Start Date]]&lt;1/1/1990,"",IF(Main[[#This Row],[Class]]="C",WORKDAY(Main[[#This Row],[Tech Start Date]],19),IF(Main[[#This Row],[Class]]="B", WORKDAY(Main[[#This Row],[Tech Start Date]],12),IF(Main[[#This Row],[Class]]="A",WORKDAY(Main[[#This Row],[Tech Start Date]],4),""))))</f>
        <v/>
      </c>
      <c r="O952" s="75" t="str">
        <f>IF(Main[[#This Row],[Tech Start Date]]&lt;1/1/1990,"",IF(Main[[#This Row],[Class]]="C",WORKDAY(Main[[#This Row],[Tech Start Date]],23),IF(Main[[#This Row],[Class]]="B", WORKDAY(Main[[#This Row],[Tech Start Date]],15),IF(Main[[#This Row],[Class]]="A",WORKDAY(Main[[#This Row],[Tech Start Date]],5),""))))</f>
        <v/>
      </c>
      <c r="P952" s="75" t="str">
        <f>IF(Main[[#This Row],[Tech Start Date]]&lt;1/1/1990,"",IF(Main[[#This Row],[Class]]="C",WORKDAY(Main[[#This Row],[Tech Start Date]],28),IF(Main[[#This Row],[Class]]="B", WORKDAY(Main[[#This Row],[Tech Start Date]],19),IF(Main[[#This Row],[Class]]="A",WORKDAY(Main[[#This Row],[Tech Start Date]],9),""))))</f>
        <v/>
      </c>
      <c r="Q952" s="89">
        <v>40589</v>
      </c>
      <c r="R952" s="121">
        <v>40577</v>
      </c>
      <c r="S952" s="99" t="s">
        <v>11</v>
      </c>
      <c r="T952" s="76" t="s">
        <v>4</v>
      </c>
      <c r="U952" s="99" t="s">
        <v>14</v>
      </c>
      <c r="V952" s="99" t="s">
        <v>1916</v>
      </c>
      <c r="W952" s="99" t="s">
        <v>1919</v>
      </c>
      <c r="X952" s="99" t="s">
        <v>2819</v>
      </c>
      <c r="Y952" s="73" t="s">
        <v>2961</v>
      </c>
      <c r="Z952" s="73" t="s">
        <v>530</v>
      </c>
      <c r="AA952" s="99" t="s">
        <v>2819</v>
      </c>
    </row>
    <row r="953" spans="1:27" ht="17.25" customHeight="1">
      <c r="A953" s="65" t="str">
        <f>IF(priority(Main[[#This Row],[Comments]])&lt;&gt;0, priority(Main[[#This Row],[Comments]]),"")</f>
        <v/>
      </c>
      <c r="B953" s="60" t="s">
        <v>1720</v>
      </c>
      <c r="C953" s="105" t="s">
        <v>4</v>
      </c>
      <c r="D953" s="74" t="s">
        <v>776</v>
      </c>
      <c r="E953" s="89"/>
      <c r="F953" s="89">
        <v>40025</v>
      </c>
      <c r="G953" s="65" t="str">
        <f>IF(stdProdLT(Main[[#This Row],[Comments]])=0.1,"N/A",IF(stdProdLT(Main[[#This Row],[Comments]])=0,"",TRIM(stdProdLT(Main[[#This Row],[Comments]]))))</f>
        <v/>
      </c>
      <c r="H953" s="98" t="str">
        <f>IF(Main[[#This Row],[Std. Prod. Lead Time]]="N/A", "",IF(AND(Main[[#This Row],[In Stock Date]]&lt;&gt;"",Main[[#This Row],[Revised Due Date]]&lt;&gt;"",Main[[#This Row],[In Stock Date]]&lt;&gt;""),Main[[#This Row],[In Stock Date]]-Main[[#This Row],[Revised Due Date]],""))</f>
        <v/>
      </c>
      <c r="I953" s="110" t="s">
        <v>4</v>
      </c>
      <c r="J953" s="99" t="s">
        <v>4</v>
      </c>
      <c r="K953" s="99" t="s">
        <v>4</v>
      </c>
      <c r="L953" s="89"/>
      <c r="M953" s="75" t="str">
        <f>IF(Main[[#This Row],[Tech Start Date]]&lt;1/1/1990,"",IF(Main[[#This Row],[Class]]="C",WORKDAY(Main[[#This Row],[Tech Start Date]],9),IF(Main[[#This Row],[Class]]="B", WORKDAY(Main[[#This Row],[Tech Start Date]],6),IF(Main[[#This Row],[Class]]="A",WORKDAY(Main[[#This Row],[Tech Start Date]],2),""))))</f>
        <v/>
      </c>
      <c r="N953" s="75" t="str">
        <f>IF(Main[[#This Row],[Tech Start Date]]&lt;1/1/1990,"",IF(Main[[#This Row],[Class]]="C",WORKDAY(Main[[#This Row],[Tech Start Date]],19),IF(Main[[#This Row],[Class]]="B", WORKDAY(Main[[#This Row],[Tech Start Date]],12),IF(Main[[#This Row],[Class]]="A",WORKDAY(Main[[#This Row],[Tech Start Date]],4),""))))</f>
        <v/>
      </c>
      <c r="O953" s="75" t="str">
        <f>IF(Main[[#This Row],[Tech Start Date]]&lt;1/1/1990,"",IF(Main[[#This Row],[Class]]="C",WORKDAY(Main[[#This Row],[Tech Start Date]],23),IF(Main[[#This Row],[Class]]="B", WORKDAY(Main[[#This Row],[Tech Start Date]],15),IF(Main[[#This Row],[Class]]="A",WORKDAY(Main[[#This Row],[Tech Start Date]],5),""))))</f>
        <v/>
      </c>
      <c r="P953" s="75" t="str">
        <f>IF(Main[[#This Row],[Tech Start Date]]&lt;1/1/1990,"",IF(Main[[#This Row],[Class]]="C",WORKDAY(Main[[#This Row],[Tech Start Date]],28),IF(Main[[#This Row],[Class]]="B", WORKDAY(Main[[#This Row],[Tech Start Date]],19),IF(Main[[#This Row],[Class]]="A",WORKDAY(Main[[#This Row],[Tech Start Date]],9),""))))</f>
        <v/>
      </c>
      <c r="Q953" s="89">
        <v>39963</v>
      </c>
      <c r="R953" s="121"/>
      <c r="S953" s="99" t="s">
        <v>11</v>
      </c>
      <c r="T953" s="76" t="s">
        <v>4</v>
      </c>
      <c r="U953" s="99" t="s">
        <v>14</v>
      </c>
      <c r="V953" s="99" t="s">
        <v>1923</v>
      </c>
      <c r="W953" s="99" t="s">
        <v>1921</v>
      </c>
      <c r="X953" s="99" t="s">
        <v>2857</v>
      </c>
      <c r="Y953" s="73" t="s">
        <v>3063</v>
      </c>
      <c r="Z953" s="73" t="s">
        <v>4</v>
      </c>
      <c r="AA953" s="99" t="s">
        <v>2857</v>
      </c>
    </row>
    <row r="954" spans="1:27" ht="17.25" customHeight="1">
      <c r="A954" s="65" t="str">
        <f>IF(priority(Main[[#This Row],[Comments]])&lt;&gt;0, priority(Main[[#This Row],[Comments]]),"")</f>
        <v/>
      </c>
      <c r="B954" s="60" t="s">
        <v>1721</v>
      </c>
      <c r="C954" s="105" t="s">
        <v>4</v>
      </c>
      <c r="D954" s="74" t="s">
        <v>777</v>
      </c>
      <c r="E954" s="89">
        <v>40506.439513888887</v>
      </c>
      <c r="F954" s="89"/>
      <c r="G954" s="65" t="str">
        <f>IF(stdProdLT(Main[[#This Row],[Comments]])=0.1,"N/A",IF(stdProdLT(Main[[#This Row],[Comments]])=0,"",TRIM(stdProdLT(Main[[#This Row],[Comments]]))))</f>
        <v/>
      </c>
      <c r="H954" s="98" t="str">
        <f>IF(Main[[#This Row],[Std. Prod. Lead Time]]="N/A", "",IF(AND(Main[[#This Row],[In Stock Date]]&lt;&gt;"",Main[[#This Row],[Revised Due Date]]&lt;&gt;"",Main[[#This Row],[In Stock Date]]&lt;&gt;""),Main[[#This Row],[In Stock Date]]-Main[[#This Row],[Revised Due Date]],""))</f>
        <v/>
      </c>
      <c r="I954" s="110" t="s">
        <v>4</v>
      </c>
      <c r="J954" s="99" t="s">
        <v>28</v>
      </c>
      <c r="K954" s="100" t="s">
        <v>1920</v>
      </c>
      <c r="L954" s="89"/>
      <c r="M954" s="75" t="str">
        <f>IF(Main[[#This Row],[Tech Start Date]]&lt;1/1/1990,"",IF(Main[[#This Row],[Class]]="C",WORKDAY(Main[[#This Row],[Tech Start Date]],9),IF(Main[[#This Row],[Class]]="B", WORKDAY(Main[[#This Row],[Tech Start Date]],6),IF(Main[[#This Row],[Class]]="A",WORKDAY(Main[[#This Row],[Tech Start Date]],2),""))))</f>
        <v/>
      </c>
      <c r="N954" s="75" t="str">
        <f>IF(Main[[#This Row],[Tech Start Date]]&lt;1/1/1990,"",IF(Main[[#This Row],[Class]]="C",WORKDAY(Main[[#This Row],[Tech Start Date]],19),IF(Main[[#This Row],[Class]]="B", WORKDAY(Main[[#This Row],[Tech Start Date]],12),IF(Main[[#This Row],[Class]]="A",WORKDAY(Main[[#This Row],[Tech Start Date]],4),""))))</f>
        <v/>
      </c>
      <c r="O954" s="75" t="str">
        <f>IF(Main[[#This Row],[Tech Start Date]]&lt;1/1/1990,"",IF(Main[[#This Row],[Class]]="C",WORKDAY(Main[[#This Row],[Tech Start Date]],23),IF(Main[[#This Row],[Class]]="B", WORKDAY(Main[[#This Row],[Tech Start Date]],15),IF(Main[[#This Row],[Class]]="A",WORKDAY(Main[[#This Row],[Tech Start Date]],5),""))))</f>
        <v/>
      </c>
      <c r="P954" s="75" t="str">
        <f>IF(Main[[#This Row],[Tech Start Date]]&lt;1/1/1990,"",IF(Main[[#This Row],[Class]]="C",WORKDAY(Main[[#This Row],[Tech Start Date]],28),IF(Main[[#This Row],[Class]]="B", WORKDAY(Main[[#This Row],[Tech Start Date]],19),IF(Main[[#This Row],[Class]]="A",WORKDAY(Main[[#This Row],[Tech Start Date]],9),""))))</f>
        <v/>
      </c>
      <c r="Q954" s="89">
        <v>40555</v>
      </c>
      <c r="R954" s="121"/>
      <c r="S954" s="99" t="s">
        <v>6</v>
      </c>
      <c r="T954" s="76" t="s">
        <v>4</v>
      </c>
      <c r="U954" s="99" t="s">
        <v>7</v>
      </c>
      <c r="V954" s="99" t="s">
        <v>1913</v>
      </c>
      <c r="W954" s="99" t="s">
        <v>1917</v>
      </c>
      <c r="X954" s="99" t="s">
        <v>2815</v>
      </c>
      <c r="Y954" s="73" t="s">
        <v>2930</v>
      </c>
      <c r="Z954" s="73" t="s">
        <v>129</v>
      </c>
      <c r="AA954" s="99" t="s">
        <v>2815</v>
      </c>
    </row>
    <row r="955" spans="1:27" ht="17.25" customHeight="1">
      <c r="A955" s="12" t="str">
        <f>IF(priority(Main[[#This Row],[Comments]])&lt;&gt;0, priority(Main[[#This Row],[Comments]]),"")</f>
        <v/>
      </c>
      <c r="B955" s="60" t="s">
        <v>1707</v>
      </c>
      <c r="C955" s="104" t="s">
        <v>4</v>
      </c>
      <c r="D955" s="78" t="s">
        <v>710</v>
      </c>
      <c r="E955" s="90"/>
      <c r="F955" s="90"/>
      <c r="G955" s="12" t="str">
        <f>IF(stdProdLT(Main[[#This Row],[Comments]])=0.1,"N/A",IF(stdProdLT(Main[[#This Row],[Comments]])=0,"",TRIM(stdProdLT(Main[[#This Row],[Comments]]))))</f>
        <v/>
      </c>
      <c r="H955" s="101" t="str">
        <f>IF(Main[[#This Row],[Std. Prod. Lead Time]]="N/A", "",IF(AND(Main[[#This Row],[In Stock Date]]&lt;&gt;"",Main[[#This Row],[Revised Due Date]]&lt;&gt;"",Main[[#This Row],[In Stock Date]]&lt;&gt;""),Main[[#This Row],[In Stock Date]]-Main[[#This Row],[Revised Due Date]],""))</f>
        <v/>
      </c>
      <c r="I955" s="111" t="s">
        <v>4</v>
      </c>
      <c r="J955" s="12" t="s">
        <v>28</v>
      </c>
      <c r="K955" s="12" t="s">
        <v>1922</v>
      </c>
      <c r="L955" s="90"/>
      <c r="M955" s="75" t="str">
        <f>IF(Main[[#This Row],[Tech Start Date]]&lt;1/1/1990,"",IF(Main[[#This Row],[Class]]="C",WORKDAY(Main[[#This Row],[Tech Start Date]],9),IF(Main[[#This Row],[Class]]="B", WORKDAY(Main[[#This Row],[Tech Start Date]],6),IF(Main[[#This Row],[Class]]="A",WORKDAY(Main[[#This Row],[Tech Start Date]],2),""))))</f>
        <v/>
      </c>
      <c r="N955" s="75" t="str">
        <f>IF(Main[[#This Row],[Tech Start Date]]&lt;1/1/1990,"",IF(Main[[#This Row],[Class]]="C",WORKDAY(Main[[#This Row],[Tech Start Date]],19),IF(Main[[#This Row],[Class]]="B", WORKDAY(Main[[#This Row],[Tech Start Date]],12),IF(Main[[#This Row],[Class]]="A",WORKDAY(Main[[#This Row],[Tech Start Date]],4),""))))</f>
        <v/>
      </c>
      <c r="O955" s="75" t="str">
        <f>IF(Main[[#This Row],[Tech Start Date]]&lt;1/1/1990,"",IF(Main[[#This Row],[Class]]="C",WORKDAY(Main[[#This Row],[Tech Start Date]],23),IF(Main[[#This Row],[Class]]="B", WORKDAY(Main[[#This Row],[Tech Start Date]],15),IF(Main[[#This Row],[Class]]="A",WORKDAY(Main[[#This Row],[Tech Start Date]],5),""))))</f>
        <v/>
      </c>
      <c r="P955" s="75" t="str">
        <f>IF(Main[[#This Row],[Tech Start Date]]&lt;1/1/1990,"",IF(Main[[#This Row],[Class]]="C",WORKDAY(Main[[#This Row],[Tech Start Date]],28),IF(Main[[#This Row],[Class]]="B", WORKDAY(Main[[#This Row],[Tech Start Date]],19),IF(Main[[#This Row],[Class]]="A",WORKDAY(Main[[#This Row],[Tech Start Date]],9),""))))</f>
        <v/>
      </c>
      <c r="Q955" s="90">
        <v>40647</v>
      </c>
      <c r="R955" s="124"/>
      <c r="S955" s="12" t="s">
        <v>6</v>
      </c>
      <c r="T955" s="79" t="s">
        <v>4</v>
      </c>
      <c r="U955" s="12" t="s">
        <v>14</v>
      </c>
      <c r="V955" s="12" t="s">
        <v>1913</v>
      </c>
      <c r="W955" s="12" t="s">
        <v>1917</v>
      </c>
      <c r="X955" s="12" t="s">
        <v>2815</v>
      </c>
      <c r="Y955" s="77" t="s">
        <v>2930</v>
      </c>
      <c r="Z955" s="77" t="s">
        <v>129</v>
      </c>
      <c r="AA955" s="99" t="s">
        <v>2815</v>
      </c>
    </row>
    <row r="956" spans="1:27" ht="17.25" customHeight="1">
      <c r="A956" s="65" t="str">
        <f>IF(priority(Main[[#This Row],[Comments]])&lt;&gt;0, priority(Main[[#This Row],[Comments]]),"")</f>
        <v/>
      </c>
      <c r="B956" s="60" t="s">
        <v>2069</v>
      </c>
      <c r="C956" s="105" t="s">
        <v>4</v>
      </c>
      <c r="D956" s="74" t="s">
        <v>2384</v>
      </c>
      <c r="E956" s="89">
        <v>40760.555381944447</v>
      </c>
      <c r="F956" s="89"/>
      <c r="G956" s="65" t="str">
        <f>IF(stdProdLT(Main[[#This Row],[Comments]])=0.1,"N/A",IF(stdProdLT(Main[[#This Row],[Comments]])=0,"",TRIM(stdProdLT(Main[[#This Row],[Comments]]))))</f>
        <v/>
      </c>
      <c r="H956" s="98" t="str">
        <f>IF(Main[[#This Row],[Std. Prod. Lead Time]]="N/A", "",IF(AND(Main[[#This Row],[In Stock Date]]&lt;&gt;"",Main[[#This Row],[Revised Due Date]]&lt;&gt;"",Main[[#This Row],[In Stock Date]]&lt;&gt;""),Main[[#This Row],[In Stock Date]]-Main[[#This Row],[Revised Due Date]],""))</f>
        <v/>
      </c>
      <c r="I956" s="110" t="s">
        <v>4</v>
      </c>
      <c r="J956" s="99" t="s">
        <v>4</v>
      </c>
      <c r="K956" s="99" t="s">
        <v>4</v>
      </c>
      <c r="L956" s="89"/>
      <c r="M956" s="75" t="str">
        <f>IF(Main[[#This Row],[Tech Start Date]]&lt;1/1/1990,"",IF(Main[[#This Row],[Class]]="C",WORKDAY(Main[[#This Row],[Tech Start Date]],9),IF(Main[[#This Row],[Class]]="B", WORKDAY(Main[[#This Row],[Tech Start Date]],6),IF(Main[[#This Row],[Class]]="A",WORKDAY(Main[[#This Row],[Tech Start Date]],2),""))))</f>
        <v/>
      </c>
      <c r="N956" s="75" t="str">
        <f>IF(Main[[#This Row],[Tech Start Date]]&lt;1/1/1990,"",IF(Main[[#This Row],[Class]]="C",WORKDAY(Main[[#This Row],[Tech Start Date]],19),IF(Main[[#This Row],[Class]]="B", WORKDAY(Main[[#This Row],[Tech Start Date]],12),IF(Main[[#This Row],[Class]]="A",WORKDAY(Main[[#This Row],[Tech Start Date]],4),""))))</f>
        <v/>
      </c>
      <c r="O956" s="75" t="str">
        <f>IF(Main[[#This Row],[Tech Start Date]]&lt;1/1/1990,"",IF(Main[[#This Row],[Class]]="C",WORKDAY(Main[[#This Row],[Tech Start Date]],23),IF(Main[[#This Row],[Class]]="B", WORKDAY(Main[[#This Row],[Tech Start Date]],15),IF(Main[[#This Row],[Class]]="A",WORKDAY(Main[[#This Row],[Tech Start Date]],5),""))))</f>
        <v/>
      </c>
      <c r="P956" s="75" t="str">
        <f>IF(Main[[#This Row],[Tech Start Date]]&lt;1/1/1990,"",IF(Main[[#This Row],[Class]]="C",WORKDAY(Main[[#This Row],[Tech Start Date]],28),IF(Main[[#This Row],[Class]]="B", WORKDAY(Main[[#This Row],[Tech Start Date]],19),IF(Main[[#This Row],[Class]]="A",WORKDAY(Main[[#This Row],[Tech Start Date]],9),""))))</f>
        <v/>
      </c>
      <c r="Q956" s="89"/>
      <c r="R956" s="121"/>
      <c r="S956" s="99" t="s">
        <v>6</v>
      </c>
      <c r="T956" s="76" t="s">
        <v>4</v>
      </c>
      <c r="U956" s="99" t="s">
        <v>7</v>
      </c>
      <c r="V956" s="99" t="s">
        <v>1913</v>
      </c>
      <c r="W956" s="99" t="s">
        <v>1917</v>
      </c>
      <c r="X956" s="99" t="s">
        <v>306</v>
      </c>
      <c r="Y956" s="73" t="s">
        <v>4</v>
      </c>
      <c r="Z956" s="73" t="s">
        <v>4</v>
      </c>
      <c r="AA956" s="99" t="s">
        <v>4</v>
      </c>
    </row>
    <row r="957" spans="1:27" ht="17.25" customHeight="1">
      <c r="A957" s="65" t="str">
        <f>IF(priority(Main[[#This Row],[Comments]])&lt;&gt;0, priority(Main[[#This Row],[Comments]]),"")</f>
        <v/>
      </c>
      <c r="B957" s="60" t="s">
        <v>1632</v>
      </c>
      <c r="C957" s="105" t="s">
        <v>4</v>
      </c>
      <c r="D957" s="74" t="s">
        <v>2385</v>
      </c>
      <c r="E957" s="89">
        <v>40567.655532407407</v>
      </c>
      <c r="F957" s="89">
        <v>40602</v>
      </c>
      <c r="G957" s="65" t="str">
        <f>IF(stdProdLT(Main[[#This Row],[Comments]])=0.1,"N/A",IF(stdProdLT(Main[[#This Row],[Comments]])=0,"",TRIM(stdProdLT(Main[[#This Row],[Comments]]))))</f>
        <v/>
      </c>
      <c r="H957" s="98" t="str">
        <f>IF(Main[[#This Row],[Std. Prod. Lead Time]]="N/A", "",IF(AND(Main[[#This Row],[In Stock Date]]&lt;&gt;"",Main[[#This Row],[Revised Due Date]]&lt;&gt;"",Main[[#This Row],[In Stock Date]]&lt;&gt;""),Main[[#This Row],[In Stock Date]]-Main[[#This Row],[Revised Due Date]],""))</f>
        <v/>
      </c>
      <c r="I957" s="110" t="s">
        <v>912</v>
      </c>
      <c r="J957" s="99" t="s">
        <v>52</v>
      </c>
      <c r="K957" s="100" t="s">
        <v>1922</v>
      </c>
      <c r="L957" s="89"/>
      <c r="M957" s="75" t="str">
        <f>IF(Main[[#This Row],[Tech Start Date]]&lt;1/1/1990,"",IF(Main[[#This Row],[Class]]="C",WORKDAY(Main[[#This Row],[Tech Start Date]],9),IF(Main[[#This Row],[Class]]="B", WORKDAY(Main[[#This Row],[Tech Start Date]],6),IF(Main[[#This Row],[Class]]="A",WORKDAY(Main[[#This Row],[Tech Start Date]],2),""))))</f>
        <v/>
      </c>
      <c r="N957" s="75" t="str">
        <f>IF(Main[[#This Row],[Tech Start Date]]&lt;1/1/1990,"",IF(Main[[#This Row],[Class]]="C",WORKDAY(Main[[#This Row],[Tech Start Date]],19),IF(Main[[#This Row],[Class]]="B", WORKDAY(Main[[#This Row],[Tech Start Date]],12),IF(Main[[#This Row],[Class]]="A",WORKDAY(Main[[#This Row],[Tech Start Date]],4),""))))</f>
        <v/>
      </c>
      <c r="O957" s="75" t="str">
        <f>IF(Main[[#This Row],[Tech Start Date]]&lt;1/1/1990,"",IF(Main[[#This Row],[Class]]="C",WORKDAY(Main[[#This Row],[Tech Start Date]],23),IF(Main[[#This Row],[Class]]="B", WORKDAY(Main[[#This Row],[Tech Start Date]],15),IF(Main[[#This Row],[Class]]="A",WORKDAY(Main[[#This Row],[Tech Start Date]],5),""))))</f>
        <v/>
      </c>
      <c r="P957" s="75" t="str">
        <f>IF(Main[[#This Row],[Tech Start Date]]&lt;1/1/1990,"",IF(Main[[#This Row],[Class]]="C",WORKDAY(Main[[#This Row],[Tech Start Date]],28),IF(Main[[#This Row],[Class]]="B", WORKDAY(Main[[#This Row],[Tech Start Date]],19),IF(Main[[#This Row],[Class]]="A",WORKDAY(Main[[#This Row],[Tech Start Date]],9),""))))</f>
        <v/>
      </c>
      <c r="Q957" s="89">
        <v>40602</v>
      </c>
      <c r="R957" s="121"/>
      <c r="S957" s="99" t="s">
        <v>6</v>
      </c>
      <c r="T957" s="76" t="s">
        <v>4</v>
      </c>
      <c r="U957" s="99" t="s">
        <v>29</v>
      </c>
      <c r="V957" s="99" t="s">
        <v>1913</v>
      </c>
      <c r="W957" s="99" t="s">
        <v>1915</v>
      </c>
      <c r="X957" s="99" t="s">
        <v>2812</v>
      </c>
      <c r="Y957" s="73" t="s">
        <v>2923</v>
      </c>
      <c r="Z957" s="73" t="s">
        <v>129</v>
      </c>
      <c r="AA957" s="99" t="s">
        <v>2812</v>
      </c>
    </row>
    <row r="958" spans="1:27" ht="17.25" customHeight="1">
      <c r="A958" s="65" t="str">
        <f>IF(priority(Main[[#This Row],[Comments]])&lt;&gt;0, priority(Main[[#This Row],[Comments]]),"")</f>
        <v/>
      </c>
      <c r="B958" s="60" t="s">
        <v>1709</v>
      </c>
      <c r="C958" s="105" t="s">
        <v>4</v>
      </c>
      <c r="D958" s="74" t="s">
        <v>769</v>
      </c>
      <c r="E958" s="89"/>
      <c r="F958" s="89"/>
      <c r="G958" s="65" t="str">
        <f>IF(stdProdLT(Main[[#This Row],[Comments]])=0.1,"N/A",IF(stdProdLT(Main[[#This Row],[Comments]])=0,"",TRIM(stdProdLT(Main[[#This Row],[Comments]]))))</f>
        <v/>
      </c>
      <c r="H958" s="98" t="str">
        <f>IF(Main[[#This Row],[Std. Prod. Lead Time]]="N/A", "",IF(AND(Main[[#This Row],[In Stock Date]]&lt;&gt;"",Main[[#This Row],[Revised Due Date]]&lt;&gt;"",Main[[#This Row],[In Stock Date]]&lt;&gt;""),Main[[#This Row],[In Stock Date]]-Main[[#This Row],[Revised Due Date]],""))</f>
        <v/>
      </c>
      <c r="I958" s="110" t="s">
        <v>4</v>
      </c>
      <c r="J958" s="99" t="s">
        <v>4</v>
      </c>
      <c r="K958" s="99" t="s">
        <v>4</v>
      </c>
      <c r="L958" s="89"/>
      <c r="M958" s="75" t="str">
        <f>IF(Main[[#This Row],[Tech Start Date]]&lt;1/1/1990,"",IF(Main[[#This Row],[Class]]="C",WORKDAY(Main[[#This Row],[Tech Start Date]],9),IF(Main[[#This Row],[Class]]="B", WORKDAY(Main[[#This Row],[Tech Start Date]],6),IF(Main[[#This Row],[Class]]="A",WORKDAY(Main[[#This Row],[Tech Start Date]],2),""))))</f>
        <v/>
      </c>
      <c r="N958" s="75" t="str">
        <f>IF(Main[[#This Row],[Tech Start Date]]&lt;1/1/1990,"",IF(Main[[#This Row],[Class]]="C",WORKDAY(Main[[#This Row],[Tech Start Date]],19),IF(Main[[#This Row],[Class]]="B", WORKDAY(Main[[#This Row],[Tech Start Date]],12),IF(Main[[#This Row],[Class]]="A",WORKDAY(Main[[#This Row],[Tech Start Date]],4),""))))</f>
        <v/>
      </c>
      <c r="O958" s="75" t="str">
        <f>IF(Main[[#This Row],[Tech Start Date]]&lt;1/1/1990,"",IF(Main[[#This Row],[Class]]="C",WORKDAY(Main[[#This Row],[Tech Start Date]],23),IF(Main[[#This Row],[Class]]="B", WORKDAY(Main[[#This Row],[Tech Start Date]],15),IF(Main[[#This Row],[Class]]="A",WORKDAY(Main[[#This Row],[Tech Start Date]],5),""))))</f>
        <v/>
      </c>
      <c r="P958" s="75" t="str">
        <f>IF(Main[[#This Row],[Tech Start Date]]&lt;1/1/1990,"",IF(Main[[#This Row],[Class]]="C",WORKDAY(Main[[#This Row],[Tech Start Date]],28),IF(Main[[#This Row],[Class]]="B", WORKDAY(Main[[#This Row],[Tech Start Date]],19),IF(Main[[#This Row],[Class]]="A",WORKDAY(Main[[#This Row],[Tech Start Date]],9),""))))</f>
        <v/>
      </c>
      <c r="Q958" s="89"/>
      <c r="R958" s="121"/>
      <c r="S958" s="99" t="s">
        <v>6</v>
      </c>
      <c r="T958" s="76" t="s">
        <v>4</v>
      </c>
      <c r="U958" s="99" t="s">
        <v>12</v>
      </c>
      <c r="V958" s="99" t="s">
        <v>1913</v>
      </c>
      <c r="W958" s="99" t="s">
        <v>1917</v>
      </c>
      <c r="X958" s="99" t="s">
        <v>922</v>
      </c>
      <c r="Y958" s="73" t="s">
        <v>2976</v>
      </c>
      <c r="Z958" s="73" t="s">
        <v>4</v>
      </c>
      <c r="AA958" s="99" t="s">
        <v>922</v>
      </c>
    </row>
    <row r="959" spans="1:27" ht="17.25" customHeight="1">
      <c r="A959" s="65" t="str">
        <f>IF(priority(Main[[#This Row],[Comments]])&lt;&gt;0, priority(Main[[#This Row],[Comments]]),"")</f>
        <v/>
      </c>
      <c r="B959" s="60" t="s">
        <v>1205</v>
      </c>
      <c r="C959" s="105" t="s">
        <v>116</v>
      </c>
      <c r="D959" s="74" t="s">
        <v>263</v>
      </c>
      <c r="E959" s="89">
        <v>40681.362476851849</v>
      </c>
      <c r="F959" s="89">
        <v>40734</v>
      </c>
      <c r="G959" s="65" t="str">
        <f>IF(stdProdLT(Main[[#This Row],[Comments]])=0.1,"N/A",IF(stdProdLT(Main[[#This Row],[Comments]])=0,"",TRIM(stdProdLT(Main[[#This Row],[Comments]]))))</f>
        <v/>
      </c>
      <c r="H959" s="98" t="str">
        <f>IF(Main[[#This Row],[Std. Prod. Lead Time]]="N/A", "",IF(AND(Main[[#This Row],[In Stock Date]]&lt;&gt;"",Main[[#This Row],[Revised Due Date]]&lt;&gt;"",Main[[#This Row],[In Stock Date]]&lt;&gt;""),Main[[#This Row],[In Stock Date]]-Main[[#This Row],[Revised Due Date]],""))</f>
        <v/>
      </c>
      <c r="I959" s="110" t="s">
        <v>4</v>
      </c>
      <c r="J959" s="99" t="s">
        <v>4</v>
      </c>
      <c r="K959" s="99" t="s">
        <v>4</v>
      </c>
      <c r="L959" s="89"/>
      <c r="M959" s="75" t="str">
        <f>IF(Main[[#This Row],[Tech Start Date]]&lt;1/1/1990,"",IF(Main[[#This Row],[Class]]="C",WORKDAY(Main[[#This Row],[Tech Start Date]],9),IF(Main[[#This Row],[Class]]="B", WORKDAY(Main[[#This Row],[Tech Start Date]],6),IF(Main[[#This Row],[Class]]="A",WORKDAY(Main[[#This Row],[Tech Start Date]],2),""))))</f>
        <v/>
      </c>
      <c r="N959" s="75" t="str">
        <f>IF(Main[[#This Row],[Tech Start Date]]&lt;1/1/1990,"",IF(Main[[#This Row],[Class]]="C",WORKDAY(Main[[#This Row],[Tech Start Date]],19),IF(Main[[#This Row],[Class]]="B", WORKDAY(Main[[#This Row],[Tech Start Date]],12),IF(Main[[#This Row],[Class]]="A",WORKDAY(Main[[#This Row],[Tech Start Date]],4),""))))</f>
        <v/>
      </c>
      <c r="O959" s="75" t="str">
        <f>IF(Main[[#This Row],[Tech Start Date]]&lt;1/1/1990,"",IF(Main[[#This Row],[Class]]="C",WORKDAY(Main[[#This Row],[Tech Start Date]],23),IF(Main[[#This Row],[Class]]="B", WORKDAY(Main[[#This Row],[Tech Start Date]],15),IF(Main[[#This Row],[Class]]="A",WORKDAY(Main[[#This Row],[Tech Start Date]],5),""))))</f>
        <v/>
      </c>
      <c r="P959" s="75" t="str">
        <f>IF(Main[[#This Row],[Tech Start Date]]&lt;1/1/1990,"",IF(Main[[#This Row],[Class]]="C",WORKDAY(Main[[#This Row],[Tech Start Date]],28),IF(Main[[#This Row],[Class]]="B", WORKDAY(Main[[#This Row],[Tech Start Date]],19),IF(Main[[#This Row],[Class]]="A",WORKDAY(Main[[#This Row],[Tech Start Date]],9),""))))</f>
        <v/>
      </c>
      <c r="Q959" s="89">
        <v>40724</v>
      </c>
      <c r="R959" s="121"/>
      <c r="S959" s="99" t="s">
        <v>17</v>
      </c>
      <c r="T959" s="76" t="s">
        <v>4</v>
      </c>
      <c r="U959" s="99" t="s">
        <v>7</v>
      </c>
      <c r="V959" s="99" t="s">
        <v>1916</v>
      </c>
      <c r="W959" s="99" t="s">
        <v>1917</v>
      </c>
      <c r="X959" s="99" t="s">
        <v>50</v>
      </c>
      <c r="Y959" s="73" t="s">
        <v>2955</v>
      </c>
      <c r="Z959" s="73" t="s">
        <v>4</v>
      </c>
      <c r="AA959" s="99" t="s">
        <v>50</v>
      </c>
    </row>
    <row r="960" spans="1:27" ht="17.25" customHeight="1">
      <c r="A960" s="65" t="str">
        <f>IF(priority(Main[[#This Row],[Comments]])&lt;&gt;0, priority(Main[[#This Row],[Comments]]),"")</f>
        <v/>
      </c>
      <c r="B960" s="60" t="s">
        <v>2390</v>
      </c>
      <c r="C960" s="105" t="s">
        <v>4</v>
      </c>
      <c r="D960" s="74" t="s">
        <v>2391</v>
      </c>
      <c r="E960" s="89"/>
      <c r="F960" s="89"/>
      <c r="G960" s="65" t="str">
        <f>IF(stdProdLT(Main[[#This Row],[Comments]])=0.1,"N/A",IF(stdProdLT(Main[[#This Row],[Comments]])=0,"",TRIM(stdProdLT(Main[[#This Row],[Comments]]))))</f>
        <v/>
      </c>
      <c r="H960" s="98" t="str">
        <f>IF(Main[[#This Row],[Std. Prod. Lead Time]]="N/A", "",IF(AND(Main[[#This Row],[In Stock Date]]&lt;&gt;"",Main[[#This Row],[Revised Due Date]]&lt;&gt;"",Main[[#This Row],[In Stock Date]]&lt;&gt;""),Main[[#This Row],[In Stock Date]]-Main[[#This Row],[Revised Due Date]],""))</f>
        <v/>
      </c>
      <c r="I960" s="110" t="s">
        <v>4</v>
      </c>
      <c r="J960" s="99" t="s">
        <v>4</v>
      </c>
      <c r="K960" s="99" t="s">
        <v>4</v>
      </c>
      <c r="L960" s="89"/>
      <c r="M960" s="75" t="str">
        <f>IF(Main[[#This Row],[Tech Start Date]]&lt;1/1/1990,"",IF(Main[[#This Row],[Class]]="C",WORKDAY(Main[[#This Row],[Tech Start Date]],9),IF(Main[[#This Row],[Class]]="B", WORKDAY(Main[[#This Row],[Tech Start Date]],6),IF(Main[[#This Row],[Class]]="A",WORKDAY(Main[[#This Row],[Tech Start Date]],2),""))))</f>
        <v/>
      </c>
      <c r="N960" s="75" t="str">
        <f>IF(Main[[#This Row],[Tech Start Date]]&lt;1/1/1990,"",IF(Main[[#This Row],[Class]]="C",WORKDAY(Main[[#This Row],[Tech Start Date]],19),IF(Main[[#This Row],[Class]]="B", WORKDAY(Main[[#This Row],[Tech Start Date]],12),IF(Main[[#This Row],[Class]]="A",WORKDAY(Main[[#This Row],[Tech Start Date]],4),""))))</f>
        <v/>
      </c>
      <c r="O960" s="75" t="str">
        <f>IF(Main[[#This Row],[Tech Start Date]]&lt;1/1/1990,"",IF(Main[[#This Row],[Class]]="C",WORKDAY(Main[[#This Row],[Tech Start Date]],23),IF(Main[[#This Row],[Class]]="B", WORKDAY(Main[[#This Row],[Tech Start Date]],15),IF(Main[[#This Row],[Class]]="A",WORKDAY(Main[[#This Row],[Tech Start Date]],5),""))))</f>
        <v/>
      </c>
      <c r="P960" s="75" t="str">
        <f>IF(Main[[#This Row],[Tech Start Date]]&lt;1/1/1990,"",IF(Main[[#This Row],[Class]]="C",WORKDAY(Main[[#This Row],[Tech Start Date]],28),IF(Main[[#This Row],[Class]]="B", WORKDAY(Main[[#This Row],[Tech Start Date]],19),IF(Main[[#This Row],[Class]]="A",WORKDAY(Main[[#This Row],[Tech Start Date]],9),""))))</f>
        <v/>
      </c>
      <c r="Q960" s="89"/>
      <c r="R960" s="121"/>
      <c r="S960" s="99" t="s">
        <v>11</v>
      </c>
      <c r="T960" s="76" t="s">
        <v>4</v>
      </c>
      <c r="U960" s="99" t="s">
        <v>14</v>
      </c>
      <c r="V960" s="99" t="s">
        <v>1914</v>
      </c>
      <c r="W960" s="99" t="s">
        <v>4</v>
      </c>
      <c r="X960" s="99" t="s">
        <v>2245</v>
      </c>
      <c r="Y960" s="73" t="s">
        <v>4</v>
      </c>
      <c r="Z960" s="73" t="s">
        <v>4</v>
      </c>
      <c r="AA960" s="99" t="s">
        <v>4</v>
      </c>
    </row>
    <row r="961" spans="1:27" ht="17.25" customHeight="1">
      <c r="A961" s="65" t="str">
        <f>IF(priority(Main[[#This Row],[Comments]])&lt;&gt;0, priority(Main[[#This Row],[Comments]]),"")</f>
        <v/>
      </c>
      <c r="B961" s="60" t="s">
        <v>1826</v>
      </c>
      <c r="C961" s="105" t="s">
        <v>365</v>
      </c>
      <c r="D961" s="74" t="s">
        <v>2114</v>
      </c>
      <c r="E961" s="89">
        <v>40002.664317129631</v>
      </c>
      <c r="F961" s="89">
        <v>40074</v>
      </c>
      <c r="G961" s="65" t="str">
        <f>IF(stdProdLT(Main[[#This Row],[Comments]])=0.1,"N/A",IF(stdProdLT(Main[[#This Row],[Comments]])=0,"",TRIM(stdProdLT(Main[[#This Row],[Comments]]))))</f>
        <v>126</v>
      </c>
      <c r="H961" s="98">
        <f>IF(Main[[#This Row],[Std. Prod. Lead Time]]="N/A", "",IF(AND(Main[[#This Row],[In Stock Date]]&lt;&gt;"",Main[[#This Row],[Revised Due Date]]&lt;&gt;"",Main[[#This Row],[In Stock Date]]&lt;&gt;""),Main[[#This Row],[In Stock Date]]-Main[[#This Row],[Revised Due Date]],""))</f>
        <v>-399</v>
      </c>
      <c r="I961" s="110" t="s">
        <v>2049</v>
      </c>
      <c r="J961" s="99" t="s">
        <v>28</v>
      </c>
      <c r="K961" s="99" t="s">
        <v>1926</v>
      </c>
      <c r="L961" s="89"/>
      <c r="M961" s="75" t="str">
        <f>IF(Main[[#This Row],[Tech Start Date]]&lt;1/1/1990,"",IF(Main[[#This Row],[Class]]="C",WORKDAY(Main[[#This Row],[Tech Start Date]],9),IF(Main[[#This Row],[Class]]="B", WORKDAY(Main[[#This Row],[Tech Start Date]],6),IF(Main[[#This Row],[Class]]="A",WORKDAY(Main[[#This Row],[Tech Start Date]],2),""))))</f>
        <v/>
      </c>
      <c r="N961" s="75" t="str">
        <f>IF(Main[[#This Row],[Tech Start Date]]&lt;1/1/1990,"",IF(Main[[#This Row],[Class]]="C",WORKDAY(Main[[#This Row],[Tech Start Date]],19),IF(Main[[#This Row],[Class]]="B", WORKDAY(Main[[#This Row],[Tech Start Date]],12),IF(Main[[#This Row],[Class]]="A",WORKDAY(Main[[#This Row],[Tech Start Date]],4),""))))</f>
        <v/>
      </c>
      <c r="O961" s="75" t="str">
        <f>IF(Main[[#This Row],[Tech Start Date]]&lt;1/1/1990,"",IF(Main[[#This Row],[Class]]="C",WORKDAY(Main[[#This Row],[Tech Start Date]],23),IF(Main[[#This Row],[Class]]="B", WORKDAY(Main[[#This Row],[Tech Start Date]],15),IF(Main[[#This Row],[Class]]="A",WORKDAY(Main[[#This Row],[Tech Start Date]],5),""))))</f>
        <v/>
      </c>
      <c r="P961" s="75" t="str">
        <f>IF(Main[[#This Row],[Tech Start Date]]&lt;1/1/1990,"",IF(Main[[#This Row],[Class]]="C",WORKDAY(Main[[#This Row],[Tech Start Date]],28),IF(Main[[#This Row],[Class]]="B", WORKDAY(Main[[#This Row],[Tech Start Date]],19),IF(Main[[#This Row],[Class]]="A",WORKDAY(Main[[#This Row],[Tech Start Date]],9),""))))</f>
        <v/>
      </c>
      <c r="Q961" s="89">
        <v>40057</v>
      </c>
      <c r="R961" s="121">
        <v>40473</v>
      </c>
      <c r="S961" s="99" t="s">
        <v>6</v>
      </c>
      <c r="T961" s="76" t="s">
        <v>2115</v>
      </c>
      <c r="U961" s="99" t="s">
        <v>29</v>
      </c>
      <c r="V961" s="99" t="s">
        <v>1914</v>
      </c>
      <c r="W961" s="99" t="s">
        <v>1917</v>
      </c>
      <c r="X961" s="99" t="s">
        <v>2862</v>
      </c>
      <c r="Y961" s="73" t="s">
        <v>3101</v>
      </c>
      <c r="Z961" s="73" t="s">
        <v>2049</v>
      </c>
      <c r="AA961" s="99" t="s">
        <v>3432</v>
      </c>
    </row>
    <row r="962" spans="1:27" ht="17.25" customHeight="1">
      <c r="A962" s="65" t="str">
        <f>IF(priority(Main[[#This Row],[Comments]])&lt;&gt;0, priority(Main[[#This Row],[Comments]]),"")</f>
        <v/>
      </c>
      <c r="B962" s="60" t="s">
        <v>3230</v>
      </c>
      <c r="C962" s="105" t="s">
        <v>4</v>
      </c>
      <c r="D962" s="74" t="s">
        <v>3231</v>
      </c>
      <c r="E962" s="89">
        <v>40927.617210648146</v>
      </c>
      <c r="F962" s="89"/>
      <c r="G962" s="65" t="str">
        <f>IF(stdProdLT(Main[[#This Row],[Comments]])=0.1,"N/A",IF(stdProdLT(Main[[#This Row],[Comments]])=0,"",TRIM(stdProdLT(Main[[#This Row],[Comments]]))))</f>
        <v/>
      </c>
      <c r="H962" s="98" t="str">
        <f>IF(Main[[#This Row],[Std. Prod. Lead Time]]="N/A", "",IF(AND(Main[[#This Row],[In Stock Date]]&lt;&gt;"",Main[[#This Row],[Revised Due Date]]&lt;&gt;"",Main[[#This Row],[In Stock Date]]&lt;&gt;""),Main[[#This Row],[In Stock Date]]-Main[[#This Row],[Revised Due Date]],""))</f>
        <v/>
      </c>
      <c r="I962" s="110" t="s">
        <v>4</v>
      </c>
      <c r="J962" s="99" t="s">
        <v>4</v>
      </c>
      <c r="K962" s="99" t="s">
        <v>4</v>
      </c>
      <c r="L962" s="89"/>
      <c r="M962" s="75" t="str">
        <f>IF(Main[[#This Row],[Tech Start Date]]&lt;1/1/1990,"",IF(Main[[#This Row],[Class]]="C",WORKDAY(Main[[#This Row],[Tech Start Date]],9),IF(Main[[#This Row],[Class]]="B", WORKDAY(Main[[#This Row],[Tech Start Date]],6),IF(Main[[#This Row],[Class]]="A",WORKDAY(Main[[#This Row],[Tech Start Date]],2),""))))</f>
        <v/>
      </c>
      <c r="N962" s="75" t="str">
        <f>IF(Main[[#This Row],[Tech Start Date]]&lt;1/1/1990,"",IF(Main[[#This Row],[Class]]="C",WORKDAY(Main[[#This Row],[Tech Start Date]],19),IF(Main[[#This Row],[Class]]="B", WORKDAY(Main[[#This Row],[Tech Start Date]],12),IF(Main[[#This Row],[Class]]="A",WORKDAY(Main[[#This Row],[Tech Start Date]],4),""))))</f>
        <v/>
      </c>
      <c r="O962" s="75" t="str">
        <f>IF(Main[[#This Row],[Tech Start Date]]&lt;1/1/1990,"",IF(Main[[#This Row],[Class]]="C",WORKDAY(Main[[#This Row],[Tech Start Date]],23),IF(Main[[#This Row],[Class]]="B", WORKDAY(Main[[#This Row],[Tech Start Date]],15),IF(Main[[#This Row],[Class]]="A",WORKDAY(Main[[#This Row],[Tech Start Date]],5),""))))</f>
        <v/>
      </c>
      <c r="P962" s="75" t="str">
        <f>IF(Main[[#This Row],[Tech Start Date]]&lt;1/1/1990,"",IF(Main[[#This Row],[Class]]="C",WORKDAY(Main[[#This Row],[Tech Start Date]],28),IF(Main[[#This Row],[Class]]="B", WORKDAY(Main[[#This Row],[Tech Start Date]],19),IF(Main[[#This Row],[Class]]="A",WORKDAY(Main[[#This Row],[Tech Start Date]],9),""))))</f>
        <v/>
      </c>
      <c r="Q962" s="89"/>
      <c r="R962" s="121"/>
      <c r="S962" s="99" t="s">
        <v>6</v>
      </c>
      <c r="T962" s="76" t="s">
        <v>4</v>
      </c>
      <c r="U962" s="99" t="s">
        <v>29</v>
      </c>
      <c r="V962" s="99" t="s">
        <v>1914</v>
      </c>
      <c r="W962" s="99" t="s">
        <v>1917</v>
      </c>
      <c r="X962" s="99" t="s">
        <v>102</v>
      </c>
      <c r="Y962" s="73" t="s">
        <v>3232</v>
      </c>
      <c r="Z962" s="73" t="s">
        <v>4</v>
      </c>
      <c r="AA962" s="99" t="s">
        <v>2049</v>
      </c>
    </row>
    <row r="963" spans="1:27" ht="17.25" customHeight="1">
      <c r="A963" s="65" t="str">
        <f>IF(priority(Main[[#This Row],[Comments]])&lt;&gt;0, priority(Main[[#This Row],[Comments]]),"")</f>
        <v/>
      </c>
      <c r="B963" s="60" t="s">
        <v>1758</v>
      </c>
      <c r="C963" s="105" t="s">
        <v>72</v>
      </c>
      <c r="D963" s="74" t="s">
        <v>806</v>
      </c>
      <c r="E963" s="89"/>
      <c r="F963" s="89">
        <v>40756</v>
      </c>
      <c r="G963" s="65" t="str">
        <f>IF(stdProdLT(Main[[#This Row],[Comments]])=0.1,"N/A",IF(stdProdLT(Main[[#This Row],[Comments]])=0,"",TRIM(stdProdLT(Main[[#This Row],[Comments]]))))</f>
        <v/>
      </c>
      <c r="H963" s="98" t="str">
        <f>IF(Main[[#This Row],[Std. Prod. Lead Time]]="N/A", "",IF(AND(Main[[#This Row],[In Stock Date]]&lt;&gt;"",Main[[#This Row],[Revised Due Date]]&lt;&gt;"",Main[[#This Row],[In Stock Date]]&lt;&gt;""),Main[[#This Row],[In Stock Date]]-Main[[#This Row],[Revised Due Date]],""))</f>
        <v/>
      </c>
      <c r="I963" s="110" t="s">
        <v>4</v>
      </c>
      <c r="J963" s="99" t="s">
        <v>28</v>
      </c>
      <c r="K963" s="100" t="s">
        <v>4</v>
      </c>
      <c r="L963" s="89"/>
      <c r="M963" s="75" t="str">
        <f>IF(Main[[#This Row],[Tech Start Date]]&lt;1/1/1990,"",IF(Main[[#This Row],[Class]]="C",WORKDAY(Main[[#This Row],[Tech Start Date]],9),IF(Main[[#This Row],[Class]]="B", WORKDAY(Main[[#This Row],[Tech Start Date]],6),IF(Main[[#This Row],[Class]]="A",WORKDAY(Main[[#This Row],[Tech Start Date]],2),""))))</f>
        <v/>
      </c>
      <c r="N963" s="75" t="str">
        <f>IF(Main[[#This Row],[Tech Start Date]]&lt;1/1/1990,"",IF(Main[[#This Row],[Class]]="C",WORKDAY(Main[[#This Row],[Tech Start Date]],19),IF(Main[[#This Row],[Class]]="B", WORKDAY(Main[[#This Row],[Tech Start Date]],12),IF(Main[[#This Row],[Class]]="A",WORKDAY(Main[[#This Row],[Tech Start Date]],4),""))))</f>
        <v/>
      </c>
      <c r="O963" s="75" t="str">
        <f>IF(Main[[#This Row],[Tech Start Date]]&lt;1/1/1990,"",IF(Main[[#This Row],[Class]]="C",WORKDAY(Main[[#This Row],[Tech Start Date]],23),IF(Main[[#This Row],[Class]]="B", WORKDAY(Main[[#This Row],[Tech Start Date]],15),IF(Main[[#This Row],[Class]]="A",WORKDAY(Main[[#This Row],[Tech Start Date]],5),""))))</f>
        <v/>
      </c>
      <c r="P963" s="75" t="str">
        <f>IF(Main[[#This Row],[Tech Start Date]]&lt;1/1/1990,"",IF(Main[[#This Row],[Class]]="C",WORKDAY(Main[[#This Row],[Tech Start Date]],28),IF(Main[[#This Row],[Class]]="B", WORKDAY(Main[[#This Row],[Tech Start Date]],19),IF(Main[[#This Row],[Class]]="A",WORKDAY(Main[[#This Row],[Tech Start Date]],9),""))))</f>
        <v/>
      </c>
      <c r="Q963" s="89"/>
      <c r="R963" s="121"/>
      <c r="S963" s="99" t="s">
        <v>11</v>
      </c>
      <c r="T963" s="76" t="s">
        <v>4</v>
      </c>
      <c r="U963" s="99" t="s">
        <v>14</v>
      </c>
      <c r="V963" s="99" t="s">
        <v>1916</v>
      </c>
      <c r="W963" s="99" t="s">
        <v>1918</v>
      </c>
      <c r="X963" s="99" t="s">
        <v>50</v>
      </c>
      <c r="Y963" s="73" t="s">
        <v>2972</v>
      </c>
      <c r="Z963" s="73" t="s">
        <v>30</v>
      </c>
      <c r="AA963" s="99" t="s">
        <v>2841</v>
      </c>
    </row>
    <row r="964" spans="1:27" ht="17.25" customHeight="1">
      <c r="A964" s="65" t="str">
        <f>IF(priority(Main[[#This Row],[Comments]])&lt;&gt;0, priority(Main[[#This Row],[Comments]]),"")</f>
        <v/>
      </c>
      <c r="B964" s="60" t="s">
        <v>1759</v>
      </c>
      <c r="C964" s="105" t="s">
        <v>47</v>
      </c>
      <c r="D964" s="74" t="s">
        <v>807</v>
      </c>
      <c r="E964" s="89"/>
      <c r="F964" s="89"/>
      <c r="G964" s="65" t="str">
        <f>IF(stdProdLT(Main[[#This Row],[Comments]])=0.1,"N/A",IF(stdProdLT(Main[[#This Row],[Comments]])=0,"",TRIM(stdProdLT(Main[[#This Row],[Comments]]))))</f>
        <v/>
      </c>
      <c r="H964" s="98" t="str">
        <f>IF(Main[[#This Row],[Std. Prod. Lead Time]]="N/A", "",IF(AND(Main[[#This Row],[In Stock Date]]&lt;&gt;"",Main[[#This Row],[Revised Due Date]]&lt;&gt;"",Main[[#This Row],[In Stock Date]]&lt;&gt;""),Main[[#This Row],[In Stock Date]]-Main[[#This Row],[Revised Due Date]],""))</f>
        <v/>
      </c>
      <c r="I964" s="110" t="s">
        <v>4</v>
      </c>
      <c r="J964" s="99" t="s">
        <v>4</v>
      </c>
      <c r="K964" s="99" t="s">
        <v>4</v>
      </c>
      <c r="L964" s="89"/>
      <c r="M964" s="75" t="str">
        <f>IF(Main[[#This Row],[Tech Start Date]]&lt;1/1/1990,"",IF(Main[[#This Row],[Class]]="C",WORKDAY(Main[[#This Row],[Tech Start Date]],9),IF(Main[[#This Row],[Class]]="B", WORKDAY(Main[[#This Row],[Tech Start Date]],6),IF(Main[[#This Row],[Class]]="A",WORKDAY(Main[[#This Row],[Tech Start Date]],2),""))))</f>
        <v/>
      </c>
      <c r="N964" s="75" t="str">
        <f>IF(Main[[#This Row],[Tech Start Date]]&lt;1/1/1990,"",IF(Main[[#This Row],[Class]]="C",WORKDAY(Main[[#This Row],[Tech Start Date]],19),IF(Main[[#This Row],[Class]]="B", WORKDAY(Main[[#This Row],[Tech Start Date]],12),IF(Main[[#This Row],[Class]]="A",WORKDAY(Main[[#This Row],[Tech Start Date]],4),""))))</f>
        <v/>
      </c>
      <c r="O964" s="75" t="str">
        <f>IF(Main[[#This Row],[Tech Start Date]]&lt;1/1/1990,"",IF(Main[[#This Row],[Class]]="C",WORKDAY(Main[[#This Row],[Tech Start Date]],23),IF(Main[[#This Row],[Class]]="B", WORKDAY(Main[[#This Row],[Tech Start Date]],15),IF(Main[[#This Row],[Class]]="A",WORKDAY(Main[[#This Row],[Tech Start Date]],5),""))))</f>
        <v/>
      </c>
      <c r="P964" s="75" t="str">
        <f>IF(Main[[#This Row],[Tech Start Date]]&lt;1/1/1990,"",IF(Main[[#This Row],[Class]]="C",WORKDAY(Main[[#This Row],[Tech Start Date]],28),IF(Main[[#This Row],[Class]]="B", WORKDAY(Main[[#This Row],[Tech Start Date]],19),IF(Main[[#This Row],[Class]]="A",WORKDAY(Main[[#This Row],[Tech Start Date]],9),""))))</f>
        <v/>
      </c>
      <c r="Q964" s="89"/>
      <c r="R964" s="121"/>
      <c r="S964" s="99" t="s">
        <v>17</v>
      </c>
      <c r="T964" s="76" t="s">
        <v>4</v>
      </c>
      <c r="U964" s="99" t="s">
        <v>14</v>
      </c>
      <c r="V964" s="99" t="s">
        <v>1914</v>
      </c>
      <c r="W964" s="99" t="s">
        <v>1921</v>
      </c>
      <c r="X964" s="99" t="s">
        <v>306</v>
      </c>
      <c r="Y964" s="73" t="s">
        <v>2935</v>
      </c>
      <c r="Z964" s="73" t="s">
        <v>4</v>
      </c>
      <c r="AA964" s="99" t="s">
        <v>3369</v>
      </c>
    </row>
    <row r="965" spans="1:27" ht="17.25" customHeight="1">
      <c r="A965" s="65" t="str">
        <f>IF(priority(Main[[#This Row],[Comments]])&lt;&gt;0, priority(Main[[#This Row],[Comments]]),"")</f>
        <v/>
      </c>
      <c r="B965" s="60" t="s">
        <v>1760</v>
      </c>
      <c r="C965" s="105" t="s">
        <v>4</v>
      </c>
      <c r="D965" s="74" t="s">
        <v>808</v>
      </c>
      <c r="E965" s="89">
        <v>40634.342361111114</v>
      </c>
      <c r="F965" s="89"/>
      <c r="G965" s="65" t="str">
        <f>IF(stdProdLT(Main[[#This Row],[Comments]])=0.1,"N/A",IF(stdProdLT(Main[[#This Row],[Comments]])=0,"",TRIM(stdProdLT(Main[[#This Row],[Comments]]))))</f>
        <v/>
      </c>
      <c r="H965" s="98" t="str">
        <f>IF(Main[[#This Row],[Std. Prod. Lead Time]]="N/A", "",IF(AND(Main[[#This Row],[In Stock Date]]&lt;&gt;"",Main[[#This Row],[Revised Due Date]]&lt;&gt;"",Main[[#This Row],[In Stock Date]]&lt;&gt;""),Main[[#This Row],[In Stock Date]]-Main[[#This Row],[Revised Due Date]],""))</f>
        <v/>
      </c>
      <c r="I965" s="110" t="s">
        <v>4</v>
      </c>
      <c r="J965" s="99" t="s">
        <v>4</v>
      </c>
      <c r="K965" s="99" t="s">
        <v>4</v>
      </c>
      <c r="L965" s="89"/>
      <c r="M965" s="75" t="str">
        <f>IF(Main[[#This Row],[Tech Start Date]]&lt;1/1/1990,"",IF(Main[[#This Row],[Class]]="C",WORKDAY(Main[[#This Row],[Tech Start Date]],9),IF(Main[[#This Row],[Class]]="B", WORKDAY(Main[[#This Row],[Tech Start Date]],6),IF(Main[[#This Row],[Class]]="A",WORKDAY(Main[[#This Row],[Tech Start Date]],2),""))))</f>
        <v/>
      </c>
      <c r="N965" s="75" t="str">
        <f>IF(Main[[#This Row],[Tech Start Date]]&lt;1/1/1990,"",IF(Main[[#This Row],[Class]]="C",WORKDAY(Main[[#This Row],[Tech Start Date]],19),IF(Main[[#This Row],[Class]]="B", WORKDAY(Main[[#This Row],[Tech Start Date]],12),IF(Main[[#This Row],[Class]]="A",WORKDAY(Main[[#This Row],[Tech Start Date]],4),""))))</f>
        <v/>
      </c>
      <c r="O965" s="75" t="str">
        <f>IF(Main[[#This Row],[Tech Start Date]]&lt;1/1/1990,"",IF(Main[[#This Row],[Class]]="C",WORKDAY(Main[[#This Row],[Tech Start Date]],23),IF(Main[[#This Row],[Class]]="B", WORKDAY(Main[[#This Row],[Tech Start Date]],15),IF(Main[[#This Row],[Class]]="A",WORKDAY(Main[[#This Row],[Tech Start Date]],5),""))))</f>
        <v/>
      </c>
      <c r="P965" s="75" t="str">
        <f>IF(Main[[#This Row],[Tech Start Date]]&lt;1/1/1990,"",IF(Main[[#This Row],[Class]]="C",WORKDAY(Main[[#This Row],[Tech Start Date]],28),IF(Main[[#This Row],[Class]]="B", WORKDAY(Main[[#This Row],[Tech Start Date]],19),IF(Main[[#This Row],[Class]]="A",WORKDAY(Main[[#This Row],[Tech Start Date]],9),""))))</f>
        <v/>
      </c>
      <c r="Q965" s="89">
        <v>40676</v>
      </c>
      <c r="R965" s="121"/>
      <c r="S965" s="99" t="s">
        <v>6</v>
      </c>
      <c r="T965" s="76" t="s">
        <v>4</v>
      </c>
      <c r="U965" s="99" t="s">
        <v>7</v>
      </c>
      <c r="V965" s="99" t="s">
        <v>1914</v>
      </c>
      <c r="W965" s="99" t="s">
        <v>4</v>
      </c>
      <c r="X965" s="99" t="s">
        <v>2812</v>
      </c>
      <c r="Y965" s="73" t="s">
        <v>2923</v>
      </c>
      <c r="Z965" s="73" t="s">
        <v>4</v>
      </c>
      <c r="AA965" s="99" t="s">
        <v>2812</v>
      </c>
    </row>
    <row r="966" spans="1:27" ht="17.25" customHeight="1">
      <c r="A966" s="65" t="str">
        <f>IF(priority(Main[[#This Row],[Comments]])&lt;&gt;0, priority(Main[[#This Row],[Comments]]),"")</f>
        <v/>
      </c>
      <c r="B966" s="60" t="s">
        <v>1761</v>
      </c>
      <c r="C966" s="105" t="s">
        <v>31</v>
      </c>
      <c r="D966" s="74" t="s">
        <v>809</v>
      </c>
      <c r="E966" s="89"/>
      <c r="F966" s="89"/>
      <c r="G966" s="65" t="str">
        <f>IF(stdProdLT(Main[[#This Row],[Comments]])=0.1,"N/A",IF(stdProdLT(Main[[#This Row],[Comments]])=0,"",TRIM(stdProdLT(Main[[#This Row],[Comments]]))))</f>
        <v/>
      </c>
      <c r="H966" s="98" t="str">
        <f>IF(Main[[#This Row],[Std. Prod. Lead Time]]="N/A", "",IF(AND(Main[[#This Row],[In Stock Date]]&lt;&gt;"",Main[[#This Row],[Revised Due Date]]&lt;&gt;"",Main[[#This Row],[In Stock Date]]&lt;&gt;""),Main[[#This Row],[In Stock Date]]-Main[[#This Row],[Revised Due Date]],""))</f>
        <v/>
      </c>
      <c r="I966" s="110" t="s">
        <v>4</v>
      </c>
      <c r="J966" s="99" t="s">
        <v>4</v>
      </c>
      <c r="K966" s="99" t="s">
        <v>4</v>
      </c>
      <c r="L966" s="89"/>
      <c r="M966" s="75" t="str">
        <f>IF(Main[[#This Row],[Tech Start Date]]&lt;1/1/1990,"",IF(Main[[#This Row],[Class]]="C",WORKDAY(Main[[#This Row],[Tech Start Date]],9),IF(Main[[#This Row],[Class]]="B", WORKDAY(Main[[#This Row],[Tech Start Date]],6),IF(Main[[#This Row],[Class]]="A",WORKDAY(Main[[#This Row],[Tech Start Date]],2),""))))</f>
        <v/>
      </c>
      <c r="N966" s="75" t="str">
        <f>IF(Main[[#This Row],[Tech Start Date]]&lt;1/1/1990,"",IF(Main[[#This Row],[Class]]="C",WORKDAY(Main[[#This Row],[Tech Start Date]],19),IF(Main[[#This Row],[Class]]="B", WORKDAY(Main[[#This Row],[Tech Start Date]],12),IF(Main[[#This Row],[Class]]="A",WORKDAY(Main[[#This Row],[Tech Start Date]],4),""))))</f>
        <v/>
      </c>
      <c r="O966" s="75" t="str">
        <f>IF(Main[[#This Row],[Tech Start Date]]&lt;1/1/1990,"",IF(Main[[#This Row],[Class]]="C",WORKDAY(Main[[#This Row],[Tech Start Date]],23),IF(Main[[#This Row],[Class]]="B", WORKDAY(Main[[#This Row],[Tech Start Date]],15),IF(Main[[#This Row],[Class]]="A",WORKDAY(Main[[#This Row],[Tech Start Date]],5),""))))</f>
        <v/>
      </c>
      <c r="P966" s="75" t="str">
        <f>IF(Main[[#This Row],[Tech Start Date]]&lt;1/1/1990,"",IF(Main[[#This Row],[Class]]="C",WORKDAY(Main[[#This Row],[Tech Start Date]],28),IF(Main[[#This Row],[Class]]="B", WORKDAY(Main[[#This Row],[Tech Start Date]],19),IF(Main[[#This Row],[Class]]="A",WORKDAY(Main[[#This Row],[Tech Start Date]],9),""))))</f>
        <v/>
      </c>
      <c r="Q966" s="89">
        <v>40318</v>
      </c>
      <c r="R966" s="121"/>
      <c r="S966" s="99" t="s">
        <v>11</v>
      </c>
      <c r="T966" s="76" t="s">
        <v>4</v>
      </c>
      <c r="U966" s="99" t="s">
        <v>14</v>
      </c>
      <c r="V966" s="99" t="s">
        <v>1916</v>
      </c>
      <c r="W966" s="99" t="s">
        <v>1915</v>
      </c>
      <c r="X966" s="99" t="s">
        <v>2824</v>
      </c>
      <c r="Y966" s="73" t="s">
        <v>4</v>
      </c>
      <c r="Z966" s="73" t="s">
        <v>4</v>
      </c>
      <c r="AA966" s="99" t="s">
        <v>2824</v>
      </c>
    </row>
    <row r="967" spans="1:27" ht="17.25" customHeight="1">
      <c r="A967" s="65" t="str">
        <f>IF(priority(Main[[#This Row],[Comments]])&lt;&gt;0, priority(Main[[#This Row],[Comments]]),"")</f>
        <v/>
      </c>
      <c r="B967" s="60" t="s">
        <v>1762</v>
      </c>
      <c r="C967" s="105" t="s">
        <v>4</v>
      </c>
      <c r="D967" s="74" t="s">
        <v>120</v>
      </c>
      <c r="E967" s="89"/>
      <c r="F967" s="89"/>
      <c r="G967" s="65" t="str">
        <f>IF(stdProdLT(Main[[#This Row],[Comments]])=0.1,"N/A",IF(stdProdLT(Main[[#This Row],[Comments]])=0,"",TRIM(stdProdLT(Main[[#This Row],[Comments]]))))</f>
        <v/>
      </c>
      <c r="H967" s="98" t="str">
        <f>IF(Main[[#This Row],[Std. Prod. Lead Time]]="N/A", "",IF(AND(Main[[#This Row],[In Stock Date]]&lt;&gt;"",Main[[#This Row],[Revised Due Date]]&lt;&gt;"",Main[[#This Row],[In Stock Date]]&lt;&gt;""),Main[[#This Row],[In Stock Date]]-Main[[#This Row],[Revised Due Date]],""))</f>
        <v/>
      </c>
      <c r="I967" s="110" t="s">
        <v>4</v>
      </c>
      <c r="J967" s="99" t="s">
        <v>4</v>
      </c>
      <c r="K967" s="99" t="s">
        <v>4</v>
      </c>
      <c r="L967" s="89"/>
      <c r="M967" s="75" t="str">
        <f>IF(Main[[#This Row],[Tech Start Date]]&lt;1/1/1990,"",IF(Main[[#This Row],[Class]]="C",WORKDAY(Main[[#This Row],[Tech Start Date]],9),IF(Main[[#This Row],[Class]]="B", WORKDAY(Main[[#This Row],[Tech Start Date]],6),IF(Main[[#This Row],[Class]]="A",WORKDAY(Main[[#This Row],[Tech Start Date]],2),""))))</f>
        <v/>
      </c>
      <c r="N967" s="75" t="str">
        <f>IF(Main[[#This Row],[Tech Start Date]]&lt;1/1/1990,"",IF(Main[[#This Row],[Class]]="C",WORKDAY(Main[[#This Row],[Tech Start Date]],19),IF(Main[[#This Row],[Class]]="B", WORKDAY(Main[[#This Row],[Tech Start Date]],12),IF(Main[[#This Row],[Class]]="A",WORKDAY(Main[[#This Row],[Tech Start Date]],4),""))))</f>
        <v/>
      </c>
      <c r="O967" s="75" t="str">
        <f>IF(Main[[#This Row],[Tech Start Date]]&lt;1/1/1990,"",IF(Main[[#This Row],[Class]]="C",WORKDAY(Main[[#This Row],[Tech Start Date]],23),IF(Main[[#This Row],[Class]]="B", WORKDAY(Main[[#This Row],[Tech Start Date]],15),IF(Main[[#This Row],[Class]]="A",WORKDAY(Main[[#This Row],[Tech Start Date]],5),""))))</f>
        <v/>
      </c>
      <c r="P967" s="75" t="str">
        <f>IF(Main[[#This Row],[Tech Start Date]]&lt;1/1/1990,"",IF(Main[[#This Row],[Class]]="C",WORKDAY(Main[[#This Row],[Tech Start Date]],28),IF(Main[[#This Row],[Class]]="B", WORKDAY(Main[[#This Row],[Tech Start Date]],19),IF(Main[[#This Row],[Class]]="A",WORKDAY(Main[[#This Row],[Tech Start Date]],9),""))))</f>
        <v/>
      </c>
      <c r="Q967" s="89"/>
      <c r="R967" s="121"/>
      <c r="S967" s="99" t="s">
        <v>11</v>
      </c>
      <c r="T967" s="76" t="s">
        <v>4</v>
      </c>
      <c r="U967" s="99" t="s">
        <v>14</v>
      </c>
      <c r="V967" s="99" t="s">
        <v>1916</v>
      </c>
      <c r="W967" s="99" t="s">
        <v>1927</v>
      </c>
      <c r="X967" s="99" t="s">
        <v>2836</v>
      </c>
      <c r="Y967" s="73" t="s">
        <v>2968</v>
      </c>
      <c r="Z967" s="73" t="s">
        <v>4</v>
      </c>
      <c r="AA967" s="99" t="s">
        <v>2836</v>
      </c>
    </row>
    <row r="968" spans="1:27" ht="17.25" customHeight="1">
      <c r="A968" s="65" t="str">
        <f>IF(priority(Main[[#This Row],[Comments]])&lt;&gt;0, priority(Main[[#This Row],[Comments]]),"")</f>
        <v/>
      </c>
      <c r="B968" s="60" t="s">
        <v>1763</v>
      </c>
      <c r="C968" s="105" t="s">
        <v>4</v>
      </c>
      <c r="D968" s="74" t="s">
        <v>810</v>
      </c>
      <c r="E968" s="89">
        <v>40687.166759259257</v>
      </c>
      <c r="F968" s="89"/>
      <c r="G968" s="65" t="str">
        <f>IF(stdProdLT(Main[[#This Row],[Comments]])=0.1,"N/A",IF(stdProdLT(Main[[#This Row],[Comments]])=0,"",TRIM(stdProdLT(Main[[#This Row],[Comments]]))))</f>
        <v/>
      </c>
      <c r="H968" s="98" t="str">
        <f>IF(Main[[#This Row],[Std. Prod. Lead Time]]="N/A", "",IF(AND(Main[[#This Row],[In Stock Date]]&lt;&gt;"",Main[[#This Row],[Revised Due Date]]&lt;&gt;"",Main[[#This Row],[In Stock Date]]&lt;&gt;""),Main[[#This Row],[In Stock Date]]-Main[[#This Row],[Revised Due Date]],""))</f>
        <v/>
      </c>
      <c r="I968" s="110" t="s">
        <v>4</v>
      </c>
      <c r="J968" s="99" t="s">
        <v>4</v>
      </c>
      <c r="K968" s="99" t="s">
        <v>4</v>
      </c>
      <c r="L968" s="89"/>
      <c r="M968" s="75" t="str">
        <f>IF(Main[[#This Row],[Tech Start Date]]&lt;1/1/1990,"",IF(Main[[#This Row],[Class]]="C",WORKDAY(Main[[#This Row],[Tech Start Date]],9),IF(Main[[#This Row],[Class]]="B", WORKDAY(Main[[#This Row],[Tech Start Date]],6),IF(Main[[#This Row],[Class]]="A",WORKDAY(Main[[#This Row],[Tech Start Date]],2),""))))</f>
        <v/>
      </c>
      <c r="N968" s="75" t="str">
        <f>IF(Main[[#This Row],[Tech Start Date]]&lt;1/1/1990,"",IF(Main[[#This Row],[Class]]="C",WORKDAY(Main[[#This Row],[Tech Start Date]],19),IF(Main[[#This Row],[Class]]="B", WORKDAY(Main[[#This Row],[Tech Start Date]],12),IF(Main[[#This Row],[Class]]="A",WORKDAY(Main[[#This Row],[Tech Start Date]],4),""))))</f>
        <v/>
      </c>
      <c r="O968" s="75" t="str">
        <f>IF(Main[[#This Row],[Tech Start Date]]&lt;1/1/1990,"",IF(Main[[#This Row],[Class]]="C",WORKDAY(Main[[#This Row],[Tech Start Date]],23),IF(Main[[#This Row],[Class]]="B", WORKDAY(Main[[#This Row],[Tech Start Date]],15),IF(Main[[#This Row],[Class]]="A",WORKDAY(Main[[#This Row],[Tech Start Date]],5),""))))</f>
        <v/>
      </c>
      <c r="P968" s="75" t="str">
        <f>IF(Main[[#This Row],[Tech Start Date]]&lt;1/1/1990,"",IF(Main[[#This Row],[Class]]="C",WORKDAY(Main[[#This Row],[Tech Start Date]],28),IF(Main[[#This Row],[Class]]="B", WORKDAY(Main[[#This Row],[Tech Start Date]],19),IF(Main[[#This Row],[Class]]="A",WORKDAY(Main[[#This Row],[Tech Start Date]],9),""))))</f>
        <v/>
      </c>
      <c r="Q968" s="89">
        <v>40724</v>
      </c>
      <c r="R968" s="121"/>
      <c r="S968" s="99" t="s">
        <v>6</v>
      </c>
      <c r="T968" s="76" t="s">
        <v>4</v>
      </c>
      <c r="U968" s="99" t="s">
        <v>7</v>
      </c>
      <c r="V968" s="99" t="s">
        <v>1913</v>
      </c>
      <c r="W968" s="99" t="s">
        <v>4</v>
      </c>
      <c r="X968" s="99" t="s">
        <v>2816</v>
      </c>
      <c r="Y968" s="73" t="s">
        <v>2932</v>
      </c>
      <c r="Z968" s="73" t="s">
        <v>4</v>
      </c>
      <c r="AA968" s="99" t="s">
        <v>2816</v>
      </c>
    </row>
    <row r="969" spans="1:27" ht="17.25" customHeight="1">
      <c r="A969" s="65" t="str">
        <f>IF(priority(Main[[#This Row],[Comments]])&lt;&gt;0, priority(Main[[#This Row],[Comments]]),"")</f>
        <v/>
      </c>
      <c r="B969" s="60" t="s">
        <v>1765</v>
      </c>
      <c r="C969" s="105" t="s">
        <v>4</v>
      </c>
      <c r="D969" s="74" t="s">
        <v>811</v>
      </c>
      <c r="E969" s="89"/>
      <c r="F969" s="89">
        <v>40598</v>
      </c>
      <c r="G969" s="65" t="str">
        <f>IF(stdProdLT(Main[[#This Row],[Comments]])=0.1,"N/A",IF(stdProdLT(Main[[#This Row],[Comments]])=0,"",TRIM(stdProdLT(Main[[#This Row],[Comments]]))))</f>
        <v/>
      </c>
      <c r="H969" s="98" t="str">
        <f>IF(Main[[#This Row],[Std. Prod. Lead Time]]="N/A", "",IF(AND(Main[[#This Row],[In Stock Date]]&lt;&gt;"",Main[[#This Row],[Revised Due Date]]&lt;&gt;"",Main[[#This Row],[In Stock Date]]&lt;&gt;""),Main[[#This Row],[In Stock Date]]-Main[[#This Row],[Revised Due Date]],""))</f>
        <v/>
      </c>
      <c r="I969" s="110" t="s">
        <v>4</v>
      </c>
      <c r="J969" s="99" t="s">
        <v>4</v>
      </c>
      <c r="K969" s="99" t="s">
        <v>4</v>
      </c>
      <c r="L969" s="89"/>
      <c r="M969" s="75" t="str">
        <f>IF(Main[[#This Row],[Tech Start Date]]&lt;1/1/1990,"",IF(Main[[#This Row],[Class]]="C",WORKDAY(Main[[#This Row],[Tech Start Date]],9),IF(Main[[#This Row],[Class]]="B", WORKDAY(Main[[#This Row],[Tech Start Date]],6),IF(Main[[#This Row],[Class]]="A",WORKDAY(Main[[#This Row],[Tech Start Date]],2),""))))</f>
        <v/>
      </c>
      <c r="N969" s="75" t="str">
        <f>IF(Main[[#This Row],[Tech Start Date]]&lt;1/1/1990,"",IF(Main[[#This Row],[Class]]="C",WORKDAY(Main[[#This Row],[Tech Start Date]],19),IF(Main[[#This Row],[Class]]="B", WORKDAY(Main[[#This Row],[Tech Start Date]],12),IF(Main[[#This Row],[Class]]="A",WORKDAY(Main[[#This Row],[Tech Start Date]],4),""))))</f>
        <v/>
      </c>
      <c r="O969" s="75" t="str">
        <f>IF(Main[[#This Row],[Tech Start Date]]&lt;1/1/1990,"",IF(Main[[#This Row],[Class]]="C",WORKDAY(Main[[#This Row],[Tech Start Date]],23),IF(Main[[#This Row],[Class]]="B", WORKDAY(Main[[#This Row],[Tech Start Date]],15),IF(Main[[#This Row],[Class]]="A",WORKDAY(Main[[#This Row],[Tech Start Date]],5),""))))</f>
        <v/>
      </c>
      <c r="P969" s="75" t="str">
        <f>IF(Main[[#This Row],[Tech Start Date]]&lt;1/1/1990,"",IF(Main[[#This Row],[Class]]="C",WORKDAY(Main[[#This Row],[Tech Start Date]],28),IF(Main[[#This Row],[Class]]="B", WORKDAY(Main[[#This Row],[Tech Start Date]],19),IF(Main[[#This Row],[Class]]="A",WORKDAY(Main[[#This Row],[Tech Start Date]],9),""))))</f>
        <v/>
      </c>
      <c r="Q969" s="89">
        <v>40598</v>
      </c>
      <c r="R969" s="121"/>
      <c r="S969" s="99" t="s">
        <v>11</v>
      </c>
      <c r="T969" s="76" t="s">
        <v>4</v>
      </c>
      <c r="U969" s="99" t="s">
        <v>14</v>
      </c>
      <c r="V969" s="99" t="s">
        <v>1923</v>
      </c>
      <c r="W969" s="99" t="s">
        <v>1919</v>
      </c>
      <c r="X969" s="99" t="s">
        <v>2842</v>
      </c>
      <c r="Y969" s="73" t="s">
        <v>2973</v>
      </c>
      <c r="Z969" s="73" t="s">
        <v>4</v>
      </c>
      <c r="AA969" s="99" t="s">
        <v>2842</v>
      </c>
    </row>
    <row r="970" spans="1:27" ht="17.25" customHeight="1">
      <c r="A970" s="65" t="str">
        <f>IF(priority(Main[[#This Row],[Comments]])&lt;&gt;0, priority(Main[[#This Row],[Comments]]),"")</f>
        <v/>
      </c>
      <c r="B970" s="60" t="s">
        <v>3956</v>
      </c>
      <c r="C970" s="105" t="s">
        <v>3951</v>
      </c>
      <c r="D970" s="74" t="s">
        <v>3957</v>
      </c>
      <c r="E970" s="89">
        <v>40969.074548611112</v>
      </c>
      <c r="F970" s="89">
        <v>41144</v>
      </c>
      <c r="G970" s="65" t="str">
        <f>IF(stdProdLT(Main[[#This Row],[Comments]])=0.1,"N/A",IF(stdProdLT(Main[[#This Row],[Comments]])=0,"",TRIM(stdProdLT(Main[[#This Row],[Comments]]))))</f>
        <v/>
      </c>
      <c r="H970" s="98" t="str">
        <f>IF(Main[[#This Row],[Std. Prod. Lead Time]]="N/A", "",IF(AND(Main[[#This Row],[In Stock Date]]&lt;&gt;"",Main[[#This Row],[Revised Due Date]]&lt;&gt;"",Main[[#This Row],[In Stock Date]]&lt;&gt;""),Main[[#This Row],[In Stock Date]]-Main[[#This Row],[Revised Due Date]],""))</f>
        <v/>
      </c>
      <c r="I970" s="110" t="s">
        <v>4</v>
      </c>
      <c r="J970" s="99" t="s">
        <v>4</v>
      </c>
      <c r="K970" s="99" t="s">
        <v>4</v>
      </c>
      <c r="L970" s="89"/>
      <c r="M970" s="75" t="str">
        <f>IF(Main[[#This Row],[Tech Start Date]]&lt;1/1/1990,"",IF(Main[[#This Row],[Class]]="C",WORKDAY(Main[[#This Row],[Tech Start Date]],9),IF(Main[[#This Row],[Class]]="B", WORKDAY(Main[[#This Row],[Tech Start Date]],6),IF(Main[[#This Row],[Class]]="A",WORKDAY(Main[[#This Row],[Tech Start Date]],2),""))))</f>
        <v/>
      </c>
      <c r="N970" s="75" t="str">
        <f>IF(Main[[#This Row],[Tech Start Date]]&lt;1/1/1990,"",IF(Main[[#This Row],[Class]]="C",WORKDAY(Main[[#This Row],[Tech Start Date]],19),IF(Main[[#This Row],[Class]]="B", WORKDAY(Main[[#This Row],[Tech Start Date]],12),IF(Main[[#This Row],[Class]]="A",WORKDAY(Main[[#This Row],[Tech Start Date]],4),""))))</f>
        <v/>
      </c>
      <c r="O970" s="75" t="str">
        <f>IF(Main[[#This Row],[Tech Start Date]]&lt;1/1/1990,"",IF(Main[[#This Row],[Class]]="C",WORKDAY(Main[[#This Row],[Tech Start Date]],23),IF(Main[[#This Row],[Class]]="B", WORKDAY(Main[[#This Row],[Tech Start Date]],15),IF(Main[[#This Row],[Class]]="A",WORKDAY(Main[[#This Row],[Tech Start Date]],5),""))))</f>
        <v/>
      </c>
      <c r="P970" s="75" t="str">
        <f>IF(Main[[#This Row],[Tech Start Date]]&lt;1/1/1990,"",IF(Main[[#This Row],[Class]]="C",WORKDAY(Main[[#This Row],[Tech Start Date]],28),IF(Main[[#This Row],[Class]]="B", WORKDAY(Main[[#This Row],[Tech Start Date]],19),IF(Main[[#This Row],[Class]]="A",WORKDAY(Main[[#This Row],[Tech Start Date]],9),""))))</f>
        <v/>
      </c>
      <c r="Q970" s="89">
        <v>40962</v>
      </c>
      <c r="R970" s="121"/>
      <c r="S970" s="99" t="s">
        <v>11</v>
      </c>
      <c r="T970" s="76" t="s">
        <v>4</v>
      </c>
      <c r="U970" s="99" t="s">
        <v>7</v>
      </c>
      <c r="V970" s="99" t="s">
        <v>1923</v>
      </c>
      <c r="W970" s="99" t="s">
        <v>1919</v>
      </c>
      <c r="X970" s="99" t="s">
        <v>3953</v>
      </c>
      <c r="Y970" s="73" t="s">
        <v>4</v>
      </c>
      <c r="Z970" s="73" t="s">
        <v>4</v>
      </c>
      <c r="AA970" s="99" t="s">
        <v>3953</v>
      </c>
    </row>
    <row r="971" spans="1:27" ht="17.25" customHeight="1">
      <c r="A971" s="65" t="str">
        <f>IF(priority(Main[[#This Row],[Comments]])&lt;&gt;0, priority(Main[[#This Row],[Comments]]),"")</f>
        <v/>
      </c>
      <c r="B971" s="60" t="s">
        <v>3608</v>
      </c>
      <c r="C971" s="105" t="s">
        <v>2350</v>
      </c>
      <c r="D971" s="74" t="s">
        <v>3609</v>
      </c>
      <c r="E971" s="89">
        <v>40969.379120370373</v>
      </c>
      <c r="F971" s="89">
        <v>41014</v>
      </c>
      <c r="G971" s="65" t="str">
        <f>IF(stdProdLT(Main[[#This Row],[Comments]])=0.1,"N/A",IF(stdProdLT(Main[[#This Row],[Comments]])=0,"",TRIM(stdProdLT(Main[[#This Row],[Comments]]))))</f>
        <v>N/A</v>
      </c>
      <c r="H971" s="98" t="str">
        <f>IF(Main[[#This Row],[Std. Prod. Lead Time]]="N/A", "",IF(AND(Main[[#This Row],[In Stock Date]]&lt;&gt;"",Main[[#This Row],[Revised Due Date]]&lt;&gt;"",Main[[#This Row],[In Stock Date]]&lt;&gt;""),Main[[#This Row],[In Stock Date]]-Main[[#This Row],[Revised Due Date]],""))</f>
        <v/>
      </c>
      <c r="I971" s="110" t="s">
        <v>4</v>
      </c>
      <c r="J971" s="99" t="s">
        <v>52</v>
      </c>
      <c r="K971" s="99" t="s">
        <v>4</v>
      </c>
      <c r="L971" s="89"/>
      <c r="M971" s="75" t="str">
        <f>IF(Main[[#This Row],[Tech Start Date]]&lt;1/1/1990,"",IF(Main[[#This Row],[Class]]="C",WORKDAY(Main[[#This Row],[Tech Start Date]],9),IF(Main[[#This Row],[Class]]="B", WORKDAY(Main[[#This Row],[Tech Start Date]],6),IF(Main[[#This Row],[Class]]="A",WORKDAY(Main[[#This Row],[Tech Start Date]],2),""))))</f>
        <v/>
      </c>
      <c r="N971" s="75" t="str">
        <f>IF(Main[[#This Row],[Tech Start Date]]&lt;1/1/1990,"",IF(Main[[#This Row],[Class]]="C",WORKDAY(Main[[#This Row],[Tech Start Date]],19),IF(Main[[#This Row],[Class]]="B", WORKDAY(Main[[#This Row],[Tech Start Date]],12),IF(Main[[#This Row],[Class]]="A",WORKDAY(Main[[#This Row],[Tech Start Date]],4),""))))</f>
        <v/>
      </c>
      <c r="O971" s="75" t="str">
        <f>IF(Main[[#This Row],[Tech Start Date]]&lt;1/1/1990,"",IF(Main[[#This Row],[Class]]="C",WORKDAY(Main[[#This Row],[Tech Start Date]],23),IF(Main[[#This Row],[Class]]="B", WORKDAY(Main[[#This Row],[Tech Start Date]],15),IF(Main[[#This Row],[Class]]="A",WORKDAY(Main[[#This Row],[Tech Start Date]],5),""))))</f>
        <v/>
      </c>
      <c r="P971" s="75" t="str">
        <f>IF(Main[[#This Row],[Tech Start Date]]&lt;1/1/1990,"",IF(Main[[#This Row],[Class]]="C",WORKDAY(Main[[#This Row],[Tech Start Date]],28),IF(Main[[#This Row],[Class]]="B", WORKDAY(Main[[#This Row],[Tech Start Date]],19),IF(Main[[#This Row],[Class]]="A",WORKDAY(Main[[#This Row],[Tech Start Date]],9),""))))</f>
        <v/>
      </c>
      <c r="Q971" s="89">
        <v>40916</v>
      </c>
      <c r="R971" s="121"/>
      <c r="S971" s="99" t="s">
        <v>11</v>
      </c>
      <c r="T971" s="76" t="s">
        <v>3958</v>
      </c>
      <c r="U971" s="99" t="s">
        <v>7</v>
      </c>
      <c r="V971" s="99" t="s">
        <v>1923</v>
      </c>
      <c r="W971" s="99" t="s">
        <v>1921</v>
      </c>
      <c r="X971" s="99" t="s">
        <v>2837</v>
      </c>
      <c r="Y971" s="73" t="s">
        <v>4</v>
      </c>
      <c r="Z971" s="73" t="s">
        <v>4</v>
      </c>
      <c r="AA971" s="99" t="s">
        <v>2837</v>
      </c>
    </row>
    <row r="972" spans="1:27" ht="17.25" customHeight="1">
      <c r="A972" s="65" t="str">
        <f>IF(priority(Main[[#This Row],[Comments]])&lt;&gt;0, priority(Main[[#This Row],[Comments]]),"")</f>
        <v/>
      </c>
      <c r="B972" s="60" t="s">
        <v>1771</v>
      </c>
      <c r="C972" s="105" t="s">
        <v>4</v>
      </c>
      <c r="D972" s="74" t="s">
        <v>2116</v>
      </c>
      <c r="E972" s="89"/>
      <c r="F972" s="89"/>
      <c r="G972" s="65" t="str">
        <f>IF(stdProdLT(Main[[#This Row],[Comments]])=0.1,"N/A",IF(stdProdLT(Main[[#This Row],[Comments]])=0,"",TRIM(stdProdLT(Main[[#This Row],[Comments]]))))</f>
        <v/>
      </c>
      <c r="H972" s="98" t="str">
        <f>IF(Main[[#This Row],[Std. Prod. Lead Time]]="N/A", "",IF(AND(Main[[#This Row],[In Stock Date]]&lt;&gt;"",Main[[#This Row],[Revised Due Date]]&lt;&gt;"",Main[[#This Row],[In Stock Date]]&lt;&gt;""),Main[[#This Row],[In Stock Date]]-Main[[#This Row],[Revised Due Date]],""))</f>
        <v/>
      </c>
      <c r="I972" s="110" t="s">
        <v>429</v>
      </c>
      <c r="J972" s="99" t="s">
        <v>70</v>
      </c>
      <c r="K972" s="99" t="s">
        <v>1922</v>
      </c>
      <c r="L972" s="89"/>
      <c r="M972" s="75" t="str">
        <f>IF(Main[[#This Row],[Tech Start Date]]&lt;1/1/1990,"",IF(Main[[#This Row],[Class]]="C",WORKDAY(Main[[#This Row],[Tech Start Date]],9),IF(Main[[#This Row],[Class]]="B", WORKDAY(Main[[#This Row],[Tech Start Date]],6),IF(Main[[#This Row],[Class]]="A",WORKDAY(Main[[#This Row],[Tech Start Date]],2),""))))</f>
        <v/>
      </c>
      <c r="N972" s="75" t="str">
        <f>IF(Main[[#This Row],[Tech Start Date]]&lt;1/1/1990,"",IF(Main[[#This Row],[Class]]="C",WORKDAY(Main[[#This Row],[Tech Start Date]],19),IF(Main[[#This Row],[Class]]="B", WORKDAY(Main[[#This Row],[Tech Start Date]],12),IF(Main[[#This Row],[Class]]="A",WORKDAY(Main[[#This Row],[Tech Start Date]],4),""))))</f>
        <v/>
      </c>
      <c r="O972" s="75" t="str">
        <f>IF(Main[[#This Row],[Tech Start Date]]&lt;1/1/1990,"",IF(Main[[#This Row],[Class]]="C",WORKDAY(Main[[#This Row],[Tech Start Date]],23),IF(Main[[#This Row],[Class]]="B", WORKDAY(Main[[#This Row],[Tech Start Date]],15),IF(Main[[#This Row],[Class]]="A",WORKDAY(Main[[#This Row],[Tech Start Date]],5),""))))</f>
        <v/>
      </c>
      <c r="P972" s="75" t="str">
        <f>IF(Main[[#This Row],[Tech Start Date]]&lt;1/1/1990,"",IF(Main[[#This Row],[Class]]="C",WORKDAY(Main[[#This Row],[Tech Start Date]],28),IF(Main[[#This Row],[Class]]="B", WORKDAY(Main[[#This Row],[Tech Start Date]],19),IF(Main[[#This Row],[Class]]="A",WORKDAY(Main[[#This Row],[Tech Start Date]],9),""))))</f>
        <v/>
      </c>
      <c r="Q972" s="89">
        <v>40714</v>
      </c>
      <c r="R972" s="121"/>
      <c r="S972" s="99" t="s">
        <v>6</v>
      </c>
      <c r="T972" s="76" t="s">
        <v>4</v>
      </c>
      <c r="U972" s="99" t="s">
        <v>14</v>
      </c>
      <c r="V972" s="99" t="s">
        <v>1916</v>
      </c>
      <c r="W972" s="99" t="s">
        <v>1917</v>
      </c>
      <c r="X972" s="99" t="s">
        <v>2897</v>
      </c>
      <c r="Y972" s="73" t="s">
        <v>3077</v>
      </c>
      <c r="Z972" s="73" t="s">
        <v>30</v>
      </c>
      <c r="AA972" s="99" t="s">
        <v>2897</v>
      </c>
    </row>
    <row r="973" spans="1:27" ht="17.25" customHeight="1">
      <c r="A973" s="65" t="str">
        <f>IF(priority(Main[[#This Row],[Comments]])&lt;&gt;0, priority(Main[[#This Row],[Comments]]),"")</f>
        <v/>
      </c>
      <c r="B973" s="60" t="s">
        <v>1772</v>
      </c>
      <c r="C973" s="105" t="s">
        <v>4</v>
      </c>
      <c r="D973" s="74" t="s">
        <v>817</v>
      </c>
      <c r="E973" s="89"/>
      <c r="F973" s="89"/>
      <c r="G973" s="65" t="str">
        <f>IF(stdProdLT(Main[[#This Row],[Comments]])=0.1,"N/A",IF(stdProdLT(Main[[#This Row],[Comments]])=0,"",TRIM(stdProdLT(Main[[#This Row],[Comments]]))))</f>
        <v/>
      </c>
      <c r="H973" s="98" t="str">
        <f>IF(Main[[#This Row],[Std. Prod. Lead Time]]="N/A", "",IF(AND(Main[[#This Row],[In Stock Date]]&lt;&gt;"",Main[[#This Row],[Revised Due Date]]&lt;&gt;"",Main[[#This Row],[In Stock Date]]&lt;&gt;""),Main[[#This Row],[In Stock Date]]-Main[[#This Row],[Revised Due Date]],""))</f>
        <v/>
      </c>
      <c r="I973" s="110" t="s">
        <v>4</v>
      </c>
      <c r="J973" s="99" t="s">
        <v>4</v>
      </c>
      <c r="K973" s="100" t="s">
        <v>4</v>
      </c>
      <c r="L973" s="89"/>
      <c r="M973" s="75" t="str">
        <f>IF(Main[[#This Row],[Tech Start Date]]&lt;1/1/1990,"",IF(Main[[#This Row],[Class]]="C",WORKDAY(Main[[#This Row],[Tech Start Date]],9),IF(Main[[#This Row],[Class]]="B", WORKDAY(Main[[#This Row],[Tech Start Date]],6),IF(Main[[#This Row],[Class]]="A",WORKDAY(Main[[#This Row],[Tech Start Date]],2),""))))</f>
        <v/>
      </c>
      <c r="N973" s="75" t="str">
        <f>IF(Main[[#This Row],[Tech Start Date]]&lt;1/1/1990,"",IF(Main[[#This Row],[Class]]="C",WORKDAY(Main[[#This Row],[Tech Start Date]],19),IF(Main[[#This Row],[Class]]="B", WORKDAY(Main[[#This Row],[Tech Start Date]],12),IF(Main[[#This Row],[Class]]="A",WORKDAY(Main[[#This Row],[Tech Start Date]],4),""))))</f>
        <v/>
      </c>
      <c r="O973" s="75" t="str">
        <f>IF(Main[[#This Row],[Tech Start Date]]&lt;1/1/1990,"",IF(Main[[#This Row],[Class]]="C",WORKDAY(Main[[#This Row],[Tech Start Date]],23),IF(Main[[#This Row],[Class]]="B", WORKDAY(Main[[#This Row],[Tech Start Date]],15),IF(Main[[#This Row],[Class]]="A",WORKDAY(Main[[#This Row],[Tech Start Date]],5),""))))</f>
        <v/>
      </c>
      <c r="P973" s="75" t="str">
        <f>IF(Main[[#This Row],[Tech Start Date]]&lt;1/1/1990,"",IF(Main[[#This Row],[Class]]="C",WORKDAY(Main[[#This Row],[Tech Start Date]],28),IF(Main[[#This Row],[Class]]="B", WORKDAY(Main[[#This Row],[Tech Start Date]],19),IF(Main[[#This Row],[Class]]="A",WORKDAY(Main[[#This Row],[Tech Start Date]],9),""))))</f>
        <v/>
      </c>
      <c r="Q973" s="89"/>
      <c r="R973" s="121"/>
      <c r="S973" s="99" t="s">
        <v>6</v>
      </c>
      <c r="T973" s="76" t="s">
        <v>4</v>
      </c>
      <c r="U973" s="99" t="s">
        <v>14</v>
      </c>
      <c r="V973" s="99" t="s">
        <v>1913</v>
      </c>
      <c r="W973" s="99" t="s">
        <v>1917</v>
      </c>
      <c r="X973" s="99" t="s">
        <v>912</v>
      </c>
      <c r="Y973" s="73" t="s">
        <v>3051</v>
      </c>
      <c r="Z973" s="73" t="s">
        <v>4</v>
      </c>
      <c r="AA973" s="99" t="s">
        <v>912</v>
      </c>
    </row>
    <row r="974" spans="1:27" ht="17.25" customHeight="1">
      <c r="A974" s="65" t="str">
        <f>IF(priority(Main[[#This Row],[Comments]])&lt;&gt;0, priority(Main[[#This Row],[Comments]]),"")</f>
        <v/>
      </c>
      <c r="B974" s="60" t="s">
        <v>1610</v>
      </c>
      <c r="C974" s="105" t="s">
        <v>4</v>
      </c>
      <c r="D974" s="74" t="s">
        <v>684</v>
      </c>
      <c r="E974" s="89">
        <v>40031.45721064815</v>
      </c>
      <c r="F974" s="89"/>
      <c r="G974" s="65" t="str">
        <f>IF(stdProdLT(Main[[#This Row],[Comments]])=0.1,"N/A",IF(stdProdLT(Main[[#This Row],[Comments]])=0,"",TRIM(stdProdLT(Main[[#This Row],[Comments]]))))</f>
        <v/>
      </c>
      <c r="H974" s="98" t="str">
        <f>IF(Main[[#This Row],[Std. Prod. Lead Time]]="N/A", "",IF(AND(Main[[#This Row],[In Stock Date]]&lt;&gt;"",Main[[#This Row],[Revised Due Date]]&lt;&gt;"",Main[[#This Row],[In Stock Date]]&lt;&gt;""),Main[[#This Row],[In Stock Date]]-Main[[#This Row],[Revised Due Date]],""))</f>
        <v/>
      </c>
      <c r="I974" s="110" t="s">
        <v>2040</v>
      </c>
      <c r="J974" s="99" t="s">
        <v>21</v>
      </c>
      <c r="K974" s="99" t="s">
        <v>1922</v>
      </c>
      <c r="L974" s="89"/>
      <c r="M974" s="75" t="str">
        <f>IF(Main[[#This Row],[Tech Start Date]]&lt;1/1/1990,"",IF(Main[[#This Row],[Class]]="C",WORKDAY(Main[[#This Row],[Tech Start Date]],9),IF(Main[[#This Row],[Class]]="B", WORKDAY(Main[[#This Row],[Tech Start Date]],6),IF(Main[[#This Row],[Class]]="A",WORKDAY(Main[[#This Row],[Tech Start Date]],2),""))))</f>
        <v/>
      </c>
      <c r="N974" s="75" t="str">
        <f>IF(Main[[#This Row],[Tech Start Date]]&lt;1/1/1990,"",IF(Main[[#This Row],[Class]]="C",WORKDAY(Main[[#This Row],[Tech Start Date]],19),IF(Main[[#This Row],[Class]]="B", WORKDAY(Main[[#This Row],[Tech Start Date]],12),IF(Main[[#This Row],[Class]]="A",WORKDAY(Main[[#This Row],[Tech Start Date]],4),""))))</f>
        <v/>
      </c>
      <c r="O974" s="75" t="str">
        <f>IF(Main[[#This Row],[Tech Start Date]]&lt;1/1/1990,"",IF(Main[[#This Row],[Class]]="C",WORKDAY(Main[[#This Row],[Tech Start Date]],23),IF(Main[[#This Row],[Class]]="B", WORKDAY(Main[[#This Row],[Tech Start Date]],15),IF(Main[[#This Row],[Class]]="A",WORKDAY(Main[[#This Row],[Tech Start Date]],5),""))))</f>
        <v/>
      </c>
      <c r="P974" s="75" t="str">
        <f>IF(Main[[#This Row],[Tech Start Date]]&lt;1/1/1990,"",IF(Main[[#This Row],[Class]]="C",WORKDAY(Main[[#This Row],[Tech Start Date]],28),IF(Main[[#This Row],[Class]]="B", WORKDAY(Main[[#This Row],[Tech Start Date]],19),IF(Main[[#This Row],[Class]]="A",WORKDAY(Main[[#This Row],[Tech Start Date]],9),""))))</f>
        <v/>
      </c>
      <c r="Q974" s="89"/>
      <c r="R974" s="121"/>
      <c r="S974" s="99" t="s">
        <v>6</v>
      </c>
      <c r="T974" s="76" t="s">
        <v>4</v>
      </c>
      <c r="U974" s="99" t="s">
        <v>29</v>
      </c>
      <c r="V974" s="99" t="s">
        <v>1916</v>
      </c>
      <c r="W974" s="99" t="s">
        <v>1917</v>
      </c>
      <c r="X974" s="99" t="s">
        <v>2881</v>
      </c>
      <c r="Y974" s="73" t="s">
        <v>3037</v>
      </c>
      <c r="Z974" s="73" t="s">
        <v>30</v>
      </c>
      <c r="AA974" s="99" t="s">
        <v>2881</v>
      </c>
    </row>
    <row r="975" spans="1:27" ht="17.25" customHeight="1">
      <c r="A975" s="65" t="str">
        <f>IF(priority(Main[[#This Row],[Comments]])&lt;&gt;0, priority(Main[[#This Row],[Comments]]),"")</f>
        <v/>
      </c>
      <c r="B975" s="60" t="s">
        <v>1773</v>
      </c>
      <c r="C975" s="105" t="s">
        <v>818</v>
      </c>
      <c r="D975" s="74" t="s">
        <v>819</v>
      </c>
      <c r="E975" s="89"/>
      <c r="F975" s="89">
        <v>40421</v>
      </c>
      <c r="G975" s="65" t="str">
        <f>IF(stdProdLT(Main[[#This Row],[Comments]])=0.1,"N/A",IF(stdProdLT(Main[[#This Row],[Comments]])=0,"",TRIM(stdProdLT(Main[[#This Row],[Comments]]))))</f>
        <v/>
      </c>
      <c r="H975" s="98" t="str">
        <f>IF(Main[[#This Row],[Std. Prod. Lead Time]]="N/A", "",IF(AND(Main[[#This Row],[In Stock Date]]&lt;&gt;"",Main[[#This Row],[Revised Due Date]]&lt;&gt;"",Main[[#This Row],[In Stock Date]]&lt;&gt;""),Main[[#This Row],[In Stock Date]]-Main[[#This Row],[Revised Due Date]],""))</f>
        <v/>
      </c>
      <c r="I975" s="110" t="s">
        <v>4</v>
      </c>
      <c r="J975" s="99" t="s">
        <v>4</v>
      </c>
      <c r="K975" s="99" t="s">
        <v>4</v>
      </c>
      <c r="L975" s="89"/>
      <c r="M975" s="75" t="str">
        <f>IF(Main[[#This Row],[Tech Start Date]]&lt;1/1/1990,"",IF(Main[[#This Row],[Class]]="C",WORKDAY(Main[[#This Row],[Tech Start Date]],9),IF(Main[[#This Row],[Class]]="B", WORKDAY(Main[[#This Row],[Tech Start Date]],6),IF(Main[[#This Row],[Class]]="A",WORKDAY(Main[[#This Row],[Tech Start Date]],2),""))))</f>
        <v/>
      </c>
      <c r="N975" s="75" t="str">
        <f>IF(Main[[#This Row],[Tech Start Date]]&lt;1/1/1990,"",IF(Main[[#This Row],[Class]]="C",WORKDAY(Main[[#This Row],[Tech Start Date]],19),IF(Main[[#This Row],[Class]]="B", WORKDAY(Main[[#This Row],[Tech Start Date]],12),IF(Main[[#This Row],[Class]]="A",WORKDAY(Main[[#This Row],[Tech Start Date]],4),""))))</f>
        <v/>
      </c>
      <c r="O975" s="75" t="str">
        <f>IF(Main[[#This Row],[Tech Start Date]]&lt;1/1/1990,"",IF(Main[[#This Row],[Class]]="C",WORKDAY(Main[[#This Row],[Tech Start Date]],23),IF(Main[[#This Row],[Class]]="B", WORKDAY(Main[[#This Row],[Tech Start Date]],15),IF(Main[[#This Row],[Class]]="A",WORKDAY(Main[[#This Row],[Tech Start Date]],5),""))))</f>
        <v/>
      </c>
      <c r="P975" s="75" t="str">
        <f>IF(Main[[#This Row],[Tech Start Date]]&lt;1/1/1990,"",IF(Main[[#This Row],[Class]]="C",WORKDAY(Main[[#This Row],[Tech Start Date]],28),IF(Main[[#This Row],[Class]]="B", WORKDAY(Main[[#This Row],[Tech Start Date]],19),IF(Main[[#This Row],[Class]]="A",WORKDAY(Main[[#This Row],[Tech Start Date]],9),""))))</f>
        <v/>
      </c>
      <c r="Q975" s="89"/>
      <c r="R975" s="121"/>
      <c r="S975" s="99" t="s">
        <v>11</v>
      </c>
      <c r="T975" s="76" t="s">
        <v>4</v>
      </c>
      <c r="U975" s="99" t="s">
        <v>12</v>
      </c>
      <c r="V975" s="99" t="s">
        <v>1923</v>
      </c>
      <c r="W975" s="99" t="s">
        <v>1919</v>
      </c>
      <c r="X975" s="99" t="s">
        <v>2866</v>
      </c>
      <c r="Y975" s="73" t="s">
        <v>2990</v>
      </c>
      <c r="Z975" s="73" t="s">
        <v>4</v>
      </c>
      <c r="AA975" s="99" t="s">
        <v>2866</v>
      </c>
    </row>
    <row r="976" spans="1:27" ht="17.25" customHeight="1">
      <c r="A976" s="65" t="str">
        <f>IF(priority(Main[[#This Row],[Comments]])&lt;&gt;0, priority(Main[[#This Row],[Comments]]),"")</f>
        <v/>
      </c>
      <c r="B976" s="60" t="s">
        <v>1774</v>
      </c>
      <c r="C976" s="105" t="s">
        <v>4</v>
      </c>
      <c r="D976" s="74" t="s">
        <v>820</v>
      </c>
      <c r="E976" s="89"/>
      <c r="F976" s="89"/>
      <c r="G976" s="65" t="str">
        <f>IF(stdProdLT(Main[[#This Row],[Comments]])=0.1,"N/A",IF(stdProdLT(Main[[#This Row],[Comments]])=0,"",TRIM(stdProdLT(Main[[#This Row],[Comments]]))))</f>
        <v/>
      </c>
      <c r="H976" s="98" t="str">
        <f>IF(Main[[#This Row],[Std. Prod. Lead Time]]="N/A", "",IF(AND(Main[[#This Row],[In Stock Date]]&lt;&gt;"",Main[[#This Row],[Revised Due Date]]&lt;&gt;"",Main[[#This Row],[In Stock Date]]&lt;&gt;""),Main[[#This Row],[In Stock Date]]-Main[[#This Row],[Revised Due Date]],""))</f>
        <v/>
      </c>
      <c r="I976" s="110" t="s">
        <v>417</v>
      </c>
      <c r="J976" s="99" t="s">
        <v>75</v>
      </c>
      <c r="K976" s="99" t="s">
        <v>1920</v>
      </c>
      <c r="L976" s="89"/>
      <c r="M976" s="75" t="str">
        <f>IF(Main[[#This Row],[Tech Start Date]]&lt;1/1/1990,"",IF(Main[[#This Row],[Class]]="C",WORKDAY(Main[[#This Row],[Tech Start Date]],9),IF(Main[[#This Row],[Class]]="B", WORKDAY(Main[[#This Row],[Tech Start Date]],6),IF(Main[[#This Row],[Class]]="A",WORKDAY(Main[[#This Row],[Tech Start Date]],2),""))))</f>
        <v/>
      </c>
      <c r="N976" s="75" t="str">
        <f>IF(Main[[#This Row],[Tech Start Date]]&lt;1/1/1990,"",IF(Main[[#This Row],[Class]]="C",WORKDAY(Main[[#This Row],[Tech Start Date]],19),IF(Main[[#This Row],[Class]]="B", WORKDAY(Main[[#This Row],[Tech Start Date]],12),IF(Main[[#This Row],[Class]]="A",WORKDAY(Main[[#This Row],[Tech Start Date]],4),""))))</f>
        <v/>
      </c>
      <c r="O976" s="75" t="str">
        <f>IF(Main[[#This Row],[Tech Start Date]]&lt;1/1/1990,"",IF(Main[[#This Row],[Class]]="C",WORKDAY(Main[[#This Row],[Tech Start Date]],23),IF(Main[[#This Row],[Class]]="B", WORKDAY(Main[[#This Row],[Tech Start Date]],15),IF(Main[[#This Row],[Class]]="A",WORKDAY(Main[[#This Row],[Tech Start Date]],5),""))))</f>
        <v/>
      </c>
      <c r="P976" s="75" t="str">
        <f>IF(Main[[#This Row],[Tech Start Date]]&lt;1/1/1990,"",IF(Main[[#This Row],[Class]]="C",WORKDAY(Main[[#This Row],[Tech Start Date]],28),IF(Main[[#This Row],[Class]]="B", WORKDAY(Main[[#This Row],[Tech Start Date]],19),IF(Main[[#This Row],[Class]]="A",WORKDAY(Main[[#This Row],[Tech Start Date]],9),""))))</f>
        <v/>
      </c>
      <c r="Q976" s="89">
        <v>40529</v>
      </c>
      <c r="R976" s="121"/>
      <c r="S976" s="99" t="s">
        <v>6</v>
      </c>
      <c r="T976" s="76" t="s">
        <v>4</v>
      </c>
      <c r="U976" s="99" t="s">
        <v>14</v>
      </c>
      <c r="V976" s="99" t="s">
        <v>1916</v>
      </c>
      <c r="W976" s="99" t="s">
        <v>1924</v>
      </c>
      <c r="X976" s="99" t="s">
        <v>883</v>
      </c>
      <c r="Y976" s="73" t="s">
        <v>2957</v>
      </c>
      <c r="Z976" s="73" t="s">
        <v>306</v>
      </c>
      <c r="AA976" s="99" t="s">
        <v>883</v>
      </c>
    </row>
    <row r="977" spans="1:27" ht="17.25" customHeight="1">
      <c r="A977" s="65" t="str">
        <f>IF(priority(Main[[#This Row],[Comments]])&lt;&gt;0, priority(Main[[#This Row],[Comments]]),"")</f>
        <v/>
      </c>
      <c r="B977" s="60" t="s">
        <v>1775</v>
      </c>
      <c r="C977" s="105" t="s">
        <v>4</v>
      </c>
      <c r="D977" s="74" t="s">
        <v>821</v>
      </c>
      <c r="E977" s="89"/>
      <c r="F977" s="89">
        <v>40602</v>
      </c>
      <c r="G977" s="65" t="str">
        <f>IF(stdProdLT(Main[[#This Row],[Comments]])=0.1,"N/A",IF(stdProdLT(Main[[#This Row],[Comments]])=0,"",TRIM(stdProdLT(Main[[#This Row],[Comments]]))))</f>
        <v/>
      </c>
      <c r="H977" s="98" t="str">
        <f>IF(Main[[#This Row],[Std. Prod. Lead Time]]="N/A", "",IF(AND(Main[[#This Row],[In Stock Date]]&lt;&gt;"",Main[[#This Row],[Revised Due Date]]&lt;&gt;"",Main[[#This Row],[In Stock Date]]&lt;&gt;""),Main[[#This Row],[In Stock Date]]-Main[[#This Row],[Revised Due Date]],""))</f>
        <v/>
      </c>
      <c r="I977" s="110" t="s">
        <v>4</v>
      </c>
      <c r="J977" s="99" t="s">
        <v>28</v>
      </c>
      <c r="K977" s="99" t="s">
        <v>4</v>
      </c>
      <c r="L977" s="89"/>
      <c r="M977" s="75" t="str">
        <f>IF(Main[[#This Row],[Tech Start Date]]&lt;1/1/1990,"",IF(Main[[#This Row],[Class]]="C",WORKDAY(Main[[#This Row],[Tech Start Date]],9),IF(Main[[#This Row],[Class]]="B", WORKDAY(Main[[#This Row],[Tech Start Date]],6),IF(Main[[#This Row],[Class]]="A",WORKDAY(Main[[#This Row],[Tech Start Date]],2),""))))</f>
        <v/>
      </c>
      <c r="N977" s="75" t="str">
        <f>IF(Main[[#This Row],[Tech Start Date]]&lt;1/1/1990,"",IF(Main[[#This Row],[Class]]="C",WORKDAY(Main[[#This Row],[Tech Start Date]],19),IF(Main[[#This Row],[Class]]="B", WORKDAY(Main[[#This Row],[Tech Start Date]],12),IF(Main[[#This Row],[Class]]="A",WORKDAY(Main[[#This Row],[Tech Start Date]],4),""))))</f>
        <v/>
      </c>
      <c r="O977" s="75" t="str">
        <f>IF(Main[[#This Row],[Tech Start Date]]&lt;1/1/1990,"",IF(Main[[#This Row],[Class]]="C",WORKDAY(Main[[#This Row],[Tech Start Date]],23),IF(Main[[#This Row],[Class]]="B", WORKDAY(Main[[#This Row],[Tech Start Date]],15),IF(Main[[#This Row],[Class]]="A",WORKDAY(Main[[#This Row],[Tech Start Date]],5),""))))</f>
        <v/>
      </c>
      <c r="P977" s="75" t="str">
        <f>IF(Main[[#This Row],[Tech Start Date]]&lt;1/1/1990,"",IF(Main[[#This Row],[Class]]="C",WORKDAY(Main[[#This Row],[Tech Start Date]],28),IF(Main[[#This Row],[Class]]="B", WORKDAY(Main[[#This Row],[Tech Start Date]],19),IF(Main[[#This Row],[Class]]="A",WORKDAY(Main[[#This Row],[Tech Start Date]],9),""))))</f>
        <v/>
      </c>
      <c r="Q977" s="89">
        <v>40612</v>
      </c>
      <c r="R977" s="121"/>
      <c r="S977" s="99" t="s">
        <v>6</v>
      </c>
      <c r="T977" s="76" t="s">
        <v>4</v>
      </c>
      <c r="U977" s="99" t="s">
        <v>14</v>
      </c>
      <c r="V977" s="99" t="s">
        <v>1923</v>
      </c>
      <c r="W977" s="99" t="s">
        <v>1917</v>
      </c>
      <c r="X977" s="99" t="s">
        <v>50</v>
      </c>
      <c r="Y977" s="73" t="s">
        <v>3102</v>
      </c>
      <c r="Z977" s="73" t="s">
        <v>30</v>
      </c>
      <c r="AA977" s="99" t="s">
        <v>3367</v>
      </c>
    </row>
    <row r="978" spans="1:27" ht="17.25" customHeight="1">
      <c r="A978" s="65" t="str">
        <f>IF(priority(Main[[#This Row],[Comments]])&lt;&gt;0, priority(Main[[#This Row],[Comments]]),"")</f>
        <v/>
      </c>
      <c r="B978" s="60" t="s">
        <v>2438</v>
      </c>
      <c r="C978" s="105" t="s">
        <v>4</v>
      </c>
      <c r="D978" s="74" t="s">
        <v>3210</v>
      </c>
      <c r="E978" s="89">
        <v>40820.793587962966</v>
      </c>
      <c r="F978" s="89"/>
      <c r="G978" s="65" t="str">
        <f>IF(stdProdLT(Main[[#This Row],[Comments]])=0.1,"N/A",IF(stdProdLT(Main[[#This Row],[Comments]])=0,"",TRIM(stdProdLT(Main[[#This Row],[Comments]]))))</f>
        <v/>
      </c>
      <c r="H978" s="98" t="str">
        <f>IF(Main[[#This Row],[Std. Prod. Lead Time]]="N/A", "",IF(AND(Main[[#This Row],[In Stock Date]]&lt;&gt;"",Main[[#This Row],[Revised Due Date]]&lt;&gt;"",Main[[#This Row],[In Stock Date]]&lt;&gt;""),Main[[#This Row],[In Stock Date]]-Main[[#This Row],[Revised Due Date]],""))</f>
        <v/>
      </c>
      <c r="I978" s="110" t="s">
        <v>2047</v>
      </c>
      <c r="J978" s="99" t="s">
        <v>28</v>
      </c>
      <c r="K978" s="99" t="s">
        <v>1922</v>
      </c>
      <c r="L978" s="89"/>
      <c r="M978" s="75" t="str">
        <f>IF(Main[[#This Row],[Tech Start Date]]&lt;1/1/1990,"",IF(Main[[#This Row],[Class]]="C",WORKDAY(Main[[#This Row],[Tech Start Date]],9),IF(Main[[#This Row],[Class]]="B", WORKDAY(Main[[#This Row],[Tech Start Date]],6),IF(Main[[#This Row],[Class]]="A",WORKDAY(Main[[#This Row],[Tech Start Date]],2),""))))</f>
        <v/>
      </c>
      <c r="N978" s="75" t="str">
        <f>IF(Main[[#This Row],[Tech Start Date]]&lt;1/1/1990,"",IF(Main[[#This Row],[Class]]="C",WORKDAY(Main[[#This Row],[Tech Start Date]],19),IF(Main[[#This Row],[Class]]="B", WORKDAY(Main[[#This Row],[Tech Start Date]],12),IF(Main[[#This Row],[Class]]="A",WORKDAY(Main[[#This Row],[Tech Start Date]],4),""))))</f>
        <v/>
      </c>
      <c r="O978" s="75" t="str">
        <f>IF(Main[[#This Row],[Tech Start Date]]&lt;1/1/1990,"",IF(Main[[#This Row],[Class]]="C",WORKDAY(Main[[#This Row],[Tech Start Date]],23),IF(Main[[#This Row],[Class]]="B", WORKDAY(Main[[#This Row],[Tech Start Date]],15),IF(Main[[#This Row],[Class]]="A",WORKDAY(Main[[#This Row],[Tech Start Date]],5),""))))</f>
        <v/>
      </c>
      <c r="P978" s="75" t="str">
        <f>IF(Main[[#This Row],[Tech Start Date]]&lt;1/1/1990,"",IF(Main[[#This Row],[Class]]="C",WORKDAY(Main[[#This Row],[Tech Start Date]],28),IF(Main[[#This Row],[Class]]="B", WORKDAY(Main[[#This Row],[Tech Start Date]],19),IF(Main[[#This Row],[Class]]="A",WORKDAY(Main[[#This Row],[Tech Start Date]],9),""))))</f>
        <v/>
      </c>
      <c r="Q978" s="89">
        <v>40847</v>
      </c>
      <c r="R978" s="121"/>
      <c r="S978" s="99" t="s">
        <v>6</v>
      </c>
      <c r="T978" s="76" t="s">
        <v>4</v>
      </c>
      <c r="U978" s="99" t="s">
        <v>29</v>
      </c>
      <c r="V978" s="99" t="s">
        <v>1916</v>
      </c>
      <c r="W978" s="99" t="s">
        <v>1917</v>
      </c>
      <c r="X978" s="99" t="s">
        <v>30</v>
      </c>
      <c r="Y978" s="73" t="s">
        <v>3126</v>
      </c>
      <c r="Z978" s="73" t="s">
        <v>30</v>
      </c>
      <c r="AA978" s="99" t="s">
        <v>3433</v>
      </c>
    </row>
    <row r="979" spans="1:27" ht="17.25" customHeight="1">
      <c r="A979" s="65" t="str">
        <f>IF(priority(Main[[#This Row],[Comments]])&lt;&gt;0, priority(Main[[#This Row],[Comments]]),"")</f>
        <v/>
      </c>
      <c r="B979" s="60" t="s">
        <v>1800</v>
      </c>
      <c r="C979" s="105" t="s">
        <v>351</v>
      </c>
      <c r="D979" s="74" t="s">
        <v>822</v>
      </c>
      <c r="E979" s="89"/>
      <c r="F979" s="89">
        <v>40360</v>
      </c>
      <c r="G979" s="65" t="str">
        <f>IF(stdProdLT(Main[[#This Row],[Comments]])=0.1,"N/A",IF(stdProdLT(Main[[#This Row],[Comments]])=0,"",TRIM(stdProdLT(Main[[#This Row],[Comments]]))))</f>
        <v/>
      </c>
      <c r="H979" s="98" t="str">
        <f>IF(Main[[#This Row],[Std. Prod. Lead Time]]="N/A", "",IF(AND(Main[[#This Row],[In Stock Date]]&lt;&gt;"",Main[[#This Row],[Revised Due Date]]&lt;&gt;"",Main[[#This Row],[In Stock Date]]&lt;&gt;""),Main[[#This Row],[In Stock Date]]-Main[[#This Row],[Revised Due Date]],""))</f>
        <v/>
      </c>
      <c r="I979" s="110" t="s">
        <v>4</v>
      </c>
      <c r="J979" s="99" t="s">
        <v>4</v>
      </c>
      <c r="K979" s="99" t="s">
        <v>4</v>
      </c>
      <c r="L979" s="89"/>
      <c r="M979" s="75" t="str">
        <f>IF(Main[[#This Row],[Tech Start Date]]&lt;1/1/1990,"",IF(Main[[#This Row],[Class]]="C",WORKDAY(Main[[#This Row],[Tech Start Date]],9),IF(Main[[#This Row],[Class]]="B", WORKDAY(Main[[#This Row],[Tech Start Date]],6),IF(Main[[#This Row],[Class]]="A",WORKDAY(Main[[#This Row],[Tech Start Date]],2),""))))</f>
        <v/>
      </c>
      <c r="N979" s="75" t="str">
        <f>IF(Main[[#This Row],[Tech Start Date]]&lt;1/1/1990,"",IF(Main[[#This Row],[Class]]="C",WORKDAY(Main[[#This Row],[Tech Start Date]],19),IF(Main[[#This Row],[Class]]="B", WORKDAY(Main[[#This Row],[Tech Start Date]],12),IF(Main[[#This Row],[Class]]="A",WORKDAY(Main[[#This Row],[Tech Start Date]],4),""))))</f>
        <v/>
      </c>
      <c r="O979" s="75" t="str">
        <f>IF(Main[[#This Row],[Tech Start Date]]&lt;1/1/1990,"",IF(Main[[#This Row],[Class]]="C",WORKDAY(Main[[#This Row],[Tech Start Date]],23),IF(Main[[#This Row],[Class]]="B", WORKDAY(Main[[#This Row],[Tech Start Date]],15),IF(Main[[#This Row],[Class]]="A",WORKDAY(Main[[#This Row],[Tech Start Date]],5),""))))</f>
        <v/>
      </c>
      <c r="P979" s="75" t="str">
        <f>IF(Main[[#This Row],[Tech Start Date]]&lt;1/1/1990,"",IF(Main[[#This Row],[Class]]="C",WORKDAY(Main[[#This Row],[Tech Start Date]],28),IF(Main[[#This Row],[Class]]="B", WORKDAY(Main[[#This Row],[Tech Start Date]],19),IF(Main[[#This Row],[Class]]="A",WORKDAY(Main[[#This Row],[Tech Start Date]],9),""))))</f>
        <v/>
      </c>
      <c r="Q979" s="89">
        <v>40329</v>
      </c>
      <c r="R979" s="121"/>
      <c r="S979" s="99" t="s">
        <v>11</v>
      </c>
      <c r="T979" s="76" t="s">
        <v>4</v>
      </c>
      <c r="U979" s="99" t="s">
        <v>12</v>
      </c>
      <c r="V979" s="99" t="s">
        <v>1923</v>
      </c>
      <c r="W979" s="99" t="s">
        <v>1919</v>
      </c>
      <c r="X979" s="99" t="s">
        <v>2866</v>
      </c>
      <c r="Y979" s="73" t="s">
        <v>2990</v>
      </c>
      <c r="Z979" s="73" t="s">
        <v>4</v>
      </c>
      <c r="AA979" s="99" t="s">
        <v>2866</v>
      </c>
    </row>
    <row r="980" spans="1:27" ht="17.25" customHeight="1">
      <c r="A980" s="65" t="str">
        <f>IF(priority(Main[[#This Row],[Comments]])&lt;&gt;0, priority(Main[[#This Row],[Comments]]),"")</f>
        <v/>
      </c>
      <c r="B980" s="60" t="s">
        <v>1777</v>
      </c>
      <c r="C980" s="105" t="s">
        <v>4</v>
      </c>
      <c r="D980" s="74" t="s">
        <v>846</v>
      </c>
      <c r="E980" s="89"/>
      <c r="F980" s="89"/>
      <c r="G980" s="65" t="str">
        <f>IF(stdProdLT(Main[[#This Row],[Comments]])=0.1,"N/A",IF(stdProdLT(Main[[#This Row],[Comments]])=0,"",TRIM(stdProdLT(Main[[#This Row],[Comments]]))))</f>
        <v/>
      </c>
      <c r="H980" s="98" t="str">
        <f>IF(Main[[#This Row],[Std. Prod. Lead Time]]="N/A", "",IF(AND(Main[[#This Row],[In Stock Date]]&lt;&gt;"",Main[[#This Row],[Revised Due Date]]&lt;&gt;"",Main[[#This Row],[In Stock Date]]&lt;&gt;""),Main[[#This Row],[In Stock Date]]-Main[[#This Row],[Revised Due Date]],""))</f>
        <v/>
      </c>
      <c r="I980" s="110" t="s">
        <v>4</v>
      </c>
      <c r="J980" s="99" t="s">
        <v>4</v>
      </c>
      <c r="K980" s="99" t="s">
        <v>4</v>
      </c>
      <c r="L980" s="89"/>
      <c r="M980" s="75" t="str">
        <f>IF(Main[[#This Row],[Tech Start Date]]&lt;1/1/1990,"",IF(Main[[#This Row],[Class]]="C",WORKDAY(Main[[#This Row],[Tech Start Date]],9),IF(Main[[#This Row],[Class]]="B", WORKDAY(Main[[#This Row],[Tech Start Date]],6),IF(Main[[#This Row],[Class]]="A",WORKDAY(Main[[#This Row],[Tech Start Date]],2),""))))</f>
        <v/>
      </c>
      <c r="N980" s="75" t="str">
        <f>IF(Main[[#This Row],[Tech Start Date]]&lt;1/1/1990,"",IF(Main[[#This Row],[Class]]="C",WORKDAY(Main[[#This Row],[Tech Start Date]],19),IF(Main[[#This Row],[Class]]="B", WORKDAY(Main[[#This Row],[Tech Start Date]],12),IF(Main[[#This Row],[Class]]="A",WORKDAY(Main[[#This Row],[Tech Start Date]],4),""))))</f>
        <v/>
      </c>
      <c r="O980" s="75" t="str">
        <f>IF(Main[[#This Row],[Tech Start Date]]&lt;1/1/1990,"",IF(Main[[#This Row],[Class]]="C",WORKDAY(Main[[#This Row],[Tech Start Date]],23),IF(Main[[#This Row],[Class]]="B", WORKDAY(Main[[#This Row],[Tech Start Date]],15),IF(Main[[#This Row],[Class]]="A",WORKDAY(Main[[#This Row],[Tech Start Date]],5),""))))</f>
        <v/>
      </c>
      <c r="P980" s="75" t="str">
        <f>IF(Main[[#This Row],[Tech Start Date]]&lt;1/1/1990,"",IF(Main[[#This Row],[Class]]="C",WORKDAY(Main[[#This Row],[Tech Start Date]],28),IF(Main[[#This Row],[Class]]="B", WORKDAY(Main[[#This Row],[Tech Start Date]],19),IF(Main[[#This Row],[Class]]="A",WORKDAY(Main[[#This Row],[Tech Start Date]],9),""))))</f>
        <v/>
      </c>
      <c r="Q980" s="89"/>
      <c r="R980" s="121"/>
      <c r="S980" s="99" t="s">
        <v>49</v>
      </c>
      <c r="T980" s="76" t="s">
        <v>4</v>
      </c>
      <c r="U980" s="99" t="s">
        <v>14</v>
      </c>
      <c r="V980" s="99" t="s">
        <v>1916</v>
      </c>
      <c r="W980" s="99" t="s">
        <v>1917</v>
      </c>
      <c r="X980" s="99" t="s">
        <v>306</v>
      </c>
      <c r="Y980" s="73" t="s">
        <v>4</v>
      </c>
      <c r="Z980" s="73" t="s">
        <v>4</v>
      </c>
      <c r="AA980" s="99" t="s">
        <v>4</v>
      </c>
    </row>
    <row r="981" spans="1:27" ht="17.25" customHeight="1">
      <c r="A981" s="65" t="str">
        <f>IF(priority(Main[[#This Row],[Comments]])&lt;&gt;0, priority(Main[[#This Row],[Comments]]),"")</f>
        <v/>
      </c>
      <c r="B981" s="60" t="s">
        <v>1778</v>
      </c>
      <c r="C981" s="105" t="s">
        <v>4</v>
      </c>
      <c r="D981" s="74" t="s">
        <v>847</v>
      </c>
      <c r="E981" s="89"/>
      <c r="F981" s="89"/>
      <c r="G981" s="65" t="str">
        <f>IF(stdProdLT(Main[[#This Row],[Comments]])=0.1,"N/A",IF(stdProdLT(Main[[#This Row],[Comments]])=0,"",TRIM(stdProdLT(Main[[#This Row],[Comments]]))))</f>
        <v/>
      </c>
      <c r="H981" s="98" t="str">
        <f>IF(Main[[#This Row],[Std. Prod. Lead Time]]="N/A", "",IF(AND(Main[[#This Row],[In Stock Date]]&lt;&gt;"",Main[[#This Row],[Revised Due Date]]&lt;&gt;"",Main[[#This Row],[In Stock Date]]&lt;&gt;""),Main[[#This Row],[In Stock Date]]-Main[[#This Row],[Revised Due Date]],""))</f>
        <v/>
      </c>
      <c r="I981" s="110" t="s">
        <v>4</v>
      </c>
      <c r="J981" s="99" t="s">
        <v>4</v>
      </c>
      <c r="K981" s="99" t="s">
        <v>4</v>
      </c>
      <c r="L981" s="89"/>
      <c r="M981" s="75" t="str">
        <f>IF(Main[[#This Row],[Tech Start Date]]&lt;1/1/1990,"",IF(Main[[#This Row],[Class]]="C",WORKDAY(Main[[#This Row],[Tech Start Date]],9),IF(Main[[#This Row],[Class]]="B", WORKDAY(Main[[#This Row],[Tech Start Date]],6),IF(Main[[#This Row],[Class]]="A",WORKDAY(Main[[#This Row],[Tech Start Date]],2),""))))</f>
        <v/>
      </c>
      <c r="N981" s="75" t="str">
        <f>IF(Main[[#This Row],[Tech Start Date]]&lt;1/1/1990,"",IF(Main[[#This Row],[Class]]="C",WORKDAY(Main[[#This Row],[Tech Start Date]],19),IF(Main[[#This Row],[Class]]="B", WORKDAY(Main[[#This Row],[Tech Start Date]],12),IF(Main[[#This Row],[Class]]="A",WORKDAY(Main[[#This Row],[Tech Start Date]],4),""))))</f>
        <v/>
      </c>
      <c r="O981" s="75" t="str">
        <f>IF(Main[[#This Row],[Tech Start Date]]&lt;1/1/1990,"",IF(Main[[#This Row],[Class]]="C",WORKDAY(Main[[#This Row],[Tech Start Date]],23),IF(Main[[#This Row],[Class]]="B", WORKDAY(Main[[#This Row],[Tech Start Date]],15),IF(Main[[#This Row],[Class]]="A",WORKDAY(Main[[#This Row],[Tech Start Date]],5),""))))</f>
        <v/>
      </c>
      <c r="P981" s="75" t="str">
        <f>IF(Main[[#This Row],[Tech Start Date]]&lt;1/1/1990,"",IF(Main[[#This Row],[Class]]="C",WORKDAY(Main[[#This Row],[Tech Start Date]],28),IF(Main[[#This Row],[Class]]="B", WORKDAY(Main[[#This Row],[Tech Start Date]],19),IF(Main[[#This Row],[Class]]="A",WORKDAY(Main[[#This Row],[Tech Start Date]],9),""))))</f>
        <v/>
      </c>
      <c r="Q981" s="89"/>
      <c r="R981" s="121"/>
      <c r="S981" s="99" t="s">
        <v>23</v>
      </c>
      <c r="T981" s="76" t="s">
        <v>4</v>
      </c>
      <c r="U981" s="99" t="s">
        <v>14</v>
      </c>
      <c r="V981" s="99" t="s">
        <v>1916</v>
      </c>
      <c r="W981" s="99" t="s">
        <v>1917</v>
      </c>
      <c r="X981" s="99" t="s">
        <v>399</v>
      </c>
      <c r="Y981" s="73" t="s">
        <v>4</v>
      </c>
      <c r="Z981" s="73" t="s">
        <v>765</v>
      </c>
      <c r="AA981" s="99" t="s">
        <v>3383</v>
      </c>
    </row>
    <row r="982" spans="1:27" ht="17.25" customHeight="1">
      <c r="A982" s="65" t="str">
        <f>IF(priority(Main[[#This Row],[Comments]])&lt;&gt;0, priority(Main[[#This Row],[Comments]]),"")</f>
        <v/>
      </c>
      <c r="B982" s="60" t="s">
        <v>1785</v>
      </c>
      <c r="C982" s="105" t="s">
        <v>830</v>
      </c>
      <c r="D982" s="74" t="s">
        <v>831</v>
      </c>
      <c r="E982" s="89"/>
      <c r="F982" s="89"/>
      <c r="G982" s="65" t="str">
        <f>IF(stdProdLT(Main[[#This Row],[Comments]])=0.1,"N/A",IF(stdProdLT(Main[[#This Row],[Comments]])=0,"",TRIM(stdProdLT(Main[[#This Row],[Comments]]))))</f>
        <v/>
      </c>
      <c r="H982" s="98" t="str">
        <f>IF(Main[[#This Row],[Std. Prod. Lead Time]]="N/A", "",IF(AND(Main[[#This Row],[In Stock Date]]&lt;&gt;"",Main[[#This Row],[Revised Due Date]]&lt;&gt;"",Main[[#This Row],[In Stock Date]]&lt;&gt;""),Main[[#This Row],[In Stock Date]]-Main[[#This Row],[Revised Due Date]],""))</f>
        <v/>
      </c>
      <c r="I982" s="110" t="s">
        <v>4</v>
      </c>
      <c r="J982" s="99" t="s">
        <v>4</v>
      </c>
      <c r="K982" s="99" t="s">
        <v>4</v>
      </c>
      <c r="L982" s="89"/>
      <c r="M982" s="75" t="str">
        <f>IF(Main[[#This Row],[Tech Start Date]]&lt;1/1/1990,"",IF(Main[[#This Row],[Class]]="C",WORKDAY(Main[[#This Row],[Tech Start Date]],9),IF(Main[[#This Row],[Class]]="B", WORKDAY(Main[[#This Row],[Tech Start Date]],6),IF(Main[[#This Row],[Class]]="A",WORKDAY(Main[[#This Row],[Tech Start Date]],2),""))))</f>
        <v/>
      </c>
      <c r="N982" s="75" t="str">
        <f>IF(Main[[#This Row],[Tech Start Date]]&lt;1/1/1990,"",IF(Main[[#This Row],[Class]]="C",WORKDAY(Main[[#This Row],[Tech Start Date]],19),IF(Main[[#This Row],[Class]]="B", WORKDAY(Main[[#This Row],[Tech Start Date]],12),IF(Main[[#This Row],[Class]]="A",WORKDAY(Main[[#This Row],[Tech Start Date]],4),""))))</f>
        <v/>
      </c>
      <c r="O982" s="75" t="str">
        <f>IF(Main[[#This Row],[Tech Start Date]]&lt;1/1/1990,"",IF(Main[[#This Row],[Class]]="C",WORKDAY(Main[[#This Row],[Tech Start Date]],23),IF(Main[[#This Row],[Class]]="B", WORKDAY(Main[[#This Row],[Tech Start Date]],15),IF(Main[[#This Row],[Class]]="A",WORKDAY(Main[[#This Row],[Tech Start Date]],5),""))))</f>
        <v/>
      </c>
      <c r="P982" s="75" t="str">
        <f>IF(Main[[#This Row],[Tech Start Date]]&lt;1/1/1990,"",IF(Main[[#This Row],[Class]]="C",WORKDAY(Main[[#This Row],[Tech Start Date]],28),IF(Main[[#This Row],[Class]]="B", WORKDAY(Main[[#This Row],[Tech Start Date]],19),IF(Main[[#This Row],[Class]]="A",WORKDAY(Main[[#This Row],[Tech Start Date]],9),""))))</f>
        <v/>
      </c>
      <c r="Q982" s="89"/>
      <c r="R982" s="121"/>
      <c r="S982" s="99" t="s">
        <v>11</v>
      </c>
      <c r="T982" s="76" t="s">
        <v>4</v>
      </c>
      <c r="U982" s="99" t="s">
        <v>14</v>
      </c>
      <c r="V982" s="99" t="s">
        <v>1914</v>
      </c>
      <c r="W982" s="99" t="s">
        <v>1921</v>
      </c>
      <c r="X982" s="99" t="s">
        <v>2841</v>
      </c>
      <c r="Y982" s="73" t="s">
        <v>2972</v>
      </c>
      <c r="Z982" s="73" t="s">
        <v>4</v>
      </c>
      <c r="AA982" s="99" t="s">
        <v>2841</v>
      </c>
    </row>
    <row r="983" spans="1:27" ht="17.25" customHeight="1">
      <c r="A983" s="65" t="str">
        <f>IF(priority(Main[[#This Row],[Comments]])&lt;&gt;0, priority(Main[[#This Row],[Comments]]),"")</f>
        <v/>
      </c>
      <c r="B983" s="60" t="s">
        <v>1786</v>
      </c>
      <c r="C983" s="105" t="s">
        <v>93</v>
      </c>
      <c r="D983" s="74" t="s">
        <v>832</v>
      </c>
      <c r="E983" s="89"/>
      <c r="F983" s="89">
        <v>40299</v>
      </c>
      <c r="G983" s="65" t="str">
        <f>IF(stdProdLT(Main[[#This Row],[Comments]])=0.1,"N/A",IF(stdProdLT(Main[[#This Row],[Comments]])=0,"",TRIM(stdProdLT(Main[[#This Row],[Comments]]))))</f>
        <v/>
      </c>
      <c r="H983" s="98" t="str">
        <f>IF(Main[[#This Row],[Std. Prod. Lead Time]]="N/A", "",IF(AND(Main[[#This Row],[In Stock Date]]&lt;&gt;"",Main[[#This Row],[Revised Due Date]]&lt;&gt;"",Main[[#This Row],[In Stock Date]]&lt;&gt;""),Main[[#This Row],[In Stock Date]]-Main[[#This Row],[Revised Due Date]],""))</f>
        <v/>
      </c>
      <c r="I983" s="110" t="s">
        <v>4</v>
      </c>
      <c r="J983" s="99" t="s">
        <v>4</v>
      </c>
      <c r="K983" s="99" t="s">
        <v>4</v>
      </c>
      <c r="L983" s="89"/>
      <c r="M983" s="75" t="str">
        <f>IF(Main[[#This Row],[Tech Start Date]]&lt;1/1/1990,"",IF(Main[[#This Row],[Class]]="C",WORKDAY(Main[[#This Row],[Tech Start Date]],9),IF(Main[[#This Row],[Class]]="B", WORKDAY(Main[[#This Row],[Tech Start Date]],6),IF(Main[[#This Row],[Class]]="A",WORKDAY(Main[[#This Row],[Tech Start Date]],2),""))))</f>
        <v/>
      </c>
      <c r="N983" s="75" t="str">
        <f>IF(Main[[#This Row],[Tech Start Date]]&lt;1/1/1990,"",IF(Main[[#This Row],[Class]]="C",WORKDAY(Main[[#This Row],[Tech Start Date]],19),IF(Main[[#This Row],[Class]]="B", WORKDAY(Main[[#This Row],[Tech Start Date]],12),IF(Main[[#This Row],[Class]]="A",WORKDAY(Main[[#This Row],[Tech Start Date]],4),""))))</f>
        <v/>
      </c>
      <c r="O983" s="75" t="str">
        <f>IF(Main[[#This Row],[Tech Start Date]]&lt;1/1/1990,"",IF(Main[[#This Row],[Class]]="C",WORKDAY(Main[[#This Row],[Tech Start Date]],23),IF(Main[[#This Row],[Class]]="B", WORKDAY(Main[[#This Row],[Tech Start Date]],15),IF(Main[[#This Row],[Class]]="A",WORKDAY(Main[[#This Row],[Tech Start Date]],5),""))))</f>
        <v/>
      </c>
      <c r="P983" s="75" t="str">
        <f>IF(Main[[#This Row],[Tech Start Date]]&lt;1/1/1990,"",IF(Main[[#This Row],[Class]]="C",WORKDAY(Main[[#This Row],[Tech Start Date]],28),IF(Main[[#This Row],[Class]]="B", WORKDAY(Main[[#This Row],[Tech Start Date]],19),IF(Main[[#This Row],[Class]]="A",WORKDAY(Main[[#This Row],[Tech Start Date]],9),""))))</f>
        <v/>
      </c>
      <c r="Q983" s="89">
        <v>40171</v>
      </c>
      <c r="R983" s="121"/>
      <c r="S983" s="99" t="s">
        <v>11</v>
      </c>
      <c r="T983" s="76" t="s">
        <v>4</v>
      </c>
      <c r="U983" s="99" t="s">
        <v>14</v>
      </c>
      <c r="V983" s="99" t="s">
        <v>1916</v>
      </c>
      <c r="W983" s="99" t="s">
        <v>1919</v>
      </c>
      <c r="X983" s="99" t="s">
        <v>530</v>
      </c>
      <c r="Y983" s="73" t="s">
        <v>3047</v>
      </c>
      <c r="Z983" s="73" t="s">
        <v>4</v>
      </c>
      <c r="AA983" s="99" t="s">
        <v>3409</v>
      </c>
    </row>
    <row r="984" spans="1:27" ht="17.25" customHeight="1">
      <c r="A984" s="65" t="str">
        <f>IF(priority(Main[[#This Row],[Comments]])&lt;&gt;0, priority(Main[[#This Row],[Comments]]),"")</f>
        <v/>
      </c>
      <c r="B984" s="60" t="s">
        <v>1787</v>
      </c>
      <c r="C984" s="105" t="s">
        <v>4</v>
      </c>
      <c r="D984" s="74" t="s">
        <v>833</v>
      </c>
      <c r="E984" s="89">
        <v>40682.311319444445</v>
      </c>
      <c r="F984" s="89"/>
      <c r="G984" s="65" t="str">
        <f>IF(stdProdLT(Main[[#This Row],[Comments]])=0.1,"N/A",IF(stdProdLT(Main[[#This Row],[Comments]])=0,"",TRIM(stdProdLT(Main[[#This Row],[Comments]]))))</f>
        <v/>
      </c>
      <c r="H984" s="98" t="str">
        <f>IF(Main[[#This Row],[Std. Prod. Lead Time]]="N/A", "",IF(AND(Main[[#This Row],[In Stock Date]]&lt;&gt;"",Main[[#This Row],[Revised Due Date]]&lt;&gt;"",Main[[#This Row],[In Stock Date]]&lt;&gt;""),Main[[#This Row],[In Stock Date]]-Main[[#This Row],[Revised Due Date]],""))</f>
        <v/>
      </c>
      <c r="I984" s="110" t="s">
        <v>4</v>
      </c>
      <c r="J984" s="99" t="s">
        <v>4</v>
      </c>
      <c r="K984" s="99" t="s">
        <v>4</v>
      </c>
      <c r="L984" s="89"/>
      <c r="M984" s="75" t="str">
        <f>IF(Main[[#This Row],[Tech Start Date]]&lt;1/1/1990,"",IF(Main[[#This Row],[Class]]="C",WORKDAY(Main[[#This Row],[Tech Start Date]],9),IF(Main[[#This Row],[Class]]="B", WORKDAY(Main[[#This Row],[Tech Start Date]],6),IF(Main[[#This Row],[Class]]="A",WORKDAY(Main[[#This Row],[Tech Start Date]],2),""))))</f>
        <v/>
      </c>
      <c r="N984" s="75" t="str">
        <f>IF(Main[[#This Row],[Tech Start Date]]&lt;1/1/1990,"",IF(Main[[#This Row],[Class]]="C",WORKDAY(Main[[#This Row],[Tech Start Date]],19),IF(Main[[#This Row],[Class]]="B", WORKDAY(Main[[#This Row],[Tech Start Date]],12),IF(Main[[#This Row],[Class]]="A",WORKDAY(Main[[#This Row],[Tech Start Date]],4),""))))</f>
        <v/>
      </c>
      <c r="O984" s="75" t="str">
        <f>IF(Main[[#This Row],[Tech Start Date]]&lt;1/1/1990,"",IF(Main[[#This Row],[Class]]="C",WORKDAY(Main[[#This Row],[Tech Start Date]],23),IF(Main[[#This Row],[Class]]="B", WORKDAY(Main[[#This Row],[Tech Start Date]],15),IF(Main[[#This Row],[Class]]="A",WORKDAY(Main[[#This Row],[Tech Start Date]],5),""))))</f>
        <v/>
      </c>
      <c r="P984" s="75" t="str">
        <f>IF(Main[[#This Row],[Tech Start Date]]&lt;1/1/1990,"",IF(Main[[#This Row],[Class]]="C",WORKDAY(Main[[#This Row],[Tech Start Date]],28),IF(Main[[#This Row],[Class]]="B", WORKDAY(Main[[#This Row],[Tech Start Date]],19),IF(Main[[#This Row],[Class]]="A",WORKDAY(Main[[#This Row],[Tech Start Date]],9),""))))</f>
        <v/>
      </c>
      <c r="Q984" s="89">
        <v>40724</v>
      </c>
      <c r="R984" s="121"/>
      <c r="S984" s="99" t="s">
        <v>6</v>
      </c>
      <c r="T984" s="76" t="s">
        <v>4</v>
      </c>
      <c r="U984" s="99" t="s">
        <v>7</v>
      </c>
      <c r="V984" s="99" t="s">
        <v>1913</v>
      </c>
      <c r="W984" s="99" t="s">
        <v>4</v>
      </c>
      <c r="X984" s="99" t="s">
        <v>2816</v>
      </c>
      <c r="Y984" s="73" t="s">
        <v>2932</v>
      </c>
      <c r="Z984" s="73" t="s">
        <v>4</v>
      </c>
      <c r="AA984" s="99" t="s">
        <v>2816</v>
      </c>
    </row>
    <row r="985" spans="1:27" ht="17.25" customHeight="1">
      <c r="A985" s="65" t="str">
        <f>IF(priority(Main[[#This Row],[Comments]])&lt;&gt;0, priority(Main[[#This Row],[Comments]]),"")</f>
        <v/>
      </c>
      <c r="B985" s="60" t="s">
        <v>1788</v>
      </c>
      <c r="C985" s="105" t="s">
        <v>4</v>
      </c>
      <c r="D985" s="74" t="s">
        <v>834</v>
      </c>
      <c r="E985" s="89"/>
      <c r="F985" s="89"/>
      <c r="G985" s="65" t="str">
        <f>IF(stdProdLT(Main[[#This Row],[Comments]])=0.1,"N/A",IF(stdProdLT(Main[[#This Row],[Comments]])=0,"",TRIM(stdProdLT(Main[[#This Row],[Comments]]))))</f>
        <v/>
      </c>
      <c r="H985" s="98" t="str">
        <f>IF(Main[[#This Row],[Std. Prod. Lead Time]]="N/A", "",IF(AND(Main[[#This Row],[In Stock Date]]&lt;&gt;"",Main[[#This Row],[Revised Due Date]]&lt;&gt;"",Main[[#This Row],[In Stock Date]]&lt;&gt;""),Main[[#This Row],[In Stock Date]]-Main[[#This Row],[Revised Due Date]],""))</f>
        <v/>
      </c>
      <c r="I985" s="110" t="s">
        <v>4</v>
      </c>
      <c r="J985" s="99" t="s">
        <v>4</v>
      </c>
      <c r="K985" s="99" t="s">
        <v>4</v>
      </c>
      <c r="L985" s="89"/>
      <c r="M985" s="75" t="str">
        <f>IF(Main[[#This Row],[Tech Start Date]]&lt;1/1/1990,"",IF(Main[[#This Row],[Class]]="C",WORKDAY(Main[[#This Row],[Tech Start Date]],9),IF(Main[[#This Row],[Class]]="B", WORKDAY(Main[[#This Row],[Tech Start Date]],6),IF(Main[[#This Row],[Class]]="A",WORKDAY(Main[[#This Row],[Tech Start Date]],2),""))))</f>
        <v/>
      </c>
      <c r="N985" s="75" t="str">
        <f>IF(Main[[#This Row],[Tech Start Date]]&lt;1/1/1990,"",IF(Main[[#This Row],[Class]]="C",WORKDAY(Main[[#This Row],[Tech Start Date]],19),IF(Main[[#This Row],[Class]]="B", WORKDAY(Main[[#This Row],[Tech Start Date]],12),IF(Main[[#This Row],[Class]]="A",WORKDAY(Main[[#This Row],[Tech Start Date]],4),""))))</f>
        <v/>
      </c>
      <c r="O985" s="75" t="str">
        <f>IF(Main[[#This Row],[Tech Start Date]]&lt;1/1/1990,"",IF(Main[[#This Row],[Class]]="C",WORKDAY(Main[[#This Row],[Tech Start Date]],23),IF(Main[[#This Row],[Class]]="B", WORKDAY(Main[[#This Row],[Tech Start Date]],15),IF(Main[[#This Row],[Class]]="A",WORKDAY(Main[[#This Row],[Tech Start Date]],5),""))))</f>
        <v/>
      </c>
      <c r="P985" s="75" t="str">
        <f>IF(Main[[#This Row],[Tech Start Date]]&lt;1/1/1990,"",IF(Main[[#This Row],[Class]]="C",WORKDAY(Main[[#This Row],[Tech Start Date]],28),IF(Main[[#This Row],[Class]]="B", WORKDAY(Main[[#This Row],[Tech Start Date]],19),IF(Main[[#This Row],[Class]]="A",WORKDAY(Main[[#This Row],[Tech Start Date]],9),""))))</f>
        <v/>
      </c>
      <c r="Q985" s="89"/>
      <c r="R985" s="121"/>
      <c r="S985" s="99" t="s">
        <v>6</v>
      </c>
      <c r="T985" s="76" t="s">
        <v>4</v>
      </c>
      <c r="U985" s="99" t="s">
        <v>14</v>
      </c>
      <c r="V985" s="99" t="s">
        <v>1916</v>
      </c>
      <c r="W985" s="99" t="s">
        <v>1917</v>
      </c>
      <c r="X985" s="99" t="s">
        <v>50</v>
      </c>
      <c r="Y985" s="73" t="s">
        <v>4</v>
      </c>
      <c r="Z985" s="73" t="s">
        <v>4</v>
      </c>
      <c r="AA985" s="99" t="s">
        <v>4</v>
      </c>
    </row>
    <row r="986" spans="1:27" ht="17.25" customHeight="1">
      <c r="A986" s="65" t="str">
        <f>IF(priority(Main[[#This Row],[Comments]])&lt;&gt;0, priority(Main[[#This Row],[Comments]]),"")</f>
        <v/>
      </c>
      <c r="B986" s="60" t="s">
        <v>1789</v>
      </c>
      <c r="C986" s="105" t="s">
        <v>4</v>
      </c>
      <c r="D986" s="74" t="s">
        <v>835</v>
      </c>
      <c r="E986" s="89">
        <v>40686.396180555559</v>
      </c>
      <c r="F986" s="89"/>
      <c r="G986" s="65" t="str">
        <f>IF(stdProdLT(Main[[#This Row],[Comments]])=0.1,"N/A",IF(stdProdLT(Main[[#This Row],[Comments]])=0,"",TRIM(stdProdLT(Main[[#This Row],[Comments]]))))</f>
        <v/>
      </c>
      <c r="H986" s="98" t="str">
        <f>IF(Main[[#This Row],[Std. Prod. Lead Time]]="N/A", "",IF(AND(Main[[#This Row],[In Stock Date]]&lt;&gt;"",Main[[#This Row],[Revised Due Date]]&lt;&gt;"",Main[[#This Row],[In Stock Date]]&lt;&gt;""),Main[[#This Row],[In Stock Date]]-Main[[#This Row],[Revised Due Date]],""))</f>
        <v/>
      </c>
      <c r="I986" s="110" t="s">
        <v>4</v>
      </c>
      <c r="J986" s="99" t="s">
        <v>4</v>
      </c>
      <c r="K986" s="99" t="s">
        <v>4</v>
      </c>
      <c r="L986" s="89"/>
      <c r="M986" s="75" t="str">
        <f>IF(Main[[#This Row],[Tech Start Date]]&lt;1/1/1990,"",IF(Main[[#This Row],[Class]]="C",WORKDAY(Main[[#This Row],[Tech Start Date]],9),IF(Main[[#This Row],[Class]]="B", WORKDAY(Main[[#This Row],[Tech Start Date]],6),IF(Main[[#This Row],[Class]]="A",WORKDAY(Main[[#This Row],[Tech Start Date]],2),""))))</f>
        <v/>
      </c>
      <c r="N986" s="75" t="str">
        <f>IF(Main[[#This Row],[Tech Start Date]]&lt;1/1/1990,"",IF(Main[[#This Row],[Class]]="C",WORKDAY(Main[[#This Row],[Tech Start Date]],19),IF(Main[[#This Row],[Class]]="B", WORKDAY(Main[[#This Row],[Tech Start Date]],12),IF(Main[[#This Row],[Class]]="A",WORKDAY(Main[[#This Row],[Tech Start Date]],4),""))))</f>
        <v/>
      </c>
      <c r="O986" s="75" t="str">
        <f>IF(Main[[#This Row],[Tech Start Date]]&lt;1/1/1990,"",IF(Main[[#This Row],[Class]]="C",WORKDAY(Main[[#This Row],[Tech Start Date]],23),IF(Main[[#This Row],[Class]]="B", WORKDAY(Main[[#This Row],[Tech Start Date]],15),IF(Main[[#This Row],[Class]]="A",WORKDAY(Main[[#This Row],[Tech Start Date]],5),""))))</f>
        <v/>
      </c>
      <c r="P986" s="75" t="str">
        <f>IF(Main[[#This Row],[Tech Start Date]]&lt;1/1/1990,"",IF(Main[[#This Row],[Class]]="C",WORKDAY(Main[[#This Row],[Tech Start Date]],28),IF(Main[[#This Row],[Class]]="B", WORKDAY(Main[[#This Row],[Tech Start Date]],19),IF(Main[[#This Row],[Class]]="A",WORKDAY(Main[[#This Row],[Tech Start Date]],9),""))))</f>
        <v/>
      </c>
      <c r="Q986" s="89">
        <v>40704</v>
      </c>
      <c r="R986" s="121"/>
      <c r="S986" s="99" t="s">
        <v>6</v>
      </c>
      <c r="T986" s="76" t="s">
        <v>4</v>
      </c>
      <c r="U986" s="99" t="s">
        <v>7</v>
      </c>
      <c r="V986" s="99" t="s">
        <v>1913</v>
      </c>
      <c r="W986" s="99" t="s">
        <v>1917</v>
      </c>
      <c r="X986" s="99" t="s">
        <v>2860</v>
      </c>
      <c r="Y986" s="73" t="s">
        <v>2994</v>
      </c>
      <c r="Z986" s="73" t="s">
        <v>4</v>
      </c>
      <c r="AA986" s="99" t="s">
        <v>2860</v>
      </c>
    </row>
    <row r="987" spans="1:27" ht="17.25" customHeight="1">
      <c r="A987" s="65" t="str">
        <f>IF(priority(Main[[#This Row],[Comments]])&lt;&gt;0, priority(Main[[#This Row],[Comments]]),"")</f>
        <v/>
      </c>
      <c r="B987" s="60" t="s">
        <v>1152</v>
      </c>
      <c r="C987" s="105" t="s">
        <v>4</v>
      </c>
      <c r="D987" s="74" t="s">
        <v>97</v>
      </c>
      <c r="E987" s="89">
        <v>40667.587465277778</v>
      </c>
      <c r="F987" s="89"/>
      <c r="G987" s="65" t="str">
        <f>IF(stdProdLT(Main[[#This Row],[Comments]])=0.1,"N/A",IF(stdProdLT(Main[[#This Row],[Comments]])=0,"",TRIM(stdProdLT(Main[[#This Row],[Comments]]))))</f>
        <v/>
      </c>
      <c r="H987" s="98" t="str">
        <f>IF(Main[[#This Row],[Std. Prod. Lead Time]]="N/A", "",IF(AND(Main[[#This Row],[In Stock Date]]&lt;&gt;"",Main[[#This Row],[Revised Due Date]]&lt;&gt;"",Main[[#This Row],[In Stock Date]]&lt;&gt;""),Main[[#This Row],[In Stock Date]]-Main[[#This Row],[Revised Due Date]],""))</f>
        <v/>
      </c>
      <c r="I987" s="110" t="s">
        <v>4</v>
      </c>
      <c r="J987" s="99" t="s">
        <v>4</v>
      </c>
      <c r="K987" s="99" t="s">
        <v>4</v>
      </c>
      <c r="L987" s="89"/>
      <c r="M987" s="75" t="str">
        <f>IF(Main[[#This Row],[Tech Start Date]]&lt;1/1/1990,"",IF(Main[[#This Row],[Class]]="C",WORKDAY(Main[[#This Row],[Tech Start Date]],9),IF(Main[[#This Row],[Class]]="B", WORKDAY(Main[[#This Row],[Tech Start Date]],6),IF(Main[[#This Row],[Class]]="A",WORKDAY(Main[[#This Row],[Tech Start Date]],2),""))))</f>
        <v/>
      </c>
      <c r="N987" s="75" t="str">
        <f>IF(Main[[#This Row],[Tech Start Date]]&lt;1/1/1990,"",IF(Main[[#This Row],[Class]]="C",WORKDAY(Main[[#This Row],[Tech Start Date]],19),IF(Main[[#This Row],[Class]]="B", WORKDAY(Main[[#This Row],[Tech Start Date]],12),IF(Main[[#This Row],[Class]]="A",WORKDAY(Main[[#This Row],[Tech Start Date]],4),""))))</f>
        <v/>
      </c>
      <c r="O987" s="75" t="str">
        <f>IF(Main[[#This Row],[Tech Start Date]]&lt;1/1/1990,"",IF(Main[[#This Row],[Class]]="C",WORKDAY(Main[[#This Row],[Tech Start Date]],23),IF(Main[[#This Row],[Class]]="B", WORKDAY(Main[[#This Row],[Tech Start Date]],15),IF(Main[[#This Row],[Class]]="A",WORKDAY(Main[[#This Row],[Tech Start Date]],5),""))))</f>
        <v/>
      </c>
      <c r="P987" s="75" t="str">
        <f>IF(Main[[#This Row],[Tech Start Date]]&lt;1/1/1990,"",IF(Main[[#This Row],[Class]]="C",WORKDAY(Main[[#This Row],[Tech Start Date]],28),IF(Main[[#This Row],[Class]]="B", WORKDAY(Main[[#This Row],[Tech Start Date]],19),IF(Main[[#This Row],[Class]]="A",WORKDAY(Main[[#This Row],[Tech Start Date]],9),""))))</f>
        <v/>
      </c>
      <c r="Q987" s="89">
        <v>40858</v>
      </c>
      <c r="R987" s="121"/>
      <c r="S987" s="99" t="s">
        <v>17</v>
      </c>
      <c r="T987" s="76" t="s">
        <v>4</v>
      </c>
      <c r="U987" s="99" t="s">
        <v>7</v>
      </c>
      <c r="V987" s="99" t="s">
        <v>1913</v>
      </c>
      <c r="W987" s="99" t="s">
        <v>1918</v>
      </c>
      <c r="X987" s="99" t="s">
        <v>50</v>
      </c>
      <c r="Y987" s="73" t="s">
        <v>2953</v>
      </c>
      <c r="Z987" s="73" t="s">
        <v>4</v>
      </c>
      <c r="AA987" s="99" t="s">
        <v>2822</v>
      </c>
    </row>
    <row r="988" spans="1:27" ht="17.25" customHeight="1">
      <c r="A988" s="65" t="str">
        <f>IF(priority(Main[[#This Row],[Comments]])&lt;&gt;0, priority(Main[[#This Row],[Comments]]),"")</f>
        <v/>
      </c>
      <c r="B988" s="60" t="s">
        <v>1790</v>
      </c>
      <c r="C988" s="105" t="s">
        <v>4</v>
      </c>
      <c r="D988" s="74" t="s">
        <v>97</v>
      </c>
      <c r="E988" s="89"/>
      <c r="F988" s="89"/>
      <c r="G988" s="65" t="str">
        <f>IF(stdProdLT(Main[[#This Row],[Comments]])=0.1,"N/A",IF(stdProdLT(Main[[#This Row],[Comments]])=0,"",TRIM(stdProdLT(Main[[#This Row],[Comments]]))))</f>
        <v/>
      </c>
      <c r="H988" s="98" t="str">
        <f>IF(Main[[#This Row],[Std. Prod. Lead Time]]="N/A", "",IF(AND(Main[[#This Row],[In Stock Date]]&lt;&gt;"",Main[[#This Row],[Revised Due Date]]&lt;&gt;"",Main[[#This Row],[In Stock Date]]&lt;&gt;""),Main[[#This Row],[In Stock Date]]-Main[[#This Row],[Revised Due Date]],""))</f>
        <v/>
      </c>
      <c r="I988" s="110" t="s">
        <v>4</v>
      </c>
      <c r="J988" s="99" t="s">
        <v>4</v>
      </c>
      <c r="K988" s="99" t="s">
        <v>4</v>
      </c>
      <c r="L988" s="89"/>
      <c r="M988" s="75" t="str">
        <f>IF(Main[[#This Row],[Tech Start Date]]&lt;1/1/1990,"",IF(Main[[#This Row],[Class]]="C",WORKDAY(Main[[#This Row],[Tech Start Date]],9),IF(Main[[#This Row],[Class]]="B", WORKDAY(Main[[#This Row],[Tech Start Date]],6),IF(Main[[#This Row],[Class]]="A",WORKDAY(Main[[#This Row],[Tech Start Date]],2),""))))</f>
        <v/>
      </c>
      <c r="N988" s="75" t="str">
        <f>IF(Main[[#This Row],[Tech Start Date]]&lt;1/1/1990,"",IF(Main[[#This Row],[Class]]="C",WORKDAY(Main[[#This Row],[Tech Start Date]],19),IF(Main[[#This Row],[Class]]="B", WORKDAY(Main[[#This Row],[Tech Start Date]],12),IF(Main[[#This Row],[Class]]="A",WORKDAY(Main[[#This Row],[Tech Start Date]],4),""))))</f>
        <v/>
      </c>
      <c r="O988" s="75" t="str">
        <f>IF(Main[[#This Row],[Tech Start Date]]&lt;1/1/1990,"",IF(Main[[#This Row],[Class]]="C",WORKDAY(Main[[#This Row],[Tech Start Date]],23),IF(Main[[#This Row],[Class]]="B", WORKDAY(Main[[#This Row],[Tech Start Date]],15),IF(Main[[#This Row],[Class]]="A",WORKDAY(Main[[#This Row],[Tech Start Date]],5),""))))</f>
        <v/>
      </c>
      <c r="P988" s="75" t="str">
        <f>IF(Main[[#This Row],[Tech Start Date]]&lt;1/1/1990,"",IF(Main[[#This Row],[Class]]="C",WORKDAY(Main[[#This Row],[Tech Start Date]],28),IF(Main[[#This Row],[Class]]="B", WORKDAY(Main[[#This Row],[Tech Start Date]],19),IF(Main[[#This Row],[Class]]="A",WORKDAY(Main[[#This Row],[Tech Start Date]],9),""))))</f>
        <v/>
      </c>
      <c r="Q988" s="89">
        <v>40858</v>
      </c>
      <c r="R988" s="121"/>
      <c r="S988" s="99" t="s">
        <v>17</v>
      </c>
      <c r="T988" s="76" t="s">
        <v>4</v>
      </c>
      <c r="U988" s="99" t="s">
        <v>14</v>
      </c>
      <c r="V988" s="99" t="s">
        <v>1913</v>
      </c>
      <c r="W988" s="99" t="s">
        <v>1918</v>
      </c>
      <c r="X988" s="99" t="s">
        <v>50</v>
      </c>
      <c r="Y988" s="73" t="s">
        <v>2953</v>
      </c>
      <c r="Z988" s="73" t="s">
        <v>4</v>
      </c>
      <c r="AA988" s="99" t="s">
        <v>2822</v>
      </c>
    </row>
    <row r="989" spans="1:27" ht="17.25" customHeight="1">
      <c r="A989" s="65" t="str">
        <f>IF(priority(Main[[#This Row],[Comments]])&lt;&gt;0, priority(Main[[#This Row],[Comments]]),"")</f>
        <v/>
      </c>
      <c r="B989" s="60" t="s">
        <v>1791</v>
      </c>
      <c r="C989" s="105" t="s">
        <v>4</v>
      </c>
      <c r="D989" s="74" t="s">
        <v>836</v>
      </c>
      <c r="E989" s="89"/>
      <c r="F989" s="89">
        <v>40574</v>
      </c>
      <c r="G989" s="65" t="str">
        <f>IF(stdProdLT(Main[[#This Row],[Comments]])=0.1,"N/A",IF(stdProdLT(Main[[#This Row],[Comments]])=0,"",TRIM(stdProdLT(Main[[#This Row],[Comments]]))))</f>
        <v/>
      </c>
      <c r="H989" s="98" t="str">
        <f>IF(Main[[#This Row],[Std. Prod. Lead Time]]="N/A", "",IF(AND(Main[[#This Row],[In Stock Date]]&lt;&gt;"",Main[[#This Row],[Revised Due Date]]&lt;&gt;"",Main[[#This Row],[In Stock Date]]&lt;&gt;""),Main[[#This Row],[In Stock Date]]-Main[[#This Row],[Revised Due Date]],""))</f>
        <v/>
      </c>
      <c r="I989" s="110" t="s">
        <v>4</v>
      </c>
      <c r="J989" s="99" t="s">
        <v>4</v>
      </c>
      <c r="K989" s="100" t="s">
        <v>4</v>
      </c>
      <c r="L989" s="89"/>
      <c r="M989" s="75" t="str">
        <f>IF(Main[[#This Row],[Tech Start Date]]&lt;1/1/1990,"",IF(Main[[#This Row],[Class]]="C",WORKDAY(Main[[#This Row],[Tech Start Date]],9),IF(Main[[#This Row],[Class]]="B", WORKDAY(Main[[#This Row],[Tech Start Date]],6),IF(Main[[#This Row],[Class]]="A",WORKDAY(Main[[#This Row],[Tech Start Date]],2),""))))</f>
        <v/>
      </c>
      <c r="N989" s="75" t="str">
        <f>IF(Main[[#This Row],[Tech Start Date]]&lt;1/1/1990,"",IF(Main[[#This Row],[Class]]="C",WORKDAY(Main[[#This Row],[Tech Start Date]],19),IF(Main[[#This Row],[Class]]="B", WORKDAY(Main[[#This Row],[Tech Start Date]],12),IF(Main[[#This Row],[Class]]="A",WORKDAY(Main[[#This Row],[Tech Start Date]],4),""))))</f>
        <v/>
      </c>
      <c r="O989" s="75" t="str">
        <f>IF(Main[[#This Row],[Tech Start Date]]&lt;1/1/1990,"",IF(Main[[#This Row],[Class]]="C",WORKDAY(Main[[#This Row],[Tech Start Date]],23),IF(Main[[#This Row],[Class]]="B", WORKDAY(Main[[#This Row],[Tech Start Date]],15),IF(Main[[#This Row],[Class]]="A",WORKDAY(Main[[#This Row],[Tech Start Date]],5),""))))</f>
        <v/>
      </c>
      <c r="P989" s="75" t="str">
        <f>IF(Main[[#This Row],[Tech Start Date]]&lt;1/1/1990,"",IF(Main[[#This Row],[Class]]="C",WORKDAY(Main[[#This Row],[Tech Start Date]],28),IF(Main[[#This Row],[Class]]="B", WORKDAY(Main[[#This Row],[Tech Start Date]],19),IF(Main[[#This Row],[Class]]="A",WORKDAY(Main[[#This Row],[Tech Start Date]],9),""))))</f>
        <v/>
      </c>
      <c r="Q989" s="89"/>
      <c r="R989" s="121"/>
      <c r="S989" s="99" t="s">
        <v>17</v>
      </c>
      <c r="T989" s="76" t="s">
        <v>4</v>
      </c>
      <c r="U989" s="99" t="s">
        <v>14</v>
      </c>
      <c r="V989" s="99" t="s">
        <v>1916</v>
      </c>
      <c r="W989" s="99" t="s">
        <v>1918</v>
      </c>
      <c r="X989" s="99" t="s">
        <v>50</v>
      </c>
      <c r="Y989" s="73" t="s">
        <v>2979</v>
      </c>
      <c r="Z989" s="73" t="s">
        <v>4</v>
      </c>
      <c r="AA989" s="99" t="s">
        <v>65</v>
      </c>
    </row>
    <row r="990" spans="1:27" ht="17.25" customHeight="1">
      <c r="A990" s="65" t="str">
        <f>IF(priority(Main[[#This Row],[Comments]])&lt;&gt;0, priority(Main[[#This Row],[Comments]]),"")</f>
        <v/>
      </c>
      <c r="B990" s="60" t="s">
        <v>1792</v>
      </c>
      <c r="C990" s="105" t="s">
        <v>93</v>
      </c>
      <c r="D990" s="74" t="s">
        <v>837</v>
      </c>
      <c r="E990" s="89"/>
      <c r="F990" s="89">
        <v>40132</v>
      </c>
      <c r="G990" s="65" t="str">
        <f>IF(stdProdLT(Main[[#This Row],[Comments]])=0.1,"N/A",IF(stdProdLT(Main[[#This Row],[Comments]])=0,"",TRIM(stdProdLT(Main[[#This Row],[Comments]]))))</f>
        <v/>
      </c>
      <c r="H990" s="98" t="str">
        <f>IF(Main[[#This Row],[Std. Prod. Lead Time]]="N/A", "",IF(AND(Main[[#This Row],[In Stock Date]]&lt;&gt;"",Main[[#This Row],[Revised Due Date]]&lt;&gt;"",Main[[#This Row],[In Stock Date]]&lt;&gt;""),Main[[#This Row],[In Stock Date]]-Main[[#This Row],[Revised Due Date]],""))</f>
        <v/>
      </c>
      <c r="I990" s="110" t="s">
        <v>4</v>
      </c>
      <c r="J990" s="99" t="s">
        <v>4</v>
      </c>
      <c r="K990" s="99" t="s">
        <v>4</v>
      </c>
      <c r="L990" s="89"/>
      <c r="M990" s="75" t="str">
        <f>IF(Main[[#This Row],[Tech Start Date]]&lt;1/1/1990,"",IF(Main[[#This Row],[Class]]="C",WORKDAY(Main[[#This Row],[Tech Start Date]],9),IF(Main[[#This Row],[Class]]="B", WORKDAY(Main[[#This Row],[Tech Start Date]],6),IF(Main[[#This Row],[Class]]="A",WORKDAY(Main[[#This Row],[Tech Start Date]],2),""))))</f>
        <v/>
      </c>
      <c r="N990" s="75" t="str">
        <f>IF(Main[[#This Row],[Tech Start Date]]&lt;1/1/1990,"",IF(Main[[#This Row],[Class]]="C",WORKDAY(Main[[#This Row],[Tech Start Date]],19),IF(Main[[#This Row],[Class]]="B", WORKDAY(Main[[#This Row],[Tech Start Date]],12),IF(Main[[#This Row],[Class]]="A",WORKDAY(Main[[#This Row],[Tech Start Date]],4),""))))</f>
        <v/>
      </c>
      <c r="O990" s="75" t="str">
        <f>IF(Main[[#This Row],[Tech Start Date]]&lt;1/1/1990,"",IF(Main[[#This Row],[Class]]="C",WORKDAY(Main[[#This Row],[Tech Start Date]],23),IF(Main[[#This Row],[Class]]="B", WORKDAY(Main[[#This Row],[Tech Start Date]],15),IF(Main[[#This Row],[Class]]="A",WORKDAY(Main[[#This Row],[Tech Start Date]],5),""))))</f>
        <v/>
      </c>
      <c r="P990" s="75" t="str">
        <f>IF(Main[[#This Row],[Tech Start Date]]&lt;1/1/1990,"",IF(Main[[#This Row],[Class]]="C",WORKDAY(Main[[#This Row],[Tech Start Date]],28),IF(Main[[#This Row],[Class]]="B", WORKDAY(Main[[#This Row],[Tech Start Date]],19),IF(Main[[#This Row],[Class]]="A",WORKDAY(Main[[#This Row],[Tech Start Date]],9),""))))</f>
        <v/>
      </c>
      <c r="Q990" s="89">
        <v>40132</v>
      </c>
      <c r="R990" s="121"/>
      <c r="S990" s="99" t="s">
        <v>11</v>
      </c>
      <c r="T990" s="76" t="s">
        <v>4</v>
      </c>
      <c r="U990" s="99" t="s">
        <v>14</v>
      </c>
      <c r="V990" s="99" t="s">
        <v>1916</v>
      </c>
      <c r="W990" s="99" t="s">
        <v>1924</v>
      </c>
      <c r="X990" s="99" t="s">
        <v>2850</v>
      </c>
      <c r="Y990" s="73" t="s">
        <v>4</v>
      </c>
      <c r="Z990" s="73" t="s">
        <v>4</v>
      </c>
      <c r="AA990" s="99" t="s">
        <v>2850</v>
      </c>
    </row>
    <row r="991" spans="1:27" ht="17.25" customHeight="1">
      <c r="A991" s="65" t="str">
        <f>IF(priority(Main[[#This Row],[Comments]])&lt;&gt;0, priority(Main[[#This Row],[Comments]]),"")</f>
        <v/>
      </c>
      <c r="B991" s="60" t="s">
        <v>1793</v>
      </c>
      <c r="C991" s="105" t="s">
        <v>113</v>
      </c>
      <c r="D991" s="74" t="s">
        <v>838</v>
      </c>
      <c r="E991" s="89"/>
      <c r="F991" s="89"/>
      <c r="G991" s="65" t="str">
        <f>IF(stdProdLT(Main[[#This Row],[Comments]])=0.1,"N/A",IF(stdProdLT(Main[[#This Row],[Comments]])=0,"",TRIM(stdProdLT(Main[[#This Row],[Comments]]))))</f>
        <v/>
      </c>
      <c r="H991" s="98" t="str">
        <f>IF(Main[[#This Row],[Std. Prod. Lead Time]]="N/A", "",IF(AND(Main[[#This Row],[In Stock Date]]&lt;&gt;"",Main[[#This Row],[Revised Due Date]]&lt;&gt;"",Main[[#This Row],[In Stock Date]]&lt;&gt;""),Main[[#This Row],[In Stock Date]]-Main[[#This Row],[Revised Due Date]],""))</f>
        <v/>
      </c>
      <c r="I991" s="110" t="s">
        <v>4</v>
      </c>
      <c r="J991" s="99" t="s">
        <v>28</v>
      </c>
      <c r="K991" s="99" t="s">
        <v>1925</v>
      </c>
      <c r="L991" s="89"/>
      <c r="M991" s="75" t="str">
        <f>IF(Main[[#This Row],[Tech Start Date]]&lt;1/1/1990,"",IF(Main[[#This Row],[Class]]="C",WORKDAY(Main[[#This Row],[Tech Start Date]],9),IF(Main[[#This Row],[Class]]="B", WORKDAY(Main[[#This Row],[Tech Start Date]],6),IF(Main[[#This Row],[Class]]="A",WORKDAY(Main[[#This Row],[Tech Start Date]],2),""))))</f>
        <v/>
      </c>
      <c r="N991" s="75" t="str">
        <f>IF(Main[[#This Row],[Tech Start Date]]&lt;1/1/1990,"",IF(Main[[#This Row],[Class]]="C",WORKDAY(Main[[#This Row],[Tech Start Date]],19),IF(Main[[#This Row],[Class]]="B", WORKDAY(Main[[#This Row],[Tech Start Date]],12),IF(Main[[#This Row],[Class]]="A",WORKDAY(Main[[#This Row],[Tech Start Date]],4),""))))</f>
        <v/>
      </c>
      <c r="O991" s="75" t="str">
        <f>IF(Main[[#This Row],[Tech Start Date]]&lt;1/1/1990,"",IF(Main[[#This Row],[Class]]="C",WORKDAY(Main[[#This Row],[Tech Start Date]],23),IF(Main[[#This Row],[Class]]="B", WORKDAY(Main[[#This Row],[Tech Start Date]],15),IF(Main[[#This Row],[Class]]="A",WORKDAY(Main[[#This Row],[Tech Start Date]],5),""))))</f>
        <v/>
      </c>
      <c r="P991" s="75" t="str">
        <f>IF(Main[[#This Row],[Tech Start Date]]&lt;1/1/1990,"",IF(Main[[#This Row],[Class]]="C",WORKDAY(Main[[#This Row],[Tech Start Date]],28),IF(Main[[#This Row],[Class]]="B", WORKDAY(Main[[#This Row],[Tech Start Date]],19),IF(Main[[#This Row],[Class]]="A",WORKDAY(Main[[#This Row],[Tech Start Date]],9),""))))</f>
        <v/>
      </c>
      <c r="Q991" s="89"/>
      <c r="R991" s="121"/>
      <c r="S991" s="99" t="s">
        <v>17</v>
      </c>
      <c r="T991" s="76" t="s">
        <v>4</v>
      </c>
      <c r="U991" s="99" t="s">
        <v>14</v>
      </c>
      <c r="V991" s="99" t="s">
        <v>1914</v>
      </c>
      <c r="W991" s="99" t="s">
        <v>1921</v>
      </c>
      <c r="X991" s="99" t="s">
        <v>50</v>
      </c>
      <c r="Y991" s="73" t="s">
        <v>3103</v>
      </c>
      <c r="Z991" s="73" t="s">
        <v>975</v>
      </c>
      <c r="AA991" s="99" t="s">
        <v>50</v>
      </c>
    </row>
    <row r="992" spans="1:27" ht="17.25" customHeight="1">
      <c r="A992" s="65" t="str">
        <f>IF(priority(Main[[#This Row],[Comments]])&lt;&gt;0, priority(Main[[#This Row],[Comments]]),"")</f>
        <v/>
      </c>
      <c r="B992" s="60" t="s">
        <v>1795</v>
      </c>
      <c r="C992" s="105" t="s">
        <v>4</v>
      </c>
      <c r="D992" s="74" t="s">
        <v>840</v>
      </c>
      <c r="E992" s="89"/>
      <c r="F992" s="89">
        <v>40435</v>
      </c>
      <c r="G992" s="65" t="str">
        <f>IF(stdProdLT(Main[[#This Row],[Comments]])=0.1,"N/A",IF(stdProdLT(Main[[#This Row],[Comments]])=0,"",TRIM(stdProdLT(Main[[#This Row],[Comments]]))))</f>
        <v/>
      </c>
      <c r="H992" s="98" t="str">
        <f>IF(Main[[#This Row],[Std. Prod. Lead Time]]="N/A", "",IF(AND(Main[[#This Row],[In Stock Date]]&lt;&gt;"",Main[[#This Row],[Revised Due Date]]&lt;&gt;"",Main[[#This Row],[In Stock Date]]&lt;&gt;""),Main[[#This Row],[In Stock Date]]-Main[[#This Row],[Revised Due Date]],""))</f>
        <v/>
      </c>
      <c r="I992" s="110" t="s">
        <v>4</v>
      </c>
      <c r="J992" s="99" t="s">
        <v>28</v>
      </c>
      <c r="K992" s="99" t="s">
        <v>4</v>
      </c>
      <c r="L992" s="89"/>
      <c r="M992" s="75" t="str">
        <f>IF(Main[[#This Row],[Tech Start Date]]&lt;1/1/1990,"",IF(Main[[#This Row],[Class]]="C",WORKDAY(Main[[#This Row],[Tech Start Date]],9),IF(Main[[#This Row],[Class]]="B", WORKDAY(Main[[#This Row],[Tech Start Date]],6),IF(Main[[#This Row],[Class]]="A",WORKDAY(Main[[#This Row],[Tech Start Date]],2),""))))</f>
        <v/>
      </c>
      <c r="N992" s="75" t="str">
        <f>IF(Main[[#This Row],[Tech Start Date]]&lt;1/1/1990,"",IF(Main[[#This Row],[Class]]="C",WORKDAY(Main[[#This Row],[Tech Start Date]],19),IF(Main[[#This Row],[Class]]="B", WORKDAY(Main[[#This Row],[Tech Start Date]],12),IF(Main[[#This Row],[Class]]="A",WORKDAY(Main[[#This Row],[Tech Start Date]],4),""))))</f>
        <v/>
      </c>
      <c r="O992" s="75" t="str">
        <f>IF(Main[[#This Row],[Tech Start Date]]&lt;1/1/1990,"",IF(Main[[#This Row],[Class]]="C",WORKDAY(Main[[#This Row],[Tech Start Date]],23),IF(Main[[#This Row],[Class]]="B", WORKDAY(Main[[#This Row],[Tech Start Date]],15),IF(Main[[#This Row],[Class]]="A",WORKDAY(Main[[#This Row],[Tech Start Date]],5),""))))</f>
        <v/>
      </c>
      <c r="P992" s="75" t="str">
        <f>IF(Main[[#This Row],[Tech Start Date]]&lt;1/1/1990,"",IF(Main[[#This Row],[Class]]="C",WORKDAY(Main[[#This Row],[Tech Start Date]],28),IF(Main[[#This Row],[Class]]="B", WORKDAY(Main[[#This Row],[Tech Start Date]],19),IF(Main[[#This Row],[Class]]="A",WORKDAY(Main[[#This Row],[Tech Start Date]],9),""))))</f>
        <v/>
      </c>
      <c r="Q992" s="89"/>
      <c r="R992" s="121"/>
      <c r="S992" s="99" t="s">
        <v>11</v>
      </c>
      <c r="T992" s="76" t="s">
        <v>4</v>
      </c>
      <c r="U992" s="99" t="s">
        <v>14</v>
      </c>
      <c r="V992" s="99" t="s">
        <v>1916</v>
      </c>
      <c r="W992" s="99" t="s">
        <v>1918</v>
      </c>
      <c r="X992" s="99" t="s">
        <v>2831</v>
      </c>
      <c r="Y992" s="73" t="s">
        <v>2960</v>
      </c>
      <c r="Z992" s="73" t="s">
        <v>530</v>
      </c>
      <c r="AA992" s="99" t="s">
        <v>2828</v>
      </c>
    </row>
    <row r="993" spans="1:27" ht="17.25" customHeight="1">
      <c r="A993" s="65" t="str">
        <f>IF(priority(Main[[#This Row],[Comments]])&lt;&gt;0, priority(Main[[#This Row],[Comments]]),"")</f>
        <v/>
      </c>
      <c r="B993" s="60" t="s">
        <v>1796</v>
      </c>
      <c r="C993" s="105" t="s">
        <v>99</v>
      </c>
      <c r="D993" s="74" t="s">
        <v>841</v>
      </c>
      <c r="E993" s="89"/>
      <c r="F993" s="89">
        <v>40435</v>
      </c>
      <c r="G993" s="65" t="str">
        <f>IF(stdProdLT(Main[[#This Row],[Comments]])=0.1,"N/A",IF(stdProdLT(Main[[#This Row],[Comments]])=0,"",TRIM(stdProdLT(Main[[#This Row],[Comments]]))))</f>
        <v/>
      </c>
      <c r="H993" s="98" t="str">
        <f>IF(Main[[#This Row],[Std. Prod. Lead Time]]="N/A", "",IF(AND(Main[[#This Row],[In Stock Date]]&lt;&gt;"",Main[[#This Row],[Revised Due Date]]&lt;&gt;"",Main[[#This Row],[In Stock Date]]&lt;&gt;""),Main[[#This Row],[In Stock Date]]-Main[[#This Row],[Revised Due Date]],""))</f>
        <v/>
      </c>
      <c r="I993" s="110" t="s">
        <v>4</v>
      </c>
      <c r="J993" s="99" t="s">
        <v>28</v>
      </c>
      <c r="K993" s="99" t="s">
        <v>4</v>
      </c>
      <c r="L993" s="89"/>
      <c r="M993" s="75" t="str">
        <f>IF(Main[[#This Row],[Tech Start Date]]&lt;1/1/1990,"",IF(Main[[#This Row],[Class]]="C",WORKDAY(Main[[#This Row],[Tech Start Date]],9),IF(Main[[#This Row],[Class]]="B", WORKDAY(Main[[#This Row],[Tech Start Date]],6),IF(Main[[#This Row],[Class]]="A",WORKDAY(Main[[#This Row],[Tech Start Date]],2),""))))</f>
        <v/>
      </c>
      <c r="N993" s="75" t="str">
        <f>IF(Main[[#This Row],[Tech Start Date]]&lt;1/1/1990,"",IF(Main[[#This Row],[Class]]="C",WORKDAY(Main[[#This Row],[Tech Start Date]],19),IF(Main[[#This Row],[Class]]="B", WORKDAY(Main[[#This Row],[Tech Start Date]],12),IF(Main[[#This Row],[Class]]="A",WORKDAY(Main[[#This Row],[Tech Start Date]],4),""))))</f>
        <v/>
      </c>
      <c r="O993" s="75" t="str">
        <f>IF(Main[[#This Row],[Tech Start Date]]&lt;1/1/1990,"",IF(Main[[#This Row],[Class]]="C",WORKDAY(Main[[#This Row],[Tech Start Date]],23),IF(Main[[#This Row],[Class]]="B", WORKDAY(Main[[#This Row],[Tech Start Date]],15),IF(Main[[#This Row],[Class]]="A",WORKDAY(Main[[#This Row],[Tech Start Date]],5),""))))</f>
        <v/>
      </c>
      <c r="P993" s="75" t="str">
        <f>IF(Main[[#This Row],[Tech Start Date]]&lt;1/1/1990,"",IF(Main[[#This Row],[Class]]="C",WORKDAY(Main[[#This Row],[Tech Start Date]],28),IF(Main[[#This Row],[Class]]="B", WORKDAY(Main[[#This Row],[Tech Start Date]],19),IF(Main[[#This Row],[Class]]="A",WORKDAY(Main[[#This Row],[Tech Start Date]],9),""))))</f>
        <v/>
      </c>
      <c r="Q993" s="89">
        <v>40435</v>
      </c>
      <c r="R993" s="121"/>
      <c r="S993" s="99" t="s">
        <v>11</v>
      </c>
      <c r="T993" s="76" t="s">
        <v>4</v>
      </c>
      <c r="U993" s="99" t="s">
        <v>14</v>
      </c>
      <c r="V993" s="99" t="s">
        <v>1916</v>
      </c>
      <c r="W993" s="99" t="s">
        <v>1918</v>
      </c>
      <c r="X993" s="99" t="s">
        <v>2831</v>
      </c>
      <c r="Y993" s="73" t="s">
        <v>2960</v>
      </c>
      <c r="Z993" s="73" t="s">
        <v>530</v>
      </c>
      <c r="AA993" s="99" t="s">
        <v>3403</v>
      </c>
    </row>
    <row r="994" spans="1:27" ht="17.25" customHeight="1">
      <c r="A994" s="65" t="str">
        <f>IF(priority(Main[[#This Row],[Comments]])&lt;&gt;0, priority(Main[[#This Row],[Comments]]),"")</f>
        <v/>
      </c>
      <c r="B994" s="60" t="s">
        <v>1782</v>
      </c>
      <c r="C994" s="105" t="s">
        <v>826</v>
      </c>
      <c r="D994" s="74" t="s">
        <v>827</v>
      </c>
      <c r="E994" s="89"/>
      <c r="F994" s="89"/>
      <c r="G994" s="65" t="str">
        <f>IF(stdProdLT(Main[[#This Row],[Comments]])=0.1,"N/A",IF(stdProdLT(Main[[#This Row],[Comments]])=0,"",TRIM(stdProdLT(Main[[#This Row],[Comments]]))))</f>
        <v/>
      </c>
      <c r="H994" s="98" t="str">
        <f>IF(Main[[#This Row],[Std. Prod. Lead Time]]="N/A", "",IF(AND(Main[[#This Row],[In Stock Date]]&lt;&gt;"",Main[[#This Row],[Revised Due Date]]&lt;&gt;"",Main[[#This Row],[In Stock Date]]&lt;&gt;""),Main[[#This Row],[In Stock Date]]-Main[[#This Row],[Revised Due Date]],""))</f>
        <v/>
      </c>
      <c r="I994" s="110" t="s">
        <v>4</v>
      </c>
      <c r="J994" s="99" t="s">
        <v>4</v>
      </c>
      <c r="K994" s="99" t="s">
        <v>4</v>
      </c>
      <c r="L994" s="89"/>
      <c r="M994" s="75" t="str">
        <f>IF(Main[[#This Row],[Tech Start Date]]&lt;1/1/1990,"",IF(Main[[#This Row],[Class]]="C",WORKDAY(Main[[#This Row],[Tech Start Date]],9),IF(Main[[#This Row],[Class]]="B", WORKDAY(Main[[#This Row],[Tech Start Date]],6),IF(Main[[#This Row],[Class]]="A",WORKDAY(Main[[#This Row],[Tech Start Date]],2),""))))</f>
        <v/>
      </c>
      <c r="N994" s="75" t="str">
        <f>IF(Main[[#This Row],[Tech Start Date]]&lt;1/1/1990,"",IF(Main[[#This Row],[Class]]="C",WORKDAY(Main[[#This Row],[Tech Start Date]],19),IF(Main[[#This Row],[Class]]="B", WORKDAY(Main[[#This Row],[Tech Start Date]],12),IF(Main[[#This Row],[Class]]="A",WORKDAY(Main[[#This Row],[Tech Start Date]],4),""))))</f>
        <v/>
      </c>
      <c r="O994" s="75" t="str">
        <f>IF(Main[[#This Row],[Tech Start Date]]&lt;1/1/1990,"",IF(Main[[#This Row],[Class]]="C",WORKDAY(Main[[#This Row],[Tech Start Date]],23),IF(Main[[#This Row],[Class]]="B", WORKDAY(Main[[#This Row],[Tech Start Date]],15),IF(Main[[#This Row],[Class]]="A",WORKDAY(Main[[#This Row],[Tech Start Date]],5),""))))</f>
        <v/>
      </c>
      <c r="P994" s="75" t="str">
        <f>IF(Main[[#This Row],[Tech Start Date]]&lt;1/1/1990,"",IF(Main[[#This Row],[Class]]="C",WORKDAY(Main[[#This Row],[Tech Start Date]],28),IF(Main[[#This Row],[Class]]="B", WORKDAY(Main[[#This Row],[Tech Start Date]],19),IF(Main[[#This Row],[Class]]="A",WORKDAY(Main[[#This Row],[Tech Start Date]],9),""))))</f>
        <v/>
      </c>
      <c r="Q994" s="89"/>
      <c r="R994" s="121"/>
      <c r="S994" s="99" t="s">
        <v>11</v>
      </c>
      <c r="T994" s="76" t="s">
        <v>4</v>
      </c>
      <c r="U994" s="99" t="s">
        <v>14</v>
      </c>
      <c r="V994" s="99" t="s">
        <v>1914</v>
      </c>
      <c r="W994" s="99" t="s">
        <v>1918</v>
      </c>
      <c r="X994" s="99" t="s">
        <v>2883</v>
      </c>
      <c r="Y994" s="73" t="s">
        <v>4</v>
      </c>
      <c r="Z994" s="73" t="s">
        <v>4</v>
      </c>
      <c r="AA994" s="99" t="s">
        <v>3439</v>
      </c>
    </row>
    <row r="995" spans="1:27" ht="17.25" customHeight="1">
      <c r="A995" s="65" t="str">
        <f>IF(priority(Main[[#This Row],[Comments]])&lt;&gt;0, priority(Main[[#This Row],[Comments]]),"")</f>
        <v/>
      </c>
      <c r="B995" s="60" t="s">
        <v>2122</v>
      </c>
      <c r="C995" s="105" t="s">
        <v>4</v>
      </c>
      <c r="D995" s="74" t="s">
        <v>2123</v>
      </c>
      <c r="E995" s="89">
        <v>40760.662685185183</v>
      </c>
      <c r="F995" s="89"/>
      <c r="G995" s="65" t="str">
        <f>IF(stdProdLT(Main[[#This Row],[Comments]])=0.1,"N/A",IF(stdProdLT(Main[[#This Row],[Comments]])=0,"",TRIM(stdProdLT(Main[[#This Row],[Comments]]))))</f>
        <v/>
      </c>
      <c r="H995" s="98" t="str">
        <f>IF(Main[[#This Row],[Std. Prod. Lead Time]]="N/A", "",IF(AND(Main[[#This Row],[In Stock Date]]&lt;&gt;"",Main[[#This Row],[Revised Due Date]]&lt;&gt;"",Main[[#This Row],[In Stock Date]]&lt;&gt;""),Main[[#This Row],[In Stock Date]]-Main[[#This Row],[Revised Due Date]],""))</f>
        <v/>
      </c>
      <c r="I995" s="110" t="s">
        <v>4</v>
      </c>
      <c r="J995" s="99" t="s">
        <v>4</v>
      </c>
      <c r="K995" s="99" t="s">
        <v>4</v>
      </c>
      <c r="L995" s="89"/>
      <c r="M995" s="75" t="str">
        <f>IF(Main[[#This Row],[Tech Start Date]]&lt;1/1/1990,"",IF(Main[[#This Row],[Class]]="C",WORKDAY(Main[[#This Row],[Tech Start Date]],9),IF(Main[[#This Row],[Class]]="B", WORKDAY(Main[[#This Row],[Tech Start Date]],6),IF(Main[[#This Row],[Class]]="A",WORKDAY(Main[[#This Row],[Tech Start Date]],2),""))))</f>
        <v/>
      </c>
      <c r="N995" s="75" t="str">
        <f>IF(Main[[#This Row],[Tech Start Date]]&lt;1/1/1990,"",IF(Main[[#This Row],[Class]]="C",WORKDAY(Main[[#This Row],[Tech Start Date]],19),IF(Main[[#This Row],[Class]]="B", WORKDAY(Main[[#This Row],[Tech Start Date]],12),IF(Main[[#This Row],[Class]]="A",WORKDAY(Main[[#This Row],[Tech Start Date]],4),""))))</f>
        <v/>
      </c>
      <c r="O995" s="75" t="str">
        <f>IF(Main[[#This Row],[Tech Start Date]]&lt;1/1/1990,"",IF(Main[[#This Row],[Class]]="C",WORKDAY(Main[[#This Row],[Tech Start Date]],23),IF(Main[[#This Row],[Class]]="B", WORKDAY(Main[[#This Row],[Tech Start Date]],15),IF(Main[[#This Row],[Class]]="A",WORKDAY(Main[[#This Row],[Tech Start Date]],5),""))))</f>
        <v/>
      </c>
      <c r="P995" s="75" t="str">
        <f>IF(Main[[#This Row],[Tech Start Date]]&lt;1/1/1990,"",IF(Main[[#This Row],[Class]]="C",WORKDAY(Main[[#This Row],[Tech Start Date]],28),IF(Main[[#This Row],[Class]]="B", WORKDAY(Main[[#This Row],[Tech Start Date]],19),IF(Main[[#This Row],[Class]]="A",WORKDAY(Main[[#This Row],[Tech Start Date]],9),""))))</f>
        <v/>
      </c>
      <c r="Q995" s="89"/>
      <c r="R995" s="121"/>
      <c r="S995" s="99" t="s">
        <v>6</v>
      </c>
      <c r="T995" s="76" t="s">
        <v>4</v>
      </c>
      <c r="U995" s="99" t="s">
        <v>7</v>
      </c>
      <c r="V995" s="99" t="s">
        <v>1913</v>
      </c>
      <c r="W995" s="99" t="s">
        <v>4</v>
      </c>
      <c r="X995" s="99" t="s">
        <v>306</v>
      </c>
      <c r="Y995" s="73" t="s">
        <v>4</v>
      </c>
      <c r="Z995" s="73" t="s">
        <v>4</v>
      </c>
      <c r="AA995" s="99" t="s">
        <v>3383</v>
      </c>
    </row>
    <row r="996" spans="1:27" ht="17.25" customHeight="1">
      <c r="A996" s="65" t="str">
        <f>IF(priority(Main[[#This Row],[Comments]])&lt;&gt;0, priority(Main[[#This Row],[Comments]]),"")</f>
        <v/>
      </c>
      <c r="B996" s="60" t="s">
        <v>1797</v>
      </c>
      <c r="C996" s="105" t="s">
        <v>4</v>
      </c>
      <c r="D996" s="74" t="s">
        <v>842</v>
      </c>
      <c r="E996" s="89"/>
      <c r="F996" s="89"/>
      <c r="G996" s="65" t="str">
        <f>IF(stdProdLT(Main[[#This Row],[Comments]])=0.1,"N/A",IF(stdProdLT(Main[[#This Row],[Comments]])=0,"",TRIM(stdProdLT(Main[[#This Row],[Comments]]))))</f>
        <v/>
      </c>
      <c r="H996" s="98" t="str">
        <f>IF(Main[[#This Row],[Std. Prod. Lead Time]]="N/A", "",IF(AND(Main[[#This Row],[In Stock Date]]&lt;&gt;"",Main[[#This Row],[Revised Due Date]]&lt;&gt;"",Main[[#This Row],[In Stock Date]]&lt;&gt;""),Main[[#This Row],[In Stock Date]]-Main[[#This Row],[Revised Due Date]],""))</f>
        <v/>
      </c>
      <c r="I996" s="110" t="s">
        <v>50</v>
      </c>
      <c r="J996" s="99" t="s">
        <v>28</v>
      </c>
      <c r="K996" s="99" t="s">
        <v>1922</v>
      </c>
      <c r="L996" s="89"/>
      <c r="M996" s="75" t="str">
        <f>IF(Main[[#This Row],[Tech Start Date]]&lt;1/1/1990,"",IF(Main[[#This Row],[Class]]="C",WORKDAY(Main[[#This Row],[Tech Start Date]],9),IF(Main[[#This Row],[Class]]="B", WORKDAY(Main[[#This Row],[Tech Start Date]],6),IF(Main[[#This Row],[Class]]="A",WORKDAY(Main[[#This Row],[Tech Start Date]],2),""))))</f>
        <v/>
      </c>
      <c r="N996" s="75" t="str">
        <f>IF(Main[[#This Row],[Tech Start Date]]&lt;1/1/1990,"",IF(Main[[#This Row],[Class]]="C",WORKDAY(Main[[#This Row],[Tech Start Date]],19),IF(Main[[#This Row],[Class]]="B", WORKDAY(Main[[#This Row],[Tech Start Date]],12),IF(Main[[#This Row],[Class]]="A",WORKDAY(Main[[#This Row],[Tech Start Date]],4),""))))</f>
        <v/>
      </c>
      <c r="O996" s="75" t="str">
        <f>IF(Main[[#This Row],[Tech Start Date]]&lt;1/1/1990,"",IF(Main[[#This Row],[Class]]="C",WORKDAY(Main[[#This Row],[Tech Start Date]],23),IF(Main[[#This Row],[Class]]="B", WORKDAY(Main[[#This Row],[Tech Start Date]],15),IF(Main[[#This Row],[Class]]="A",WORKDAY(Main[[#This Row],[Tech Start Date]],5),""))))</f>
        <v/>
      </c>
      <c r="P996" s="75" t="str">
        <f>IF(Main[[#This Row],[Tech Start Date]]&lt;1/1/1990,"",IF(Main[[#This Row],[Class]]="C",WORKDAY(Main[[#This Row],[Tech Start Date]],28),IF(Main[[#This Row],[Class]]="B", WORKDAY(Main[[#This Row],[Tech Start Date]],19),IF(Main[[#This Row],[Class]]="A",WORKDAY(Main[[#This Row],[Tech Start Date]],9),""))))</f>
        <v/>
      </c>
      <c r="Q996" s="89"/>
      <c r="R996" s="121"/>
      <c r="S996" s="99" t="s">
        <v>6</v>
      </c>
      <c r="T996" s="76" t="s">
        <v>4</v>
      </c>
      <c r="U996" s="99" t="s">
        <v>14</v>
      </c>
      <c r="V996" s="99" t="s">
        <v>1916</v>
      </c>
      <c r="W996" s="99" t="s">
        <v>1917</v>
      </c>
      <c r="X996" s="99" t="s">
        <v>2860</v>
      </c>
      <c r="Y996" s="73" t="s">
        <v>2994</v>
      </c>
      <c r="Z996" s="73" t="s">
        <v>44</v>
      </c>
      <c r="AA996" s="99" t="s">
        <v>2860</v>
      </c>
    </row>
    <row r="997" spans="1:27" ht="17.25" customHeight="1">
      <c r="A997" s="65" t="str">
        <f>IF(priority(Main[[#This Row],[Comments]])&lt;&gt;0, priority(Main[[#This Row],[Comments]]),"")</f>
        <v/>
      </c>
      <c r="B997" s="60" t="s">
        <v>1798</v>
      </c>
      <c r="C997" s="105" t="s">
        <v>493</v>
      </c>
      <c r="D997" s="74" t="s">
        <v>843</v>
      </c>
      <c r="E997" s="89"/>
      <c r="F997" s="89"/>
      <c r="G997" s="65" t="str">
        <f>IF(stdProdLT(Main[[#This Row],[Comments]])=0.1,"N/A",IF(stdProdLT(Main[[#This Row],[Comments]])=0,"",TRIM(stdProdLT(Main[[#This Row],[Comments]]))))</f>
        <v/>
      </c>
      <c r="H997" s="98" t="str">
        <f>IF(Main[[#This Row],[Std. Prod. Lead Time]]="N/A", "",IF(AND(Main[[#This Row],[In Stock Date]]&lt;&gt;"",Main[[#This Row],[Revised Due Date]]&lt;&gt;"",Main[[#This Row],[In Stock Date]]&lt;&gt;""),Main[[#This Row],[In Stock Date]]-Main[[#This Row],[Revised Due Date]],""))</f>
        <v/>
      </c>
      <c r="I997" s="110" t="s">
        <v>4</v>
      </c>
      <c r="J997" s="99" t="s">
        <v>4</v>
      </c>
      <c r="K997" s="99" t="s">
        <v>4</v>
      </c>
      <c r="L997" s="89"/>
      <c r="M997" s="75" t="str">
        <f>IF(Main[[#This Row],[Tech Start Date]]&lt;1/1/1990,"",IF(Main[[#This Row],[Class]]="C",WORKDAY(Main[[#This Row],[Tech Start Date]],9),IF(Main[[#This Row],[Class]]="B", WORKDAY(Main[[#This Row],[Tech Start Date]],6),IF(Main[[#This Row],[Class]]="A",WORKDAY(Main[[#This Row],[Tech Start Date]],2),""))))</f>
        <v/>
      </c>
      <c r="N997" s="75" t="str">
        <f>IF(Main[[#This Row],[Tech Start Date]]&lt;1/1/1990,"",IF(Main[[#This Row],[Class]]="C",WORKDAY(Main[[#This Row],[Tech Start Date]],19),IF(Main[[#This Row],[Class]]="B", WORKDAY(Main[[#This Row],[Tech Start Date]],12),IF(Main[[#This Row],[Class]]="A",WORKDAY(Main[[#This Row],[Tech Start Date]],4),""))))</f>
        <v/>
      </c>
      <c r="O997" s="75" t="str">
        <f>IF(Main[[#This Row],[Tech Start Date]]&lt;1/1/1990,"",IF(Main[[#This Row],[Class]]="C",WORKDAY(Main[[#This Row],[Tech Start Date]],23),IF(Main[[#This Row],[Class]]="B", WORKDAY(Main[[#This Row],[Tech Start Date]],15),IF(Main[[#This Row],[Class]]="A",WORKDAY(Main[[#This Row],[Tech Start Date]],5),""))))</f>
        <v/>
      </c>
      <c r="P997" s="75" t="str">
        <f>IF(Main[[#This Row],[Tech Start Date]]&lt;1/1/1990,"",IF(Main[[#This Row],[Class]]="C",WORKDAY(Main[[#This Row],[Tech Start Date]],28),IF(Main[[#This Row],[Class]]="B", WORKDAY(Main[[#This Row],[Tech Start Date]],19),IF(Main[[#This Row],[Class]]="A",WORKDAY(Main[[#This Row],[Tech Start Date]],9),""))))</f>
        <v/>
      </c>
      <c r="Q997" s="89">
        <v>40239</v>
      </c>
      <c r="R997" s="121"/>
      <c r="S997" s="99" t="s">
        <v>11</v>
      </c>
      <c r="T997" s="76" t="s">
        <v>4</v>
      </c>
      <c r="U997" s="99" t="s">
        <v>14</v>
      </c>
      <c r="V997" s="99" t="s">
        <v>1916</v>
      </c>
      <c r="W997" s="99" t="s">
        <v>1915</v>
      </c>
      <c r="X997" s="99" t="s">
        <v>2890</v>
      </c>
      <c r="Y997" s="73" t="s">
        <v>4</v>
      </c>
      <c r="Z997" s="73" t="s">
        <v>4</v>
      </c>
      <c r="AA997" s="99" t="s">
        <v>2890</v>
      </c>
    </row>
    <row r="998" spans="1:27" ht="17.25" customHeight="1">
      <c r="A998" s="65" t="str">
        <f>IF(priority(Main[[#This Row],[Comments]])&lt;&gt;0, priority(Main[[#This Row],[Comments]]),"")</f>
        <v/>
      </c>
      <c r="B998" s="60" t="s">
        <v>2548</v>
      </c>
      <c r="C998" s="105" t="s">
        <v>4</v>
      </c>
      <c r="D998" s="74" t="s">
        <v>2549</v>
      </c>
      <c r="E998" s="89">
        <v>40861.17015046296</v>
      </c>
      <c r="F998" s="89"/>
      <c r="G998" s="65" t="str">
        <f>IF(stdProdLT(Main[[#This Row],[Comments]])=0.1,"N/A",IF(stdProdLT(Main[[#This Row],[Comments]])=0,"",TRIM(stdProdLT(Main[[#This Row],[Comments]]))))</f>
        <v/>
      </c>
      <c r="H998" s="98" t="str">
        <f>IF(Main[[#This Row],[Std. Prod. Lead Time]]="N/A", "",IF(AND(Main[[#This Row],[In Stock Date]]&lt;&gt;"",Main[[#This Row],[Revised Due Date]]&lt;&gt;"",Main[[#This Row],[In Stock Date]]&lt;&gt;""),Main[[#This Row],[In Stock Date]]-Main[[#This Row],[Revised Due Date]],""))</f>
        <v/>
      </c>
      <c r="I998" s="110" t="s">
        <v>69</v>
      </c>
      <c r="J998" s="99" t="s">
        <v>70</v>
      </c>
      <c r="K998" s="99" t="s">
        <v>1922</v>
      </c>
      <c r="L998" s="89"/>
      <c r="M998" s="75" t="str">
        <f>IF(Main[[#This Row],[Tech Start Date]]&lt;1/1/1990,"",IF(Main[[#This Row],[Class]]="C",WORKDAY(Main[[#This Row],[Tech Start Date]],9),IF(Main[[#This Row],[Class]]="B", WORKDAY(Main[[#This Row],[Tech Start Date]],6),IF(Main[[#This Row],[Class]]="A",WORKDAY(Main[[#This Row],[Tech Start Date]],2),""))))</f>
        <v/>
      </c>
      <c r="N998" s="75" t="str">
        <f>IF(Main[[#This Row],[Tech Start Date]]&lt;1/1/1990,"",IF(Main[[#This Row],[Class]]="C",WORKDAY(Main[[#This Row],[Tech Start Date]],19),IF(Main[[#This Row],[Class]]="B", WORKDAY(Main[[#This Row],[Tech Start Date]],12),IF(Main[[#This Row],[Class]]="A",WORKDAY(Main[[#This Row],[Tech Start Date]],4),""))))</f>
        <v/>
      </c>
      <c r="O998" s="75" t="str">
        <f>IF(Main[[#This Row],[Tech Start Date]]&lt;1/1/1990,"",IF(Main[[#This Row],[Class]]="C",WORKDAY(Main[[#This Row],[Tech Start Date]],23),IF(Main[[#This Row],[Class]]="B", WORKDAY(Main[[#This Row],[Tech Start Date]],15),IF(Main[[#This Row],[Class]]="A",WORKDAY(Main[[#This Row],[Tech Start Date]],5),""))))</f>
        <v/>
      </c>
      <c r="P998" s="75" t="str">
        <f>IF(Main[[#This Row],[Tech Start Date]]&lt;1/1/1990,"",IF(Main[[#This Row],[Class]]="C",WORKDAY(Main[[#This Row],[Tech Start Date]],28),IF(Main[[#This Row],[Class]]="B", WORKDAY(Main[[#This Row],[Tech Start Date]],19),IF(Main[[#This Row],[Class]]="A",WORKDAY(Main[[#This Row],[Tech Start Date]],9),""))))</f>
        <v/>
      </c>
      <c r="Q998" s="89">
        <v>40891</v>
      </c>
      <c r="R998" s="121"/>
      <c r="S998" s="99" t="s">
        <v>6</v>
      </c>
      <c r="T998" s="76" t="s">
        <v>4</v>
      </c>
      <c r="U998" s="99" t="s">
        <v>29</v>
      </c>
      <c r="V998" s="99" t="s">
        <v>1916</v>
      </c>
      <c r="W998" s="99" t="s">
        <v>1917</v>
      </c>
      <c r="X998" s="99" t="s">
        <v>2816</v>
      </c>
      <c r="Y998" s="73" t="s">
        <v>2932</v>
      </c>
      <c r="Z998" s="73" t="s">
        <v>30</v>
      </c>
      <c r="AA998" s="99" t="s">
        <v>2816</v>
      </c>
    </row>
    <row r="999" spans="1:27" ht="17.25" customHeight="1">
      <c r="A999" s="65" t="str">
        <f>IF(priority(Main[[#This Row],[Comments]])&lt;&gt;0, priority(Main[[#This Row],[Comments]]),"")</f>
        <v/>
      </c>
      <c r="B999" s="60" t="s">
        <v>1799</v>
      </c>
      <c r="C999" s="105" t="s">
        <v>4</v>
      </c>
      <c r="D999" s="74" t="s">
        <v>844</v>
      </c>
      <c r="E999" s="89"/>
      <c r="F999" s="89"/>
      <c r="G999" s="65" t="str">
        <f>IF(stdProdLT(Main[[#This Row],[Comments]])=0.1,"N/A",IF(stdProdLT(Main[[#This Row],[Comments]])=0,"",TRIM(stdProdLT(Main[[#This Row],[Comments]]))))</f>
        <v/>
      </c>
      <c r="H999" s="98" t="str">
        <f>IF(Main[[#This Row],[Std. Prod. Lead Time]]="N/A", "",IF(AND(Main[[#This Row],[In Stock Date]]&lt;&gt;"",Main[[#This Row],[Revised Due Date]]&lt;&gt;"",Main[[#This Row],[In Stock Date]]&lt;&gt;""),Main[[#This Row],[In Stock Date]]-Main[[#This Row],[Revised Due Date]],""))</f>
        <v/>
      </c>
      <c r="I999" s="110" t="s">
        <v>4</v>
      </c>
      <c r="J999" s="99" t="s">
        <v>4</v>
      </c>
      <c r="K999" s="99" t="s">
        <v>4</v>
      </c>
      <c r="L999" s="89"/>
      <c r="M999" s="75" t="str">
        <f>IF(Main[[#This Row],[Tech Start Date]]&lt;1/1/1990,"",IF(Main[[#This Row],[Class]]="C",WORKDAY(Main[[#This Row],[Tech Start Date]],9),IF(Main[[#This Row],[Class]]="B", WORKDAY(Main[[#This Row],[Tech Start Date]],6),IF(Main[[#This Row],[Class]]="A",WORKDAY(Main[[#This Row],[Tech Start Date]],2),""))))</f>
        <v/>
      </c>
      <c r="N999" s="75" t="str">
        <f>IF(Main[[#This Row],[Tech Start Date]]&lt;1/1/1990,"",IF(Main[[#This Row],[Class]]="C",WORKDAY(Main[[#This Row],[Tech Start Date]],19),IF(Main[[#This Row],[Class]]="B", WORKDAY(Main[[#This Row],[Tech Start Date]],12),IF(Main[[#This Row],[Class]]="A",WORKDAY(Main[[#This Row],[Tech Start Date]],4),""))))</f>
        <v/>
      </c>
      <c r="O999" s="75" t="str">
        <f>IF(Main[[#This Row],[Tech Start Date]]&lt;1/1/1990,"",IF(Main[[#This Row],[Class]]="C",WORKDAY(Main[[#This Row],[Tech Start Date]],23),IF(Main[[#This Row],[Class]]="B", WORKDAY(Main[[#This Row],[Tech Start Date]],15),IF(Main[[#This Row],[Class]]="A",WORKDAY(Main[[#This Row],[Tech Start Date]],5),""))))</f>
        <v/>
      </c>
      <c r="P999" s="75" t="str">
        <f>IF(Main[[#This Row],[Tech Start Date]]&lt;1/1/1990,"",IF(Main[[#This Row],[Class]]="C",WORKDAY(Main[[#This Row],[Tech Start Date]],28),IF(Main[[#This Row],[Class]]="B", WORKDAY(Main[[#This Row],[Tech Start Date]],19),IF(Main[[#This Row],[Class]]="A",WORKDAY(Main[[#This Row],[Tech Start Date]],9),""))))</f>
        <v/>
      </c>
      <c r="Q999" s="89">
        <v>40349</v>
      </c>
      <c r="R999" s="121"/>
      <c r="S999" s="99" t="s">
        <v>6</v>
      </c>
      <c r="T999" s="76" t="s">
        <v>4</v>
      </c>
      <c r="U999" s="99" t="s">
        <v>14</v>
      </c>
      <c r="V999" s="99" t="s">
        <v>1916</v>
      </c>
      <c r="W999" s="99" t="s">
        <v>4</v>
      </c>
      <c r="X999" s="99" t="s">
        <v>2813</v>
      </c>
      <c r="Y999" s="73" t="s">
        <v>2926</v>
      </c>
      <c r="Z999" s="73" t="s">
        <v>4</v>
      </c>
      <c r="AA999" s="99" t="s">
        <v>2813</v>
      </c>
    </row>
    <row r="1000" spans="1:27" ht="17.25" customHeight="1">
      <c r="A1000" s="65" t="str">
        <f>IF(priority(Main[[#This Row],[Comments]])&lt;&gt;0, priority(Main[[#This Row],[Comments]]),"")</f>
        <v/>
      </c>
      <c r="B1000" s="60" t="s">
        <v>2193</v>
      </c>
      <c r="C1000" s="105" t="s">
        <v>4</v>
      </c>
      <c r="D1000" s="74" t="s">
        <v>2194</v>
      </c>
      <c r="E1000" s="89"/>
      <c r="F1000" s="89"/>
      <c r="G1000" s="65" t="str">
        <f>IF(stdProdLT(Main[[#This Row],[Comments]])=0.1,"N/A",IF(stdProdLT(Main[[#This Row],[Comments]])=0,"",TRIM(stdProdLT(Main[[#This Row],[Comments]]))))</f>
        <v/>
      </c>
      <c r="H1000" s="98" t="str">
        <f>IF(Main[[#This Row],[Std. Prod. Lead Time]]="N/A", "",IF(AND(Main[[#This Row],[In Stock Date]]&lt;&gt;"",Main[[#This Row],[Revised Due Date]]&lt;&gt;"",Main[[#This Row],[In Stock Date]]&lt;&gt;""),Main[[#This Row],[In Stock Date]]-Main[[#This Row],[Revised Due Date]],""))</f>
        <v/>
      </c>
      <c r="I1000" s="110" t="s">
        <v>4</v>
      </c>
      <c r="J1000" s="99" t="s">
        <v>4</v>
      </c>
      <c r="K1000" s="100" t="s">
        <v>4</v>
      </c>
      <c r="L1000" s="89"/>
      <c r="M1000" s="75" t="str">
        <f>IF(Main[[#This Row],[Tech Start Date]]&lt;1/1/1990,"",IF(Main[[#This Row],[Class]]="C",WORKDAY(Main[[#This Row],[Tech Start Date]],9),IF(Main[[#This Row],[Class]]="B", WORKDAY(Main[[#This Row],[Tech Start Date]],6),IF(Main[[#This Row],[Class]]="A",WORKDAY(Main[[#This Row],[Tech Start Date]],2),""))))</f>
        <v/>
      </c>
      <c r="N1000" s="75" t="str">
        <f>IF(Main[[#This Row],[Tech Start Date]]&lt;1/1/1990,"",IF(Main[[#This Row],[Class]]="C",WORKDAY(Main[[#This Row],[Tech Start Date]],19),IF(Main[[#This Row],[Class]]="B", WORKDAY(Main[[#This Row],[Tech Start Date]],12),IF(Main[[#This Row],[Class]]="A",WORKDAY(Main[[#This Row],[Tech Start Date]],4),""))))</f>
        <v/>
      </c>
      <c r="O1000" s="75" t="str">
        <f>IF(Main[[#This Row],[Tech Start Date]]&lt;1/1/1990,"",IF(Main[[#This Row],[Class]]="C",WORKDAY(Main[[#This Row],[Tech Start Date]],23),IF(Main[[#This Row],[Class]]="B", WORKDAY(Main[[#This Row],[Tech Start Date]],15),IF(Main[[#This Row],[Class]]="A",WORKDAY(Main[[#This Row],[Tech Start Date]],5),""))))</f>
        <v/>
      </c>
      <c r="P1000" s="75" t="str">
        <f>IF(Main[[#This Row],[Tech Start Date]]&lt;1/1/1990,"",IF(Main[[#This Row],[Class]]="C",WORKDAY(Main[[#This Row],[Tech Start Date]],28),IF(Main[[#This Row],[Class]]="B", WORKDAY(Main[[#This Row],[Tech Start Date]],19),IF(Main[[#This Row],[Class]]="A",WORKDAY(Main[[#This Row],[Tech Start Date]],9),""))))</f>
        <v/>
      </c>
      <c r="Q1000" s="89"/>
      <c r="R1000" s="121"/>
      <c r="S1000" s="99" t="s">
        <v>6</v>
      </c>
      <c r="T1000" s="76" t="s">
        <v>4</v>
      </c>
      <c r="U1000" s="99" t="s">
        <v>14</v>
      </c>
      <c r="V1000" s="99" t="s">
        <v>1914</v>
      </c>
      <c r="W1000" s="99" t="s">
        <v>4</v>
      </c>
      <c r="X1000" s="99" t="s">
        <v>306</v>
      </c>
      <c r="Y1000" s="73" t="s">
        <v>4</v>
      </c>
      <c r="Z1000" s="73" t="s">
        <v>4</v>
      </c>
      <c r="AA1000" s="99" t="s">
        <v>4</v>
      </c>
    </row>
    <row r="1001" spans="1:27" ht="17.25" customHeight="1">
      <c r="A1001" s="65" t="str">
        <f>IF(priority(Main[[#This Row],[Comments]])&lt;&gt;0, priority(Main[[#This Row],[Comments]]),"")</f>
        <v/>
      </c>
      <c r="B1001" s="60" t="s">
        <v>1801</v>
      </c>
      <c r="C1001" s="105" t="s">
        <v>47</v>
      </c>
      <c r="D1001" s="74" t="s">
        <v>849</v>
      </c>
      <c r="E1001" s="89"/>
      <c r="F1001" s="89"/>
      <c r="G1001" s="65" t="str">
        <f>IF(stdProdLT(Main[[#This Row],[Comments]])=0.1,"N/A",IF(stdProdLT(Main[[#This Row],[Comments]])=0,"",TRIM(stdProdLT(Main[[#This Row],[Comments]]))))</f>
        <v/>
      </c>
      <c r="H1001" s="98" t="str">
        <f>IF(Main[[#This Row],[Std. Prod. Lead Time]]="N/A", "",IF(AND(Main[[#This Row],[In Stock Date]]&lt;&gt;"",Main[[#This Row],[Revised Due Date]]&lt;&gt;"",Main[[#This Row],[In Stock Date]]&lt;&gt;""),Main[[#This Row],[In Stock Date]]-Main[[#This Row],[Revised Due Date]],""))</f>
        <v/>
      </c>
      <c r="I1001" s="110" t="s">
        <v>4</v>
      </c>
      <c r="J1001" s="99" t="s">
        <v>4</v>
      </c>
      <c r="K1001" s="99" t="s">
        <v>4</v>
      </c>
      <c r="L1001" s="89"/>
      <c r="M1001" s="75" t="str">
        <f>IF(Main[[#This Row],[Tech Start Date]]&lt;1/1/1990,"",IF(Main[[#This Row],[Class]]="C",WORKDAY(Main[[#This Row],[Tech Start Date]],9),IF(Main[[#This Row],[Class]]="B", WORKDAY(Main[[#This Row],[Tech Start Date]],6),IF(Main[[#This Row],[Class]]="A",WORKDAY(Main[[#This Row],[Tech Start Date]],2),""))))</f>
        <v/>
      </c>
      <c r="N1001" s="75" t="str">
        <f>IF(Main[[#This Row],[Tech Start Date]]&lt;1/1/1990,"",IF(Main[[#This Row],[Class]]="C",WORKDAY(Main[[#This Row],[Tech Start Date]],19),IF(Main[[#This Row],[Class]]="B", WORKDAY(Main[[#This Row],[Tech Start Date]],12),IF(Main[[#This Row],[Class]]="A",WORKDAY(Main[[#This Row],[Tech Start Date]],4),""))))</f>
        <v/>
      </c>
      <c r="O1001" s="75" t="str">
        <f>IF(Main[[#This Row],[Tech Start Date]]&lt;1/1/1990,"",IF(Main[[#This Row],[Class]]="C",WORKDAY(Main[[#This Row],[Tech Start Date]],23),IF(Main[[#This Row],[Class]]="B", WORKDAY(Main[[#This Row],[Tech Start Date]],15),IF(Main[[#This Row],[Class]]="A",WORKDAY(Main[[#This Row],[Tech Start Date]],5),""))))</f>
        <v/>
      </c>
      <c r="P1001" s="75" t="str">
        <f>IF(Main[[#This Row],[Tech Start Date]]&lt;1/1/1990,"",IF(Main[[#This Row],[Class]]="C",WORKDAY(Main[[#This Row],[Tech Start Date]],28),IF(Main[[#This Row],[Class]]="B", WORKDAY(Main[[#This Row],[Tech Start Date]],19),IF(Main[[#This Row],[Class]]="A",WORKDAY(Main[[#This Row],[Tech Start Date]],9),""))))</f>
        <v/>
      </c>
      <c r="Q1001" s="89"/>
      <c r="R1001" s="121"/>
      <c r="S1001" s="99" t="s">
        <v>17</v>
      </c>
      <c r="T1001" s="76" t="s">
        <v>4</v>
      </c>
      <c r="U1001" s="99" t="s">
        <v>14</v>
      </c>
      <c r="V1001" s="99" t="s">
        <v>1916</v>
      </c>
      <c r="W1001" s="99" t="s">
        <v>1918</v>
      </c>
      <c r="X1001" s="99" t="s">
        <v>2821</v>
      </c>
      <c r="Y1001" s="73" t="s">
        <v>3104</v>
      </c>
      <c r="Z1001" s="73" t="s">
        <v>4</v>
      </c>
      <c r="AA1001" s="99" t="s">
        <v>2821</v>
      </c>
    </row>
    <row r="1002" spans="1:27" ht="17.25" customHeight="1">
      <c r="A1002" s="65" t="str">
        <f>IF(priority(Main[[#This Row],[Comments]])&lt;&gt;0, priority(Main[[#This Row],[Comments]]),"")</f>
        <v/>
      </c>
      <c r="B1002" s="60" t="s">
        <v>1726</v>
      </c>
      <c r="C1002" s="105" t="s">
        <v>4</v>
      </c>
      <c r="D1002" s="74" t="s">
        <v>783</v>
      </c>
      <c r="E1002" s="89">
        <v>40584.407268518517</v>
      </c>
      <c r="F1002" s="89"/>
      <c r="G1002" s="65" t="str">
        <f>IF(stdProdLT(Main[[#This Row],[Comments]])=0.1,"N/A",IF(stdProdLT(Main[[#This Row],[Comments]])=0,"",TRIM(stdProdLT(Main[[#This Row],[Comments]]))))</f>
        <v/>
      </c>
      <c r="H1002" s="98" t="str">
        <f>IF(Main[[#This Row],[Std. Prod. Lead Time]]="N/A", "",IF(AND(Main[[#This Row],[In Stock Date]]&lt;&gt;"",Main[[#This Row],[Revised Due Date]]&lt;&gt;"",Main[[#This Row],[In Stock Date]]&lt;&gt;""),Main[[#This Row],[In Stock Date]]-Main[[#This Row],[Revised Due Date]],""))</f>
        <v/>
      </c>
      <c r="I1002" s="110" t="s">
        <v>4</v>
      </c>
      <c r="J1002" s="99" t="s">
        <v>4</v>
      </c>
      <c r="K1002" s="99" t="s">
        <v>4</v>
      </c>
      <c r="L1002" s="89"/>
      <c r="M1002" s="75" t="str">
        <f>IF(Main[[#This Row],[Tech Start Date]]&lt;1/1/1990,"",IF(Main[[#This Row],[Class]]="C",WORKDAY(Main[[#This Row],[Tech Start Date]],9),IF(Main[[#This Row],[Class]]="B", WORKDAY(Main[[#This Row],[Tech Start Date]],6),IF(Main[[#This Row],[Class]]="A",WORKDAY(Main[[#This Row],[Tech Start Date]],2),""))))</f>
        <v/>
      </c>
      <c r="N1002" s="75" t="str">
        <f>IF(Main[[#This Row],[Tech Start Date]]&lt;1/1/1990,"",IF(Main[[#This Row],[Class]]="C",WORKDAY(Main[[#This Row],[Tech Start Date]],19),IF(Main[[#This Row],[Class]]="B", WORKDAY(Main[[#This Row],[Tech Start Date]],12),IF(Main[[#This Row],[Class]]="A",WORKDAY(Main[[#This Row],[Tech Start Date]],4),""))))</f>
        <v/>
      </c>
      <c r="O1002" s="75" t="str">
        <f>IF(Main[[#This Row],[Tech Start Date]]&lt;1/1/1990,"",IF(Main[[#This Row],[Class]]="C",WORKDAY(Main[[#This Row],[Tech Start Date]],23),IF(Main[[#This Row],[Class]]="B", WORKDAY(Main[[#This Row],[Tech Start Date]],15),IF(Main[[#This Row],[Class]]="A",WORKDAY(Main[[#This Row],[Tech Start Date]],5),""))))</f>
        <v/>
      </c>
      <c r="P1002" s="75" t="str">
        <f>IF(Main[[#This Row],[Tech Start Date]]&lt;1/1/1990,"",IF(Main[[#This Row],[Class]]="C",WORKDAY(Main[[#This Row],[Tech Start Date]],28),IF(Main[[#This Row],[Class]]="B", WORKDAY(Main[[#This Row],[Tech Start Date]],19),IF(Main[[#This Row],[Class]]="A",WORKDAY(Main[[#This Row],[Tech Start Date]],9),""))))</f>
        <v/>
      </c>
      <c r="Q1002" s="89">
        <v>40602</v>
      </c>
      <c r="R1002" s="121"/>
      <c r="S1002" s="99" t="s">
        <v>17</v>
      </c>
      <c r="T1002" s="76" t="s">
        <v>4</v>
      </c>
      <c r="U1002" s="99" t="s">
        <v>7</v>
      </c>
      <c r="V1002" s="99" t="s">
        <v>1913</v>
      </c>
      <c r="W1002" s="99" t="s">
        <v>1921</v>
      </c>
      <c r="X1002" s="99" t="s">
        <v>2822</v>
      </c>
      <c r="Y1002" s="73" t="s">
        <v>2944</v>
      </c>
      <c r="Z1002" s="73" t="s">
        <v>4</v>
      </c>
      <c r="AA1002" s="99" t="s">
        <v>2822</v>
      </c>
    </row>
    <row r="1003" spans="1:27" ht="17.25" customHeight="1">
      <c r="A1003" s="65" t="str">
        <f>IF(priority(Main[[#This Row],[Comments]])&lt;&gt;0, priority(Main[[#This Row],[Comments]]),"")</f>
        <v/>
      </c>
      <c r="B1003" s="60" t="s">
        <v>1784</v>
      </c>
      <c r="C1003" s="105" t="s">
        <v>4</v>
      </c>
      <c r="D1003" s="74" t="s">
        <v>829</v>
      </c>
      <c r="E1003" s="89"/>
      <c r="F1003" s="89"/>
      <c r="G1003" s="65" t="str">
        <f>IF(stdProdLT(Main[[#This Row],[Comments]])=0.1,"N/A",IF(stdProdLT(Main[[#This Row],[Comments]])=0,"",TRIM(stdProdLT(Main[[#This Row],[Comments]]))))</f>
        <v/>
      </c>
      <c r="H1003" s="98" t="str">
        <f>IF(Main[[#This Row],[Std. Prod. Lead Time]]="N/A", "",IF(AND(Main[[#This Row],[In Stock Date]]&lt;&gt;"",Main[[#This Row],[Revised Due Date]]&lt;&gt;"",Main[[#This Row],[In Stock Date]]&lt;&gt;""),Main[[#This Row],[In Stock Date]]-Main[[#This Row],[Revised Due Date]],""))</f>
        <v/>
      </c>
      <c r="I1003" s="110" t="s">
        <v>4</v>
      </c>
      <c r="J1003" s="99" t="s">
        <v>4</v>
      </c>
      <c r="K1003" s="99" t="s">
        <v>4</v>
      </c>
      <c r="L1003" s="89"/>
      <c r="M1003" s="75" t="str">
        <f>IF(Main[[#This Row],[Tech Start Date]]&lt;1/1/1990,"",IF(Main[[#This Row],[Class]]="C",WORKDAY(Main[[#This Row],[Tech Start Date]],9),IF(Main[[#This Row],[Class]]="B", WORKDAY(Main[[#This Row],[Tech Start Date]],6),IF(Main[[#This Row],[Class]]="A",WORKDAY(Main[[#This Row],[Tech Start Date]],2),""))))</f>
        <v/>
      </c>
      <c r="N1003" s="75" t="str">
        <f>IF(Main[[#This Row],[Tech Start Date]]&lt;1/1/1990,"",IF(Main[[#This Row],[Class]]="C",WORKDAY(Main[[#This Row],[Tech Start Date]],19),IF(Main[[#This Row],[Class]]="B", WORKDAY(Main[[#This Row],[Tech Start Date]],12),IF(Main[[#This Row],[Class]]="A",WORKDAY(Main[[#This Row],[Tech Start Date]],4),""))))</f>
        <v/>
      </c>
      <c r="O1003" s="75" t="str">
        <f>IF(Main[[#This Row],[Tech Start Date]]&lt;1/1/1990,"",IF(Main[[#This Row],[Class]]="C",WORKDAY(Main[[#This Row],[Tech Start Date]],23),IF(Main[[#This Row],[Class]]="B", WORKDAY(Main[[#This Row],[Tech Start Date]],15),IF(Main[[#This Row],[Class]]="A",WORKDAY(Main[[#This Row],[Tech Start Date]],5),""))))</f>
        <v/>
      </c>
      <c r="P1003" s="75" t="str">
        <f>IF(Main[[#This Row],[Tech Start Date]]&lt;1/1/1990,"",IF(Main[[#This Row],[Class]]="C",WORKDAY(Main[[#This Row],[Tech Start Date]],28),IF(Main[[#This Row],[Class]]="B", WORKDAY(Main[[#This Row],[Tech Start Date]],19),IF(Main[[#This Row],[Class]]="A",WORKDAY(Main[[#This Row],[Tech Start Date]],9),""))))</f>
        <v/>
      </c>
      <c r="Q1003" s="89"/>
      <c r="R1003" s="121"/>
      <c r="S1003" s="99" t="s">
        <v>23</v>
      </c>
      <c r="T1003" s="76" t="s">
        <v>4</v>
      </c>
      <c r="U1003" s="99" t="s">
        <v>14</v>
      </c>
      <c r="V1003" s="99" t="s">
        <v>1913</v>
      </c>
      <c r="W1003" s="99" t="s">
        <v>1917</v>
      </c>
      <c r="X1003" s="99" t="s">
        <v>306</v>
      </c>
      <c r="Y1003" s="73" t="s">
        <v>4</v>
      </c>
      <c r="Z1003" s="73" t="s">
        <v>4</v>
      </c>
      <c r="AA1003" s="99" t="s">
        <v>3435</v>
      </c>
    </row>
    <row r="1004" spans="1:27" ht="17.25" customHeight="1">
      <c r="A1004" s="65" t="str">
        <f>IF(priority(Main[[#This Row],[Comments]])&lt;&gt;0, priority(Main[[#This Row],[Comments]]),"")</f>
        <v/>
      </c>
      <c r="B1004" s="60" t="s">
        <v>1803</v>
      </c>
      <c r="C1004" s="105" t="s">
        <v>95</v>
      </c>
      <c r="D1004" s="74" t="s">
        <v>851</v>
      </c>
      <c r="E1004" s="89">
        <v>40060.34884259259</v>
      </c>
      <c r="F1004" s="89">
        <v>40195</v>
      </c>
      <c r="G1004" s="65" t="str">
        <f>IF(stdProdLT(Main[[#This Row],[Comments]])=0.1,"N/A",IF(stdProdLT(Main[[#This Row],[Comments]])=0,"",TRIM(stdProdLT(Main[[#This Row],[Comments]]))))</f>
        <v/>
      </c>
      <c r="H1004" s="98">
        <f>IF(Main[[#This Row],[Std. Prod. Lead Time]]="N/A", "",IF(AND(Main[[#This Row],[In Stock Date]]&lt;&gt;"",Main[[#This Row],[Revised Due Date]]&lt;&gt;"",Main[[#This Row],[In Stock Date]]&lt;&gt;""),Main[[#This Row],[In Stock Date]]-Main[[#This Row],[Revised Due Date]],""))</f>
        <v>17</v>
      </c>
      <c r="I1004" s="110" t="s">
        <v>852</v>
      </c>
      <c r="J1004" s="99" t="s">
        <v>4</v>
      </c>
      <c r="K1004" s="99" t="s">
        <v>4</v>
      </c>
      <c r="L1004" s="89"/>
      <c r="M1004" s="75" t="str">
        <f>IF(Main[[#This Row],[Tech Start Date]]&lt;1/1/1990,"",IF(Main[[#This Row],[Class]]="C",WORKDAY(Main[[#This Row],[Tech Start Date]],9),IF(Main[[#This Row],[Class]]="B", WORKDAY(Main[[#This Row],[Tech Start Date]],6),IF(Main[[#This Row],[Class]]="A",WORKDAY(Main[[#This Row],[Tech Start Date]],2),""))))</f>
        <v/>
      </c>
      <c r="N1004" s="75" t="str">
        <f>IF(Main[[#This Row],[Tech Start Date]]&lt;1/1/1990,"",IF(Main[[#This Row],[Class]]="C",WORKDAY(Main[[#This Row],[Tech Start Date]],19),IF(Main[[#This Row],[Class]]="B", WORKDAY(Main[[#This Row],[Tech Start Date]],12),IF(Main[[#This Row],[Class]]="A",WORKDAY(Main[[#This Row],[Tech Start Date]],4),""))))</f>
        <v/>
      </c>
      <c r="O1004" s="75" t="str">
        <f>IF(Main[[#This Row],[Tech Start Date]]&lt;1/1/1990,"",IF(Main[[#This Row],[Class]]="C",WORKDAY(Main[[#This Row],[Tech Start Date]],23),IF(Main[[#This Row],[Class]]="B", WORKDAY(Main[[#This Row],[Tech Start Date]],15),IF(Main[[#This Row],[Class]]="A",WORKDAY(Main[[#This Row],[Tech Start Date]],5),""))))</f>
        <v/>
      </c>
      <c r="P1004" s="75" t="str">
        <f>IF(Main[[#This Row],[Tech Start Date]]&lt;1/1/1990,"",IF(Main[[#This Row],[Class]]="C",WORKDAY(Main[[#This Row],[Tech Start Date]],28),IF(Main[[#This Row],[Class]]="B", WORKDAY(Main[[#This Row],[Tech Start Date]],19),IF(Main[[#This Row],[Class]]="A",WORKDAY(Main[[#This Row],[Tech Start Date]],9),""))))</f>
        <v/>
      </c>
      <c r="Q1004" s="89">
        <v>40080</v>
      </c>
      <c r="R1004" s="121">
        <v>40178</v>
      </c>
      <c r="S1004" s="99" t="s">
        <v>17</v>
      </c>
      <c r="T1004" s="76" t="s">
        <v>4</v>
      </c>
      <c r="U1004" s="99" t="s">
        <v>29</v>
      </c>
      <c r="V1004" s="99" t="s">
        <v>1916</v>
      </c>
      <c r="W1004" s="99" t="s">
        <v>1921</v>
      </c>
      <c r="X1004" s="99" t="s">
        <v>2870</v>
      </c>
      <c r="Y1004" s="73" t="s">
        <v>4</v>
      </c>
      <c r="Z1004" s="73" t="s">
        <v>81</v>
      </c>
      <c r="AA1004" s="99" t="s">
        <v>3399</v>
      </c>
    </row>
    <row r="1005" spans="1:27" ht="17.25" customHeight="1">
      <c r="A1005" s="65" t="str">
        <f>IF(priority(Main[[#This Row],[Comments]])&lt;&gt;0, priority(Main[[#This Row],[Comments]]),"")</f>
        <v/>
      </c>
      <c r="B1005" s="60" t="s">
        <v>3168</v>
      </c>
      <c r="C1005" s="105" t="s">
        <v>4</v>
      </c>
      <c r="D1005" s="74" t="s">
        <v>3251</v>
      </c>
      <c r="E1005" s="89">
        <v>40919.388969907406</v>
      </c>
      <c r="F1005" s="89"/>
      <c r="G1005" s="65" t="str">
        <f>IF(stdProdLT(Main[[#This Row],[Comments]])=0.1,"N/A",IF(stdProdLT(Main[[#This Row],[Comments]])=0,"",TRIM(stdProdLT(Main[[#This Row],[Comments]]))))</f>
        <v/>
      </c>
      <c r="H1005" s="98" t="str">
        <f>IF(Main[[#This Row],[Std. Prod. Lead Time]]="N/A", "",IF(AND(Main[[#This Row],[In Stock Date]]&lt;&gt;"",Main[[#This Row],[Revised Due Date]]&lt;&gt;"",Main[[#This Row],[In Stock Date]]&lt;&gt;""),Main[[#This Row],[In Stock Date]]-Main[[#This Row],[Revised Due Date]],""))</f>
        <v/>
      </c>
      <c r="I1005" s="110" t="s">
        <v>30</v>
      </c>
      <c r="J1005" s="99" t="s">
        <v>28</v>
      </c>
      <c r="K1005" s="99" t="s">
        <v>1922</v>
      </c>
      <c r="L1005" s="89"/>
      <c r="M1005" s="75" t="str">
        <f>IF(Main[[#This Row],[Tech Start Date]]&lt;1/1/1990,"",IF(Main[[#This Row],[Class]]="C",WORKDAY(Main[[#This Row],[Tech Start Date]],9),IF(Main[[#This Row],[Class]]="B", WORKDAY(Main[[#This Row],[Tech Start Date]],6),IF(Main[[#This Row],[Class]]="A",WORKDAY(Main[[#This Row],[Tech Start Date]],2),""))))</f>
        <v/>
      </c>
      <c r="N1005" s="75" t="str">
        <f>IF(Main[[#This Row],[Tech Start Date]]&lt;1/1/1990,"",IF(Main[[#This Row],[Class]]="C",WORKDAY(Main[[#This Row],[Tech Start Date]],19),IF(Main[[#This Row],[Class]]="B", WORKDAY(Main[[#This Row],[Tech Start Date]],12),IF(Main[[#This Row],[Class]]="A",WORKDAY(Main[[#This Row],[Tech Start Date]],4),""))))</f>
        <v/>
      </c>
      <c r="O1005" s="75" t="str">
        <f>IF(Main[[#This Row],[Tech Start Date]]&lt;1/1/1990,"",IF(Main[[#This Row],[Class]]="C",WORKDAY(Main[[#This Row],[Tech Start Date]],23),IF(Main[[#This Row],[Class]]="B", WORKDAY(Main[[#This Row],[Tech Start Date]],15),IF(Main[[#This Row],[Class]]="A",WORKDAY(Main[[#This Row],[Tech Start Date]],5),""))))</f>
        <v/>
      </c>
      <c r="P1005" s="75" t="str">
        <f>IF(Main[[#This Row],[Tech Start Date]]&lt;1/1/1990,"",IF(Main[[#This Row],[Class]]="C",WORKDAY(Main[[#This Row],[Tech Start Date]],28),IF(Main[[#This Row],[Class]]="B", WORKDAY(Main[[#This Row],[Tech Start Date]],19),IF(Main[[#This Row],[Class]]="A",WORKDAY(Main[[#This Row],[Tech Start Date]],9),""))))</f>
        <v/>
      </c>
      <c r="Q1005" s="89">
        <v>40928</v>
      </c>
      <c r="R1005" s="121"/>
      <c r="S1005" s="99" t="s">
        <v>6</v>
      </c>
      <c r="T1005" s="76" t="s">
        <v>4</v>
      </c>
      <c r="U1005" s="99" t="s">
        <v>29</v>
      </c>
      <c r="V1005" s="99" t="s">
        <v>1916</v>
      </c>
      <c r="W1005" s="99" t="s">
        <v>1917</v>
      </c>
      <c r="X1005" s="99" t="s">
        <v>2897</v>
      </c>
      <c r="Y1005" s="73" t="s">
        <v>3077</v>
      </c>
      <c r="Z1005" s="73" t="s">
        <v>30</v>
      </c>
      <c r="AA1005" s="99" t="s">
        <v>2897</v>
      </c>
    </row>
    <row r="1006" spans="1:27" ht="17.25" customHeight="1">
      <c r="A1006" s="65" t="str">
        <f>IF(priority(Main[[#This Row],[Comments]])&lt;&gt;0, priority(Main[[#This Row],[Comments]]),"")</f>
        <v/>
      </c>
      <c r="B1006" s="60" t="s">
        <v>2124</v>
      </c>
      <c r="C1006" s="105" t="s">
        <v>951</v>
      </c>
      <c r="D1006" s="74" t="s">
        <v>2125</v>
      </c>
      <c r="E1006" s="89"/>
      <c r="F1006" s="89">
        <v>40871</v>
      </c>
      <c r="G1006" s="65" t="str">
        <f>IF(stdProdLT(Main[[#This Row],[Comments]])=0.1,"N/A",IF(stdProdLT(Main[[#This Row],[Comments]])=0,"",TRIM(stdProdLT(Main[[#This Row],[Comments]]))))</f>
        <v/>
      </c>
      <c r="H1006" s="98" t="str">
        <f>IF(Main[[#This Row],[Std. Prod. Lead Time]]="N/A", "",IF(AND(Main[[#This Row],[In Stock Date]]&lt;&gt;"",Main[[#This Row],[Revised Due Date]]&lt;&gt;"",Main[[#This Row],[In Stock Date]]&lt;&gt;""),Main[[#This Row],[In Stock Date]]-Main[[#This Row],[Revised Due Date]],""))</f>
        <v/>
      </c>
      <c r="I1006" s="110" t="s">
        <v>399</v>
      </c>
      <c r="J1006" s="99" t="s">
        <v>51</v>
      </c>
      <c r="K1006" s="99" t="s">
        <v>1922</v>
      </c>
      <c r="L1006" s="89"/>
      <c r="M1006" s="75" t="str">
        <f>IF(Main[[#This Row],[Tech Start Date]]&lt;1/1/1990,"",IF(Main[[#This Row],[Class]]="C",WORKDAY(Main[[#This Row],[Tech Start Date]],9),IF(Main[[#This Row],[Class]]="B", WORKDAY(Main[[#This Row],[Tech Start Date]],6),IF(Main[[#This Row],[Class]]="A",WORKDAY(Main[[#This Row],[Tech Start Date]],2),""))))</f>
        <v/>
      </c>
      <c r="N1006" s="75" t="str">
        <f>IF(Main[[#This Row],[Tech Start Date]]&lt;1/1/1990,"",IF(Main[[#This Row],[Class]]="C",WORKDAY(Main[[#This Row],[Tech Start Date]],19),IF(Main[[#This Row],[Class]]="B", WORKDAY(Main[[#This Row],[Tech Start Date]],12),IF(Main[[#This Row],[Class]]="A",WORKDAY(Main[[#This Row],[Tech Start Date]],4),""))))</f>
        <v/>
      </c>
      <c r="O1006" s="75" t="str">
        <f>IF(Main[[#This Row],[Tech Start Date]]&lt;1/1/1990,"",IF(Main[[#This Row],[Class]]="C",WORKDAY(Main[[#This Row],[Tech Start Date]],23),IF(Main[[#This Row],[Class]]="B", WORKDAY(Main[[#This Row],[Tech Start Date]],15),IF(Main[[#This Row],[Class]]="A",WORKDAY(Main[[#This Row],[Tech Start Date]],5),""))))</f>
        <v/>
      </c>
      <c r="P1006" s="75" t="str">
        <f>IF(Main[[#This Row],[Tech Start Date]]&lt;1/1/1990,"",IF(Main[[#This Row],[Class]]="C",WORKDAY(Main[[#This Row],[Tech Start Date]],28),IF(Main[[#This Row],[Class]]="B", WORKDAY(Main[[#This Row],[Tech Start Date]],19),IF(Main[[#This Row],[Class]]="A",WORKDAY(Main[[#This Row],[Tech Start Date]],9),""))))</f>
        <v/>
      </c>
      <c r="Q1006" s="89"/>
      <c r="R1006" s="121"/>
      <c r="S1006" s="99" t="s">
        <v>11</v>
      </c>
      <c r="T1006" s="76" t="s">
        <v>4</v>
      </c>
      <c r="U1006" s="99" t="s">
        <v>14</v>
      </c>
      <c r="V1006" s="99" t="s">
        <v>1913</v>
      </c>
      <c r="W1006" s="99" t="s">
        <v>1919</v>
      </c>
      <c r="X1006" s="99" t="s">
        <v>50</v>
      </c>
      <c r="Y1006" s="73" t="s">
        <v>2955</v>
      </c>
      <c r="Z1006" s="73" t="s">
        <v>306</v>
      </c>
      <c r="AA1006" s="99" t="s">
        <v>50</v>
      </c>
    </row>
    <row r="1007" spans="1:27" ht="17.25" customHeight="1">
      <c r="A1007" s="65" t="str">
        <f>IF(priority(Main[[#This Row],[Comments]])&lt;&gt;0, priority(Main[[#This Row],[Comments]]),"")</f>
        <v/>
      </c>
      <c r="B1007" s="60" t="s">
        <v>2126</v>
      </c>
      <c r="C1007" s="105" t="s">
        <v>951</v>
      </c>
      <c r="D1007" s="74" t="s">
        <v>2127</v>
      </c>
      <c r="E1007" s="89"/>
      <c r="F1007" s="89">
        <v>40871</v>
      </c>
      <c r="G1007" s="65" t="str">
        <f>IF(stdProdLT(Main[[#This Row],[Comments]])=0.1,"N/A",IF(stdProdLT(Main[[#This Row],[Comments]])=0,"",TRIM(stdProdLT(Main[[#This Row],[Comments]]))))</f>
        <v/>
      </c>
      <c r="H1007" s="98" t="str">
        <f>IF(Main[[#This Row],[Std. Prod. Lead Time]]="N/A", "",IF(AND(Main[[#This Row],[In Stock Date]]&lt;&gt;"",Main[[#This Row],[Revised Due Date]]&lt;&gt;"",Main[[#This Row],[In Stock Date]]&lt;&gt;""),Main[[#This Row],[In Stock Date]]-Main[[#This Row],[Revised Due Date]],""))</f>
        <v/>
      </c>
      <c r="I1007" s="110" t="s">
        <v>4</v>
      </c>
      <c r="J1007" s="99" t="s">
        <v>4</v>
      </c>
      <c r="K1007" s="99" t="s">
        <v>4</v>
      </c>
      <c r="L1007" s="89"/>
      <c r="M1007" s="75" t="str">
        <f>IF(Main[[#This Row],[Tech Start Date]]&lt;1/1/1990,"",IF(Main[[#This Row],[Class]]="C",WORKDAY(Main[[#This Row],[Tech Start Date]],9),IF(Main[[#This Row],[Class]]="B", WORKDAY(Main[[#This Row],[Tech Start Date]],6),IF(Main[[#This Row],[Class]]="A",WORKDAY(Main[[#This Row],[Tech Start Date]],2),""))))</f>
        <v/>
      </c>
      <c r="N1007" s="75" t="str">
        <f>IF(Main[[#This Row],[Tech Start Date]]&lt;1/1/1990,"",IF(Main[[#This Row],[Class]]="C",WORKDAY(Main[[#This Row],[Tech Start Date]],19),IF(Main[[#This Row],[Class]]="B", WORKDAY(Main[[#This Row],[Tech Start Date]],12),IF(Main[[#This Row],[Class]]="A",WORKDAY(Main[[#This Row],[Tech Start Date]],4),""))))</f>
        <v/>
      </c>
      <c r="O1007" s="75" t="str">
        <f>IF(Main[[#This Row],[Tech Start Date]]&lt;1/1/1990,"",IF(Main[[#This Row],[Class]]="C",WORKDAY(Main[[#This Row],[Tech Start Date]],23),IF(Main[[#This Row],[Class]]="B", WORKDAY(Main[[#This Row],[Tech Start Date]],15),IF(Main[[#This Row],[Class]]="A",WORKDAY(Main[[#This Row],[Tech Start Date]],5),""))))</f>
        <v/>
      </c>
      <c r="P1007" s="75" t="str">
        <f>IF(Main[[#This Row],[Tech Start Date]]&lt;1/1/1990,"",IF(Main[[#This Row],[Class]]="C",WORKDAY(Main[[#This Row],[Tech Start Date]],28),IF(Main[[#This Row],[Class]]="B", WORKDAY(Main[[#This Row],[Tech Start Date]],19),IF(Main[[#This Row],[Class]]="A",WORKDAY(Main[[#This Row],[Tech Start Date]],9),""))))</f>
        <v/>
      </c>
      <c r="Q1007" s="89"/>
      <c r="R1007" s="121"/>
      <c r="S1007" s="99" t="s">
        <v>11</v>
      </c>
      <c r="T1007" s="76" t="s">
        <v>4</v>
      </c>
      <c r="U1007" s="99" t="s">
        <v>14</v>
      </c>
      <c r="V1007" s="99" t="s">
        <v>1916</v>
      </c>
      <c r="W1007" s="99" t="s">
        <v>1921</v>
      </c>
      <c r="X1007" s="99" t="s">
        <v>50</v>
      </c>
      <c r="Y1007" s="73" t="s">
        <v>2955</v>
      </c>
      <c r="Z1007" s="73" t="s">
        <v>4</v>
      </c>
      <c r="AA1007" s="99" t="s">
        <v>50</v>
      </c>
    </row>
    <row r="1008" spans="1:27" ht="17.25" customHeight="1">
      <c r="A1008" s="65" t="str">
        <f>IF(priority(Main[[#This Row],[Comments]])&lt;&gt;0, priority(Main[[#This Row],[Comments]]),"")</f>
        <v/>
      </c>
      <c r="B1008" s="60" t="s">
        <v>2121</v>
      </c>
      <c r="C1008" s="105" t="s">
        <v>4</v>
      </c>
      <c r="D1008" s="74" t="s">
        <v>3610</v>
      </c>
      <c r="E1008" s="89">
        <v>40764.690844907411</v>
      </c>
      <c r="F1008" s="89"/>
      <c r="G1008" s="65" t="str">
        <f>IF(stdProdLT(Main[[#This Row],[Comments]])=0.1,"N/A",IF(stdProdLT(Main[[#This Row],[Comments]])=0,"",TRIM(stdProdLT(Main[[#This Row],[Comments]]))))</f>
        <v/>
      </c>
      <c r="H1008" s="98" t="str">
        <f>IF(Main[[#This Row],[Std. Prod. Lead Time]]="N/A", "",IF(AND(Main[[#This Row],[In Stock Date]]&lt;&gt;"",Main[[#This Row],[Revised Due Date]]&lt;&gt;"",Main[[#This Row],[In Stock Date]]&lt;&gt;""),Main[[#This Row],[In Stock Date]]-Main[[#This Row],[Revised Due Date]],""))</f>
        <v/>
      </c>
      <c r="I1008" s="110" t="s">
        <v>2207</v>
      </c>
      <c r="J1008" s="99" t="s">
        <v>4</v>
      </c>
      <c r="K1008" s="99" t="s">
        <v>4</v>
      </c>
      <c r="L1008" s="89"/>
      <c r="M1008" s="75" t="str">
        <f>IF(Main[[#This Row],[Tech Start Date]]&lt;1/1/1990,"",IF(Main[[#This Row],[Class]]="C",WORKDAY(Main[[#This Row],[Tech Start Date]],9),IF(Main[[#This Row],[Class]]="B", WORKDAY(Main[[#This Row],[Tech Start Date]],6),IF(Main[[#This Row],[Class]]="A",WORKDAY(Main[[#This Row],[Tech Start Date]],2),""))))</f>
        <v/>
      </c>
      <c r="N1008" s="75" t="str">
        <f>IF(Main[[#This Row],[Tech Start Date]]&lt;1/1/1990,"",IF(Main[[#This Row],[Class]]="C",WORKDAY(Main[[#This Row],[Tech Start Date]],19),IF(Main[[#This Row],[Class]]="B", WORKDAY(Main[[#This Row],[Tech Start Date]],12),IF(Main[[#This Row],[Class]]="A",WORKDAY(Main[[#This Row],[Tech Start Date]],4),""))))</f>
        <v/>
      </c>
      <c r="O1008" s="75" t="str">
        <f>IF(Main[[#This Row],[Tech Start Date]]&lt;1/1/1990,"",IF(Main[[#This Row],[Class]]="C",WORKDAY(Main[[#This Row],[Tech Start Date]],23),IF(Main[[#This Row],[Class]]="B", WORKDAY(Main[[#This Row],[Tech Start Date]],15),IF(Main[[#This Row],[Class]]="A",WORKDAY(Main[[#This Row],[Tech Start Date]],5),""))))</f>
        <v/>
      </c>
      <c r="P1008" s="75" t="str">
        <f>IF(Main[[#This Row],[Tech Start Date]]&lt;1/1/1990,"",IF(Main[[#This Row],[Class]]="C",WORKDAY(Main[[#This Row],[Tech Start Date]],28),IF(Main[[#This Row],[Class]]="B", WORKDAY(Main[[#This Row],[Tech Start Date]],19),IF(Main[[#This Row],[Class]]="A",WORKDAY(Main[[#This Row],[Tech Start Date]],9),""))))</f>
        <v/>
      </c>
      <c r="Q1008" s="89"/>
      <c r="R1008" s="121"/>
      <c r="S1008" s="99" t="s">
        <v>6</v>
      </c>
      <c r="T1008" s="76" t="s">
        <v>4</v>
      </c>
      <c r="U1008" s="99" t="s">
        <v>7</v>
      </c>
      <c r="V1008" s="99" t="s">
        <v>1928</v>
      </c>
      <c r="W1008" s="99" t="s">
        <v>1915</v>
      </c>
      <c r="X1008" s="99" t="s">
        <v>306</v>
      </c>
      <c r="Y1008" s="73" t="s">
        <v>4</v>
      </c>
      <c r="Z1008" s="73" t="s">
        <v>2207</v>
      </c>
      <c r="AA1008" s="99" t="s">
        <v>4</v>
      </c>
    </row>
    <row r="1009" spans="1:27" ht="17.25" customHeight="1">
      <c r="A1009" s="65" t="str">
        <f>IF(priority(Main[[#This Row],[Comments]])&lt;&gt;0, priority(Main[[#This Row],[Comments]]),"")</f>
        <v/>
      </c>
      <c r="B1009" s="60" t="s">
        <v>3516</v>
      </c>
      <c r="C1009" s="105" t="s">
        <v>4</v>
      </c>
      <c r="D1009" s="74" t="s">
        <v>3517</v>
      </c>
      <c r="E1009" s="89"/>
      <c r="F1009" s="89"/>
      <c r="G1009" s="65" t="str">
        <f>IF(stdProdLT(Main[[#This Row],[Comments]])=0.1,"N/A",IF(stdProdLT(Main[[#This Row],[Comments]])=0,"",TRIM(stdProdLT(Main[[#This Row],[Comments]]))))</f>
        <v/>
      </c>
      <c r="H1009" s="98" t="str">
        <f>IF(Main[[#This Row],[Std. Prod. Lead Time]]="N/A", "",IF(AND(Main[[#This Row],[In Stock Date]]&lt;&gt;"",Main[[#This Row],[Revised Due Date]]&lt;&gt;"",Main[[#This Row],[In Stock Date]]&lt;&gt;""),Main[[#This Row],[In Stock Date]]-Main[[#This Row],[Revised Due Date]],""))</f>
        <v/>
      </c>
      <c r="I1009" s="110" t="s">
        <v>4</v>
      </c>
      <c r="J1009" s="99" t="s">
        <v>4</v>
      </c>
      <c r="K1009" s="99" t="s">
        <v>4</v>
      </c>
      <c r="L1009" s="89"/>
      <c r="M1009" s="75" t="str">
        <f>IF(Main[[#This Row],[Tech Start Date]]&lt;1/1/1990,"",IF(Main[[#This Row],[Class]]="C",WORKDAY(Main[[#This Row],[Tech Start Date]],9),IF(Main[[#This Row],[Class]]="B", WORKDAY(Main[[#This Row],[Tech Start Date]],6),IF(Main[[#This Row],[Class]]="A",WORKDAY(Main[[#This Row],[Tech Start Date]],2),""))))</f>
        <v/>
      </c>
      <c r="N1009" s="75" t="str">
        <f>IF(Main[[#This Row],[Tech Start Date]]&lt;1/1/1990,"",IF(Main[[#This Row],[Class]]="C",WORKDAY(Main[[#This Row],[Tech Start Date]],19),IF(Main[[#This Row],[Class]]="B", WORKDAY(Main[[#This Row],[Tech Start Date]],12),IF(Main[[#This Row],[Class]]="A",WORKDAY(Main[[#This Row],[Tech Start Date]],4),""))))</f>
        <v/>
      </c>
      <c r="O1009" s="75" t="str">
        <f>IF(Main[[#This Row],[Tech Start Date]]&lt;1/1/1990,"",IF(Main[[#This Row],[Class]]="C",WORKDAY(Main[[#This Row],[Tech Start Date]],23),IF(Main[[#This Row],[Class]]="B", WORKDAY(Main[[#This Row],[Tech Start Date]],15),IF(Main[[#This Row],[Class]]="A",WORKDAY(Main[[#This Row],[Tech Start Date]],5),""))))</f>
        <v/>
      </c>
      <c r="P1009" s="75" t="str">
        <f>IF(Main[[#This Row],[Tech Start Date]]&lt;1/1/1990,"",IF(Main[[#This Row],[Class]]="C",WORKDAY(Main[[#This Row],[Tech Start Date]],28),IF(Main[[#This Row],[Class]]="B", WORKDAY(Main[[#This Row],[Tech Start Date]],19),IF(Main[[#This Row],[Class]]="A",WORKDAY(Main[[#This Row],[Tech Start Date]],9),""))))</f>
        <v/>
      </c>
      <c r="Q1009" s="89"/>
      <c r="R1009" s="121"/>
      <c r="S1009" s="99" t="s">
        <v>6</v>
      </c>
      <c r="T1009" s="76" t="s">
        <v>4</v>
      </c>
      <c r="U1009" s="99" t="s">
        <v>14</v>
      </c>
      <c r="V1009" s="99" t="s">
        <v>2279</v>
      </c>
      <c r="W1009" s="99" t="s">
        <v>1917</v>
      </c>
      <c r="X1009" s="99" t="s">
        <v>2835</v>
      </c>
      <c r="Y1009" s="73" t="s">
        <v>2965</v>
      </c>
      <c r="Z1009" s="73" t="s">
        <v>4</v>
      </c>
      <c r="AA1009" s="99" t="s">
        <v>2835</v>
      </c>
    </row>
    <row r="1010" spans="1:27" ht="17.25" customHeight="1">
      <c r="A1010" s="65" t="str">
        <f>IF(priority(Main[[#This Row],[Comments]])&lt;&gt;0, priority(Main[[#This Row],[Comments]]),"")</f>
        <v/>
      </c>
      <c r="B1010" s="60" t="s">
        <v>2507</v>
      </c>
      <c r="C1010" s="105" t="s">
        <v>47</v>
      </c>
      <c r="D1010" s="74" t="s">
        <v>3491</v>
      </c>
      <c r="E1010" s="89">
        <v>40857.653622685182</v>
      </c>
      <c r="F1010" s="89"/>
      <c r="G1010" s="65" t="str">
        <f>IF(stdProdLT(Main[[#This Row],[Comments]])=0.1,"N/A",IF(stdProdLT(Main[[#This Row],[Comments]])=0,"",TRIM(stdProdLT(Main[[#This Row],[Comments]]))))</f>
        <v/>
      </c>
      <c r="H1010" s="98" t="str">
        <f>IF(Main[[#This Row],[Std. Prod. Lead Time]]="N/A", "",IF(AND(Main[[#This Row],[In Stock Date]]&lt;&gt;"",Main[[#This Row],[Revised Due Date]]&lt;&gt;"",Main[[#This Row],[In Stock Date]]&lt;&gt;""),Main[[#This Row],[In Stock Date]]-Main[[#This Row],[Revised Due Date]],""))</f>
        <v/>
      </c>
      <c r="I1010" s="110" t="s">
        <v>4</v>
      </c>
      <c r="J1010" s="99" t="s">
        <v>4</v>
      </c>
      <c r="K1010" s="99" t="s">
        <v>4</v>
      </c>
      <c r="L1010" s="89"/>
      <c r="M1010" s="75" t="str">
        <f>IF(Main[[#This Row],[Tech Start Date]]&lt;1/1/1990,"",IF(Main[[#This Row],[Class]]="C",WORKDAY(Main[[#This Row],[Tech Start Date]],9),IF(Main[[#This Row],[Class]]="B", WORKDAY(Main[[#This Row],[Tech Start Date]],6),IF(Main[[#This Row],[Class]]="A",WORKDAY(Main[[#This Row],[Tech Start Date]],2),""))))</f>
        <v/>
      </c>
      <c r="N1010" s="75" t="str">
        <f>IF(Main[[#This Row],[Tech Start Date]]&lt;1/1/1990,"",IF(Main[[#This Row],[Class]]="C",WORKDAY(Main[[#This Row],[Tech Start Date]],19),IF(Main[[#This Row],[Class]]="B", WORKDAY(Main[[#This Row],[Tech Start Date]],12),IF(Main[[#This Row],[Class]]="A",WORKDAY(Main[[#This Row],[Tech Start Date]],4),""))))</f>
        <v/>
      </c>
      <c r="O1010" s="75" t="str">
        <f>IF(Main[[#This Row],[Tech Start Date]]&lt;1/1/1990,"",IF(Main[[#This Row],[Class]]="C",WORKDAY(Main[[#This Row],[Tech Start Date]],23),IF(Main[[#This Row],[Class]]="B", WORKDAY(Main[[#This Row],[Tech Start Date]],15),IF(Main[[#This Row],[Class]]="A",WORKDAY(Main[[#This Row],[Tech Start Date]],5),""))))</f>
        <v/>
      </c>
      <c r="P1010" s="75" t="str">
        <f>IF(Main[[#This Row],[Tech Start Date]]&lt;1/1/1990,"",IF(Main[[#This Row],[Class]]="C",WORKDAY(Main[[#This Row],[Tech Start Date]],28),IF(Main[[#This Row],[Class]]="B", WORKDAY(Main[[#This Row],[Tech Start Date]],19),IF(Main[[#This Row],[Class]]="A",WORKDAY(Main[[#This Row],[Tech Start Date]],9),""))))</f>
        <v/>
      </c>
      <c r="Q1010" s="89">
        <v>40892</v>
      </c>
      <c r="R1010" s="121"/>
      <c r="S1010" s="99" t="s">
        <v>6</v>
      </c>
      <c r="T1010" s="76" t="s">
        <v>4</v>
      </c>
      <c r="U1010" s="99" t="s">
        <v>29</v>
      </c>
      <c r="V1010" s="99" t="s">
        <v>2279</v>
      </c>
      <c r="W1010" s="99" t="s">
        <v>4</v>
      </c>
      <c r="X1010" s="99" t="s">
        <v>2859</v>
      </c>
      <c r="Y1010" s="73" t="s">
        <v>3004</v>
      </c>
      <c r="Z1010" s="73" t="s">
        <v>4</v>
      </c>
      <c r="AA1010" s="99" t="s">
        <v>2859</v>
      </c>
    </row>
    <row r="1011" spans="1:27" ht="17.25" customHeight="1">
      <c r="A1011" s="65" t="str">
        <f>IF(priority(Main[[#This Row],[Comments]])&lt;&gt;0, priority(Main[[#This Row],[Comments]]),"")</f>
        <v/>
      </c>
      <c r="B1011" s="60" t="s">
        <v>2111</v>
      </c>
      <c r="C1011" s="105" t="s">
        <v>4</v>
      </c>
      <c r="D1011" s="74" t="s">
        <v>2112</v>
      </c>
      <c r="E1011" s="89"/>
      <c r="F1011" s="89"/>
      <c r="G1011" s="65" t="str">
        <f>IF(stdProdLT(Main[[#This Row],[Comments]])=0.1,"N/A",IF(stdProdLT(Main[[#This Row],[Comments]])=0,"",TRIM(stdProdLT(Main[[#This Row],[Comments]]))))</f>
        <v/>
      </c>
      <c r="H1011" s="98" t="str">
        <f>IF(Main[[#This Row],[Std. Prod. Lead Time]]="N/A", "",IF(AND(Main[[#This Row],[In Stock Date]]&lt;&gt;"",Main[[#This Row],[Revised Due Date]]&lt;&gt;"",Main[[#This Row],[In Stock Date]]&lt;&gt;""),Main[[#This Row],[In Stock Date]]-Main[[#This Row],[Revised Due Date]],""))</f>
        <v/>
      </c>
      <c r="I1011" s="110" t="s">
        <v>69</v>
      </c>
      <c r="J1011" s="99" t="s">
        <v>70</v>
      </c>
      <c r="K1011" s="100" t="s">
        <v>1922</v>
      </c>
      <c r="L1011" s="89"/>
      <c r="M1011" s="75" t="str">
        <f>IF(Main[[#This Row],[Tech Start Date]]&lt;1/1/1990,"",IF(Main[[#This Row],[Class]]="C",WORKDAY(Main[[#This Row],[Tech Start Date]],9),IF(Main[[#This Row],[Class]]="B", WORKDAY(Main[[#This Row],[Tech Start Date]],6),IF(Main[[#This Row],[Class]]="A",WORKDAY(Main[[#This Row],[Tech Start Date]],2),""))))</f>
        <v/>
      </c>
      <c r="N1011" s="75" t="str">
        <f>IF(Main[[#This Row],[Tech Start Date]]&lt;1/1/1990,"",IF(Main[[#This Row],[Class]]="C",WORKDAY(Main[[#This Row],[Tech Start Date]],19),IF(Main[[#This Row],[Class]]="B", WORKDAY(Main[[#This Row],[Tech Start Date]],12),IF(Main[[#This Row],[Class]]="A",WORKDAY(Main[[#This Row],[Tech Start Date]],4),""))))</f>
        <v/>
      </c>
      <c r="O1011" s="75" t="str">
        <f>IF(Main[[#This Row],[Tech Start Date]]&lt;1/1/1990,"",IF(Main[[#This Row],[Class]]="C",WORKDAY(Main[[#This Row],[Tech Start Date]],23),IF(Main[[#This Row],[Class]]="B", WORKDAY(Main[[#This Row],[Tech Start Date]],15),IF(Main[[#This Row],[Class]]="A",WORKDAY(Main[[#This Row],[Tech Start Date]],5),""))))</f>
        <v/>
      </c>
      <c r="P1011" s="75" t="str">
        <f>IF(Main[[#This Row],[Tech Start Date]]&lt;1/1/1990,"",IF(Main[[#This Row],[Class]]="C",WORKDAY(Main[[#This Row],[Tech Start Date]],28),IF(Main[[#This Row],[Class]]="B", WORKDAY(Main[[#This Row],[Tech Start Date]],19),IF(Main[[#This Row],[Class]]="A",WORKDAY(Main[[#This Row],[Tech Start Date]],9),""))))</f>
        <v/>
      </c>
      <c r="Q1011" s="89">
        <v>40816</v>
      </c>
      <c r="R1011" s="121"/>
      <c r="S1011" s="99" t="s">
        <v>6</v>
      </c>
      <c r="T1011" s="76" t="s">
        <v>4</v>
      </c>
      <c r="U1011" s="99" t="s">
        <v>14</v>
      </c>
      <c r="V1011" s="99" t="s">
        <v>1916</v>
      </c>
      <c r="W1011" s="99" t="s">
        <v>1917</v>
      </c>
      <c r="X1011" s="99" t="s">
        <v>306</v>
      </c>
      <c r="Y1011" s="73" t="s">
        <v>3105</v>
      </c>
      <c r="Z1011" s="73" t="s">
        <v>30</v>
      </c>
      <c r="AA1011" s="99" t="s">
        <v>3379</v>
      </c>
    </row>
    <row r="1012" spans="1:27" ht="17.25" customHeight="1">
      <c r="A1012" s="65" t="str">
        <f>IF(priority(Main[[#This Row],[Comments]])&lt;&gt;0, priority(Main[[#This Row],[Comments]]),"")</f>
        <v/>
      </c>
      <c r="B1012" s="60" t="s">
        <v>2178</v>
      </c>
      <c r="C1012" s="105" t="s">
        <v>4</v>
      </c>
      <c r="D1012" s="74" t="s">
        <v>2179</v>
      </c>
      <c r="E1012" s="89">
        <v>40784.630833333336</v>
      </c>
      <c r="F1012" s="89">
        <v>41153</v>
      </c>
      <c r="G1012" s="65" t="str">
        <f>IF(stdProdLT(Main[[#This Row],[Comments]])=0.1,"N/A",IF(stdProdLT(Main[[#This Row],[Comments]])=0,"",TRIM(stdProdLT(Main[[#This Row],[Comments]]))))</f>
        <v/>
      </c>
      <c r="H1012" s="98" t="str">
        <f>IF(Main[[#This Row],[Std. Prod. Lead Time]]="N/A", "",IF(AND(Main[[#This Row],[In Stock Date]]&lt;&gt;"",Main[[#This Row],[Revised Due Date]]&lt;&gt;"",Main[[#This Row],[In Stock Date]]&lt;&gt;""),Main[[#This Row],[In Stock Date]]-Main[[#This Row],[Revised Due Date]],""))</f>
        <v/>
      </c>
      <c r="I1012" s="110" t="s">
        <v>4</v>
      </c>
      <c r="J1012" s="99" t="s">
        <v>4</v>
      </c>
      <c r="K1012" s="99" t="s">
        <v>4</v>
      </c>
      <c r="L1012" s="89"/>
      <c r="M1012" s="75" t="str">
        <f>IF(Main[[#This Row],[Tech Start Date]]&lt;1/1/1990,"",IF(Main[[#This Row],[Class]]="C",WORKDAY(Main[[#This Row],[Tech Start Date]],9),IF(Main[[#This Row],[Class]]="B", WORKDAY(Main[[#This Row],[Tech Start Date]],6),IF(Main[[#This Row],[Class]]="A",WORKDAY(Main[[#This Row],[Tech Start Date]],2),""))))</f>
        <v/>
      </c>
      <c r="N1012" s="75" t="str">
        <f>IF(Main[[#This Row],[Tech Start Date]]&lt;1/1/1990,"",IF(Main[[#This Row],[Class]]="C",WORKDAY(Main[[#This Row],[Tech Start Date]],19),IF(Main[[#This Row],[Class]]="B", WORKDAY(Main[[#This Row],[Tech Start Date]],12),IF(Main[[#This Row],[Class]]="A",WORKDAY(Main[[#This Row],[Tech Start Date]],4),""))))</f>
        <v/>
      </c>
      <c r="O1012" s="75" t="str">
        <f>IF(Main[[#This Row],[Tech Start Date]]&lt;1/1/1990,"",IF(Main[[#This Row],[Class]]="C",WORKDAY(Main[[#This Row],[Tech Start Date]],23),IF(Main[[#This Row],[Class]]="B", WORKDAY(Main[[#This Row],[Tech Start Date]],15),IF(Main[[#This Row],[Class]]="A",WORKDAY(Main[[#This Row],[Tech Start Date]],5),""))))</f>
        <v/>
      </c>
      <c r="P1012" s="75" t="str">
        <f>IF(Main[[#This Row],[Tech Start Date]]&lt;1/1/1990,"",IF(Main[[#This Row],[Class]]="C",WORKDAY(Main[[#This Row],[Tech Start Date]],28),IF(Main[[#This Row],[Class]]="B", WORKDAY(Main[[#This Row],[Tech Start Date]],19),IF(Main[[#This Row],[Class]]="A",WORKDAY(Main[[#This Row],[Tech Start Date]],9),""))))</f>
        <v/>
      </c>
      <c r="Q1012" s="89"/>
      <c r="R1012" s="121"/>
      <c r="S1012" s="99" t="s">
        <v>17</v>
      </c>
      <c r="T1012" s="76" t="s">
        <v>4</v>
      </c>
      <c r="U1012" s="99" t="s">
        <v>7</v>
      </c>
      <c r="V1012" s="99" t="s">
        <v>1916</v>
      </c>
      <c r="W1012" s="99" t="s">
        <v>1918</v>
      </c>
      <c r="X1012" s="99" t="s">
        <v>2879</v>
      </c>
      <c r="Y1012" s="73" t="s">
        <v>3035</v>
      </c>
      <c r="Z1012" s="73" t="s">
        <v>4</v>
      </c>
      <c r="AA1012" s="99" t="s">
        <v>2879</v>
      </c>
    </row>
    <row r="1013" spans="1:27" ht="17.25" customHeight="1">
      <c r="A1013" s="65" t="str">
        <f>IF(priority(Main[[#This Row],[Comments]])&lt;&gt;0, priority(Main[[#This Row],[Comments]]),"")</f>
        <v/>
      </c>
      <c r="B1013" s="60" t="s">
        <v>2055</v>
      </c>
      <c r="C1013" s="105" t="s">
        <v>4</v>
      </c>
      <c r="D1013" s="74" t="s">
        <v>2056</v>
      </c>
      <c r="E1013" s="89">
        <v>40758.348310185182</v>
      </c>
      <c r="F1013" s="89"/>
      <c r="G1013" s="65" t="str">
        <f>IF(stdProdLT(Main[[#This Row],[Comments]])=0.1,"N/A",IF(stdProdLT(Main[[#This Row],[Comments]])=0,"",TRIM(stdProdLT(Main[[#This Row],[Comments]]))))</f>
        <v/>
      </c>
      <c r="H1013" s="98" t="str">
        <f>IF(Main[[#This Row],[Std. Prod. Lead Time]]="N/A", "",IF(AND(Main[[#This Row],[In Stock Date]]&lt;&gt;"",Main[[#This Row],[Revised Due Date]]&lt;&gt;"",Main[[#This Row],[In Stock Date]]&lt;&gt;""),Main[[#This Row],[In Stock Date]]-Main[[#This Row],[Revised Due Date]],""))</f>
        <v/>
      </c>
      <c r="I1013" s="110" t="s">
        <v>415</v>
      </c>
      <c r="J1013" s="99" t="s">
        <v>28</v>
      </c>
      <c r="K1013" s="99" t="s">
        <v>1920</v>
      </c>
      <c r="L1013" s="89"/>
      <c r="M1013" s="75" t="str">
        <f>IF(Main[[#This Row],[Tech Start Date]]&lt;1/1/1990,"",IF(Main[[#This Row],[Class]]="C",WORKDAY(Main[[#This Row],[Tech Start Date]],9),IF(Main[[#This Row],[Class]]="B", WORKDAY(Main[[#This Row],[Tech Start Date]],6),IF(Main[[#This Row],[Class]]="A",WORKDAY(Main[[#This Row],[Tech Start Date]],2),""))))</f>
        <v/>
      </c>
      <c r="N1013" s="75" t="str">
        <f>IF(Main[[#This Row],[Tech Start Date]]&lt;1/1/1990,"",IF(Main[[#This Row],[Class]]="C",WORKDAY(Main[[#This Row],[Tech Start Date]],19),IF(Main[[#This Row],[Class]]="B", WORKDAY(Main[[#This Row],[Tech Start Date]],12),IF(Main[[#This Row],[Class]]="A",WORKDAY(Main[[#This Row],[Tech Start Date]],4),""))))</f>
        <v/>
      </c>
      <c r="O1013" s="75" t="str">
        <f>IF(Main[[#This Row],[Tech Start Date]]&lt;1/1/1990,"",IF(Main[[#This Row],[Class]]="C",WORKDAY(Main[[#This Row],[Tech Start Date]],23),IF(Main[[#This Row],[Class]]="B", WORKDAY(Main[[#This Row],[Tech Start Date]],15),IF(Main[[#This Row],[Class]]="A",WORKDAY(Main[[#This Row],[Tech Start Date]],5),""))))</f>
        <v/>
      </c>
      <c r="P1013" s="75" t="str">
        <f>IF(Main[[#This Row],[Tech Start Date]]&lt;1/1/1990,"",IF(Main[[#This Row],[Class]]="C",WORKDAY(Main[[#This Row],[Tech Start Date]],28),IF(Main[[#This Row],[Class]]="B", WORKDAY(Main[[#This Row],[Tech Start Date]],19),IF(Main[[#This Row],[Class]]="A",WORKDAY(Main[[#This Row],[Tech Start Date]],9),""))))</f>
        <v/>
      </c>
      <c r="Q1013" s="89"/>
      <c r="R1013" s="121"/>
      <c r="S1013" s="99" t="s">
        <v>6</v>
      </c>
      <c r="T1013" s="76" t="s">
        <v>4</v>
      </c>
      <c r="U1013" s="99" t="s">
        <v>29</v>
      </c>
      <c r="V1013" s="99" t="s">
        <v>1916</v>
      </c>
      <c r="W1013" s="99" t="s">
        <v>1915</v>
      </c>
      <c r="X1013" s="99" t="s">
        <v>2860</v>
      </c>
      <c r="Y1013" s="73" t="s">
        <v>2994</v>
      </c>
      <c r="Z1013" s="73" t="s">
        <v>415</v>
      </c>
      <c r="AA1013" s="99" t="s">
        <v>2860</v>
      </c>
    </row>
    <row r="1014" spans="1:27" ht="17.25" customHeight="1">
      <c r="A1014" s="65" t="str">
        <f>IF(priority(Main[[#This Row],[Comments]])&lt;&gt;0, priority(Main[[#This Row],[Comments]]),"")</f>
        <v/>
      </c>
      <c r="B1014" s="60" t="s">
        <v>2195</v>
      </c>
      <c r="C1014" s="105" t="s">
        <v>4</v>
      </c>
      <c r="D1014" s="74" t="s">
        <v>2196</v>
      </c>
      <c r="E1014" s="89">
        <v>40784.953148148146</v>
      </c>
      <c r="F1014" s="89"/>
      <c r="G1014" s="65" t="str">
        <f>IF(stdProdLT(Main[[#This Row],[Comments]])=0.1,"N/A",IF(stdProdLT(Main[[#This Row],[Comments]])=0,"",TRIM(stdProdLT(Main[[#This Row],[Comments]]))))</f>
        <v/>
      </c>
      <c r="H1014" s="98" t="str">
        <f>IF(Main[[#This Row],[Std. Prod. Lead Time]]="N/A", "",IF(AND(Main[[#This Row],[In Stock Date]]&lt;&gt;"",Main[[#This Row],[Revised Due Date]]&lt;&gt;"",Main[[#This Row],[In Stock Date]]&lt;&gt;""),Main[[#This Row],[In Stock Date]]-Main[[#This Row],[Revised Due Date]],""))</f>
        <v/>
      </c>
      <c r="I1014" s="110" t="s">
        <v>489</v>
      </c>
      <c r="J1014" s="99" t="s">
        <v>70</v>
      </c>
      <c r="K1014" s="100" t="s">
        <v>1922</v>
      </c>
      <c r="L1014" s="89"/>
      <c r="M1014" s="75" t="str">
        <f>IF(Main[[#This Row],[Tech Start Date]]&lt;1/1/1990,"",IF(Main[[#This Row],[Class]]="C",WORKDAY(Main[[#This Row],[Tech Start Date]],9),IF(Main[[#This Row],[Class]]="B", WORKDAY(Main[[#This Row],[Tech Start Date]],6),IF(Main[[#This Row],[Class]]="A",WORKDAY(Main[[#This Row],[Tech Start Date]],2),""))))</f>
        <v/>
      </c>
      <c r="N1014" s="75" t="str">
        <f>IF(Main[[#This Row],[Tech Start Date]]&lt;1/1/1990,"",IF(Main[[#This Row],[Class]]="C",WORKDAY(Main[[#This Row],[Tech Start Date]],19),IF(Main[[#This Row],[Class]]="B", WORKDAY(Main[[#This Row],[Tech Start Date]],12),IF(Main[[#This Row],[Class]]="A",WORKDAY(Main[[#This Row],[Tech Start Date]],4),""))))</f>
        <v/>
      </c>
      <c r="O1014" s="75" t="str">
        <f>IF(Main[[#This Row],[Tech Start Date]]&lt;1/1/1990,"",IF(Main[[#This Row],[Class]]="C",WORKDAY(Main[[#This Row],[Tech Start Date]],23),IF(Main[[#This Row],[Class]]="B", WORKDAY(Main[[#This Row],[Tech Start Date]],15),IF(Main[[#This Row],[Class]]="A",WORKDAY(Main[[#This Row],[Tech Start Date]],5),""))))</f>
        <v/>
      </c>
      <c r="P1014" s="75" t="str">
        <f>IF(Main[[#This Row],[Tech Start Date]]&lt;1/1/1990,"",IF(Main[[#This Row],[Class]]="C",WORKDAY(Main[[#This Row],[Tech Start Date]],28),IF(Main[[#This Row],[Class]]="B", WORKDAY(Main[[#This Row],[Tech Start Date]],19),IF(Main[[#This Row],[Class]]="A",WORKDAY(Main[[#This Row],[Tech Start Date]],9),""))))</f>
        <v/>
      </c>
      <c r="Q1014" s="89">
        <v>40847</v>
      </c>
      <c r="R1014" s="121"/>
      <c r="S1014" s="99" t="s">
        <v>6</v>
      </c>
      <c r="T1014" s="76" t="s">
        <v>4</v>
      </c>
      <c r="U1014" s="99" t="s">
        <v>29</v>
      </c>
      <c r="V1014" s="99" t="s">
        <v>1916</v>
      </c>
      <c r="W1014" s="99" t="s">
        <v>1917</v>
      </c>
      <c r="X1014" s="99" t="s">
        <v>30</v>
      </c>
      <c r="Y1014" s="73" t="s">
        <v>3106</v>
      </c>
      <c r="Z1014" s="73" t="s">
        <v>30</v>
      </c>
      <c r="AA1014" s="99" t="s">
        <v>3436</v>
      </c>
    </row>
    <row r="1015" spans="1:27" ht="17.25" customHeight="1">
      <c r="A1015" s="65" t="str">
        <f>IF(priority(Main[[#This Row],[Comments]])&lt;&gt;0, priority(Main[[#This Row],[Comments]]),"")</f>
        <v/>
      </c>
      <c r="B1015" s="60" t="s">
        <v>1978</v>
      </c>
      <c r="C1015" s="105" t="s">
        <v>4</v>
      </c>
      <c r="D1015" s="74" t="s">
        <v>2012</v>
      </c>
      <c r="E1015" s="89">
        <v>40737.35056712963</v>
      </c>
      <c r="F1015" s="89"/>
      <c r="G1015" s="65" t="str">
        <f>IF(stdProdLT(Main[[#This Row],[Comments]])=0.1,"N/A",IF(stdProdLT(Main[[#This Row],[Comments]])=0,"",TRIM(stdProdLT(Main[[#This Row],[Comments]]))))</f>
        <v/>
      </c>
      <c r="H1015" s="98" t="str">
        <f>IF(Main[[#This Row],[Std. Prod. Lead Time]]="N/A", "",IF(AND(Main[[#This Row],[In Stock Date]]&lt;&gt;"",Main[[#This Row],[Revised Due Date]]&lt;&gt;"",Main[[#This Row],[In Stock Date]]&lt;&gt;""),Main[[#This Row],[In Stock Date]]-Main[[#This Row],[Revised Due Date]],""))</f>
        <v/>
      </c>
      <c r="I1015" s="110" t="s">
        <v>2010</v>
      </c>
      <c r="J1015" s="99" t="s">
        <v>28</v>
      </c>
      <c r="K1015" s="99" t="s">
        <v>4</v>
      </c>
      <c r="L1015" s="89"/>
      <c r="M1015" s="75" t="str">
        <f>IF(Main[[#This Row],[Tech Start Date]]&lt;1/1/1990,"",IF(Main[[#This Row],[Class]]="C",WORKDAY(Main[[#This Row],[Tech Start Date]],9),IF(Main[[#This Row],[Class]]="B", WORKDAY(Main[[#This Row],[Tech Start Date]],6),IF(Main[[#This Row],[Class]]="A",WORKDAY(Main[[#This Row],[Tech Start Date]],2),""))))</f>
        <v/>
      </c>
      <c r="N1015" s="75" t="str">
        <f>IF(Main[[#This Row],[Tech Start Date]]&lt;1/1/1990,"",IF(Main[[#This Row],[Class]]="C",WORKDAY(Main[[#This Row],[Tech Start Date]],19),IF(Main[[#This Row],[Class]]="B", WORKDAY(Main[[#This Row],[Tech Start Date]],12),IF(Main[[#This Row],[Class]]="A",WORKDAY(Main[[#This Row],[Tech Start Date]],4),""))))</f>
        <v/>
      </c>
      <c r="O1015" s="75" t="str">
        <f>IF(Main[[#This Row],[Tech Start Date]]&lt;1/1/1990,"",IF(Main[[#This Row],[Class]]="C",WORKDAY(Main[[#This Row],[Tech Start Date]],23),IF(Main[[#This Row],[Class]]="B", WORKDAY(Main[[#This Row],[Tech Start Date]],15),IF(Main[[#This Row],[Class]]="A",WORKDAY(Main[[#This Row],[Tech Start Date]],5),""))))</f>
        <v/>
      </c>
      <c r="P1015" s="75" t="str">
        <f>IF(Main[[#This Row],[Tech Start Date]]&lt;1/1/1990,"",IF(Main[[#This Row],[Class]]="C",WORKDAY(Main[[#This Row],[Tech Start Date]],28),IF(Main[[#This Row],[Class]]="B", WORKDAY(Main[[#This Row],[Tech Start Date]],19),IF(Main[[#This Row],[Class]]="A",WORKDAY(Main[[#This Row],[Tech Start Date]],9),""))))</f>
        <v/>
      </c>
      <c r="Q1015" s="89"/>
      <c r="R1015" s="121"/>
      <c r="S1015" s="99" t="s">
        <v>17</v>
      </c>
      <c r="T1015" s="76" t="s">
        <v>4</v>
      </c>
      <c r="U1015" s="99" t="s">
        <v>7</v>
      </c>
      <c r="V1015" s="99" t="s">
        <v>1928</v>
      </c>
      <c r="W1015" s="99" t="s">
        <v>1917</v>
      </c>
      <c r="X1015" s="99" t="s">
        <v>922</v>
      </c>
      <c r="Y1015" s="73" t="s">
        <v>3107</v>
      </c>
      <c r="Z1015" s="73" t="s">
        <v>2207</v>
      </c>
      <c r="AA1015" s="99" t="s">
        <v>3437</v>
      </c>
    </row>
    <row r="1016" spans="1:27" ht="17.25" customHeight="1">
      <c r="A1016" s="65" t="str">
        <f>IF(priority(Main[[#This Row],[Comments]])&lt;&gt;0, priority(Main[[#This Row],[Comments]]),"")</f>
        <v/>
      </c>
      <c r="B1016" s="60" t="s">
        <v>1078</v>
      </c>
      <c r="C1016" s="105" t="s">
        <v>4</v>
      </c>
      <c r="D1016" s="74" t="s">
        <v>2158</v>
      </c>
      <c r="E1016" s="89">
        <v>40696.780057870368</v>
      </c>
      <c r="F1016" s="89"/>
      <c r="G1016" s="65" t="str">
        <f>IF(stdProdLT(Main[[#This Row],[Comments]])=0.1,"N/A",IF(stdProdLT(Main[[#This Row],[Comments]])=0,"",TRIM(stdProdLT(Main[[#This Row],[Comments]]))))</f>
        <v/>
      </c>
      <c r="H1016" s="98" t="str">
        <f>IF(Main[[#This Row],[Std. Prod. Lead Time]]="N/A", "",IF(AND(Main[[#This Row],[In Stock Date]]&lt;&gt;"",Main[[#This Row],[Revised Due Date]]&lt;&gt;"",Main[[#This Row],[In Stock Date]]&lt;&gt;""),Main[[#This Row],[In Stock Date]]-Main[[#This Row],[Revised Due Date]],""))</f>
        <v/>
      </c>
      <c r="I1016" s="110" t="s">
        <v>489</v>
      </c>
      <c r="J1016" s="99" t="s">
        <v>52</v>
      </c>
      <c r="K1016" s="99" t="s">
        <v>1922</v>
      </c>
      <c r="L1016" s="89"/>
      <c r="M1016" s="75" t="str">
        <f>IF(Main[[#This Row],[Tech Start Date]]&lt;1/1/1990,"",IF(Main[[#This Row],[Class]]="C",WORKDAY(Main[[#This Row],[Tech Start Date]],9),IF(Main[[#This Row],[Class]]="B", WORKDAY(Main[[#This Row],[Tech Start Date]],6),IF(Main[[#This Row],[Class]]="A",WORKDAY(Main[[#This Row],[Tech Start Date]],2),""))))</f>
        <v/>
      </c>
      <c r="N1016" s="75" t="str">
        <f>IF(Main[[#This Row],[Tech Start Date]]&lt;1/1/1990,"",IF(Main[[#This Row],[Class]]="C",WORKDAY(Main[[#This Row],[Tech Start Date]],19),IF(Main[[#This Row],[Class]]="B", WORKDAY(Main[[#This Row],[Tech Start Date]],12),IF(Main[[#This Row],[Class]]="A",WORKDAY(Main[[#This Row],[Tech Start Date]],4),""))))</f>
        <v/>
      </c>
      <c r="O1016" s="75" t="str">
        <f>IF(Main[[#This Row],[Tech Start Date]]&lt;1/1/1990,"",IF(Main[[#This Row],[Class]]="C",WORKDAY(Main[[#This Row],[Tech Start Date]],23),IF(Main[[#This Row],[Class]]="B", WORKDAY(Main[[#This Row],[Tech Start Date]],15),IF(Main[[#This Row],[Class]]="A",WORKDAY(Main[[#This Row],[Tech Start Date]],5),""))))</f>
        <v/>
      </c>
      <c r="P1016" s="75" t="str">
        <f>IF(Main[[#This Row],[Tech Start Date]]&lt;1/1/1990,"",IF(Main[[#This Row],[Class]]="C",WORKDAY(Main[[#This Row],[Tech Start Date]],28),IF(Main[[#This Row],[Class]]="B", WORKDAY(Main[[#This Row],[Tech Start Date]],19),IF(Main[[#This Row],[Class]]="A",WORKDAY(Main[[#This Row],[Tech Start Date]],9),""))))</f>
        <v/>
      </c>
      <c r="Q1016" s="89">
        <v>40753</v>
      </c>
      <c r="R1016" s="121"/>
      <c r="S1016" s="99" t="s">
        <v>6</v>
      </c>
      <c r="T1016" s="76" t="s">
        <v>4</v>
      </c>
      <c r="U1016" s="99" t="s">
        <v>29</v>
      </c>
      <c r="V1016" s="99" t="s">
        <v>1923</v>
      </c>
      <c r="W1016" s="99" t="s">
        <v>1917</v>
      </c>
      <c r="X1016" s="99" t="s">
        <v>30</v>
      </c>
      <c r="Y1016" s="73" t="s">
        <v>2951</v>
      </c>
      <c r="Z1016" s="73" t="s">
        <v>44</v>
      </c>
      <c r="AA1016" s="99" t="s">
        <v>30</v>
      </c>
    </row>
    <row r="1017" spans="1:27" ht="17.25" customHeight="1">
      <c r="A1017" s="65" t="str">
        <f>IF(priority(Main[[#This Row],[Comments]])&lt;&gt;0, priority(Main[[#This Row],[Comments]]),"")</f>
        <v/>
      </c>
      <c r="B1017" s="60" t="s">
        <v>1811</v>
      </c>
      <c r="C1017" s="105" t="s">
        <v>67</v>
      </c>
      <c r="D1017" s="74" t="s">
        <v>861</v>
      </c>
      <c r="E1017" s="89">
        <v>39981.506990740738</v>
      </c>
      <c r="F1017" s="89"/>
      <c r="G1017" s="65" t="str">
        <f>IF(stdProdLT(Main[[#This Row],[Comments]])=0.1,"N/A",IF(stdProdLT(Main[[#This Row],[Comments]])=0,"",TRIM(stdProdLT(Main[[#This Row],[Comments]]))))</f>
        <v/>
      </c>
      <c r="H1017" s="98" t="str">
        <f>IF(Main[[#This Row],[Std. Prod. Lead Time]]="N/A", "",IF(AND(Main[[#This Row],[In Stock Date]]&lt;&gt;"",Main[[#This Row],[Revised Due Date]]&lt;&gt;"",Main[[#This Row],[In Stock Date]]&lt;&gt;""),Main[[#This Row],[In Stock Date]]-Main[[#This Row],[Revised Due Date]],""))</f>
        <v/>
      </c>
      <c r="I1017" s="110" t="s">
        <v>852</v>
      </c>
      <c r="J1017" s="99" t="s">
        <v>4</v>
      </c>
      <c r="K1017" s="99" t="s">
        <v>1926</v>
      </c>
      <c r="L1017" s="89"/>
      <c r="M1017" s="75" t="str">
        <f>IF(Main[[#This Row],[Tech Start Date]]&lt;1/1/1990,"",IF(Main[[#This Row],[Class]]="C",WORKDAY(Main[[#This Row],[Tech Start Date]],9),IF(Main[[#This Row],[Class]]="B", WORKDAY(Main[[#This Row],[Tech Start Date]],6),IF(Main[[#This Row],[Class]]="A",WORKDAY(Main[[#This Row],[Tech Start Date]],2),""))))</f>
        <v/>
      </c>
      <c r="N1017" s="75" t="str">
        <f>IF(Main[[#This Row],[Tech Start Date]]&lt;1/1/1990,"",IF(Main[[#This Row],[Class]]="C",WORKDAY(Main[[#This Row],[Tech Start Date]],19),IF(Main[[#This Row],[Class]]="B", WORKDAY(Main[[#This Row],[Tech Start Date]],12),IF(Main[[#This Row],[Class]]="A",WORKDAY(Main[[#This Row],[Tech Start Date]],4),""))))</f>
        <v/>
      </c>
      <c r="O1017" s="75" t="str">
        <f>IF(Main[[#This Row],[Tech Start Date]]&lt;1/1/1990,"",IF(Main[[#This Row],[Class]]="C",WORKDAY(Main[[#This Row],[Tech Start Date]],23),IF(Main[[#This Row],[Class]]="B", WORKDAY(Main[[#This Row],[Tech Start Date]],15),IF(Main[[#This Row],[Class]]="A",WORKDAY(Main[[#This Row],[Tech Start Date]],5),""))))</f>
        <v/>
      </c>
      <c r="P1017" s="75" t="str">
        <f>IF(Main[[#This Row],[Tech Start Date]]&lt;1/1/1990,"",IF(Main[[#This Row],[Class]]="C",WORKDAY(Main[[#This Row],[Tech Start Date]],28),IF(Main[[#This Row],[Class]]="B", WORKDAY(Main[[#This Row],[Tech Start Date]],19),IF(Main[[#This Row],[Class]]="A",WORKDAY(Main[[#This Row],[Tech Start Date]],9),""))))</f>
        <v/>
      </c>
      <c r="Q1017" s="89">
        <v>40142</v>
      </c>
      <c r="R1017" s="121">
        <v>40259</v>
      </c>
      <c r="S1017" s="99" t="s">
        <v>17</v>
      </c>
      <c r="T1017" s="76" t="s">
        <v>4</v>
      </c>
      <c r="U1017" s="99" t="s">
        <v>29</v>
      </c>
      <c r="V1017" s="99" t="s">
        <v>1923</v>
      </c>
      <c r="W1017" s="99" t="s">
        <v>1918</v>
      </c>
      <c r="X1017" s="99" t="s">
        <v>2814</v>
      </c>
      <c r="Y1017" s="73" t="s">
        <v>3022</v>
      </c>
      <c r="Z1017" s="73" t="s">
        <v>81</v>
      </c>
      <c r="AA1017" s="99" t="s">
        <v>3402</v>
      </c>
    </row>
    <row r="1018" spans="1:27" ht="17.25" customHeight="1">
      <c r="A1018" s="65" t="str">
        <f>IF(priority(Main[[#This Row],[Comments]])&lt;&gt;0, priority(Main[[#This Row],[Comments]]),"")</f>
        <v/>
      </c>
      <c r="B1018" s="60" t="s">
        <v>2248</v>
      </c>
      <c r="C1018" s="105" t="s">
        <v>4</v>
      </c>
      <c r="D1018" s="74" t="s">
        <v>2249</v>
      </c>
      <c r="E1018" s="89">
        <v>40806.34847222222</v>
      </c>
      <c r="F1018" s="89"/>
      <c r="G1018" s="65" t="str">
        <f>IF(stdProdLT(Main[[#This Row],[Comments]])=0.1,"N/A",IF(stdProdLT(Main[[#This Row],[Comments]])=0,"",TRIM(stdProdLT(Main[[#This Row],[Comments]]))))</f>
        <v/>
      </c>
      <c r="H1018" s="98" t="str">
        <f>IF(Main[[#This Row],[Std. Prod. Lead Time]]="N/A", "",IF(AND(Main[[#This Row],[In Stock Date]]&lt;&gt;"",Main[[#This Row],[Revised Due Date]]&lt;&gt;"",Main[[#This Row],[In Stock Date]]&lt;&gt;""),Main[[#This Row],[In Stock Date]]-Main[[#This Row],[Revised Due Date]],""))</f>
        <v/>
      </c>
      <c r="I1018" s="110" t="s">
        <v>4</v>
      </c>
      <c r="J1018" s="99" t="s">
        <v>4</v>
      </c>
      <c r="K1018" s="99" t="s">
        <v>4</v>
      </c>
      <c r="L1018" s="89"/>
      <c r="M1018" s="75" t="str">
        <f>IF(Main[[#This Row],[Tech Start Date]]&lt;1/1/1990,"",IF(Main[[#This Row],[Class]]="C",WORKDAY(Main[[#This Row],[Tech Start Date]],9),IF(Main[[#This Row],[Class]]="B", WORKDAY(Main[[#This Row],[Tech Start Date]],6),IF(Main[[#This Row],[Class]]="A",WORKDAY(Main[[#This Row],[Tech Start Date]],2),""))))</f>
        <v/>
      </c>
      <c r="N1018" s="75" t="str">
        <f>IF(Main[[#This Row],[Tech Start Date]]&lt;1/1/1990,"",IF(Main[[#This Row],[Class]]="C",WORKDAY(Main[[#This Row],[Tech Start Date]],19),IF(Main[[#This Row],[Class]]="B", WORKDAY(Main[[#This Row],[Tech Start Date]],12),IF(Main[[#This Row],[Class]]="A",WORKDAY(Main[[#This Row],[Tech Start Date]],4),""))))</f>
        <v/>
      </c>
      <c r="O1018" s="75" t="str">
        <f>IF(Main[[#This Row],[Tech Start Date]]&lt;1/1/1990,"",IF(Main[[#This Row],[Class]]="C",WORKDAY(Main[[#This Row],[Tech Start Date]],23),IF(Main[[#This Row],[Class]]="B", WORKDAY(Main[[#This Row],[Tech Start Date]],15),IF(Main[[#This Row],[Class]]="A",WORKDAY(Main[[#This Row],[Tech Start Date]],5),""))))</f>
        <v/>
      </c>
      <c r="P1018" s="75" t="str">
        <f>IF(Main[[#This Row],[Tech Start Date]]&lt;1/1/1990,"",IF(Main[[#This Row],[Class]]="C",WORKDAY(Main[[#This Row],[Tech Start Date]],28),IF(Main[[#This Row],[Class]]="B", WORKDAY(Main[[#This Row],[Tech Start Date]],19),IF(Main[[#This Row],[Class]]="A",WORKDAY(Main[[#This Row],[Tech Start Date]],9),""))))</f>
        <v/>
      </c>
      <c r="Q1018" s="89">
        <v>40820</v>
      </c>
      <c r="R1018" s="121"/>
      <c r="S1018" s="99" t="s">
        <v>6</v>
      </c>
      <c r="T1018" s="76" t="s">
        <v>4</v>
      </c>
      <c r="U1018" s="99" t="s">
        <v>7</v>
      </c>
      <c r="V1018" s="99" t="s">
        <v>1913</v>
      </c>
      <c r="W1018" s="99" t="s">
        <v>4</v>
      </c>
      <c r="X1018" s="99" t="s">
        <v>2845</v>
      </c>
      <c r="Y1018" s="73" t="s">
        <v>2980</v>
      </c>
      <c r="Z1018" s="73" t="s">
        <v>4</v>
      </c>
      <c r="AA1018" s="99" t="s">
        <v>2845</v>
      </c>
    </row>
    <row r="1019" spans="1:27" ht="17.25" customHeight="1">
      <c r="A1019" s="65" t="str">
        <f>IF(priority(Main[[#This Row],[Comments]])&lt;&gt;0, priority(Main[[#This Row],[Comments]]),"")</f>
        <v/>
      </c>
      <c r="B1019" s="60" t="s">
        <v>2117</v>
      </c>
      <c r="C1019" s="105" t="s">
        <v>4</v>
      </c>
      <c r="D1019" s="74" t="s">
        <v>2118</v>
      </c>
      <c r="E1019" s="89">
        <v>40764.689583333333</v>
      </c>
      <c r="F1019" s="89"/>
      <c r="G1019" s="65" t="str">
        <f>IF(stdProdLT(Main[[#This Row],[Comments]])=0.1,"N/A",IF(stdProdLT(Main[[#This Row],[Comments]])=0,"",TRIM(stdProdLT(Main[[#This Row],[Comments]]))))</f>
        <v/>
      </c>
      <c r="H1019" s="98" t="str">
        <f>IF(Main[[#This Row],[Std. Prod. Lead Time]]="N/A", "",IF(AND(Main[[#This Row],[In Stock Date]]&lt;&gt;"",Main[[#This Row],[Revised Due Date]]&lt;&gt;"",Main[[#This Row],[In Stock Date]]&lt;&gt;""),Main[[#This Row],[In Stock Date]]-Main[[#This Row],[Revised Due Date]],""))</f>
        <v/>
      </c>
      <c r="I1019" s="110" t="s">
        <v>877</v>
      </c>
      <c r="J1019" s="99" t="s">
        <v>4</v>
      </c>
      <c r="K1019" s="99" t="s">
        <v>4</v>
      </c>
      <c r="L1019" s="89"/>
      <c r="M1019" s="75" t="str">
        <f>IF(Main[[#This Row],[Tech Start Date]]&lt;1/1/1990,"",IF(Main[[#This Row],[Class]]="C",WORKDAY(Main[[#This Row],[Tech Start Date]],9),IF(Main[[#This Row],[Class]]="B", WORKDAY(Main[[#This Row],[Tech Start Date]],6),IF(Main[[#This Row],[Class]]="A",WORKDAY(Main[[#This Row],[Tech Start Date]],2),""))))</f>
        <v/>
      </c>
      <c r="N1019" s="75" t="str">
        <f>IF(Main[[#This Row],[Tech Start Date]]&lt;1/1/1990,"",IF(Main[[#This Row],[Class]]="C",WORKDAY(Main[[#This Row],[Tech Start Date]],19),IF(Main[[#This Row],[Class]]="B", WORKDAY(Main[[#This Row],[Tech Start Date]],12),IF(Main[[#This Row],[Class]]="A",WORKDAY(Main[[#This Row],[Tech Start Date]],4),""))))</f>
        <v/>
      </c>
      <c r="O1019" s="75" t="str">
        <f>IF(Main[[#This Row],[Tech Start Date]]&lt;1/1/1990,"",IF(Main[[#This Row],[Class]]="C",WORKDAY(Main[[#This Row],[Tech Start Date]],23),IF(Main[[#This Row],[Class]]="B", WORKDAY(Main[[#This Row],[Tech Start Date]],15),IF(Main[[#This Row],[Class]]="A",WORKDAY(Main[[#This Row],[Tech Start Date]],5),""))))</f>
        <v/>
      </c>
      <c r="P1019" s="75" t="str">
        <f>IF(Main[[#This Row],[Tech Start Date]]&lt;1/1/1990,"",IF(Main[[#This Row],[Class]]="C",WORKDAY(Main[[#This Row],[Tech Start Date]],28),IF(Main[[#This Row],[Class]]="B", WORKDAY(Main[[#This Row],[Tech Start Date]],19),IF(Main[[#This Row],[Class]]="A",WORKDAY(Main[[#This Row],[Tech Start Date]],9),""))))</f>
        <v/>
      </c>
      <c r="Q1019" s="89"/>
      <c r="R1019" s="121"/>
      <c r="S1019" s="99" t="s">
        <v>6</v>
      </c>
      <c r="T1019" s="76" t="s">
        <v>4</v>
      </c>
      <c r="U1019" s="99" t="s">
        <v>7</v>
      </c>
      <c r="V1019" s="99" t="s">
        <v>1913</v>
      </c>
      <c r="W1019" s="99" t="s">
        <v>1915</v>
      </c>
      <c r="X1019" s="99" t="s">
        <v>306</v>
      </c>
      <c r="Y1019" s="73" t="s">
        <v>4</v>
      </c>
      <c r="Z1019" s="73" t="s">
        <v>877</v>
      </c>
      <c r="AA1019" s="99" t="s">
        <v>4</v>
      </c>
    </row>
    <row r="1020" spans="1:27" ht="17.25" customHeight="1">
      <c r="A1020" s="65" t="str">
        <f>IF(priority(Main[[#This Row],[Comments]])&lt;&gt;0, priority(Main[[#This Row],[Comments]]),"")</f>
        <v/>
      </c>
      <c r="B1020" s="60" t="s">
        <v>1076</v>
      </c>
      <c r="C1020" s="105" t="s">
        <v>4</v>
      </c>
      <c r="D1020" s="74" t="s">
        <v>2229</v>
      </c>
      <c r="E1020" s="89">
        <v>40659.528229166666</v>
      </c>
      <c r="F1020" s="89"/>
      <c r="G1020" s="65" t="str">
        <f>IF(stdProdLT(Main[[#This Row],[Comments]])=0.1,"N/A",IF(stdProdLT(Main[[#This Row],[Comments]])=0,"",TRIM(stdProdLT(Main[[#This Row],[Comments]]))))</f>
        <v/>
      </c>
      <c r="H1020" s="98" t="str">
        <f>IF(Main[[#This Row],[Std. Prod. Lead Time]]="N/A", "",IF(AND(Main[[#This Row],[In Stock Date]]&lt;&gt;"",Main[[#This Row],[Revised Due Date]]&lt;&gt;"",Main[[#This Row],[In Stock Date]]&lt;&gt;""),Main[[#This Row],[In Stock Date]]-Main[[#This Row],[Revised Due Date]],""))</f>
        <v/>
      </c>
      <c r="I1020" s="110" t="s">
        <v>102</v>
      </c>
      <c r="J1020" s="99" t="s">
        <v>51</v>
      </c>
      <c r="K1020" s="99" t="s">
        <v>1922</v>
      </c>
      <c r="L1020" s="89"/>
      <c r="M1020" s="75" t="str">
        <f>IF(Main[[#This Row],[Tech Start Date]]&lt;1/1/1990,"",IF(Main[[#This Row],[Class]]="C",WORKDAY(Main[[#This Row],[Tech Start Date]],9),IF(Main[[#This Row],[Class]]="B", WORKDAY(Main[[#This Row],[Tech Start Date]],6),IF(Main[[#This Row],[Class]]="A",WORKDAY(Main[[#This Row],[Tech Start Date]],2),""))))</f>
        <v/>
      </c>
      <c r="N1020" s="75" t="str">
        <f>IF(Main[[#This Row],[Tech Start Date]]&lt;1/1/1990,"",IF(Main[[#This Row],[Class]]="C",WORKDAY(Main[[#This Row],[Tech Start Date]],19),IF(Main[[#This Row],[Class]]="B", WORKDAY(Main[[#This Row],[Tech Start Date]],12),IF(Main[[#This Row],[Class]]="A",WORKDAY(Main[[#This Row],[Tech Start Date]],4),""))))</f>
        <v/>
      </c>
      <c r="O1020" s="75" t="str">
        <f>IF(Main[[#This Row],[Tech Start Date]]&lt;1/1/1990,"",IF(Main[[#This Row],[Class]]="C",WORKDAY(Main[[#This Row],[Tech Start Date]],23),IF(Main[[#This Row],[Class]]="B", WORKDAY(Main[[#This Row],[Tech Start Date]],15),IF(Main[[#This Row],[Class]]="A",WORKDAY(Main[[#This Row],[Tech Start Date]],5),""))))</f>
        <v/>
      </c>
      <c r="P1020" s="75" t="str">
        <f>IF(Main[[#This Row],[Tech Start Date]]&lt;1/1/1990,"",IF(Main[[#This Row],[Class]]="C",WORKDAY(Main[[#This Row],[Tech Start Date]],28),IF(Main[[#This Row],[Class]]="B", WORKDAY(Main[[#This Row],[Tech Start Date]],19),IF(Main[[#This Row],[Class]]="A",WORKDAY(Main[[#This Row],[Tech Start Date]],9),""))))</f>
        <v/>
      </c>
      <c r="Q1020" s="89"/>
      <c r="R1020" s="121"/>
      <c r="S1020" s="99" t="s">
        <v>6</v>
      </c>
      <c r="T1020" s="76" t="s">
        <v>4</v>
      </c>
      <c r="U1020" s="99" t="s">
        <v>29</v>
      </c>
      <c r="V1020" s="99" t="s">
        <v>1916</v>
      </c>
      <c r="W1020" s="99" t="s">
        <v>1917</v>
      </c>
      <c r="X1020" s="99" t="s">
        <v>102</v>
      </c>
      <c r="Y1020" s="73" t="s">
        <v>3108</v>
      </c>
      <c r="Z1020" s="73" t="s">
        <v>306</v>
      </c>
      <c r="AA1020" s="99" t="s">
        <v>3438</v>
      </c>
    </row>
    <row r="1021" spans="1:27" ht="17.25" customHeight="1">
      <c r="A1021" s="65" t="str">
        <f>IF(priority(Main[[#This Row],[Comments]])&lt;&gt;0, priority(Main[[#This Row],[Comments]]),"")</f>
        <v/>
      </c>
      <c r="B1021" s="60" t="s">
        <v>3242</v>
      </c>
      <c r="C1021" s="105" t="s">
        <v>4</v>
      </c>
      <c r="D1021" s="74" t="s">
        <v>3611</v>
      </c>
      <c r="E1021" s="89">
        <v>40935.463946759257</v>
      </c>
      <c r="F1021" s="89"/>
      <c r="G1021" s="65" t="str">
        <f>IF(stdProdLT(Main[[#This Row],[Comments]])=0.1,"N/A",IF(stdProdLT(Main[[#This Row],[Comments]])=0,"",TRIM(stdProdLT(Main[[#This Row],[Comments]]))))</f>
        <v/>
      </c>
      <c r="H1021" s="98" t="str">
        <f>IF(Main[[#This Row],[Std. Prod. Lead Time]]="N/A", "",IF(AND(Main[[#This Row],[In Stock Date]]&lt;&gt;"",Main[[#This Row],[Revised Due Date]]&lt;&gt;"",Main[[#This Row],[In Stock Date]]&lt;&gt;""),Main[[#This Row],[In Stock Date]]-Main[[#This Row],[Revised Due Date]],""))</f>
        <v/>
      </c>
      <c r="I1021" s="110" t="s">
        <v>69</v>
      </c>
      <c r="J1021" s="99" t="s">
        <v>70</v>
      </c>
      <c r="K1021" s="99" t="s">
        <v>1922</v>
      </c>
      <c r="L1021" s="89"/>
      <c r="M1021" s="75" t="str">
        <f>IF(Main[[#This Row],[Tech Start Date]]&lt;1/1/1990,"",IF(Main[[#This Row],[Class]]="C",WORKDAY(Main[[#This Row],[Tech Start Date]],9),IF(Main[[#This Row],[Class]]="B", WORKDAY(Main[[#This Row],[Tech Start Date]],6),IF(Main[[#This Row],[Class]]="A",WORKDAY(Main[[#This Row],[Tech Start Date]],2),""))))</f>
        <v/>
      </c>
      <c r="N1021" s="75" t="str">
        <f>IF(Main[[#This Row],[Tech Start Date]]&lt;1/1/1990,"",IF(Main[[#This Row],[Class]]="C",WORKDAY(Main[[#This Row],[Tech Start Date]],19),IF(Main[[#This Row],[Class]]="B", WORKDAY(Main[[#This Row],[Tech Start Date]],12),IF(Main[[#This Row],[Class]]="A",WORKDAY(Main[[#This Row],[Tech Start Date]],4),""))))</f>
        <v/>
      </c>
      <c r="O1021" s="75" t="str">
        <f>IF(Main[[#This Row],[Tech Start Date]]&lt;1/1/1990,"",IF(Main[[#This Row],[Class]]="C",WORKDAY(Main[[#This Row],[Tech Start Date]],23),IF(Main[[#This Row],[Class]]="B", WORKDAY(Main[[#This Row],[Tech Start Date]],15),IF(Main[[#This Row],[Class]]="A",WORKDAY(Main[[#This Row],[Tech Start Date]],5),""))))</f>
        <v/>
      </c>
      <c r="P1021" s="75" t="str">
        <f>IF(Main[[#This Row],[Tech Start Date]]&lt;1/1/1990,"",IF(Main[[#This Row],[Class]]="C",WORKDAY(Main[[#This Row],[Tech Start Date]],28),IF(Main[[#This Row],[Class]]="B", WORKDAY(Main[[#This Row],[Tech Start Date]],19),IF(Main[[#This Row],[Class]]="A",WORKDAY(Main[[#This Row],[Tech Start Date]],9),""))))</f>
        <v/>
      </c>
      <c r="Q1021" s="89">
        <v>40999</v>
      </c>
      <c r="R1021" s="121"/>
      <c r="S1021" s="99" t="s">
        <v>6</v>
      </c>
      <c r="T1021" s="76" t="s">
        <v>4</v>
      </c>
      <c r="U1021" s="99" t="s">
        <v>29</v>
      </c>
      <c r="V1021" s="99" t="s">
        <v>1923</v>
      </c>
      <c r="W1021" s="99" t="s">
        <v>1917</v>
      </c>
      <c r="X1021" s="99" t="s">
        <v>2835</v>
      </c>
      <c r="Y1021" s="73" t="s">
        <v>2965</v>
      </c>
      <c r="Z1021" s="73" t="s">
        <v>30</v>
      </c>
      <c r="AA1021" s="99" t="s">
        <v>2835</v>
      </c>
    </row>
    <row r="1022" spans="1:27" ht="17.25" customHeight="1">
      <c r="A1022" s="65" t="str">
        <f>IF(priority(Main[[#This Row],[Comments]])&lt;&gt;0, priority(Main[[#This Row],[Comments]]),"")</f>
        <v/>
      </c>
      <c r="B1022" s="60" t="s">
        <v>2490</v>
      </c>
      <c r="C1022" s="105" t="s">
        <v>47</v>
      </c>
      <c r="D1022" s="74" t="s">
        <v>3324</v>
      </c>
      <c r="E1022" s="89">
        <v>40865.812858796293</v>
      </c>
      <c r="F1022" s="89"/>
      <c r="G1022" s="65" t="str">
        <f>IF(stdProdLT(Main[[#This Row],[Comments]])=0.1,"N/A",IF(stdProdLT(Main[[#This Row],[Comments]])=0,"",TRIM(stdProdLT(Main[[#This Row],[Comments]]))))</f>
        <v/>
      </c>
      <c r="H1022" s="98" t="str">
        <f>IF(Main[[#This Row],[Std. Prod. Lead Time]]="N/A", "",IF(AND(Main[[#This Row],[In Stock Date]]&lt;&gt;"",Main[[#This Row],[Revised Due Date]]&lt;&gt;"",Main[[#This Row],[In Stock Date]]&lt;&gt;""),Main[[#This Row],[In Stock Date]]-Main[[#This Row],[Revised Due Date]],""))</f>
        <v/>
      </c>
      <c r="I1022" s="110" t="s">
        <v>4</v>
      </c>
      <c r="J1022" s="99" t="s">
        <v>4</v>
      </c>
      <c r="K1022" s="99" t="s">
        <v>4</v>
      </c>
      <c r="L1022" s="89"/>
      <c r="M1022" s="75" t="str">
        <f>IF(Main[[#This Row],[Tech Start Date]]&lt;1/1/1990,"",IF(Main[[#This Row],[Class]]="C",WORKDAY(Main[[#This Row],[Tech Start Date]],9),IF(Main[[#This Row],[Class]]="B", WORKDAY(Main[[#This Row],[Tech Start Date]],6),IF(Main[[#This Row],[Class]]="A",WORKDAY(Main[[#This Row],[Tech Start Date]],2),""))))</f>
        <v/>
      </c>
      <c r="N1022" s="75" t="str">
        <f>IF(Main[[#This Row],[Tech Start Date]]&lt;1/1/1990,"",IF(Main[[#This Row],[Class]]="C",WORKDAY(Main[[#This Row],[Tech Start Date]],19),IF(Main[[#This Row],[Class]]="B", WORKDAY(Main[[#This Row],[Tech Start Date]],12),IF(Main[[#This Row],[Class]]="A",WORKDAY(Main[[#This Row],[Tech Start Date]],4),""))))</f>
        <v/>
      </c>
      <c r="O1022" s="75" t="str">
        <f>IF(Main[[#This Row],[Tech Start Date]]&lt;1/1/1990,"",IF(Main[[#This Row],[Class]]="C",WORKDAY(Main[[#This Row],[Tech Start Date]],23),IF(Main[[#This Row],[Class]]="B", WORKDAY(Main[[#This Row],[Tech Start Date]],15),IF(Main[[#This Row],[Class]]="A",WORKDAY(Main[[#This Row],[Tech Start Date]],5),""))))</f>
        <v/>
      </c>
      <c r="P1022" s="75" t="str">
        <f>IF(Main[[#This Row],[Tech Start Date]]&lt;1/1/1990,"",IF(Main[[#This Row],[Class]]="C",WORKDAY(Main[[#This Row],[Tech Start Date]],28),IF(Main[[#This Row],[Class]]="B", WORKDAY(Main[[#This Row],[Tech Start Date]],19),IF(Main[[#This Row],[Class]]="A",WORKDAY(Main[[#This Row],[Tech Start Date]],9),""))))</f>
        <v/>
      </c>
      <c r="Q1022" s="89">
        <v>40906</v>
      </c>
      <c r="R1022" s="121"/>
      <c r="S1022" s="99" t="s">
        <v>6</v>
      </c>
      <c r="T1022" s="76" t="s">
        <v>4</v>
      </c>
      <c r="U1022" s="99" t="s">
        <v>29</v>
      </c>
      <c r="V1022" s="99" t="s">
        <v>2279</v>
      </c>
      <c r="W1022" s="99" t="s">
        <v>4</v>
      </c>
      <c r="X1022" s="99" t="s">
        <v>2859</v>
      </c>
      <c r="Y1022" s="73" t="s">
        <v>3004</v>
      </c>
      <c r="Z1022" s="73" t="s">
        <v>4</v>
      </c>
      <c r="AA1022" s="99" t="s">
        <v>2859</v>
      </c>
    </row>
    <row r="1023" spans="1:27" ht="17.25" customHeight="1">
      <c r="A1023" s="65" t="str">
        <f>IF(priority(Main[[#This Row],[Comments]])&lt;&gt;0, priority(Main[[#This Row],[Comments]]),"")</f>
        <v/>
      </c>
      <c r="B1023" s="60" t="s">
        <v>1513</v>
      </c>
      <c r="C1023" s="105" t="s">
        <v>4</v>
      </c>
      <c r="D1023" s="74" t="s">
        <v>589</v>
      </c>
      <c r="E1023" s="89"/>
      <c r="F1023" s="89"/>
      <c r="G1023" s="65" t="str">
        <f>IF(stdProdLT(Main[[#This Row],[Comments]])=0.1,"N/A",IF(stdProdLT(Main[[#This Row],[Comments]])=0,"",TRIM(stdProdLT(Main[[#This Row],[Comments]]))))</f>
        <v/>
      </c>
      <c r="H1023" s="98" t="str">
        <f>IF(Main[[#This Row],[Std. Prod. Lead Time]]="N/A", "",IF(AND(Main[[#This Row],[In Stock Date]]&lt;&gt;"",Main[[#This Row],[Revised Due Date]]&lt;&gt;"",Main[[#This Row],[In Stock Date]]&lt;&gt;""),Main[[#This Row],[In Stock Date]]-Main[[#This Row],[Revised Due Date]],""))</f>
        <v/>
      </c>
      <c r="I1023" s="110" t="s">
        <v>306</v>
      </c>
      <c r="J1023" s="99" t="s">
        <v>28</v>
      </c>
      <c r="K1023" s="99" t="s">
        <v>4</v>
      </c>
      <c r="L1023" s="89"/>
      <c r="M1023" s="75" t="str">
        <f>IF(Main[[#This Row],[Tech Start Date]]&lt;1/1/1990,"",IF(Main[[#This Row],[Class]]="C",WORKDAY(Main[[#This Row],[Tech Start Date]],9),IF(Main[[#This Row],[Class]]="B", WORKDAY(Main[[#This Row],[Tech Start Date]],6),IF(Main[[#This Row],[Class]]="A",WORKDAY(Main[[#This Row],[Tech Start Date]],2),""))))</f>
        <v/>
      </c>
      <c r="N1023" s="75" t="str">
        <f>IF(Main[[#This Row],[Tech Start Date]]&lt;1/1/1990,"",IF(Main[[#This Row],[Class]]="C",WORKDAY(Main[[#This Row],[Tech Start Date]],19),IF(Main[[#This Row],[Class]]="B", WORKDAY(Main[[#This Row],[Tech Start Date]],12),IF(Main[[#This Row],[Class]]="A",WORKDAY(Main[[#This Row],[Tech Start Date]],4),""))))</f>
        <v/>
      </c>
      <c r="O1023" s="75" t="str">
        <f>IF(Main[[#This Row],[Tech Start Date]]&lt;1/1/1990,"",IF(Main[[#This Row],[Class]]="C",WORKDAY(Main[[#This Row],[Tech Start Date]],23),IF(Main[[#This Row],[Class]]="B", WORKDAY(Main[[#This Row],[Tech Start Date]],15),IF(Main[[#This Row],[Class]]="A",WORKDAY(Main[[#This Row],[Tech Start Date]],5),""))))</f>
        <v/>
      </c>
      <c r="P1023" s="75" t="str">
        <f>IF(Main[[#This Row],[Tech Start Date]]&lt;1/1/1990,"",IF(Main[[#This Row],[Class]]="C",WORKDAY(Main[[#This Row],[Tech Start Date]],28),IF(Main[[#This Row],[Class]]="B", WORKDAY(Main[[#This Row],[Tech Start Date]],19),IF(Main[[#This Row],[Class]]="A",WORKDAY(Main[[#This Row],[Tech Start Date]],9),""))))</f>
        <v/>
      </c>
      <c r="Q1023" s="89"/>
      <c r="R1023" s="121"/>
      <c r="S1023" s="99" t="s">
        <v>6</v>
      </c>
      <c r="T1023" s="76" t="s">
        <v>4</v>
      </c>
      <c r="U1023" s="99" t="s">
        <v>14</v>
      </c>
      <c r="V1023" s="99" t="s">
        <v>1916</v>
      </c>
      <c r="W1023" s="99" t="s">
        <v>1915</v>
      </c>
      <c r="X1023" s="99" t="s">
        <v>306</v>
      </c>
      <c r="Y1023" s="73" t="s">
        <v>3098</v>
      </c>
      <c r="Z1023" s="73" t="s">
        <v>306</v>
      </c>
      <c r="AA1023" s="99" t="s">
        <v>306</v>
      </c>
    </row>
    <row r="1024" spans="1:27" ht="17.25" customHeight="1">
      <c r="A1024" s="65" t="str">
        <f>IF(priority(Main[[#This Row],[Comments]])&lt;&gt;0, priority(Main[[#This Row],[Comments]]),"")</f>
        <v/>
      </c>
      <c r="B1024" s="60" t="s">
        <v>1766</v>
      </c>
      <c r="C1024" s="105" t="s">
        <v>4</v>
      </c>
      <c r="D1024" s="74" t="s">
        <v>812</v>
      </c>
      <c r="E1024" s="89"/>
      <c r="F1024" s="89"/>
      <c r="G1024" s="65" t="str">
        <f>IF(stdProdLT(Main[[#This Row],[Comments]])=0.1,"N/A",IF(stdProdLT(Main[[#This Row],[Comments]])=0,"",TRIM(stdProdLT(Main[[#This Row],[Comments]]))))</f>
        <v/>
      </c>
      <c r="H1024" s="98" t="str">
        <f>IF(Main[[#This Row],[Std. Prod. Lead Time]]="N/A", "",IF(AND(Main[[#This Row],[In Stock Date]]&lt;&gt;"",Main[[#This Row],[Revised Due Date]]&lt;&gt;"",Main[[#This Row],[In Stock Date]]&lt;&gt;""),Main[[#This Row],[In Stock Date]]-Main[[#This Row],[Revised Due Date]],""))</f>
        <v/>
      </c>
      <c r="I1024" s="110" t="s">
        <v>4</v>
      </c>
      <c r="J1024" s="99" t="s">
        <v>4</v>
      </c>
      <c r="K1024" s="99" t="s">
        <v>4</v>
      </c>
      <c r="L1024" s="89"/>
      <c r="M1024" s="75" t="str">
        <f>IF(Main[[#This Row],[Tech Start Date]]&lt;1/1/1990,"",IF(Main[[#This Row],[Class]]="C",WORKDAY(Main[[#This Row],[Tech Start Date]],9),IF(Main[[#This Row],[Class]]="B", WORKDAY(Main[[#This Row],[Tech Start Date]],6),IF(Main[[#This Row],[Class]]="A",WORKDAY(Main[[#This Row],[Tech Start Date]],2),""))))</f>
        <v/>
      </c>
      <c r="N1024" s="75" t="str">
        <f>IF(Main[[#This Row],[Tech Start Date]]&lt;1/1/1990,"",IF(Main[[#This Row],[Class]]="C",WORKDAY(Main[[#This Row],[Tech Start Date]],19),IF(Main[[#This Row],[Class]]="B", WORKDAY(Main[[#This Row],[Tech Start Date]],12),IF(Main[[#This Row],[Class]]="A",WORKDAY(Main[[#This Row],[Tech Start Date]],4),""))))</f>
        <v/>
      </c>
      <c r="O1024" s="75" t="str">
        <f>IF(Main[[#This Row],[Tech Start Date]]&lt;1/1/1990,"",IF(Main[[#This Row],[Class]]="C",WORKDAY(Main[[#This Row],[Tech Start Date]],23),IF(Main[[#This Row],[Class]]="B", WORKDAY(Main[[#This Row],[Tech Start Date]],15),IF(Main[[#This Row],[Class]]="A",WORKDAY(Main[[#This Row],[Tech Start Date]],5),""))))</f>
        <v/>
      </c>
      <c r="P1024" s="75" t="str">
        <f>IF(Main[[#This Row],[Tech Start Date]]&lt;1/1/1990,"",IF(Main[[#This Row],[Class]]="C",WORKDAY(Main[[#This Row],[Tech Start Date]],28),IF(Main[[#This Row],[Class]]="B", WORKDAY(Main[[#This Row],[Tech Start Date]],19),IF(Main[[#This Row],[Class]]="A",WORKDAY(Main[[#This Row],[Tech Start Date]],9),""))))</f>
        <v/>
      </c>
      <c r="Q1024" s="89">
        <v>40209</v>
      </c>
      <c r="R1024" s="121"/>
      <c r="S1024" s="99" t="s">
        <v>6</v>
      </c>
      <c r="T1024" s="76" t="s">
        <v>4</v>
      </c>
      <c r="U1024" s="99" t="s">
        <v>14</v>
      </c>
      <c r="V1024" s="99" t="s">
        <v>1916</v>
      </c>
      <c r="W1024" s="99" t="s">
        <v>4</v>
      </c>
      <c r="X1024" s="99" t="s">
        <v>2881</v>
      </c>
      <c r="Y1024" s="73" t="s">
        <v>3037</v>
      </c>
      <c r="Z1024" s="73" t="s">
        <v>4</v>
      </c>
      <c r="AA1024" s="99" t="s">
        <v>2881</v>
      </c>
    </row>
    <row r="1025" spans="1:27" ht="17.25" customHeight="1">
      <c r="A1025" s="65" t="str">
        <f>IF(priority(Main[[#This Row],[Comments]])&lt;&gt;0, priority(Main[[#This Row],[Comments]]),"")</f>
        <v/>
      </c>
      <c r="B1025" s="60" t="s">
        <v>1767</v>
      </c>
      <c r="C1025" s="105" t="s">
        <v>813</v>
      </c>
      <c r="D1025" s="74" t="s">
        <v>814</v>
      </c>
      <c r="E1025" s="89"/>
      <c r="F1025" s="89">
        <v>40678</v>
      </c>
      <c r="G1025" s="65" t="str">
        <f>IF(stdProdLT(Main[[#This Row],[Comments]])=0.1,"N/A",IF(stdProdLT(Main[[#This Row],[Comments]])=0,"",TRIM(stdProdLT(Main[[#This Row],[Comments]]))))</f>
        <v/>
      </c>
      <c r="H1025" s="98" t="str">
        <f>IF(Main[[#This Row],[Std. Prod. Lead Time]]="N/A", "",IF(AND(Main[[#This Row],[In Stock Date]]&lt;&gt;"",Main[[#This Row],[Revised Due Date]]&lt;&gt;"",Main[[#This Row],[In Stock Date]]&lt;&gt;""),Main[[#This Row],[In Stock Date]]-Main[[#This Row],[Revised Due Date]],""))</f>
        <v/>
      </c>
      <c r="I1025" s="110" t="s">
        <v>4</v>
      </c>
      <c r="J1025" s="99" t="s">
        <v>4</v>
      </c>
      <c r="K1025" s="99" t="s">
        <v>4</v>
      </c>
      <c r="L1025" s="89"/>
      <c r="M1025" s="75" t="str">
        <f>IF(Main[[#This Row],[Tech Start Date]]&lt;1/1/1990,"",IF(Main[[#This Row],[Class]]="C",WORKDAY(Main[[#This Row],[Tech Start Date]],9),IF(Main[[#This Row],[Class]]="B", WORKDAY(Main[[#This Row],[Tech Start Date]],6),IF(Main[[#This Row],[Class]]="A",WORKDAY(Main[[#This Row],[Tech Start Date]],2),""))))</f>
        <v/>
      </c>
      <c r="N1025" s="75" t="str">
        <f>IF(Main[[#This Row],[Tech Start Date]]&lt;1/1/1990,"",IF(Main[[#This Row],[Class]]="C",WORKDAY(Main[[#This Row],[Tech Start Date]],19),IF(Main[[#This Row],[Class]]="B", WORKDAY(Main[[#This Row],[Tech Start Date]],12),IF(Main[[#This Row],[Class]]="A",WORKDAY(Main[[#This Row],[Tech Start Date]],4),""))))</f>
        <v/>
      </c>
      <c r="O1025" s="75" t="str">
        <f>IF(Main[[#This Row],[Tech Start Date]]&lt;1/1/1990,"",IF(Main[[#This Row],[Class]]="C",WORKDAY(Main[[#This Row],[Tech Start Date]],23),IF(Main[[#This Row],[Class]]="B", WORKDAY(Main[[#This Row],[Tech Start Date]],15),IF(Main[[#This Row],[Class]]="A",WORKDAY(Main[[#This Row],[Tech Start Date]],5),""))))</f>
        <v/>
      </c>
      <c r="P1025" s="75" t="str">
        <f>IF(Main[[#This Row],[Tech Start Date]]&lt;1/1/1990,"",IF(Main[[#This Row],[Class]]="C",WORKDAY(Main[[#This Row],[Tech Start Date]],28),IF(Main[[#This Row],[Class]]="B", WORKDAY(Main[[#This Row],[Tech Start Date]],19),IF(Main[[#This Row],[Class]]="A",WORKDAY(Main[[#This Row],[Tech Start Date]],9),""))))</f>
        <v/>
      </c>
      <c r="Q1025" s="89">
        <v>40602</v>
      </c>
      <c r="R1025" s="121"/>
      <c r="S1025" s="99" t="s">
        <v>11</v>
      </c>
      <c r="T1025" s="76" t="s">
        <v>4</v>
      </c>
      <c r="U1025" s="99" t="s">
        <v>14</v>
      </c>
      <c r="V1025" s="99" t="s">
        <v>1913</v>
      </c>
      <c r="W1025" s="99" t="s">
        <v>1919</v>
      </c>
      <c r="X1025" s="99" t="s">
        <v>2818</v>
      </c>
      <c r="Y1025" s="73" t="s">
        <v>2937</v>
      </c>
      <c r="Z1025" s="73" t="s">
        <v>4</v>
      </c>
      <c r="AA1025" s="99" t="s">
        <v>2818</v>
      </c>
    </row>
    <row r="1026" spans="1:27" ht="17.25" customHeight="1">
      <c r="A1026" s="65" t="str">
        <f>IF(priority(Main[[#This Row],[Comments]])&lt;&gt;0, priority(Main[[#This Row],[Comments]]),"")</f>
        <v/>
      </c>
      <c r="B1026" s="60" t="s">
        <v>1770</v>
      </c>
      <c r="C1026" s="105" t="s">
        <v>815</v>
      </c>
      <c r="D1026" s="74" t="s">
        <v>816</v>
      </c>
      <c r="E1026" s="89"/>
      <c r="F1026" s="89"/>
      <c r="G1026" s="65" t="str">
        <f>IF(stdProdLT(Main[[#This Row],[Comments]])=0.1,"N/A",IF(stdProdLT(Main[[#This Row],[Comments]])=0,"",TRIM(stdProdLT(Main[[#This Row],[Comments]]))))</f>
        <v/>
      </c>
      <c r="H1026" s="98" t="str">
        <f>IF(Main[[#This Row],[Std. Prod. Lead Time]]="N/A", "",IF(AND(Main[[#This Row],[In Stock Date]]&lt;&gt;"",Main[[#This Row],[Revised Due Date]]&lt;&gt;"",Main[[#This Row],[In Stock Date]]&lt;&gt;""),Main[[#This Row],[In Stock Date]]-Main[[#This Row],[Revised Due Date]],""))</f>
        <v/>
      </c>
      <c r="I1026" s="110" t="s">
        <v>4</v>
      </c>
      <c r="J1026" s="99" t="s">
        <v>4</v>
      </c>
      <c r="K1026" s="99" t="s">
        <v>4</v>
      </c>
      <c r="L1026" s="89"/>
      <c r="M1026" s="75" t="str">
        <f>IF(Main[[#This Row],[Tech Start Date]]&lt;1/1/1990,"",IF(Main[[#This Row],[Class]]="C",WORKDAY(Main[[#This Row],[Tech Start Date]],9),IF(Main[[#This Row],[Class]]="B", WORKDAY(Main[[#This Row],[Tech Start Date]],6),IF(Main[[#This Row],[Class]]="A",WORKDAY(Main[[#This Row],[Tech Start Date]],2),""))))</f>
        <v/>
      </c>
      <c r="N1026" s="75" t="str">
        <f>IF(Main[[#This Row],[Tech Start Date]]&lt;1/1/1990,"",IF(Main[[#This Row],[Class]]="C",WORKDAY(Main[[#This Row],[Tech Start Date]],19),IF(Main[[#This Row],[Class]]="B", WORKDAY(Main[[#This Row],[Tech Start Date]],12),IF(Main[[#This Row],[Class]]="A",WORKDAY(Main[[#This Row],[Tech Start Date]],4),""))))</f>
        <v/>
      </c>
      <c r="O1026" s="75" t="str">
        <f>IF(Main[[#This Row],[Tech Start Date]]&lt;1/1/1990,"",IF(Main[[#This Row],[Class]]="C",WORKDAY(Main[[#This Row],[Tech Start Date]],23),IF(Main[[#This Row],[Class]]="B", WORKDAY(Main[[#This Row],[Tech Start Date]],15),IF(Main[[#This Row],[Class]]="A",WORKDAY(Main[[#This Row],[Tech Start Date]],5),""))))</f>
        <v/>
      </c>
      <c r="P1026" s="75" t="str">
        <f>IF(Main[[#This Row],[Tech Start Date]]&lt;1/1/1990,"",IF(Main[[#This Row],[Class]]="C",WORKDAY(Main[[#This Row],[Tech Start Date]],28),IF(Main[[#This Row],[Class]]="B", WORKDAY(Main[[#This Row],[Tech Start Date]],19),IF(Main[[#This Row],[Class]]="A",WORKDAY(Main[[#This Row],[Tech Start Date]],9),""))))</f>
        <v/>
      </c>
      <c r="Q1026" s="89">
        <v>40715</v>
      </c>
      <c r="R1026" s="121"/>
      <c r="S1026" s="99" t="s">
        <v>11</v>
      </c>
      <c r="T1026" s="76" t="s">
        <v>4</v>
      </c>
      <c r="U1026" s="99" t="s">
        <v>14</v>
      </c>
      <c r="V1026" s="99" t="s">
        <v>1914</v>
      </c>
      <c r="W1026" s="99" t="s">
        <v>1915</v>
      </c>
      <c r="X1026" s="99" t="s">
        <v>2810</v>
      </c>
      <c r="Y1026" s="73" t="s">
        <v>4</v>
      </c>
      <c r="Z1026" s="73" t="s">
        <v>4</v>
      </c>
      <c r="AA1026" s="99" t="s">
        <v>2810</v>
      </c>
    </row>
    <row r="1027" spans="1:27" ht="17.25" customHeight="1">
      <c r="A1027" s="65" t="str">
        <f>IF(priority(Main[[#This Row],[Comments]])&lt;&gt;0, priority(Main[[#This Row],[Comments]]),"")</f>
        <v/>
      </c>
      <c r="B1027" s="60" t="s">
        <v>2162</v>
      </c>
      <c r="C1027" s="105" t="s">
        <v>2156</v>
      </c>
      <c r="D1027" s="74" t="s">
        <v>2157</v>
      </c>
      <c r="E1027" s="89">
        <v>40781.39603009259</v>
      </c>
      <c r="F1027" s="89"/>
      <c r="G1027" s="65" t="str">
        <f>IF(stdProdLT(Main[[#This Row],[Comments]])=0.1,"N/A",IF(stdProdLT(Main[[#This Row],[Comments]])=0,"",TRIM(stdProdLT(Main[[#This Row],[Comments]]))))</f>
        <v/>
      </c>
      <c r="H1027" s="98" t="str">
        <f>IF(Main[[#This Row],[Std. Prod. Lead Time]]="N/A", "",IF(AND(Main[[#This Row],[In Stock Date]]&lt;&gt;"",Main[[#This Row],[Revised Due Date]]&lt;&gt;"",Main[[#This Row],[In Stock Date]]&lt;&gt;""),Main[[#This Row],[In Stock Date]]-Main[[#This Row],[Revised Due Date]],""))</f>
        <v/>
      </c>
      <c r="I1027" s="110" t="s">
        <v>69</v>
      </c>
      <c r="J1027" s="99" t="s">
        <v>1974</v>
      </c>
      <c r="K1027" s="99" t="s">
        <v>1922</v>
      </c>
      <c r="L1027" s="89"/>
      <c r="M1027" s="75" t="str">
        <f>IF(Main[[#This Row],[Tech Start Date]]&lt;1/1/1990,"",IF(Main[[#This Row],[Class]]="C",WORKDAY(Main[[#This Row],[Tech Start Date]],9),IF(Main[[#This Row],[Class]]="B", WORKDAY(Main[[#This Row],[Tech Start Date]],6),IF(Main[[#This Row],[Class]]="A",WORKDAY(Main[[#This Row],[Tech Start Date]],2),""))))</f>
        <v/>
      </c>
      <c r="N1027" s="75" t="str">
        <f>IF(Main[[#This Row],[Tech Start Date]]&lt;1/1/1990,"",IF(Main[[#This Row],[Class]]="C",WORKDAY(Main[[#This Row],[Tech Start Date]],19),IF(Main[[#This Row],[Class]]="B", WORKDAY(Main[[#This Row],[Tech Start Date]],12),IF(Main[[#This Row],[Class]]="A",WORKDAY(Main[[#This Row],[Tech Start Date]],4),""))))</f>
        <v/>
      </c>
      <c r="O1027" s="75" t="str">
        <f>IF(Main[[#This Row],[Tech Start Date]]&lt;1/1/1990,"",IF(Main[[#This Row],[Class]]="C",WORKDAY(Main[[#This Row],[Tech Start Date]],23),IF(Main[[#This Row],[Class]]="B", WORKDAY(Main[[#This Row],[Tech Start Date]],15),IF(Main[[#This Row],[Class]]="A",WORKDAY(Main[[#This Row],[Tech Start Date]],5),""))))</f>
        <v/>
      </c>
      <c r="P1027" s="75" t="str">
        <f>IF(Main[[#This Row],[Tech Start Date]]&lt;1/1/1990,"",IF(Main[[#This Row],[Class]]="C",WORKDAY(Main[[#This Row],[Tech Start Date]],28),IF(Main[[#This Row],[Class]]="B", WORKDAY(Main[[#This Row],[Tech Start Date]],19),IF(Main[[#This Row],[Class]]="A",WORKDAY(Main[[#This Row],[Tech Start Date]],9),""))))</f>
        <v/>
      </c>
      <c r="Q1027" s="89">
        <v>40836</v>
      </c>
      <c r="R1027" s="121"/>
      <c r="S1027" s="99" t="s">
        <v>6</v>
      </c>
      <c r="T1027" s="76" t="s">
        <v>4</v>
      </c>
      <c r="U1027" s="99" t="s">
        <v>29</v>
      </c>
      <c r="V1027" s="99" t="s">
        <v>1916</v>
      </c>
      <c r="W1027" s="99" t="s">
        <v>1917</v>
      </c>
      <c r="X1027" s="99" t="s">
        <v>2830</v>
      </c>
      <c r="Y1027" s="73" t="s">
        <v>2959</v>
      </c>
      <c r="Z1027" s="73" t="s">
        <v>30</v>
      </c>
      <c r="AA1027" s="99" t="s">
        <v>2830</v>
      </c>
    </row>
    <row r="1028" spans="1:27" ht="17.25" customHeight="1">
      <c r="A1028" s="65" t="str">
        <f>IF(priority(Main[[#This Row],[Comments]])&lt;&gt;0, priority(Main[[#This Row],[Comments]]),"")</f>
        <v/>
      </c>
      <c r="B1028" s="60" t="s">
        <v>1780</v>
      </c>
      <c r="C1028" s="105" t="s">
        <v>180</v>
      </c>
      <c r="D1028" s="74" t="s">
        <v>823</v>
      </c>
      <c r="E1028" s="89"/>
      <c r="F1028" s="89">
        <v>40389</v>
      </c>
      <c r="G1028" s="65" t="str">
        <f>IF(stdProdLT(Main[[#This Row],[Comments]])=0.1,"N/A",IF(stdProdLT(Main[[#This Row],[Comments]])=0,"",TRIM(stdProdLT(Main[[#This Row],[Comments]]))))</f>
        <v/>
      </c>
      <c r="H1028" s="98" t="str">
        <f>IF(Main[[#This Row],[Std. Prod. Lead Time]]="N/A", "",IF(AND(Main[[#This Row],[In Stock Date]]&lt;&gt;"",Main[[#This Row],[Revised Due Date]]&lt;&gt;"",Main[[#This Row],[In Stock Date]]&lt;&gt;""),Main[[#This Row],[In Stock Date]]-Main[[#This Row],[Revised Due Date]],""))</f>
        <v/>
      </c>
      <c r="I1028" s="110" t="s">
        <v>4</v>
      </c>
      <c r="J1028" s="99" t="s">
        <v>4</v>
      </c>
      <c r="K1028" s="100" t="s">
        <v>4</v>
      </c>
      <c r="L1028" s="89"/>
      <c r="M1028" s="75" t="str">
        <f>IF(Main[[#This Row],[Tech Start Date]]&lt;1/1/1990,"",IF(Main[[#This Row],[Class]]="C",WORKDAY(Main[[#This Row],[Tech Start Date]],9),IF(Main[[#This Row],[Class]]="B", WORKDAY(Main[[#This Row],[Tech Start Date]],6),IF(Main[[#This Row],[Class]]="A",WORKDAY(Main[[#This Row],[Tech Start Date]],2),""))))</f>
        <v/>
      </c>
      <c r="N1028" s="75" t="str">
        <f>IF(Main[[#This Row],[Tech Start Date]]&lt;1/1/1990,"",IF(Main[[#This Row],[Class]]="C",WORKDAY(Main[[#This Row],[Tech Start Date]],19),IF(Main[[#This Row],[Class]]="B", WORKDAY(Main[[#This Row],[Tech Start Date]],12),IF(Main[[#This Row],[Class]]="A",WORKDAY(Main[[#This Row],[Tech Start Date]],4),""))))</f>
        <v/>
      </c>
      <c r="O1028" s="75" t="str">
        <f>IF(Main[[#This Row],[Tech Start Date]]&lt;1/1/1990,"",IF(Main[[#This Row],[Class]]="C",WORKDAY(Main[[#This Row],[Tech Start Date]],23),IF(Main[[#This Row],[Class]]="B", WORKDAY(Main[[#This Row],[Tech Start Date]],15),IF(Main[[#This Row],[Class]]="A",WORKDAY(Main[[#This Row],[Tech Start Date]],5),""))))</f>
        <v/>
      </c>
      <c r="P1028" s="75" t="str">
        <f>IF(Main[[#This Row],[Tech Start Date]]&lt;1/1/1990,"",IF(Main[[#This Row],[Class]]="C",WORKDAY(Main[[#This Row],[Tech Start Date]],28),IF(Main[[#This Row],[Class]]="B", WORKDAY(Main[[#This Row],[Tech Start Date]],19),IF(Main[[#This Row],[Class]]="A",WORKDAY(Main[[#This Row],[Tech Start Date]],9),""))))</f>
        <v/>
      </c>
      <c r="Q1028" s="89">
        <v>40298</v>
      </c>
      <c r="R1028" s="121"/>
      <c r="S1028" s="99" t="s">
        <v>11</v>
      </c>
      <c r="T1028" s="76" t="s">
        <v>4</v>
      </c>
      <c r="U1028" s="99" t="s">
        <v>14</v>
      </c>
      <c r="V1028" s="99" t="s">
        <v>1913</v>
      </c>
      <c r="W1028" s="99" t="s">
        <v>1919</v>
      </c>
      <c r="X1028" s="99" t="s">
        <v>2818</v>
      </c>
      <c r="Y1028" s="73" t="s">
        <v>2937</v>
      </c>
      <c r="Z1028" s="73" t="s">
        <v>4</v>
      </c>
      <c r="AA1028" s="99" t="s">
        <v>2818</v>
      </c>
    </row>
    <row r="1029" spans="1:27" ht="17.25" customHeight="1">
      <c r="A1029" s="65" t="str">
        <f>IF(priority(Main[[#This Row],[Comments]])&lt;&gt;0, priority(Main[[#This Row],[Comments]]),"")</f>
        <v/>
      </c>
      <c r="B1029" s="60" t="s">
        <v>1781</v>
      </c>
      <c r="C1029" s="105" t="s">
        <v>824</v>
      </c>
      <c r="D1029" s="74" t="s">
        <v>825</v>
      </c>
      <c r="E1029" s="89"/>
      <c r="F1029" s="89"/>
      <c r="G1029" s="65" t="str">
        <f>IF(stdProdLT(Main[[#This Row],[Comments]])=0.1,"N/A",IF(stdProdLT(Main[[#This Row],[Comments]])=0,"",TRIM(stdProdLT(Main[[#This Row],[Comments]]))))</f>
        <v/>
      </c>
      <c r="H1029" s="98" t="str">
        <f>IF(Main[[#This Row],[Std. Prod. Lead Time]]="N/A", "",IF(AND(Main[[#This Row],[In Stock Date]]&lt;&gt;"",Main[[#This Row],[Revised Due Date]]&lt;&gt;"",Main[[#This Row],[In Stock Date]]&lt;&gt;""),Main[[#This Row],[In Stock Date]]-Main[[#This Row],[Revised Due Date]],""))</f>
        <v/>
      </c>
      <c r="I1029" s="110" t="s">
        <v>4</v>
      </c>
      <c r="J1029" s="99" t="s">
        <v>4</v>
      </c>
      <c r="K1029" s="100" t="s">
        <v>4</v>
      </c>
      <c r="L1029" s="89"/>
      <c r="M1029" s="75" t="str">
        <f>IF(Main[[#This Row],[Tech Start Date]]&lt;1/1/1990,"",IF(Main[[#This Row],[Class]]="C",WORKDAY(Main[[#This Row],[Tech Start Date]],9),IF(Main[[#This Row],[Class]]="B", WORKDAY(Main[[#This Row],[Tech Start Date]],6),IF(Main[[#This Row],[Class]]="A",WORKDAY(Main[[#This Row],[Tech Start Date]],2),""))))</f>
        <v/>
      </c>
      <c r="N1029" s="75" t="str">
        <f>IF(Main[[#This Row],[Tech Start Date]]&lt;1/1/1990,"",IF(Main[[#This Row],[Class]]="C",WORKDAY(Main[[#This Row],[Tech Start Date]],19),IF(Main[[#This Row],[Class]]="B", WORKDAY(Main[[#This Row],[Tech Start Date]],12),IF(Main[[#This Row],[Class]]="A",WORKDAY(Main[[#This Row],[Tech Start Date]],4),""))))</f>
        <v/>
      </c>
      <c r="O1029" s="75" t="str">
        <f>IF(Main[[#This Row],[Tech Start Date]]&lt;1/1/1990,"",IF(Main[[#This Row],[Class]]="C",WORKDAY(Main[[#This Row],[Tech Start Date]],23),IF(Main[[#This Row],[Class]]="B", WORKDAY(Main[[#This Row],[Tech Start Date]],15),IF(Main[[#This Row],[Class]]="A",WORKDAY(Main[[#This Row],[Tech Start Date]],5),""))))</f>
        <v/>
      </c>
      <c r="P1029" s="75" t="str">
        <f>IF(Main[[#This Row],[Tech Start Date]]&lt;1/1/1990,"",IF(Main[[#This Row],[Class]]="C",WORKDAY(Main[[#This Row],[Tech Start Date]],28),IF(Main[[#This Row],[Class]]="B", WORKDAY(Main[[#This Row],[Tech Start Date]],19),IF(Main[[#This Row],[Class]]="A",WORKDAY(Main[[#This Row],[Tech Start Date]],9),""))))</f>
        <v/>
      </c>
      <c r="Q1029" s="89"/>
      <c r="R1029" s="121"/>
      <c r="S1029" s="99" t="s">
        <v>11</v>
      </c>
      <c r="T1029" s="76" t="s">
        <v>4</v>
      </c>
      <c r="U1029" s="99" t="s">
        <v>14</v>
      </c>
      <c r="V1029" s="99" t="s">
        <v>1916</v>
      </c>
      <c r="W1029" s="99" t="s">
        <v>1924</v>
      </c>
      <c r="X1029" s="99" t="s">
        <v>2862</v>
      </c>
      <c r="Y1029" s="73" t="s">
        <v>3006</v>
      </c>
      <c r="Z1029" s="73" t="s">
        <v>4</v>
      </c>
      <c r="AA1029" s="99" t="s">
        <v>3434</v>
      </c>
    </row>
    <row r="1030" spans="1:27" ht="17.25" customHeight="1">
      <c r="A1030" s="65" t="str">
        <f>IF(priority(Main[[#This Row],[Comments]])&lt;&gt;0, priority(Main[[#This Row],[Comments]]),"")</f>
        <v/>
      </c>
      <c r="B1030" s="60" t="s">
        <v>1783</v>
      </c>
      <c r="C1030" s="105" t="s">
        <v>4</v>
      </c>
      <c r="D1030" s="74" t="s">
        <v>828</v>
      </c>
      <c r="E1030" s="89"/>
      <c r="F1030" s="89"/>
      <c r="G1030" s="65" t="str">
        <f>IF(stdProdLT(Main[[#This Row],[Comments]])=0.1,"N/A",IF(stdProdLT(Main[[#This Row],[Comments]])=0,"",TRIM(stdProdLT(Main[[#This Row],[Comments]]))))</f>
        <v/>
      </c>
      <c r="H1030" s="98" t="str">
        <f>IF(Main[[#This Row],[Std. Prod. Lead Time]]="N/A", "",IF(AND(Main[[#This Row],[In Stock Date]]&lt;&gt;"",Main[[#This Row],[Revised Due Date]]&lt;&gt;"",Main[[#This Row],[In Stock Date]]&lt;&gt;""),Main[[#This Row],[In Stock Date]]-Main[[#This Row],[Revised Due Date]],""))</f>
        <v/>
      </c>
      <c r="I1030" s="110" t="s">
        <v>4</v>
      </c>
      <c r="J1030" s="99" t="s">
        <v>4</v>
      </c>
      <c r="K1030" s="100" t="s">
        <v>4</v>
      </c>
      <c r="L1030" s="89"/>
      <c r="M1030" s="75" t="str">
        <f>IF(Main[[#This Row],[Tech Start Date]]&lt;1/1/1990,"",IF(Main[[#This Row],[Class]]="C",WORKDAY(Main[[#This Row],[Tech Start Date]],9),IF(Main[[#This Row],[Class]]="B", WORKDAY(Main[[#This Row],[Tech Start Date]],6),IF(Main[[#This Row],[Class]]="A",WORKDAY(Main[[#This Row],[Tech Start Date]],2),""))))</f>
        <v/>
      </c>
      <c r="N1030" s="75" t="str">
        <f>IF(Main[[#This Row],[Tech Start Date]]&lt;1/1/1990,"",IF(Main[[#This Row],[Class]]="C",WORKDAY(Main[[#This Row],[Tech Start Date]],19),IF(Main[[#This Row],[Class]]="B", WORKDAY(Main[[#This Row],[Tech Start Date]],12),IF(Main[[#This Row],[Class]]="A",WORKDAY(Main[[#This Row],[Tech Start Date]],4),""))))</f>
        <v/>
      </c>
      <c r="O1030" s="75" t="str">
        <f>IF(Main[[#This Row],[Tech Start Date]]&lt;1/1/1990,"",IF(Main[[#This Row],[Class]]="C",WORKDAY(Main[[#This Row],[Tech Start Date]],23),IF(Main[[#This Row],[Class]]="B", WORKDAY(Main[[#This Row],[Tech Start Date]],15),IF(Main[[#This Row],[Class]]="A",WORKDAY(Main[[#This Row],[Tech Start Date]],5),""))))</f>
        <v/>
      </c>
      <c r="P1030" s="75" t="str">
        <f>IF(Main[[#This Row],[Tech Start Date]]&lt;1/1/1990,"",IF(Main[[#This Row],[Class]]="C",WORKDAY(Main[[#This Row],[Tech Start Date]],28),IF(Main[[#This Row],[Class]]="B", WORKDAY(Main[[#This Row],[Tech Start Date]],19),IF(Main[[#This Row],[Class]]="A",WORKDAY(Main[[#This Row],[Tech Start Date]],9),""))))</f>
        <v/>
      </c>
      <c r="Q1030" s="89"/>
      <c r="R1030" s="121"/>
      <c r="S1030" s="99" t="s">
        <v>11</v>
      </c>
      <c r="T1030" s="76" t="s">
        <v>4</v>
      </c>
      <c r="U1030" s="99" t="s">
        <v>12</v>
      </c>
      <c r="V1030" s="99" t="s">
        <v>1914</v>
      </c>
      <c r="W1030" s="99" t="s">
        <v>1918</v>
      </c>
      <c r="X1030" s="99" t="s">
        <v>969</v>
      </c>
      <c r="Y1030" s="73" t="s">
        <v>3079</v>
      </c>
      <c r="Z1030" s="73" t="s">
        <v>4</v>
      </c>
      <c r="AA1030" s="99" t="s">
        <v>969</v>
      </c>
    </row>
    <row r="1031" spans="1:27" ht="17.25" customHeight="1">
      <c r="A1031" s="65" t="str">
        <f>IF(priority(Main[[#This Row],[Comments]])&lt;&gt;0, priority(Main[[#This Row],[Comments]]),"")</f>
        <v/>
      </c>
      <c r="B1031" s="60" t="s">
        <v>1754</v>
      </c>
      <c r="C1031" s="105" t="s">
        <v>4</v>
      </c>
      <c r="D1031" s="74" t="s">
        <v>803</v>
      </c>
      <c r="E1031" s="89">
        <v>40584.403622685182</v>
      </c>
      <c r="F1031" s="89">
        <v>40602</v>
      </c>
      <c r="G1031" s="65" t="str">
        <f>IF(stdProdLT(Main[[#This Row],[Comments]])=0.1,"N/A",IF(stdProdLT(Main[[#This Row],[Comments]])=0,"",TRIM(stdProdLT(Main[[#This Row],[Comments]]))))</f>
        <v/>
      </c>
      <c r="H1031" s="98" t="str">
        <f>IF(Main[[#This Row],[Std. Prod. Lead Time]]="N/A", "",IF(AND(Main[[#This Row],[In Stock Date]]&lt;&gt;"",Main[[#This Row],[Revised Due Date]]&lt;&gt;"",Main[[#This Row],[In Stock Date]]&lt;&gt;""),Main[[#This Row],[In Stock Date]]-Main[[#This Row],[Revised Due Date]],""))</f>
        <v/>
      </c>
      <c r="I1031" s="110" t="s">
        <v>4</v>
      </c>
      <c r="J1031" s="99" t="s">
        <v>28</v>
      </c>
      <c r="K1031" s="100" t="s">
        <v>1925</v>
      </c>
      <c r="L1031" s="89"/>
      <c r="M1031" s="75" t="str">
        <f>IF(Main[[#This Row],[Tech Start Date]]&lt;1/1/1990,"",IF(Main[[#This Row],[Class]]="C",WORKDAY(Main[[#This Row],[Tech Start Date]],9),IF(Main[[#This Row],[Class]]="B", WORKDAY(Main[[#This Row],[Tech Start Date]],6),IF(Main[[#This Row],[Class]]="A",WORKDAY(Main[[#This Row],[Tech Start Date]],2),""))))</f>
        <v/>
      </c>
      <c r="N1031" s="75" t="str">
        <f>IF(Main[[#This Row],[Tech Start Date]]&lt;1/1/1990,"",IF(Main[[#This Row],[Class]]="C",WORKDAY(Main[[#This Row],[Tech Start Date]],19),IF(Main[[#This Row],[Class]]="B", WORKDAY(Main[[#This Row],[Tech Start Date]],12),IF(Main[[#This Row],[Class]]="A",WORKDAY(Main[[#This Row],[Tech Start Date]],4),""))))</f>
        <v/>
      </c>
      <c r="O1031" s="75" t="str">
        <f>IF(Main[[#This Row],[Tech Start Date]]&lt;1/1/1990,"",IF(Main[[#This Row],[Class]]="C",WORKDAY(Main[[#This Row],[Tech Start Date]],23),IF(Main[[#This Row],[Class]]="B", WORKDAY(Main[[#This Row],[Tech Start Date]],15),IF(Main[[#This Row],[Class]]="A",WORKDAY(Main[[#This Row],[Tech Start Date]],5),""))))</f>
        <v/>
      </c>
      <c r="P1031" s="75" t="str">
        <f>IF(Main[[#This Row],[Tech Start Date]]&lt;1/1/1990,"",IF(Main[[#This Row],[Class]]="C",WORKDAY(Main[[#This Row],[Tech Start Date]],28),IF(Main[[#This Row],[Class]]="B", WORKDAY(Main[[#This Row],[Tech Start Date]],19),IF(Main[[#This Row],[Class]]="A",WORKDAY(Main[[#This Row],[Tech Start Date]],9),""))))</f>
        <v/>
      </c>
      <c r="Q1031" s="89">
        <v>40602</v>
      </c>
      <c r="R1031" s="121"/>
      <c r="S1031" s="99" t="s">
        <v>17</v>
      </c>
      <c r="T1031" s="76" t="s">
        <v>4</v>
      </c>
      <c r="U1031" s="99" t="s">
        <v>7</v>
      </c>
      <c r="V1031" s="99" t="s">
        <v>1913</v>
      </c>
      <c r="W1031" s="99" t="s">
        <v>1921</v>
      </c>
      <c r="X1031" s="99" t="s">
        <v>2822</v>
      </c>
      <c r="Y1031" s="73" t="s">
        <v>2944</v>
      </c>
      <c r="Z1031" s="73" t="s">
        <v>129</v>
      </c>
      <c r="AA1031" s="99" t="s">
        <v>2822</v>
      </c>
    </row>
    <row r="1032" spans="1:27" ht="17.25" customHeight="1">
      <c r="A1032" s="65" t="str">
        <f>IF(priority(Main[[#This Row],[Comments]])&lt;&gt;0, priority(Main[[#This Row],[Comments]]),"")</f>
        <v/>
      </c>
      <c r="B1032" s="60" t="s">
        <v>1731</v>
      </c>
      <c r="C1032" s="105" t="s">
        <v>4</v>
      </c>
      <c r="D1032" s="74" t="s">
        <v>2224</v>
      </c>
      <c r="E1032" s="89"/>
      <c r="F1032" s="89"/>
      <c r="G1032" s="65" t="str">
        <f>IF(stdProdLT(Main[[#This Row],[Comments]])=0.1,"N/A",IF(stdProdLT(Main[[#This Row],[Comments]])=0,"",TRIM(stdProdLT(Main[[#This Row],[Comments]]))))</f>
        <v/>
      </c>
      <c r="H1032" s="98" t="str">
        <f>IF(Main[[#This Row],[Std. Prod. Lead Time]]="N/A", "",IF(AND(Main[[#This Row],[In Stock Date]]&lt;&gt;"",Main[[#This Row],[Revised Due Date]]&lt;&gt;"",Main[[#This Row],[In Stock Date]]&lt;&gt;""),Main[[#This Row],[In Stock Date]]-Main[[#This Row],[Revised Due Date]],""))</f>
        <v/>
      </c>
      <c r="I1032" s="110" t="s">
        <v>912</v>
      </c>
      <c r="J1032" s="99" t="s">
        <v>21</v>
      </c>
      <c r="K1032" s="99" t="s">
        <v>1922</v>
      </c>
      <c r="L1032" s="89"/>
      <c r="M1032" s="75" t="str">
        <f>IF(Main[[#This Row],[Tech Start Date]]&lt;1/1/1990,"",IF(Main[[#This Row],[Class]]="C",WORKDAY(Main[[#This Row],[Tech Start Date]],9),IF(Main[[#This Row],[Class]]="B", WORKDAY(Main[[#This Row],[Tech Start Date]],6),IF(Main[[#This Row],[Class]]="A",WORKDAY(Main[[#This Row],[Tech Start Date]],2),""))))</f>
        <v/>
      </c>
      <c r="N1032" s="75" t="str">
        <f>IF(Main[[#This Row],[Tech Start Date]]&lt;1/1/1990,"",IF(Main[[#This Row],[Class]]="C",WORKDAY(Main[[#This Row],[Tech Start Date]],19),IF(Main[[#This Row],[Class]]="B", WORKDAY(Main[[#This Row],[Tech Start Date]],12),IF(Main[[#This Row],[Class]]="A",WORKDAY(Main[[#This Row],[Tech Start Date]],4),""))))</f>
        <v/>
      </c>
      <c r="O1032" s="75" t="str">
        <f>IF(Main[[#This Row],[Tech Start Date]]&lt;1/1/1990,"",IF(Main[[#This Row],[Class]]="C",WORKDAY(Main[[#This Row],[Tech Start Date]],23),IF(Main[[#This Row],[Class]]="B", WORKDAY(Main[[#This Row],[Tech Start Date]],15),IF(Main[[#This Row],[Class]]="A",WORKDAY(Main[[#This Row],[Tech Start Date]],5),""))))</f>
        <v/>
      </c>
      <c r="P1032" s="75" t="str">
        <f>IF(Main[[#This Row],[Tech Start Date]]&lt;1/1/1990,"",IF(Main[[#This Row],[Class]]="C",WORKDAY(Main[[#This Row],[Tech Start Date]],28),IF(Main[[#This Row],[Class]]="B", WORKDAY(Main[[#This Row],[Tech Start Date]],19),IF(Main[[#This Row],[Class]]="A",WORKDAY(Main[[#This Row],[Tech Start Date]],9),""))))</f>
        <v/>
      </c>
      <c r="Q1032" s="89"/>
      <c r="R1032" s="121"/>
      <c r="S1032" s="99" t="s">
        <v>23</v>
      </c>
      <c r="T1032" s="76" t="s">
        <v>4</v>
      </c>
      <c r="U1032" s="99" t="s">
        <v>14</v>
      </c>
      <c r="V1032" s="99" t="s">
        <v>1913</v>
      </c>
      <c r="W1032" s="99" t="s">
        <v>1917</v>
      </c>
      <c r="X1032" s="99" t="s">
        <v>399</v>
      </c>
      <c r="Y1032" s="73" t="s">
        <v>4</v>
      </c>
      <c r="Z1032" s="73" t="s">
        <v>912</v>
      </c>
      <c r="AA1032" s="99" t="s">
        <v>3440</v>
      </c>
    </row>
    <row r="1033" spans="1:27" ht="17.25" customHeight="1">
      <c r="A1033" s="65" t="str">
        <f>IF(priority(Main[[#This Row],[Comments]])&lt;&gt;0, priority(Main[[#This Row],[Comments]]),"")</f>
        <v/>
      </c>
      <c r="B1033" s="60" t="s">
        <v>1401</v>
      </c>
      <c r="C1033" s="105" t="s">
        <v>4</v>
      </c>
      <c r="D1033" s="74" t="s">
        <v>2192</v>
      </c>
      <c r="E1033" s="89"/>
      <c r="F1033" s="89"/>
      <c r="G1033" s="65" t="str">
        <f>IF(stdProdLT(Main[[#This Row],[Comments]])=0.1,"N/A",IF(stdProdLT(Main[[#This Row],[Comments]])=0,"",TRIM(stdProdLT(Main[[#This Row],[Comments]]))))</f>
        <v/>
      </c>
      <c r="H1033" s="98" t="str">
        <f>IF(Main[[#This Row],[Std. Prod. Lead Time]]="N/A", "",IF(AND(Main[[#This Row],[In Stock Date]]&lt;&gt;"",Main[[#This Row],[Revised Due Date]]&lt;&gt;"",Main[[#This Row],[In Stock Date]]&lt;&gt;""),Main[[#This Row],[In Stock Date]]-Main[[#This Row],[Revised Due Date]],""))</f>
        <v/>
      </c>
      <c r="I1033" s="110" t="s">
        <v>530</v>
      </c>
      <c r="J1033" s="99" t="s">
        <v>52</v>
      </c>
      <c r="K1033" s="99" t="s">
        <v>1922</v>
      </c>
      <c r="L1033" s="89"/>
      <c r="M1033" s="75" t="str">
        <f>IF(Main[[#This Row],[Tech Start Date]]&lt;1/1/1990,"",IF(Main[[#This Row],[Class]]="C",WORKDAY(Main[[#This Row],[Tech Start Date]],9),IF(Main[[#This Row],[Class]]="B", WORKDAY(Main[[#This Row],[Tech Start Date]],6),IF(Main[[#This Row],[Class]]="A",WORKDAY(Main[[#This Row],[Tech Start Date]],2),""))))</f>
        <v/>
      </c>
      <c r="N1033" s="75" t="str">
        <f>IF(Main[[#This Row],[Tech Start Date]]&lt;1/1/1990,"",IF(Main[[#This Row],[Class]]="C",WORKDAY(Main[[#This Row],[Tech Start Date]],19),IF(Main[[#This Row],[Class]]="B", WORKDAY(Main[[#This Row],[Tech Start Date]],12),IF(Main[[#This Row],[Class]]="A",WORKDAY(Main[[#This Row],[Tech Start Date]],4),""))))</f>
        <v/>
      </c>
      <c r="O1033" s="75" t="str">
        <f>IF(Main[[#This Row],[Tech Start Date]]&lt;1/1/1990,"",IF(Main[[#This Row],[Class]]="C",WORKDAY(Main[[#This Row],[Tech Start Date]],23),IF(Main[[#This Row],[Class]]="B", WORKDAY(Main[[#This Row],[Tech Start Date]],15),IF(Main[[#This Row],[Class]]="A",WORKDAY(Main[[#This Row],[Tech Start Date]],5),""))))</f>
        <v/>
      </c>
      <c r="P1033" s="75" t="str">
        <f>IF(Main[[#This Row],[Tech Start Date]]&lt;1/1/1990,"",IF(Main[[#This Row],[Class]]="C",WORKDAY(Main[[#This Row],[Tech Start Date]],28),IF(Main[[#This Row],[Class]]="B", WORKDAY(Main[[#This Row],[Tech Start Date]],19),IF(Main[[#This Row],[Class]]="A",WORKDAY(Main[[#This Row],[Tech Start Date]],9),""))))</f>
        <v/>
      </c>
      <c r="Q1033" s="89">
        <v>40390</v>
      </c>
      <c r="R1033" s="121"/>
      <c r="S1033" s="99" t="s">
        <v>6</v>
      </c>
      <c r="T1033" s="76" t="s">
        <v>4</v>
      </c>
      <c r="U1033" s="99" t="s">
        <v>14</v>
      </c>
      <c r="V1033" s="99" t="s">
        <v>1916</v>
      </c>
      <c r="W1033" s="99" t="s">
        <v>1917</v>
      </c>
      <c r="X1033" s="99" t="s">
        <v>2813</v>
      </c>
      <c r="Y1033" s="73" t="s">
        <v>2926</v>
      </c>
      <c r="Z1033" s="73" t="s">
        <v>44</v>
      </c>
      <c r="AA1033" s="99" t="s">
        <v>2813</v>
      </c>
    </row>
    <row r="1034" spans="1:27" ht="17.25" customHeight="1">
      <c r="A1034" s="65" t="str">
        <f>IF(priority(Main[[#This Row],[Comments]])&lt;&gt;0, priority(Main[[#This Row],[Comments]]),"")</f>
        <v/>
      </c>
      <c r="B1034" s="60" t="s">
        <v>1646</v>
      </c>
      <c r="C1034" s="105" t="s">
        <v>499</v>
      </c>
      <c r="D1034" s="74" t="s">
        <v>2170</v>
      </c>
      <c r="E1034" s="89">
        <v>40655.401631944442</v>
      </c>
      <c r="F1034" s="89"/>
      <c r="G1034" s="65" t="str">
        <f>IF(stdProdLT(Main[[#This Row],[Comments]])=0.1,"N/A",IF(stdProdLT(Main[[#This Row],[Comments]])=0,"",TRIM(stdProdLT(Main[[#This Row],[Comments]]))))</f>
        <v/>
      </c>
      <c r="H1034" s="98" t="str">
        <f>IF(Main[[#This Row],[Std. Prod. Lead Time]]="N/A", "",IF(AND(Main[[#This Row],[In Stock Date]]&lt;&gt;"",Main[[#This Row],[Revised Due Date]]&lt;&gt;"",Main[[#This Row],[In Stock Date]]&lt;&gt;""),Main[[#This Row],[In Stock Date]]-Main[[#This Row],[Revised Due Date]],""))</f>
        <v/>
      </c>
      <c r="I1034" s="110" t="s">
        <v>50</v>
      </c>
      <c r="J1034" s="99" t="s">
        <v>52</v>
      </c>
      <c r="K1034" s="100" t="s">
        <v>1922</v>
      </c>
      <c r="L1034" s="89"/>
      <c r="M1034" s="75" t="str">
        <f>IF(Main[[#This Row],[Tech Start Date]]&lt;1/1/1990,"",IF(Main[[#This Row],[Class]]="C",WORKDAY(Main[[#This Row],[Tech Start Date]],9),IF(Main[[#This Row],[Class]]="B", WORKDAY(Main[[#This Row],[Tech Start Date]],6),IF(Main[[#This Row],[Class]]="A",WORKDAY(Main[[#This Row],[Tech Start Date]],2),""))))</f>
        <v/>
      </c>
      <c r="N1034" s="75" t="str">
        <f>IF(Main[[#This Row],[Tech Start Date]]&lt;1/1/1990,"",IF(Main[[#This Row],[Class]]="C",WORKDAY(Main[[#This Row],[Tech Start Date]],19),IF(Main[[#This Row],[Class]]="B", WORKDAY(Main[[#This Row],[Tech Start Date]],12),IF(Main[[#This Row],[Class]]="A",WORKDAY(Main[[#This Row],[Tech Start Date]],4),""))))</f>
        <v/>
      </c>
      <c r="O1034" s="75" t="str">
        <f>IF(Main[[#This Row],[Tech Start Date]]&lt;1/1/1990,"",IF(Main[[#This Row],[Class]]="C",WORKDAY(Main[[#This Row],[Tech Start Date]],23),IF(Main[[#This Row],[Class]]="B", WORKDAY(Main[[#This Row],[Tech Start Date]],15),IF(Main[[#This Row],[Class]]="A",WORKDAY(Main[[#This Row],[Tech Start Date]],5),""))))</f>
        <v/>
      </c>
      <c r="P1034" s="75" t="str">
        <f>IF(Main[[#This Row],[Tech Start Date]]&lt;1/1/1990,"",IF(Main[[#This Row],[Class]]="C",WORKDAY(Main[[#This Row],[Tech Start Date]],28),IF(Main[[#This Row],[Class]]="B", WORKDAY(Main[[#This Row],[Tech Start Date]],19),IF(Main[[#This Row],[Class]]="A",WORKDAY(Main[[#This Row],[Tech Start Date]],9),""))))</f>
        <v/>
      </c>
      <c r="Q1034" s="89"/>
      <c r="R1034" s="121"/>
      <c r="S1034" s="99" t="s">
        <v>6</v>
      </c>
      <c r="T1034" s="76" t="s">
        <v>4</v>
      </c>
      <c r="U1034" s="99" t="s">
        <v>534</v>
      </c>
      <c r="V1034" s="99" t="s">
        <v>1913</v>
      </c>
      <c r="W1034" s="99" t="s">
        <v>1919</v>
      </c>
      <c r="X1034" s="99" t="s">
        <v>399</v>
      </c>
      <c r="Y1034" s="73" t="s">
        <v>4</v>
      </c>
      <c r="Z1034" s="73" t="s">
        <v>129</v>
      </c>
      <c r="AA1034" s="99" t="s">
        <v>3441</v>
      </c>
    </row>
    <row r="1035" spans="1:27" ht="17.25" customHeight="1">
      <c r="A1035" s="65" t="str">
        <f>IF(priority(Main[[#This Row],[Comments]])&lt;&gt;0, priority(Main[[#This Row],[Comments]]),"")</f>
        <v/>
      </c>
      <c r="B1035" s="60" t="s">
        <v>1862</v>
      </c>
      <c r="C1035" s="105" t="s">
        <v>4</v>
      </c>
      <c r="D1035" s="74" t="s">
        <v>2667</v>
      </c>
      <c r="E1035" s="89">
        <v>40501.677928240744</v>
      </c>
      <c r="F1035" s="89"/>
      <c r="G1035" s="65" t="str">
        <f>IF(stdProdLT(Main[[#This Row],[Comments]])=0.1,"N/A",IF(stdProdLT(Main[[#This Row],[Comments]])=0,"",TRIM(stdProdLT(Main[[#This Row],[Comments]]))))</f>
        <v/>
      </c>
      <c r="H1035" s="98" t="str">
        <f>IF(Main[[#This Row],[Std. Prod. Lead Time]]="N/A", "",IF(AND(Main[[#This Row],[In Stock Date]]&lt;&gt;"",Main[[#This Row],[Revised Due Date]]&lt;&gt;"",Main[[#This Row],[In Stock Date]]&lt;&gt;""),Main[[#This Row],[In Stock Date]]-Main[[#This Row],[Revised Due Date]],""))</f>
        <v/>
      </c>
      <c r="I1035" s="110" t="s">
        <v>907</v>
      </c>
      <c r="J1035" s="99" t="s">
        <v>28</v>
      </c>
      <c r="K1035" s="99" t="s">
        <v>1925</v>
      </c>
      <c r="L1035" s="89"/>
      <c r="M1035" s="75" t="str">
        <f>IF(Main[[#This Row],[Tech Start Date]]&lt;1/1/1990,"",IF(Main[[#This Row],[Class]]="C",WORKDAY(Main[[#This Row],[Tech Start Date]],9),IF(Main[[#This Row],[Class]]="B", WORKDAY(Main[[#This Row],[Tech Start Date]],6),IF(Main[[#This Row],[Class]]="A",WORKDAY(Main[[#This Row],[Tech Start Date]],2),""))))</f>
        <v/>
      </c>
      <c r="N1035" s="75" t="str">
        <f>IF(Main[[#This Row],[Tech Start Date]]&lt;1/1/1990,"",IF(Main[[#This Row],[Class]]="C",WORKDAY(Main[[#This Row],[Tech Start Date]],19),IF(Main[[#This Row],[Class]]="B", WORKDAY(Main[[#This Row],[Tech Start Date]],12),IF(Main[[#This Row],[Class]]="A",WORKDAY(Main[[#This Row],[Tech Start Date]],4),""))))</f>
        <v/>
      </c>
      <c r="O1035" s="75" t="str">
        <f>IF(Main[[#This Row],[Tech Start Date]]&lt;1/1/1990,"",IF(Main[[#This Row],[Class]]="C",WORKDAY(Main[[#This Row],[Tech Start Date]],23),IF(Main[[#This Row],[Class]]="B", WORKDAY(Main[[#This Row],[Tech Start Date]],15),IF(Main[[#This Row],[Class]]="A",WORKDAY(Main[[#This Row],[Tech Start Date]],5),""))))</f>
        <v/>
      </c>
      <c r="P1035" s="75" t="str">
        <f>IF(Main[[#This Row],[Tech Start Date]]&lt;1/1/1990,"",IF(Main[[#This Row],[Class]]="C",WORKDAY(Main[[#This Row],[Tech Start Date]],28),IF(Main[[#This Row],[Class]]="B", WORKDAY(Main[[#This Row],[Tech Start Date]],19),IF(Main[[#This Row],[Class]]="A",WORKDAY(Main[[#This Row],[Tech Start Date]],9),""))))</f>
        <v/>
      </c>
      <c r="Q1035" s="89">
        <v>41274</v>
      </c>
      <c r="R1035" s="121">
        <v>41274</v>
      </c>
      <c r="S1035" s="99" t="s">
        <v>17</v>
      </c>
      <c r="T1035" s="76" t="s">
        <v>4</v>
      </c>
      <c r="U1035" s="99" t="s">
        <v>29</v>
      </c>
      <c r="V1035" s="99" t="s">
        <v>1913</v>
      </c>
      <c r="W1035" s="99" t="s">
        <v>1918</v>
      </c>
      <c r="X1035" s="99" t="s">
        <v>907</v>
      </c>
      <c r="Y1035" s="73" t="s">
        <v>4</v>
      </c>
      <c r="Z1035" s="73" t="s">
        <v>129</v>
      </c>
      <c r="AA1035" s="99" t="s">
        <v>2822</v>
      </c>
    </row>
    <row r="1036" spans="1:27" ht="17.25" customHeight="1">
      <c r="A1036" s="65" t="str">
        <f>IF(priority(Main[[#This Row],[Comments]])&lt;&gt;0, priority(Main[[#This Row],[Comments]]),"")</f>
        <v/>
      </c>
      <c r="B1036" s="60" t="s">
        <v>2230</v>
      </c>
      <c r="C1036" s="105" t="s">
        <v>4</v>
      </c>
      <c r="D1036" s="74" t="s">
        <v>2231</v>
      </c>
      <c r="E1036" s="89"/>
      <c r="F1036" s="89"/>
      <c r="G1036" s="65" t="str">
        <f>IF(stdProdLT(Main[[#This Row],[Comments]])=0.1,"N/A",IF(stdProdLT(Main[[#This Row],[Comments]])=0,"",TRIM(stdProdLT(Main[[#This Row],[Comments]]))))</f>
        <v/>
      </c>
      <c r="H1036" s="98" t="str">
        <f>IF(Main[[#This Row],[Std. Prod. Lead Time]]="N/A", "",IF(AND(Main[[#This Row],[In Stock Date]]&lt;&gt;"",Main[[#This Row],[Revised Due Date]]&lt;&gt;"",Main[[#This Row],[In Stock Date]]&lt;&gt;""),Main[[#This Row],[In Stock Date]]-Main[[#This Row],[Revised Due Date]],""))</f>
        <v/>
      </c>
      <c r="I1036" s="110" t="s">
        <v>4</v>
      </c>
      <c r="J1036" s="99" t="s">
        <v>4</v>
      </c>
      <c r="K1036" s="100" t="s">
        <v>4</v>
      </c>
      <c r="L1036" s="89"/>
      <c r="M1036" s="75" t="str">
        <f>IF(Main[[#This Row],[Tech Start Date]]&lt;1/1/1990,"",IF(Main[[#This Row],[Class]]="C",WORKDAY(Main[[#This Row],[Tech Start Date]],9),IF(Main[[#This Row],[Class]]="B", WORKDAY(Main[[#This Row],[Tech Start Date]],6),IF(Main[[#This Row],[Class]]="A",WORKDAY(Main[[#This Row],[Tech Start Date]],2),""))))</f>
        <v/>
      </c>
      <c r="N1036" s="75" t="str">
        <f>IF(Main[[#This Row],[Tech Start Date]]&lt;1/1/1990,"",IF(Main[[#This Row],[Class]]="C",WORKDAY(Main[[#This Row],[Tech Start Date]],19),IF(Main[[#This Row],[Class]]="B", WORKDAY(Main[[#This Row],[Tech Start Date]],12),IF(Main[[#This Row],[Class]]="A",WORKDAY(Main[[#This Row],[Tech Start Date]],4),""))))</f>
        <v/>
      </c>
      <c r="O1036" s="75" t="str">
        <f>IF(Main[[#This Row],[Tech Start Date]]&lt;1/1/1990,"",IF(Main[[#This Row],[Class]]="C",WORKDAY(Main[[#This Row],[Tech Start Date]],23),IF(Main[[#This Row],[Class]]="B", WORKDAY(Main[[#This Row],[Tech Start Date]],15),IF(Main[[#This Row],[Class]]="A",WORKDAY(Main[[#This Row],[Tech Start Date]],5),""))))</f>
        <v/>
      </c>
      <c r="P1036" s="75" t="str">
        <f>IF(Main[[#This Row],[Tech Start Date]]&lt;1/1/1990,"",IF(Main[[#This Row],[Class]]="C",WORKDAY(Main[[#This Row],[Tech Start Date]],28),IF(Main[[#This Row],[Class]]="B", WORKDAY(Main[[#This Row],[Tech Start Date]],19),IF(Main[[#This Row],[Class]]="A",WORKDAY(Main[[#This Row],[Tech Start Date]],9),""))))</f>
        <v/>
      </c>
      <c r="Q1036" s="89"/>
      <c r="R1036" s="121"/>
      <c r="S1036" s="99" t="s">
        <v>49</v>
      </c>
      <c r="T1036" s="76" t="s">
        <v>4</v>
      </c>
      <c r="U1036" s="99" t="s">
        <v>14</v>
      </c>
      <c r="V1036" s="99" t="s">
        <v>1928</v>
      </c>
      <c r="W1036" s="99" t="s">
        <v>1917</v>
      </c>
      <c r="X1036" s="99" t="s">
        <v>306</v>
      </c>
      <c r="Y1036" s="73" t="s">
        <v>4</v>
      </c>
      <c r="Z1036" s="73" t="s">
        <v>4</v>
      </c>
      <c r="AA1036" s="99" t="s">
        <v>4</v>
      </c>
    </row>
    <row r="1037" spans="1:27" ht="17.25" customHeight="1">
      <c r="A1037" s="65" t="str">
        <f>IF(priority(Main[[#This Row],[Comments]])&lt;&gt;0, priority(Main[[#This Row],[Comments]]),"")</f>
        <v/>
      </c>
      <c r="B1037" s="60" t="s">
        <v>2400</v>
      </c>
      <c r="C1037" s="105" t="s">
        <v>2004</v>
      </c>
      <c r="D1037" s="74" t="s">
        <v>2373</v>
      </c>
      <c r="E1037" s="89"/>
      <c r="F1037" s="89"/>
      <c r="G1037" s="65" t="str">
        <f>IF(stdProdLT(Main[[#This Row],[Comments]])=0.1,"N/A",IF(stdProdLT(Main[[#This Row],[Comments]])=0,"",TRIM(stdProdLT(Main[[#This Row],[Comments]]))))</f>
        <v/>
      </c>
      <c r="H1037" s="98" t="str">
        <f>IF(Main[[#This Row],[Std. Prod. Lead Time]]="N/A", "",IF(AND(Main[[#This Row],[In Stock Date]]&lt;&gt;"",Main[[#This Row],[Revised Due Date]]&lt;&gt;"",Main[[#This Row],[In Stock Date]]&lt;&gt;""),Main[[#This Row],[In Stock Date]]-Main[[#This Row],[Revised Due Date]],""))</f>
        <v/>
      </c>
      <c r="I1037" s="110" t="s">
        <v>4</v>
      </c>
      <c r="J1037" s="99" t="s">
        <v>4</v>
      </c>
      <c r="K1037" s="99" t="s">
        <v>4</v>
      </c>
      <c r="L1037" s="89"/>
      <c r="M1037" s="75" t="str">
        <f>IF(Main[[#This Row],[Tech Start Date]]&lt;1/1/1990,"",IF(Main[[#This Row],[Class]]="C",WORKDAY(Main[[#This Row],[Tech Start Date]],9),IF(Main[[#This Row],[Class]]="B", WORKDAY(Main[[#This Row],[Tech Start Date]],6),IF(Main[[#This Row],[Class]]="A",WORKDAY(Main[[#This Row],[Tech Start Date]],2),""))))</f>
        <v/>
      </c>
      <c r="N1037" s="75" t="str">
        <f>IF(Main[[#This Row],[Tech Start Date]]&lt;1/1/1990,"",IF(Main[[#This Row],[Class]]="C",WORKDAY(Main[[#This Row],[Tech Start Date]],19),IF(Main[[#This Row],[Class]]="B", WORKDAY(Main[[#This Row],[Tech Start Date]],12),IF(Main[[#This Row],[Class]]="A",WORKDAY(Main[[#This Row],[Tech Start Date]],4),""))))</f>
        <v/>
      </c>
      <c r="O1037" s="75" t="str">
        <f>IF(Main[[#This Row],[Tech Start Date]]&lt;1/1/1990,"",IF(Main[[#This Row],[Class]]="C",WORKDAY(Main[[#This Row],[Tech Start Date]],23),IF(Main[[#This Row],[Class]]="B", WORKDAY(Main[[#This Row],[Tech Start Date]],15),IF(Main[[#This Row],[Class]]="A",WORKDAY(Main[[#This Row],[Tech Start Date]],5),""))))</f>
        <v/>
      </c>
      <c r="P1037" s="75" t="str">
        <f>IF(Main[[#This Row],[Tech Start Date]]&lt;1/1/1990,"",IF(Main[[#This Row],[Class]]="C",WORKDAY(Main[[#This Row],[Tech Start Date]],28),IF(Main[[#This Row],[Class]]="B", WORKDAY(Main[[#This Row],[Tech Start Date]],19),IF(Main[[#This Row],[Class]]="A",WORKDAY(Main[[#This Row],[Tech Start Date]],9),""))))</f>
        <v/>
      </c>
      <c r="Q1037" s="89">
        <v>40908</v>
      </c>
      <c r="R1037" s="121"/>
      <c r="S1037" s="99" t="s">
        <v>11</v>
      </c>
      <c r="T1037" s="76" t="s">
        <v>4</v>
      </c>
      <c r="U1037" s="99" t="s">
        <v>14</v>
      </c>
      <c r="V1037" s="99" t="s">
        <v>1916</v>
      </c>
      <c r="W1037" s="99" t="s">
        <v>1915</v>
      </c>
      <c r="X1037" s="99" t="s">
        <v>553</v>
      </c>
      <c r="Y1037" s="73" t="s">
        <v>2946</v>
      </c>
      <c r="Z1037" s="73" t="s">
        <v>4</v>
      </c>
      <c r="AA1037" s="99" t="s">
        <v>553</v>
      </c>
    </row>
    <row r="1038" spans="1:27" ht="17.25" customHeight="1">
      <c r="A1038" s="65" t="str">
        <f>IF(priority(Main[[#This Row],[Comments]])&lt;&gt;0, priority(Main[[#This Row],[Comments]]),"")</f>
        <v/>
      </c>
      <c r="B1038" s="60" t="s">
        <v>3924</v>
      </c>
      <c r="C1038" s="105" t="s">
        <v>58</v>
      </c>
      <c r="D1038" s="74" t="s">
        <v>3925</v>
      </c>
      <c r="E1038" s="89">
        <v>40968.637592592589</v>
      </c>
      <c r="F1038" s="89">
        <v>41108</v>
      </c>
      <c r="G1038" s="65" t="str">
        <f>IF(stdProdLT(Main[[#This Row],[Comments]])=0.1,"N/A",IF(stdProdLT(Main[[#This Row],[Comments]])=0,"",TRIM(stdProdLT(Main[[#This Row],[Comments]]))))</f>
        <v/>
      </c>
      <c r="H1038" s="98" t="str">
        <f>IF(Main[[#This Row],[Std. Prod. Lead Time]]="N/A", "",IF(AND(Main[[#This Row],[In Stock Date]]&lt;&gt;"",Main[[#This Row],[Revised Due Date]]&lt;&gt;"",Main[[#This Row],[In Stock Date]]&lt;&gt;""),Main[[#This Row],[In Stock Date]]-Main[[#This Row],[Revised Due Date]],""))</f>
        <v/>
      </c>
      <c r="I1038" s="110" t="s">
        <v>4</v>
      </c>
      <c r="J1038" s="99" t="s">
        <v>75</v>
      </c>
      <c r="K1038" s="100" t="s">
        <v>4</v>
      </c>
      <c r="L1038" s="89"/>
      <c r="M1038" s="75" t="str">
        <f>IF(Main[[#This Row],[Tech Start Date]]&lt;1/1/1990,"",IF(Main[[#This Row],[Class]]="C",WORKDAY(Main[[#This Row],[Tech Start Date]],9),IF(Main[[#This Row],[Class]]="B", WORKDAY(Main[[#This Row],[Tech Start Date]],6),IF(Main[[#This Row],[Class]]="A",WORKDAY(Main[[#This Row],[Tech Start Date]],2),""))))</f>
        <v/>
      </c>
      <c r="N1038" s="75" t="str">
        <f>IF(Main[[#This Row],[Tech Start Date]]&lt;1/1/1990,"",IF(Main[[#This Row],[Class]]="C",WORKDAY(Main[[#This Row],[Tech Start Date]],19),IF(Main[[#This Row],[Class]]="B", WORKDAY(Main[[#This Row],[Tech Start Date]],12),IF(Main[[#This Row],[Class]]="A",WORKDAY(Main[[#This Row],[Tech Start Date]],4),""))))</f>
        <v/>
      </c>
      <c r="O1038" s="75" t="str">
        <f>IF(Main[[#This Row],[Tech Start Date]]&lt;1/1/1990,"",IF(Main[[#This Row],[Class]]="C",WORKDAY(Main[[#This Row],[Tech Start Date]],23),IF(Main[[#This Row],[Class]]="B", WORKDAY(Main[[#This Row],[Tech Start Date]],15),IF(Main[[#This Row],[Class]]="A",WORKDAY(Main[[#This Row],[Tech Start Date]],5),""))))</f>
        <v/>
      </c>
      <c r="P1038" s="75" t="str">
        <f>IF(Main[[#This Row],[Tech Start Date]]&lt;1/1/1990,"",IF(Main[[#This Row],[Class]]="C",WORKDAY(Main[[#This Row],[Tech Start Date]],28),IF(Main[[#This Row],[Class]]="B", WORKDAY(Main[[#This Row],[Tech Start Date]],19),IF(Main[[#This Row],[Class]]="A",WORKDAY(Main[[#This Row],[Tech Start Date]],9),""))))</f>
        <v/>
      </c>
      <c r="Q1038" s="89">
        <v>40996</v>
      </c>
      <c r="R1038" s="121"/>
      <c r="S1038" s="99" t="s">
        <v>11</v>
      </c>
      <c r="T1038" s="76" t="s">
        <v>4</v>
      </c>
      <c r="U1038" s="99" t="s">
        <v>7</v>
      </c>
      <c r="V1038" s="99" t="s">
        <v>1913</v>
      </c>
      <c r="W1038" s="99" t="s">
        <v>1924</v>
      </c>
      <c r="X1038" s="99" t="s">
        <v>2823</v>
      </c>
      <c r="Y1038" s="73" t="s">
        <v>3926</v>
      </c>
      <c r="Z1038" s="73" t="s">
        <v>306</v>
      </c>
      <c r="AA1038" s="99" t="s">
        <v>2823</v>
      </c>
    </row>
    <row r="1039" spans="1:27" ht="17.25" customHeight="1">
      <c r="A1039" s="65" t="str">
        <f>IF(priority(Main[[#This Row],[Comments]])&lt;&gt;0, priority(Main[[#This Row],[Comments]]),"")</f>
        <v/>
      </c>
      <c r="B1039" s="60" t="s">
        <v>2276</v>
      </c>
      <c r="C1039" s="105" t="s">
        <v>2274</v>
      </c>
      <c r="D1039" s="74" t="s">
        <v>2277</v>
      </c>
      <c r="E1039" s="89"/>
      <c r="F1039" s="89">
        <v>40907</v>
      </c>
      <c r="G1039" s="65" t="str">
        <f>IF(stdProdLT(Main[[#This Row],[Comments]])=0.1,"N/A",IF(stdProdLT(Main[[#This Row],[Comments]])=0,"",TRIM(stdProdLT(Main[[#This Row],[Comments]]))))</f>
        <v/>
      </c>
      <c r="H1039" s="98" t="str">
        <f>IF(Main[[#This Row],[Std. Prod. Lead Time]]="N/A", "",IF(AND(Main[[#This Row],[In Stock Date]]&lt;&gt;"",Main[[#This Row],[Revised Due Date]]&lt;&gt;"",Main[[#This Row],[In Stock Date]]&lt;&gt;""),Main[[#This Row],[In Stock Date]]-Main[[#This Row],[Revised Due Date]],""))</f>
        <v/>
      </c>
      <c r="I1039" s="110" t="s">
        <v>4</v>
      </c>
      <c r="J1039" s="99" t="s">
        <v>4</v>
      </c>
      <c r="K1039" s="99" t="s">
        <v>4</v>
      </c>
      <c r="L1039" s="89"/>
      <c r="M1039" s="75" t="str">
        <f>IF(Main[[#This Row],[Tech Start Date]]&lt;1/1/1990,"",IF(Main[[#This Row],[Class]]="C",WORKDAY(Main[[#This Row],[Tech Start Date]],9),IF(Main[[#This Row],[Class]]="B", WORKDAY(Main[[#This Row],[Tech Start Date]],6),IF(Main[[#This Row],[Class]]="A",WORKDAY(Main[[#This Row],[Tech Start Date]],2),""))))</f>
        <v/>
      </c>
      <c r="N1039" s="75" t="str">
        <f>IF(Main[[#This Row],[Tech Start Date]]&lt;1/1/1990,"",IF(Main[[#This Row],[Class]]="C",WORKDAY(Main[[#This Row],[Tech Start Date]],19),IF(Main[[#This Row],[Class]]="B", WORKDAY(Main[[#This Row],[Tech Start Date]],12),IF(Main[[#This Row],[Class]]="A",WORKDAY(Main[[#This Row],[Tech Start Date]],4),""))))</f>
        <v/>
      </c>
      <c r="O1039" s="75" t="str">
        <f>IF(Main[[#This Row],[Tech Start Date]]&lt;1/1/1990,"",IF(Main[[#This Row],[Class]]="C",WORKDAY(Main[[#This Row],[Tech Start Date]],23),IF(Main[[#This Row],[Class]]="B", WORKDAY(Main[[#This Row],[Tech Start Date]],15),IF(Main[[#This Row],[Class]]="A",WORKDAY(Main[[#This Row],[Tech Start Date]],5),""))))</f>
        <v/>
      </c>
      <c r="P1039" s="75" t="str">
        <f>IF(Main[[#This Row],[Tech Start Date]]&lt;1/1/1990,"",IF(Main[[#This Row],[Class]]="C",WORKDAY(Main[[#This Row],[Tech Start Date]],28),IF(Main[[#This Row],[Class]]="B", WORKDAY(Main[[#This Row],[Tech Start Date]],19),IF(Main[[#This Row],[Class]]="A",WORKDAY(Main[[#This Row],[Tech Start Date]],9),""))))</f>
        <v/>
      </c>
      <c r="Q1039" s="89">
        <v>40816</v>
      </c>
      <c r="R1039" s="121"/>
      <c r="S1039" s="99" t="s">
        <v>296</v>
      </c>
      <c r="T1039" s="76" t="s">
        <v>4</v>
      </c>
      <c r="U1039" s="99" t="s">
        <v>14</v>
      </c>
      <c r="V1039" s="99" t="s">
        <v>1923</v>
      </c>
      <c r="W1039" s="99" t="s">
        <v>1921</v>
      </c>
      <c r="X1039" s="99" t="s">
        <v>2904</v>
      </c>
      <c r="Y1039" s="73" t="s">
        <v>3111</v>
      </c>
      <c r="Z1039" s="73" t="s">
        <v>4</v>
      </c>
      <c r="AA1039" s="99" t="s">
        <v>3442</v>
      </c>
    </row>
    <row r="1040" spans="1:27" ht="17.25" customHeight="1">
      <c r="A1040" s="65" t="str">
        <f>IF(priority(Main[[#This Row],[Comments]])&lt;&gt;0, priority(Main[[#This Row],[Comments]]),"")</f>
        <v/>
      </c>
      <c r="B1040" s="60" t="s">
        <v>2270</v>
      </c>
      <c r="C1040" s="105" t="s">
        <v>518</v>
      </c>
      <c r="D1040" s="74" t="s">
        <v>2271</v>
      </c>
      <c r="E1040" s="89"/>
      <c r="F1040" s="89">
        <v>40854</v>
      </c>
      <c r="G1040" s="65" t="str">
        <f>IF(stdProdLT(Main[[#This Row],[Comments]])=0.1,"N/A",IF(stdProdLT(Main[[#This Row],[Comments]])=0,"",TRIM(stdProdLT(Main[[#This Row],[Comments]]))))</f>
        <v/>
      </c>
      <c r="H1040" s="98" t="str">
        <f>IF(Main[[#This Row],[Std. Prod. Lead Time]]="N/A", "",IF(AND(Main[[#This Row],[In Stock Date]]&lt;&gt;"",Main[[#This Row],[Revised Due Date]]&lt;&gt;"",Main[[#This Row],[In Stock Date]]&lt;&gt;""),Main[[#This Row],[In Stock Date]]-Main[[#This Row],[Revised Due Date]],""))</f>
        <v/>
      </c>
      <c r="I1040" s="110" t="s">
        <v>4</v>
      </c>
      <c r="J1040" s="99" t="s">
        <v>4</v>
      </c>
      <c r="K1040" s="99" t="s">
        <v>4</v>
      </c>
      <c r="L1040" s="89"/>
      <c r="M1040" s="75" t="str">
        <f>IF(Main[[#This Row],[Tech Start Date]]&lt;1/1/1990,"",IF(Main[[#This Row],[Class]]="C",WORKDAY(Main[[#This Row],[Tech Start Date]],9),IF(Main[[#This Row],[Class]]="B", WORKDAY(Main[[#This Row],[Tech Start Date]],6),IF(Main[[#This Row],[Class]]="A",WORKDAY(Main[[#This Row],[Tech Start Date]],2),""))))</f>
        <v/>
      </c>
      <c r="N1040" s="75" t="str">
        <f>IF(Main[[#This Row],[Tech Start Date]]&lt;1/1/1990,"",IF(Main[[#This Row],[Class]]="C",WORKDAY(Main[[#This Row],[Tech Start Date]],19),IF(Main[[#This Row],[Class]]="B", WORKDAY(Main[[#This Row],[Tech Start Date]],12),IF(Main[[#This Row],[Class]]="A",WORKDAY(Main[[#This Row],[Tech Start Date]],4),""))))</f>
        <v/>
      </c>
      <c r="O1040" s="75" t="str">
        <f>IF(Main[[#This Row],[Tech Start Date]]&lt;1/1/1990,"",IF(Main[[#This Row],[Class]]="C",WORKDAY(Main[[#This Row],[Tech Start Date]],23),IF(Main[[#This Row],[Class]]="B", WORKDAY(Main[[#This Row],[Tech Start Date]],15),IF(Main[[#This Row],[Class]]="A",WORKDAY(Main[[#This Row],[Tech Start Date]],5),""))))</f>
        <v/>
      </c>
      <c r="P1040" s="75" t="str">
        <f>IF(Main[[#This Row],[Tech Start Date]]&lt;1/1/1990,"",IF(Main[[#This Row],[Class]]="C",WORKDAY(Main[[#This Row],[Tech Start Date]],28),IF(Main[[#This Row],[Class]]="B", WORKDAY(Main[[#This Row],[Tech Start Date]],19),IF(Main[[#This Row],[Class]]="A",WORKDAY(Main[[#This Row],[Tech Start Date]],9),""))))</f>
        <v/>
      </c>
      <c r="Q1040" s="89">
        <v>40816</v>
      </c>
      <c r="R1040" s="121"/>
      <c r="S1040" s="99" t="s">
        <v>296</v>
      </c>
      <c r="T1040" s="76" t="s">
        <v>4</v>
      </c>
      <c r="U1040" s="99" t="s">
        <v>14</v>
      </c>
      <c r="V1040" s="99" t="s">
        <v>1923</v>
      </c>
      <c r="W1040" s="99" t="s">
        <v>1921</v>
      </c>
      <c r="X1040" s="99" t="s">
        <v>2904</v>
      </c>
      <c r="Y1040" s="73" t="s">
        <v>3112</v>
      </c>
      <c r="Z1040" s="73" t="s">
        <v>4</v>
      </c>
      <c r="AA1040" s="99" t="s">
        <v>3442</v>
      </c>
    </row>
    <row r="1041" spans="1:27" ht="17.25" customHeight="1">
      <c r="A1041" s="65" t="str">
        <f>IF(priority(Main[[#This Row],[Comments]])&lt;&gt;0, priority(Main[[#This Row],[Comments]]),"")</f>
        <v/>
      </c>
      <c r="B1041" s="60" t="s">
        <v>2232</v>
      </c>
      <c r="C1041" s="105" t="s">
        <v>4</v>
      </c>
      <c r="D1041" s="74" t="s">
        <v>2233</v>
      </c>
      <c r="E1041" s="89"/>
      <c r="F1041" s="89"/>
      <c r="G1041" s="65" t="str">
        <f>IF(stdProdLT(Main[[#This Row],[Comments]])=0.1,"N/A",IF(stdProdLT(Main[[#This Row],[Comments]])=0,"",TRIM(stdProdLT(Main[[#This Row],[Comments]]))))</f>
        <v/>
      </c>
      <c r="H1041" s="98" t="str">
        <f>IF(Main[[#This Row],[Std. Prod. Lead Time]]="N/A", "",IF(AND(Main[[#This Row],[In Stock Date]]&lt;&gt;"",Main[[#This Row],[Revised Due Date]]&lt;&gt;"",Main[[#This Row],[In Stock Date]]&lt;&gt;""),Main[[#This Row],[In Stock Date]]-Main[[#This Row],[Revised Due Date]],""))</f>
        <v/>
      </c>
      <c r="I1041" s="110" t="s">
        <v>4</v>
      </c>
      <c r="J1041" s="99" t="s">
        <v>4</v>
      </c>
      <c r="K1041" s="99" t="s">
        <v>4</v>
      </c>
      <c r="L1041" s="89"/>
      <c r="M1041" s="75" t="str">
        <f>IF(Main[[#This Row],[Tech Start Date]]&lt;1/1/1990,"",IF(Main[[#This Row],[Class]]="C",WORKDAY(Main[[#This Row],[Tech Start Date]],9),IF(Main[[#This Row],[Class]]="B", WORKDAY(Main[[#This Row],[Tech Start Date]],6),IF(Main[[#This Row],[Class]]="A",WORKDAY(Main[[#This Row],[Tech Start Date]],2),""))))</f>
        <v/>
      </c>
      <c r="N1041" s="75" t="str">
        <f>IF(Main[[#This Row],[Tech Start Date]]&lt;1/1/1990,"",IF(Main[[#This Row],[Class]]="C",WORKDAY(Main[[#This Row],[Tech Start Date]],19),IF(Main[[#This Row],[Class]]="B", WORKDAY(Main[[#This Row],[Tech Start Date]],12),IF(Main[[#This Row],[Class]]="A",WORKDAY(Main[[#This Row],[Tech Start Date]],4),""))))</f>
        <v/>
      </c>
      <c r="O1041" s="75" t="str">
        <f>IF(Main[[#This Row],[Tech Start Date]]&lt;1/1/1990,"",IF(Main[[#This Row],[Class]]="C",WORKDAY(Main[[#This Row],[Tech Start Date]],23),IF(Main[[#This Row],[Class]]="B", WORKDAY(Main[[#This Row],[Tech Start Date]],15),IF(Main[[#This Row],[Class]]="A",WORKDAY(Main[[#This Row],[Tech Start Date]],5),""))))</f>
        <v/>
      </c>
      <c r="P1041" s="75" t="str">
        <f>IF(Main[[#This Row],[Tech Start Date]]&lt;1/1/1990,"",IF(Main[[#This Row],[Class]]="C",WORKDAY(Main[[#This Row],[Tech Start Date]],28),IF(Main[[#This Row],[Class]]="B", WORKDAY(Main[[#This Row],[Tech Start Date]],19),IF(Main[[#This Row],[Class]]="A",WORKDAY(Main[[#This Row],[Tech Start Date]],9),""))))</f>
        <v/>
      </c>
      <c r="Q1041" s="89"/>
      <c r="R1041" s="121"/>
      <c r="S1041" s="99" t="s">
        <v>49</v>
      </c>
      <c r="T1041" s="76" t="s">
        <v>4</v>
      </c>
      <c r="U1041" s="99" t="s">
        <v>14</v>
      </c>
      <c r="V1041" s="99" t="s">
        <v>1913</v>
      </c>
      <c r="W1041" s="99" t="s">
        <v>1917</v>
      </c>
      <c r="X1041" s="99" t="s">
        <v>306</v>
      </c>
      <c r="Y1041" s="73" t="s">
        <v>4</v>
      </c>
      <c r="Z1041" s="73" t="s">
        <v>4</v>
      </c>
      <c r="AA1041" s="99" t="s">
        <v>4</v>
      </c>
    </row>
    <row r="1042" spans="1:27" ht="17.25" customHeight="1">
      <c r="A1042" s="65" t="str">
        <f>IF(priority(Main[[#This Row],[Comments]])&lt;&gt;0, priority(Main[[#This Row],[Comments]]),"")</f>
        <v/>
      </c>
      <c r="B1042" s="60" t="s">
        <v>1346</v>
      </c>
      <c r="C1042" s="105" t="s">
        <v>433</v>
      </c>
      <c r="D1042" s="74" t="s">
        <v>434</v>
      </c>
      <c r="E1042" s="89">
        <v>40505.653032407405</v>
      </c>
      <c r="F1042" s="89"/>
      <c r="G1042" s="65" t="str">
        <f>IF(stdProdLT(Main[[#This Row],[Comments]])=0.1,"N/A",IF(stdProdLT(Main[[#This Row],[Comments]])=0,"",TRIM(stdProdLT(Main[[#This Row],[Comments]]))))</f>
        <v/>
      </c>
      <c r="H1042" s="98" t="str">
        <f>IF(Main[[#This Row],[Std. Prod. Lead Time]]="N/A", "",IF(AND(Main[[#This Row],[In Stock Date]]&lt;&gt;"",Main[[#This Row],[Revised Due Date]]&lt;&gt;"",Main[[#This Row],[In Stock Date]]&lt;&gt;""),Main[[#This Row],[In Stock Date]]-Main[[#This Row],[Revised Due Date]],""))</f>
        <v/>
      </c>
      <c r="I1042" s="110" t="s">
        <v>30</v>
      </c>
      <c r="J1042" s="99" t="s">
        <v>28</v>
      </c>
      <c r="K1042" s="99" t="s">
        <v>1925</v>
      </c>
      <c r="L1042" s="89"/>
      <c r="M1042" s="75" t="str">
        <f>IF(Main[[#This Row],[Tech Start Date]]&lt;1/1/1990,"",IF(Main[[#This Row],[Class]]="C",WORKDAY(Main[[#This Row],[Tech Start Date]],9),IF(Main[[#This Row],[Class]]="B", WORKDAY(Main[[#This Row],[Tech Start Date]],6),IF(Main[[#This Row],[Class]]="A",WORKDAY(Main[[#This Row],[Tech Start Date]],2),""))))</f>
        <v/>
      </c>
      <c r="N1042" s="75" t="str">
        <f>IF(Main[[#This Row],[Tech Start Date]]&lt;1/1/1990,"",IF(Main[[#This Row],[Class]]="C",WORKDAY(Main[[#This Row],[Tech Start Date]],19),IF(Main[[#This Row],[Class]]="B", WORKDAY(Main[[#This Row],[Tech Start Date]],12),IF(Main[[#This Row],[Class]]="A",WORKDAY(Main[[#This Row],[Tech Start Date]],4),""))))</f>
        <v/>
      </c>
      <c r="O1042" s="75" t="str">
        <f>IF(Main[[#This Row],[Tech Start Date]]&lt;1/1/1990,"",IF(Main[[#This Row],[Class]]="C",WORKDAY(Main[[#This Row],[Tech Start Date]],23),IF(Main[[#This Row],[Class]]="B", WORKDAY(Main[[#This Row],[Tech Start Date]],15),IF(Main[[#This Row],[Class]]="A",WORKDAY(Main[[#This Row],[Tech Start Date]],5),""))))</f>
        <v/>
      </c>
      <c r="P1042" s="75" t="str">
        <f>IF(Main[[#This Row],[Tech Start Date]]&lt;1/1/1990,"",IF(Main[[#This Row],[Class]]="C",WORKDAY(Main[[#This Row],[Tech Start Date]],28),IF(Main[[#This Row],[Class]]="B", WORKDAY(Main[[#This Row],[Tech Start Date]],19),IF(Main[[#This Row],[Class]]="A",WORKDAY(Main[[#This Row],[Tech Start Date]],9),""))))</f>
        <v/>
      </c>
      <c r="Q1042" s="89">
        <v>40620</v>
      </c>
      <c r="R1042" s="121"/>
      <c r="S1042" s="99" t="s">
        <v>17</v>
      </c>
      <c r="T1042" s="76" t="s">
        <v>4</v>
      </c>
      <c r="U1042" s="99" t="s">
        <v>29</v>
      </c>
      <c r="V1042" s="99" t="s">
        <v>1916</v>
      </c>
      <c r="W1042" s="99" t="s">
        <v>1918</v>
      </c>
      <c r="X1042" s="99" t="s">
        <v>765</v>
      </c>
      <c r="Y1042" s="73" t="s">
        <v>3113</v>
      </c>
      <c r="Z1042" s="73" t="s">
        <v>30</v>
      </c>
      <c r="AA1042" s="99" t="s">
        <v>3443</v>
      </c>
    </row>
    <row r="1043" spans="1:27" ht="17.25" customHeight="1">
      <c r="A1043" s="65" t="str">
        <f>IF(priority(Main[[#This Row],[Comments]])&lt;&gt;0, priority(Main[[#This Row],[Comments]]),"")</f>
        <v/>
      </c>
      <c r="B1043" s="60" t="s">
        <v>1473</v>
      </c>
      <c r="C1043" s="105" t="s">
        <v>4</v>
      </c>
      <c r="D1043" s="74" t="s">
        <v>2402</v>
      </c>
      <c r="E1043" s="89">
        <v>40627.399282407408</v>
      </c>
      <c r="F1043" s="89"/>
      <c r="G1043" s="65" t="str">
        <f>IF(stdProdLT(Main[[#This Row],[Comments]])=0.1,"N/A",IF(stdProdLT(Main[[#This Row],[Comments]])=0,"",TRIM(stdProdLT(Main[[#This Row],[Comments]]))))</f>
        <v/>
      </c>
      <c r="H1043" s="98" t="str">
        <f>IF(Main[[#This Row],[Std. Prod. Lead Time]]="N/A", "",IF(AND(Main[[#This Row],[In Stock Date]]&lt;&gt;"",Main[[#This Row],[Revised Due Date]]&lt;&gt;"",Main[[#This Row],[In Stock Date]]&lt;&gt;""),Main[[#This Row],[In Stock Date]]-Main[[#This Row],[Revised Due Date]],""))</f>
        <v/>
      </c>
      <c r="I1043" s="110" t="s">
        <v>912</v>
      </c>
      <c r="J1043" s="99" t="s">
        <v>52</v>
      </c>
      <c r="K1043" s="99" t="s">
        <v>1922</v>
      </c>
      <c r="L1043" s="89"/>
      <c r="M1043" s="75" t="str">
        <f>IF(Main[[#This Row],[Tech Start Date]]&lt;1/1/1990,"",IF(Main[[#This Row],[Class]]="C",WORKDAY(Main[[#This Row],[Tech Start Date]],9),IF(Main[[#This Row],[Class]]="B", WORKDAY(Main[[#This Row],[Tech Start Date]],6),IF(Main[[#This Row],[Class]]="A",WORKDAY(Main[[#This Row],[Tech Start Date]],2),""))))</f>
        <v/>
      </c>
      <c r="N1043" s="75" t="str">
        <f>IF(Main[[#This Row],[Tech Start Date]]&lt;1/1/1990,"",IF(Main[[#This Row],[Class]]="C",WORKDAY(Main[[#This Row],[Tech Start Date]],19),IF(Main[[#This Row],[Class]]="B", WORKDAY(Main[[#This Row],[Tech Start Date]],12),IF(Main[[#This Row],[Class]]="A",WORKDAY(Main[[#This Row],[Tech Start Date]],4),""))))</f>
        <v/>
      </c>
      <c r="O1043" s="75" t="str">
        <f>IF(Main[[#This Row],[Tech Start Date]]&lt;1/1/1990,"",IF(Main[[#This Row],[Class]]="C",WORKDAY(Main[[#This Row],[Tech Start Date]],23),IF(Main[[#This Row],[Class]]="B", WORKDAY(Main[[#This Row],[Tech Start Date]],15),IF(Main[[#This Row],[Class]]="A",WORKDAY(Main[[#This Row],[Tech Start Date]],5),""))))</f>
        <v/>
      </c>
      <c r="P1043" s="75" t="str">
        <f>IF(Main[[#This Row],[Tech Start Date]]&lt;1/1/1990,"",IF(Main[[#This Row],[Class]]="C",WORKDAY(Main[[#This Row],[Tech Start Date]],28),IF(Main[[#This Row],[Class]]="B", WORKDAY(Main[[#This Row],[Tech Start Date]],19),IF(Main[[#This Row],[Class]]="A",WORKDAY(Main[[#This Row],[Tech Start Date]],9),""))))</f>
        <v/>
      </c>
      <c r="Q1043" s="89">
        <v>40632</v>
      </c>
      <c r="R1043" s="121"/>
      <c r="S1043" s="99" t="s">
        <v>6</v>
      </c>
      <c r="T1043" s="76" t="s">
        <v>4</v>
      </c>
      <c r="U1043" s="99" t="s">
        <v>29</v>
      </c>
      <c r="V1043" s="99" t="s">
        <v>1913</v>
      </c>
      <c r="W1043" s="99" t="s">
        <v>1917</v>
      </c>
      <c r="X1043" s="99" t="s">
        <v>937</v>
      </c>
      <c r="Y1043" s="73" t="s">
        <v>2978</v>
      </c>
      <c r="Z1043" s="73" t="s">
        <v>129</v>
      </c>
      <c r="AA1043" s="99" t="s">
        <v>937</v>
      </c>
    </row>
    <row r="1044" spans="1:27" ht="17.25" customHeight="1">
      <c r="A1044" s="65" t="str">
        <f>IF(priority(Main[[#This Row],[Comments]])&lt;&gt;0, priority(Main[[#This Row],[Comments]]),"")</f>
        <v/>
      </c>
      <c r="B1044" s="60" t="s">
        <v>1383</v>
      </c>
      <c r="C1044" s="105" t="s">
        <v>4</v>
      </c>
      <c r="D1044" s="74" t="s">
        <v>2403</v>
      </c>
      <c r="E1044" s="89">
        <v>40555.34138888889</v>
      </c>
      <c r="F1044" s="89">
        <v>40592</v>
      </c>
      <c r="G1044" s="65" t="str">
        <f>IF(stdProdLT(Main[[#This Row],[Comments]])=0.1,"N/A",IF(stdProdLT(Main[[#This Row],[Comments]])=0,"",TRIM(stdProdLT(Main[[#This Row],[Comments]]))))</f>
        <v/>
      </c>
      <c r="H1044" s="98" t="str">
        <f>IF(Main[[#This Row],[Std. Prod. Lead Time]]="N/A", "",IF(AND(Main[[#This Row],[In Stock Date]]&lt;&gt;"",Main[[#This Row],[Revised Due Date]]&lt;&gt;"",Main[[#This Row],[In Stock Date]]&lt;&gt;""),Main[[#This Row],[In Stock Date]]-Main[[#This Row],[Revised Due Date]],""))</f>
        <v/>
      </c>
      <c r="I1044" s="110" t="s">
        <v>912</v>
      </c>
      <c r="J1044" s="99" t="s">
        <v>52</v>
      </c>
      <c r="K1044" s="99" t="s">
        <v>1920</v>
      </c>
      <c r="L1044" s="89"/>
      <c r="M1044" s="75" t="str">
        <f>IF(Main[[#This Row],[Tech Start Date]]&lt;1/1/1990,"",IF(Main[[#This Row],[Class]]="C",WORKDAY(Main[[#This Row],[Tech Start Date]],9),IF(Main[[#This Row],[Class]]="B", WORKDAY(Main[[#This Row],[Tech Start Date]],6),IF(Main[[#This Row],[Class]]="A",WORKDAY(Main[[#This Row],[Tech Start Date]],2),""))))</f>
        <v/>
      </c>
      <c r="N1044" s="75" t="str">
        <f>IF(Main[[#This Row],[Tech Start Date]]&lt;1/1/1990,"",IF(Main[[#This Row],[Class]]="C",WORKDAY(Main[[#This Row],[Tech Start Date]],19),IF(Main[[#This Row],[Class]]="B", WORKDAY(Main[[#This Row],[Tech Start Date]],12),IF(Main[[#This Row],[Class]]="A",WORKDAY(Main[[#This Row],[Tech Start Date]],4),""))))</f>
        <v/>
      </c>
      <c r="O1044" s="75" t="str">
        <f>IF(Main[[#This Row],[Tech Start Date]]&lt;1/1/1990,"",IF(Main[[#This Row],[Class]]="C",WORKDAY(Main[[#This Row],[Tech Start Date]],23),IF(Main[[#This Row],[Class]]="B", WORKDAY(Main[[#This Row],[Tech Start Date]],15),IF(Main[[#This Row],[Class]]="A",WORKDAY(Main[[#This Row],[Tech Start Date]],5),""))))</f>
        <v/>
      </c>
      <c r="P1044" s="75" t="str">
        <f>IF(Main[[#This Row],[Tech Start Date]]&lt;1/1/1990,"",IF(Main[[#This Row],[Class]]="C",WORKDAY(Main[[#This Row],[Tech Start Date]],28),IF(Main[[#This Row],[Class]]="B", WORKDAY(Main[[#This Row],[Tech Start Date]],19),IF(Main[[#This Row],[Class]]="A",WORKDAY(Main[[#This Row],[Tech Start Date]],9),""))))</f>
        <v/>
      </c>
      <c r="Q1044" s="89">
        <v>40592</v>
      </c>
      <c r="R1044" s="121"/>
      <c r="S1044" s="99" t="s">
        <v>6</v>
      </c>
      <c r="T1044" s="76" t="s">
        <v>4</v>
      </c>
      <c r="U1044" s="99" t="s">
        <v>29</v>
      </c>
      <c r="V1044" s="99" t="s">
        <v>1913</v>
      </c>
      <c r="W1044" s="99" t="s">
        <v>1915</v>
      </c>
      <c r="X1044" s="99" t="s">
        <v>2812</v>
      </c>
      <c r="Y1044" s="73" t="s">
        <v>2923</v>
      </c>
      <c r="Z1044" s="73" t="s">
        <v>129</v>
      </c>
      <c r="AA1044" s="99" t="s">
        <v>2812</v>
      </c>
    </row>
    <row r="1045" spans="1:27" ht="17.25" customHeight="1">
      <c r="A1045" s="65" t="str">
        <f>IF(priority(Main[[#This Row],[Comments]])&lt;&gt;0, priority(Main[[#This Row],[Comments]]),"")</f>
        <v/>
      </c>
      <c r="B1045" s="60" t="s">
        <v>2057</v>
      </c>
      <c r="C1045" s="105" t="s">
        <v>4</v>
      </c>
      <c r="D1045" s="74" t="s">
        <v>2297</v>
      </c>
      <c r="E1045" s="89">
        <v>40758.6172337963</v>
      </c>
      <c r="F1045" s="89"/>
      <c r="G1045" s="65" t="str">
        <f>IF(stdProdLT(Main[[#This Row],[Comments]])=0.1,"N/A",IF(stdProdLT(Main[[#This Row],[Comments]])=0,"",TRIM(stdProdLT(Main[[#This Row],[Comments]]))))</f>
        <v/>
      </c>
      <c r="H1045" s="98" t="str">
        <f>IF(Main[[#This Row],[Std. Prod. Lead Time]]="N/A", "",IF(AND(Main[[#This Row],[In Stock Date]]&lt;&gt;"",Main[[#This Row],[Revised Due Date]]&lt;&gt;"",Main[[#This Row],[In Stock Date]]&lt;&gt;""),Main[[#This Row],[In Stock Date]]-Main[[#This Row],[Revised Due Date]],""))</f>
        <v/>
      </c>
      <c r="I1045" s="110" t="s">
        <v>530</v>
      </c>
      <c r="J1045" s="99" t="s">
        <v>21</v>
      </c>
      <c r="K1045" s="100" t="s">
        <v>1922</v>
      </c>
      <c r="L1045" s="89"/>
      <c r="M1045" s="75" t="str">
        <f>IF(Main[[#This Row],[Tech Start Date]]&lt;1/1/1990,"",IF(Main[[#This Row],[Class]]="C",WORKDAY(Main[[#This Row],[Tech Start Date]],9),IF(Main[[#This Row],[Class]]="B", WORKDAY(Main[[#This Row],[Tech Start Date]],6),IF(Main[[#This Row],[Class]]="A",WORKDAY(Main[[#This Row],[Tech Start Date]],2),""))))</f>
        <v/>
      </c>
      <c r="N1045" s="75" t="str">
        <f>IF(Main[[#This Row],[Tech Start Date]]&lt;1/1/1990,"",IF(Main[[#This Row],[Class]]="C",WORKDAY(Main[[#This Row],[Tech Start Date]],19),IF(Main[[#This Row],[Class]]="B", WORKDAY(Main[[#This Row],[Tech Start Date]],12),IF(Main[[#This Row],[Class]]="A",WORKDAY(Main[[#This Row],[Tech Start Date]],4),""))))</f>
        <v/>
      </c>
      <c r="O1045" s="75" t="str">
        <f>IF(Main[[#This Row],[Tech Start Date]]&lt;1/1/1990,"",IF(Main[[#This Row],[Class]]="C",WORKDAY(Main[[#This Row],[Tech Start Date]],23),IF(Main[[#This Row],[Class]]="B", WORKDAY(Main[[#This Row],[Tech Start Date]],15),IF(Main[[#This Row],[Class]]="A",WORKDAY(Main[[#This Row],[Tech Start Date]],5),""))))</f>
        <v/>
      </c>
      <c r="P1045" s="75" t="str">
        <f>IF(Main[[#This Row],[Tech Start Date]]&lt;1/1/1990,"",IF(Main[[#This Row],[Class]]="C",WORKDAY(Main[[#This Row],[Tech Start Date]],28),IF(Main[[#This Row],[Class]]="B", WORKDAY(Main[[#This Row],[Tech Start Date]],19),IF(Main[[#This Row],[Class]]="A",WORKDAY(Main[[#This Row],[Tech Start Date]],9),""))))</f>
        <v/>
      </c>
      <c r="Q1045" s="89"/>
      <c r="R1045" s="121"/>
      <c r="S1045" s="99" t="s">
        <v>6</v>
      </c>
      <c r="T1045" s="76" t="s">
        <v>4</v>
      </c>
      <c r="U1045" s="99" t="s">
        <v>29</v>
      </c>
      <c r="V1045" s="99" t="s">
        <v>1916</v>
      </c>
      <c r="W1045" s="99" t="s">
        <v>1917</v>
      </c>
      <c r="X1045" s="99" t="s">
        <v>102</v>
      </c>
      <c r="Y1045" s="73" t="s">
        <v>3115</v>
      </c>
      <c r="Z1045" s="73" t="s">
        <v>530</v>
      </c>
      <c r="AA1045" s="99" t="s">
        <v>3444</v>
      </c>
    </row>
    <row r="1046" spans="1:27" ht="17.25" customHeight="1">
      <c r="A1046" s="65" t="str">
        <f>IF(priority(Main[[#This Row],[Comments]])&lt;&gt;0, priority(Main[[#This Row],[Comments]]),"")</f>
        <v/>
      </c>
      <c r="B1046" s="60" t="s">
        <v>2214</v>
      </c>
      <c r="C1046" s="105" t="s">
        <v>4</v>
      </c>
      <c r="D1046" s="74" t="s">
        <v>2404</v>
      </c>
      <c r="E1046" s="89">
        <v>40798.679803240739</v>
      </c>
      <c r="F1046" s="89"/>
      <c r="G1046" s="65" t="str">
        <f>IF(stdProdLT(Main[[#This Row],[Comments]])=0.1,"N/A",IF(stdProdLT(Main[[#This Row],[Comments]])=0,"",TRIM(stdProdLT(Main[[#This Row],[Comments]]))))</f>
        <v/>
      </c>
      <c r="H1046" s="98" t="str">
        <f>IF(Main[[#This Row],[Std. Prod. Lead Time]]="N/A", "",IF(AND(Main[[#This Row],[In Stock Date]]&lt;&gt;"",Main[[#This Row],[Revised Due Date]]&lt;&gt;"",Main[[#This Row],[In Stock Date]]&lt;&gt;""),Main[[#This Row],[In Stock Date]]-Main[[#This Row],[Revised Due Date]],""))</f>
        <v/>
      </c>
      <c r="I1046" s="110" t="s">
        <v>765</v>
      </c>
      <c r="J1046" s="99" t="s">
        <v>52</v>
      </c>
      <c r="K1046" s="99" t="s">
        <v>1922</v>
      </c>
      <c r="L1046" s="89"/>
      <c r="M1046" s="75" t="str">
        <f>IF(Main[[#This Row],[Tech Start Date]]&lt;1/1/1990,"",IF(Main[[#This Row],[Class]]="C",WORKDAY(Main[[#This Row],[Tech Start Date]],9),IF(Main[[#This Row],[Class]]="B", WORKDAY(Main[[#This Row],[Tech Start Date]],6),IF(Main[[#This Row],[Class]]="A",WORKDAY(Main[[#This Row],[Tech Start Date]],2),""))))</f>
        <v/>
      </c>
      <c r="N1046" s="75" t="str">
        <f>IF(Main[[#This Row],[Tech Start Date]]&lt;1/1/1990,"",IF(Main[[#This Row],[Class]]="C",WORKDAY(Main[[#This Row],[Tech Start Date]],19),IF(Main[[#This Row],[Class]]="B", WORKDAY(Main[[#This Row],[Tech Start Date]],12),IF(Main[[#This Row],[Class]]="A",WORKDAY(Main[[#This Row],[Tech Start Date]],4),""))))</f>
        <v/>
      </c>
      <c r="O1046" s="75" t="str">
        <f>IF(Main[[#This Row],[Tech Start Date]]&lt;1/1/1990,"",IF(Main[[#This Row],[Class]]="C",WORKDAY(Main[[#This Row],[Tech Start Date]],23),IF(Main[[#This Row],[Class]]="B", WORKDAY(Main[[#This Row],[Tech Start Date]],15),IF(Main[[#This Row],[Class]]="A",WORKDAY(Main[[#This Row],[Tech Start Date]],5),""))))</f>
        <v/>
      </c>
      <c r="P1046" s="75" t="str">
        <f>IF(Main[[#This Row],[Tech Start Date]]&lt;1/1/1990,"",IF(Main[[#This Row],[Class]]="C",WORKDAY(Main[[#This Row],[Tech Start Date]],28),IF(Main[[#This Row],[Class]]="B", WORKDAY(Main[[#This Row],[Tech Start Date]],19),IF(Main[[#This Row],[Class]]="A",WORKDAY(Main[[#This Row],[Tech Start Date]],9),""))))</f>
        <v/>
      </c>
      <c r="Q1046" s="89">
        <v>40847</v>
      </c>
      <c r="R1046" s="121"/>
      <c r="S1046" s="99" t="s">
        <v>6</v>
      </c>
      <c r="T1046" s="76" t="s">
        <v>4</v>
      </c>
      <c r="U1046" s="99" t="s">
        <v>29</v>
      </c>
      <c r="V1046" s="99" t="s">
        <v>1916</v>
      </c>
      <c r="W1046" s="99" t="s">
        <v>1917</v>
      </c>
      <c r="X1046" s="99" t="s">
        <v>30</v>
      </c>
      <c r="Y1046" s="73" t="s">
        <v>2934</v>
      </c>
      <c r="Z1046" s="73" t="s">
        <v>30</v>
      </c>
      <c r="AA1046" s="99" t="s">
        <v>30</v>
      </c>
    </row>
    <row r="1047" spans="1:27" ht="17.25" customHeight="1">
      <c r="A1047" s="65" t="str">
        <f>IF(priority(Main[[#This Row],[Comments]])&lt;&gt;0, priority(Main[[#This Row],[Comments]]),"")</f>
        <v/>
      </c>
      <c r="B1047" s="60" t="s">
        <v>2405</v>
      </c>
      <c r="C1047" s="105" t="s">
        <v>4</v>
      </c>
      <c r="D1047" s="74" t="s">
        <v>2406</v>
      </c>
      <c r="E1047" s="89">
        <v>40843.719166666669</v>
      </c>
      <c r="F1047" s="89"/>
      <c r="G1047" s="65" t="str">
        <f>IF(stdProdLT(Main[[#This Row],[Comments]])=0.1,"N/A",IF(stdProdLT(Main[[#This Row],[Comments]])=0,"",TRIM(stdProdLT(Main[[#This Row],[Comments]]))))</f>
        <v/>
      </c>
      <c r="H1047" s="98" t="str">
        <f>IF(Main[[#This Row],[Std. Prod. Lead Time]]="N/A", "",IF(AND(Main[[#This Row],[In Stock Date]]&lt;&gt;"",Main[[#This Row],[Revised Due Date]]&lt;&gt;"",Main[[#This Row],[In Stock Date]]&lt;&gt;""),Main[[#This Row],[In Stock Date]]-Main[[#This Row],[Revised Due Date]],""))</f>
        <v/>
      </c>
      <c r="I1047" s="110" t="s">
        <v>4</v>
      </c>
      <c r="J1047" s="99" t="s">
        <v>51</v>
      </c>
      <c r="K1047" s="99" t="s">
        <v>4</v>
      </c>
      <c r="L1047" s="89"/>
      <c r="M1047" s="75" t="str">
        <f>IF(Main[[#This Row],[Tech Start Date]]&lt;1/1/1990,"",IF(Main[[#This Row],[Class]]="C",WORKDAY(Main[[#This Row],[Tech Start Date]],9),IF(Main[[#This Row],[Class]]="B", WORKDAY(Main[[#This Row],[Tech Start Date]],6),IF(Main[[#This Row],[Class]]="A",WORKDAY(Main[[#This Row],[Tech Start Date]],2),""))))</f>
        <v/>
      </c>
      <c r="N1047" s="75" t="str">
        <f>IF(Main[[#This Row],[Tech Start Date]]&lt;1/1/1990,"",IF(Main[[#This Row],[Class]]="C",WORKDAY(Main[[#This Row],[Tech Start Date]],19),IF(Main[[#This Row],[Class]]="B", WORKDAY(Main[[#This Row],[Tech Start Date]],12),IF(Main[[#This Row],[Class]]="A",WORKDAY(Main[[#This Row],[Tech Start Date]],4),""))))</f>
        <v/>
      </c>
      <c r="O1047" s="75" t="str">
        <f>IF(Main[[#This Row],[Tech Start Date]]&lt;1/1/1990,"",IF(Main[[#This Row],[Class]]="C",WORKDAY(Main[[#This Row],[Tech Start Date]],23),IF(Main[[#This Row],[Class]]="B", WORKDAY(Main[[#This Row],[Tech Start Date]],15),IF(Main[[#This Row],[Class]]="A",WORKDAY(Main[[#This Row],[Tech Start Date]],5),""))))</f>
        <v/>
      </c>
      <c r="P1047" s="75" t="str">
        <f>IF(Main[[#This Row],[Tech Start Date]]&lt;1/1/1990,"",IF(Main[[#This Row],[Class]]="C",WORKDAY(Main[[#This Row],[Tech Start Date]],28),IF(Main[[#This Row],[Class]]="B", WORKDAY(Main[[#This Row],[Tech Start Date]],19),IF(Main[[#This Row],[Class]]="A",WORKDAY(Main[[#This Row],[Tech Start Date]],9),""))))</f>
        <v/>
      </c>
      <c r="Q1047" s="89"/>
      <c r="R1047" s="121"/>
      <c r="S1047" s="99" t="s">
        <v>6</v>
      </c>
      <c r="T1047" s="76" t="s">
        <v>2407</v>
      </c>
      <c r="U1047" s="99" t="s">
        <v>534</v>
      </c>
      <c r="V1047" s="99" t="s">
        <v>1913</v>
      </c>
      <c r="W1047" s="99" t="s">
        <v>1919</v>
      </c>
      <c r="X1047" s="99" t="s">
        <v>306</v>
      </c>
      <c r="Y1047" s="73" t="s">
        <v>4</v>
      </c>
      <c r="Z1047" s="73" t="s">
        <v>4</v>
      </c>
      <c r="AA1047" s="99" t="s">
        <v>2833</v>
      </c>
    </row>
    <row r="1048" spans="1:27" ht="17.25" customHeight="1">
      <c r="A1048" s="65" t="str">
        <f>IF(priority(Main[[#This Row],[Comments]])&lt;&gt;0, priority(Main[[#This Row],[Comments]]),"")</f>
        <v/>
      </c>
      <c r="B1048" s="60" t="s">
        <v>2073</v>
      </c>
      <c r="C1048" s="105" t="s">
        <v>4</v>
      </c>
      <c r="D1048" s="74" t="s">
        <v>2074</v>
      </c>
      <c r="E1048" s="89"/>
      <c r="F1048" s="89"/>
      <c r="G1048" s="65" t="str">
        <f>IF(stdProdLT(Main[[#This Row],[Comments]])=0.1,"N/A",IF(stdProdLT(Main[[#This Row],[Comments]])=0,"",TRIM(stdProdLT(Main[[#This Row],[Comments]]))))</f>
        <v/>
      </c>
      <c r="H1048" s="98" t="str">
        <f>IF(Main[[#This Row],[Std. Prod. Lead Time]]="N/A", "",IF(AND(Main[[#This Row],[In Stock Date]]&lt;&gt;"",Main[[#This Row],[Revised Due Date]]&lt;&gt;"",Main[[#This Row],[In Stock Date]]&lt;&gt;""),Main[[#This Row],[In Stock Date]]-Main[[#This Row],[Revised Due Date]],""))</f>
        <v/>
      </c>
      <c r="I1048" s="110" t="s">
        <v>4</v>
      </c>
      <c r="J1048" s="99" t="s">
        <v>4</v>
      </c>
      <c r="K1048" s="100" t="s">
        <v>4</v>
      </c>
      <c r="L1048" s="89"/>
      <c r="M1048" s="75" t="str">
        <f>IF(Main[[#This Row],[Tech Start Date]]&lt;1/1/1990,"",IF(Main[[#This Row],[Class]]="C",WORKDAY(Main[[#This Row],[Tech Start Date]],9),IF(Main[[#This Row],[Class]]="B", WORKDAY(Main[[#This Row],[Tech Start Date]],6),IF(Main[[#This Row],[Class]]="A",WORKDAY(Main[[#This Row],[Tech Start Date]],2),""))))</f>
        <v/>
      </c>
      <c r="N1048" s="75" t="str">
        <f>IF(Main[[#This Row],[Tech Start Date]]&lt;1/1/1990,"",IF(Main[[#This Row],[Class]]="C",WORKDAY(Main[[#This Row],[Tech Start Date]],19),IF(Main[[#This Row],[Class]]="B", WORKDAY(Main[[#This Row],[Tech Start Date]],12),IF(Main[[#This Row],[Class]]="A",WORKDAY(Main[[#This Row],[Tech Start Date]],4),""))))</f>
        <v/>
      </c>
      <c r="O1048" s="75" t="str">
        <f>IF(Main[[#This Row],[Tech Start Date]]&lt;1/1/1990,"",IF(Main[[#This Row],[Class]]="C",WORKDAY(Main[[#This Row],[Tech Start Date]],23),IF(Main[[#This Row],[Class]]="B", WORKDAY(Main[[#This Row],[Tech Start Date]],15),IF(Main[[#This Row],[Class]]="A",WORKDAY(Main[[#This Row],[Tech Start Date]],5),""))))</f>
        <v/>
      </c>
      <c r="P1048" s="75" t="str">
        <f>IF(Main[[#This Row],[Tech Start Date]]&lt;1/1/1990,"",IF(Main[[#This Row],[Class]]="C",WORKDAY(Main[[#This Row],[Tech Start Date]],28),IF(Main[[#This Row],[Class]]="B", WORKDAY(Main[[#This Row],[Tech Start Date]],19),IF(Main[[#This Row],[Class]]="A",WORKDAY(Main[[#This Row],[Tech Start Date]],9),""))))</f>
        <v/>
      </c>
      <c r="Q1048" s="89"/>
      <c r="R1048" s="121"/>
      <c r="S1048" s="99" t="s">
        <v>6</v>
      </c>
      <c r="T1048" s="76" t="s">
        <v>4</v>
      </c>
      <c r="U1048" s="99" t="s">
        <v>14</v>
      </c>
      <c r="V1048" s="99" t="s">
        <v>1913</v>
      </c>
      <c r="W1048" s="99" t="s">
        <v>1917</v>
      </c>
      <c r="X1048" s="99" t="s">
        <v>306</v>
      </c>
      <c r="Y1048" s="73" t="s">
        <v>4</v>
      </c>
      <c r="Z1048" s="73" t="s">
        <v>4</v>
      </c>
      <c r="AA1048" s="99" t="s">
        <v>4</v>
      </c>
    </row>
    <row r="1049" spans="1:27" ht="17.25" customHeight="1">
      <c r="A1049" s="65" t="str">
        <f>IF(priority(Main[[#This Row],[Comments]])&lt;&gt;0, priority(Main[[#This Row],[Comments]]),"")</f>
        <v/>
      </c>
      <c r="B1049" s="60" t="s">
        <v>1757</v>
      </c>
      <c r="C1049" s="105" t="s">
        <v>4</v>
      </c>
      <c r="D1049" s="74" t="s">
        <v>2408</v>
      </c>
      <c r="E1049" s="89">
        <v>40616.425347222219</v>
      </c>
      <c r="F1049" s="89"/>
      <c r="G1049" s="65" t="str">
        <f>IF(stdProdLT(Main[[#This Row],[Comments]])=0.1,"N/A",IF(stdProdLT(Main[[#This Row],[Comments]])=0,"",TRIM(stdProdLT(Main[[#This Row],[Comments]]))))</f>
        <v/>
      </c>
      <c r="H1049" s="98" t="str">
        <f>IF(Main[[#This Row],[Std. Prod. Lead Time]]="N/A", "",IF(AND(Main[[#This Row],[In Stock Date]]&lt;&gt;"",Main[[#This Row],[Revised Due Date]]&lt;&gt;"",Main[[#This Row],[In Stock Date]]&lt;&gt;""),Main[[#This Row],[In Stock Date]]-Main[[#This Row],[Revised Due Date]],""))</f>
        <v/>
      </c>
      <c r="I1049" s="110" t="s">
        <v>912</v>
      </c>
      <c r="J1049" s="99" t="s">
        <v>52</v>
      </c>
      <c r="K1049" s="99" t="s">
        <v>1922</v>
      </c>
      <c r="L1049" s="89"/>
      <c r="M1049" s="75" t="str">
        <f>IF(Main[[#This Row],[Tech Start Date]]&lt;1/1/1990,"",IF(Main[[#This Row],[Class]]="C",WORKDAY(Main[[#This Row],[Tech Start Date]],9),IF(Main[[#This Row],[Class]]="B", WORKDAY(Main[[#This Row],[Tech Start Date]],6),IF(Main[[#This Row],[Class]]="A",WORKDAY(Main[[#This Row],[Tech Start Date]],2),""))))</f>
        <v/>
      </c>
      <c r="N1049" s="75" t="str">
        <f>IF(Main[[#This Row],[Tech Start Date]]&lt;1/1/1990,"",IF(Main[[#This Row],[Class]]="C",WORKDAY(Main[[#This Row],[Tech Start Date]],19),IF(Main[[#This Row],[Class]]="B", WORKDAY(Main[[#This Row],[Tech Start Date]],12),IF(Main[[#This Row],[Class]]="A",WORKDAY(Main[[#This Row],[Tech Start Date]],4),""))))</f>
        <v/>
      </c>
      <c r="O1049" s="75" t="str">
        <f>IF(Main[[#This Row],[Tech Start Date]]&lt;1/1/1990,"",IF(Main[[#This Row],[Class]]="C",WORKDAY(Main[[#This Row],[Tech Start Date]],23),IF(Main[[#This Row],[Class]]="B", WORKDAY(Main[[#This Row],[Tech Start Date]],15),IF(Main[[#This Row],[Class]]="A",WORKDAY(Main[[#This Row],[Tech Start Date]],5),""))))</f>
        <v/>
      </c>
      <c r="P1049" s="75" t="str">
        <f>IF(Main[[#This Row],[Tech Start Date]]&lt;1/1/1990,"",IF(Main[[#This Row],[Class]]="C",WORKDAY(Main[[#This Row],[Tech Start Date]],28),IF(Main[[#This Row],[Class]]="B", WORKDAY(Main[[#This Row],[Tech Start Date]],19),IF(Main[[#This Row],[Class]]="A",WORKDAY(Main[[#This Row],[Tech Start Date]],9),""))))</f>
        <v/>
      </c>
      <c r="Q1049" s="89"/>
      <c r="R1049" s="121"/>
      <c r="S1049" s="99" t="s">
        <v>6</v>
      </c>
      <c r="T1049" s="76" t="s">
        <v>4</v>
      </c>
      <c r="U1049" s="99" t="s">
        <v>29</v>
      </c>
      <c r="V1049" s="99" t="s">
        <v>1913</v>
      </c>
      <c r="W1049" s="99" t="s">
        <v>1917</v>
      </c>
      <c r="X1049" s="99" t="s">
        <v>2897</v>
      </c>
      <c r="Y1049" s="73" t="s">
        <v>3077</v>
      </c>
      <c r="Z1049" s="73" t="s">
        <v>530</v>
      </c>
      <c r="AA1049" s="99" t="s">
        <v>2897</v>
      </c>
    </row>
    <row r="1050" spans="1:27" ht="17.25" customHeight="1">
      <c r="A1050" s="65" t="str">
        <f>IF(priority(Main[[#This Row],[Comments]])&lt;&gt;0, priority(Main[[#This Row],[Comments]]),"")</f>
        <v/>
      </c>
      <c r="B1050" s="60" t="s">
        <v>2262</v>
      </c>
      <c r="C1050" s="105" t="s">
        <v>4</v>
      </c>
      <c r="D1050" s="74" t="s">
        <v>2263</v>
      </c>
      <c r="E1050" s="89">
        <v>40808.345057870371</v>
      </c>
      <c r="F1050" s="89"/>
      <c r="G1050" s="65" t="str">
        <f>IF(stdProdLT(Main[[#This Row],[Comments]])=0.1,"N/A",IF(stdProdLT(Main[[#This Row],[Comments]])=0,"",TRIM(stdProdLT(Main[[#This Row],[Comments]]))))</f>
        <v/>
      </c>
      <c r="H1050" s="98" t="str">
        <f>IF(Main[[#This Row],[Std. Prod. Lead Time]]="N/A", "",IF(AND(Main[[#This Row],[In Stock Date]]&lt;&gt;"",Main[[#This Row],[Revised Due Date]]&lt;&gt;"",Main[[#This Row],[In Stock Date]]&lt;&gt;""),Main[[#This Row],[In Stock Date]]-Main[[#This Row],[Revised Due Date]],""))</f>
        <v/>
      </c>
      <c r="I1050" s="110" t="s">
        <v>4</v>
      </c>
      <c r="J1050" s="99" t="s">
        <v>4</v>
      </c>
      <c r="K1050" s="99" t="s">
        <v>4</v>
      </c>
      <c r="L1050" s="89"/>
      <c r="M1050" s="75" t="str">
        <f>IF(Main[[#This Row],[Tech Start Date]]&lt;1/1/1990,"",IF(Main[[#This Row],[Class]]="C",WORKDAY(Main[[#This Row],[Tech Start Date]],9),IF(Main[[#This Row],[Class]]="B", WORKDAY(Main[[#This Row],[Tech Start Date]],6),IF(Main[[#This Row],[Class]]="A",WORKDAY(Main[[#This Row],[Tech Start Date]],2),""))))</f>
        <v/>
      </c>
      <c r="N1050" s="75" t="str">
        <f>IF(Main[[#This Row],[Tech Start Date]]&lt;1/1/1990,"",IF(Main[[#This Row],[Class]]="C",WORKDAY(Main[[#This Row],[Tech Start Date]],19),IF(Main[[#This Row],[Class]]="B", WORKDAY(Main[[#This Row],[Tech Start Date]],12),IF(Main[[#This Row],[Class]]="A",WORKDAY(Main[[#This Row],[Tech Start Date]],4),""))))</f>
        <v/>
      </c>
      <c r="O1050" s="75" t="str">
        <f>IF(Main[[#This Row],[Tech Start Date]]&lt;1/1/1990,"",IF(Main[[#This Row],[Class]]="C",WORKDAY(Main[[#This Row],[Tech Start Date]],23),IF(Main[[#This Row],[Class]]="B", WORKDAY(Main[[#This Row],[Tech Start Date]],15),IF(Main[[#This Row],[Class]]="A",WORKDAY(Main[[#This Row],[Tech Start Date]],5),""))))</f>
        <v/>
      </c>
      <c r="P1050" s="75" t="str">
        <f>IF(Main[[#This Row],[Tech Start Date]]&lt;1/1/1990,"",IF(Main[[#This Row],[Class]]="C",WORKDAY(Main[[#This Row],[Tech Start Date]],28),IF(Main[[#This Row],[Class]]="B", WORKDAY(Main[[#This Row],[Tech Start Date]],19),IF(Main[[#This Row],[Class]]="A",WORKDAY(Main[[#This Row],[Tech Start Date]],9),""))))</f>
        <v/>
      </c>
      <c r="Q1050" s="89"/>
      <c r="R1050" s="121"/>
      <c r="S1050" s="99" t="s">
        <v>17</v>
      </c>
      <c r="T1050" s="76" t="s">
        <v>4</v>
      </c>
      <c r="U1050" s="99" t="s">
        <v>7</v>
      </c>
      <c r="V1050" s="99" t="s">
        <v>1923</v>
      </c>
      <c r="W1050" s="99" t="s">
        <v>1915</v>
      </c>
      <c r="X1050" s="99" t="s">
        <v>2860</v>
      </c>
      <c r="Y1050" s="73" t="s">
        <v>2994</v>
      </c>
      <c r="Z1050" s="73" t="s">
        <v>4</v>
      </c>
      <c r="AA1050" s="99" t="s">
        <v>2860</v>
      </c>
    </row>
    <row r="1051" spans="1:27" ht="17.25" customHeight="1">
      <c r="A1051" s="65" t="str">
        <f>IF(priority(Main[[#This Row],[Comments]])&lt;&gt;0, priority(Main[[#This Row],[Comments]]),"")</f>
        <v/>
      </c>
      <c r="B1051" s="60" t="s">
        <v>2234</v>
      </c>
      <c r="C1051" s="105" t="s">
        <v>4</v>
      </c>
      <c r="D1051" s="74" t="s">
        <v>2235</v>
      </c>
      <c r="E1051" s="89"/>
      <c r="F1051" s="89"/>
      <c r="G1051" s="65" t="str">
        <f>IF(stdProdLT(Main[[#This Row],[Comments]])=0.1,"N/A",IF(stdProdLT(Main[[#This Row],[Comments]])=0,"",TRIM(stdProdLT(Main[[#This Row],[Comments]]))))</f>
        <v/>
      </c>
      <c r="H1051" s="98" t="str">
        <f>IF(Main[[#This Row],[Std. Prod. Lead Time]]="N/A", "",IF(AND(Main[[#This Row],[In Stock Date]]&lt;&gt;"",Main[[#This Row],[Revised Due Date]]&lt;&gt;"",Main[[#This Row],[In Stock Date]]&lt;&gt;""),Main[[#This Row],[In Stock Date]]-Main[[#This Row],[Revised Due Date]],""))</f>
        <v/>
      </c>
      <c r="I1051" s="110" t="s">
        <v>4</v>
      </c>
      <c r="J1051" s="99" t="s">
        <v>4</v>
      </c>
      <c r="K1051" s="99" t="s">
        <v>4</v>
      </c>
      <c r="L1051" s="89"/>
      <c r="M1051" s="75" t="str">
        <f>IF(Main[[#This Row],[Tech Start Date]]&lt;1/1/1990,"",IF(Main[[#This Row],[Class]]="C",WORKDAY(Main[[#This Row],[Tech Start Date]],9),IF(Main[[#This Row],[Class]]="B", WORKDAY(Main[[#This Row],[Tech Start Date]],6),IF(Main[[#This Row],[Class]]="A",WORKDAY(Main[[#This Row],[Tech Start Date]],2),""))))</f>
        <v/>
      </c>
      <c r="N1051" s="75" t="str">
        <f>IF(Main[[#This Row],[Tech Start Date]]&lt;1/1/1990,"",IF(Main[[#This Row],[Class]]="C",WORKDAY(Main[[#This Row],[Tech Start Date]],19),IF(Main[[#This Row],[Class]]="B", WORKDAY(Main[[#This Row],[Tech Start Date]],12),IF(Main[[#This Row],[Class]]="A",WORKDAY(Main[[#This Row],[Tech Start Date]],4),""))))</f>
        <v/>
      </c>
      <c r="O1051" s="75" t="str">
        <f>IF(Main[[#This Row],[Tech Start Date]]&lt;1/1/1990,"",IF(Main[[#This Row],[Class]]="C",WORKDAY(Main[[#This Row],[Tech Start Date]],23),IF(Main[[#This Row],[Class]]="B", WORKDAY(Main[[#This Row],[Tech Start Date]],15),IF(Main[[#This Row],[Class]]="A",WORKDAY(Main[[#This Row],[Tech Start Date]],5),""))))</f>
        <v/>
      </c>
      <c r="P1051" s="75" t="str">
        <f>IF(Main[[#This Row],[Tech Start Date]]&lt;1/1/1990,"",IF(Main[[#This Row],[Class]]="C",WORKDAY(Main[[#This Row],[Tech Start Date]],28),IF(Main[[#This Row],[Class]]="B", WORKDAY(Main[[#This Row],[Tech Start Date]],19),IF(Main[[#This Row],[Class]]="A",WORKDAY(Main[[#This Row],[Tech Start Date]],9),""))))</f>
        <v/>
      </c>
      <c r="Q1051" s="89"/>
      <c r="R1051" s="121"/>
      <c r="S1051" s="99" t="s">
        <v>6</v>
      </c>
      <c r="T1051" s="76" t="s">
        <v>4</v>
      </c>
      <c r="U1051" s="99" t="s">
        <v>14</v>
      </c>
      <c r="V1051" s="99" t="s">
        <v>1916</v>
      </c>
      <c r="W1051" s="99" t="s">
        <v>1917</v>
      </c>
      <c r="X1051" s="99" t="s">
        <v>102</v>
      </c>
      <c r="Y1051" s="73" t="s">
        <v>4</v>
      </c>
      <c r="Z1051" s="73" t="s">
        <v>4</v>
      </c>
      <c r="AA1051" s="99" t="s">
        <v>3445</v>
      </c>
    </row>
    <row r="1052" spans="1:27" ht="17.25" customHeight="1">
      <c r="A1052" s="65" t="str">
        <f>IF(priority(Main[[#This Row],[Comments]])&lt;&gt;0, priority(Main[[#This Row],[Comments]]),"")</f>
        <v/>
      </c>
      <c r="B1052" s="60" t="s">
        <v>2236</v>
      </c>
      <c r="C1052" s="105" t="s">
        <v>4</v>
      </c>
      <c r="D1052" s="74" t="s">
        <v>2237</v>
      </c>
      <c r="E1052" s="89">
        <v>40801.476770833331</v>
      </c>
      <c r="F1052" s="89"/>
      <c r="G1052" s="65" t="str">
        <f>IF(stdProdLT(Main[[#This Row],[Comments]])=0.1,"N/A",IF(stdProdLT(Main[[#This Row],[Comments]])=0,"",TRIM(stdProdLT(Main[[#This Row],[Comments]]))))</f>
        <v/>
      </c>
      <c r="H1052" s="98" t="str">
        <f>IF(Main[[#This Row],[Std. Prod. Lead Time]]="N/A", "",IF(AND(Main[[#This Row],[In Stock Date]]&lt;&gt;"",Main[[#This Row],[Revised Due Date]]&lt;&gt;"",Main[[#This Row],[In Stock Date]]&lt;&gt;""),Main[[#This Row],[In Stock Date]]-Main[[#This Row],[Revised Due Date]],""))</f>
        <v/>
      </c>
      <c r="I1052" s="110" t="s">
        <v>4</v>
      </c>
      <c r="J1052" s="99" t="s">
        <v>4</v>
      </c>
      <c r="K1052" s="99" t="s">
        <v>4</v>
      </c>
      <c r="L1052" s="89"/>
      <c r="M1052" s="75" t="str">
        <f>IF(Main[[#This Row],[Tech Start Date]]&lt;1/1/1990,"",IF(Main[[#This Row],[Class]]="C",WORKDAY(Main[[#This Row],[Tech Start Date]],9),IF(Main[[#This Row],[Class]]="B", WORKDAY(Main[[#This Row],[Tech Start Date]],6),IF(Main[[#This Row],[Class]]="A",WORKDAY(Main[[#This Row],[Tech Start Date]],2),""))))</f>
        <v/>
      </c>
      <c r="N1052" s="75" t="str">
        <f>IF(Main[[#This Row],[Tech Start Date]]&lt;1/1/1990,"",IF(Main[[#This Row],[Class]]="C",WORKDAY(Main[[#This Row],[Tech Start Date]],19),IF(Main[[#This Row],[Class]]="B", WORKDAY(Main[[#This Row],[Tech Start Date]],12),IF(Main[[#This Row],[Class]]="A",WORKDAY(Main[[#This Row],[Tech Start Date]],4),""))))</f>
        <v/>
      </c>
      <c r="O1052" s="75" t="str">
        <f>IF(Main[[#This Row],[Tech Start Date]]&lt;1/1/1990,"",IF(Main[[#This Row],[Class]]="C",WORKDAY(Main[[#This Row],[Tech Start Date]],23),IF(Main[[#This Row],[Class]]="B", WORKDAY(Main[[#This Row],[Tech Start Date]],15),IF(Main[[#This Row],[Class]]="A",WORKDAY(Main[[#This Row],[Tech Start Date]],5),""))))</f>
        <v/>
      </c>
      <c r="P1052" s="75" t="str">
        <f>IF(Main[[#This Row],[Tech Start Date]]&lt;1/1/1990,"",IF(Main[[#This Row],[Class]]="C",WORKDAY(Main[[#This Row],[Tech Start Date]],28),IF(Main[[#This Row],[Class]]="B", WORKDAY(Main[[#This Row],[Tech Start Date]],19),IF(Main[[#This Row],[Class]]="A",WORKDAY(Main[[#This Row],[Tech Start Date]],9),""))))</f>
        <v/>
      </c>
      <c r="Q1052" s="89">
        <v>40828</v>
      </c>
      <c r="R1052" s="121"/>
      <c r="S1052" s="99" t="s">
        <v>6</v>
      </c>
      <c r="T1052" s="76" t="s">
        <v>4</v>
      </c>
      <c r="U1052" s="99" t="s">
        <v>7</v>
      </c>
      <c r="V1052" s="99" t="s">
        <v>1913</v>
      </c>
      <c r="W1052" s="99" t="s">
        <v>1921</v>
      </c>
      <c r="X1052" s="99" t="s">
        <v>2815</v>
      </c>
      <c r="Y1052" s="73" t="s">
        <v>2930</v>
      </c>
      <c r="Z1052" s="73" t="s">
        <v>4</v>
      </c>
      <c r="AA1052" s="99" t="s">
        <v>2815</v>
      </c>
    </row>
    <row r="1053" spans="1:27" ht="17.25" customHeight="1">
      <c r="A1053" s="65" t="str">
        <f>IF(priority(Main[[#This Row],[Comments]])&lt;&gt;0, priority(Main[[#This Row],[Comments]]),"")</f>
        <v/>
      </c>
      <c r="B1053" s="60" t="s">
        <v>1174</v>
      </c>
      <c r="C1053" s="105" t="s">
        <v>4</v>
      </c>
      <c r="D1053" s="74" t="s">
        <v>229</v>
      </c>
      <c r="E1053" s="89">
        <v>40847.6950462963</v>
      </c>
      <c r="F1053" s="89"/>
      <c r="G1053" s="65" t="str">
        <f>IF(stdProdLT(Main[[#This Row],[Comments]])=0.1,"N/A",IF(stdProdLT(Main[[#This Row],[Comments]])=0,"",TRIM(stdProdLT(Main[[#This Row],[Comments]]))))</f>
        <v/>
      </c>
      <c r="H1053" s="98" t="str">
        <f>IF(Main[[#This Row],[Std. Prod. Lead Time]]="N/A", "",IF(AND(Main[[#This Row],[In Stock Date]]&lt;&gt;"",Main[[#This Row],[Revised Due Date]]&lt;&gt;"",Main[[#This Row],[In Stock Date]]&lt;&gt;""),Main[[#This Row],[In Stock Date]]-Main[[#This Row],[Revised Due Date]],""))</f>
        <v/>
      </c>
      <c r="I1053" s="110" t="s">
        <v>4</v>
      </c>
      <c r="J1053" s="99" t="s">
        <v>4</v>
      </c>
      <c r="K1053" s="99" t="s">
        <v>4</v>
      </c>
      <c r="L1053" s="89"/>
      <c r="M1053" s="75" t="str">
        <f>IF(Main[[#This Row],[Tech Start Date]]&lt;1/1/1990,"",IF(Main[[#This Row],[Class]]="C",WORKDAY(Main[[#This Row],[Tech Start Date]],9),IF(Main[[#This Row],[Class]]="B", WORKDAY(Main[[#This Row],[Tech Start Date]],6),IF(Main[[#This Row],[Class]]="A",WORKDAY(Main[[#This Row],[Tech Start Date]],2),""))))</f>
        <v/>
      </c>
      <c r="N1053" s="75" t="str">
        <f>IF(Main[[#This Row],[Tech Start Date]]&lt;1/1/1990,"",IF(Main[[#This Row],[Class]]="C",WORKDAY(Main[[#This Row],[Tech Start Date]],19),IF(Main[[#This Row],[Class]]="B", WORKDAY(Main[[#This Row],[Tech Start Date]],12),IF(Main[[#This Row],[Class]]="A",WORKDAY(Main[[#This Row],[Tech Start Date]],4),""))))</f>
        <v/>
      </c>
      <c r="O1053" s="75" t="str">
        <f>IF(Main[[#This Row],[Tech Start Date]]&lt;1/1/1990,"",IF(Main[[#This Row],[Class]]="C",WORKDAY(Main[[#This Row],[Tech Start Date]],23),IF(Main[[#This Row],[Class]]="B", WORKDAY(Main[[#This Row],[Tech Start Date]],15),IF(Main[[#This Row],[Class]]="A",WORKDAY(Main[[#This Row],[Tech Start Date]],5),""))))</f>
        <v/>
      </c>
      <c r="P1053" s="75" t="str">
        <f>IF(Main[[#This Row],[Tech Start Date]]&lt;1/1/1990,"",IF(Main[[#This Row],[Class]]="C",WORKDAY(Main[[#This Row],[Tech Start Date]],28),IF(Main[[#This Row],[Class]]="B", WORKDAY(Main[[#This Row],[Tech Start Date]],19),IF(Main[[#This Row],[Class]]="A",WORKDAY(Main[[#This Row],[Tech Start Date]],9),""))))</f>
        <v/>
      </c>
      <c r="Q1053" s="89"/>
      <c r="R1053" s="121"/>
      <c r="S1053" s="99" t="s">
        <v>49</v>
      </c>
      <c r="T1053" s="76" t="s">
        <v>4</v>
      </c>
      <c r="U1053" s="99" t="s">
        <v>7</v>
      </c>
      <c r="V1053" s="99" t="s">
        <v>1913</v>
      </c>
      <c r="W1053" s="99" t="s">
        <v>1917</v>
      </c>
      <c r="X1053" s="99" t="s">
        <v>907</v>
      </c>
      <c r="Y1053" s="73" t="s">
        <v>3011</v>
      </c>
      <c r="Z1053" s="73" t="s">
        <v>4</v>
      </c>
      <c r="AA1053" s="99" t="s">
        <v>907</v>
      </c>
    </row>
    <row r="1054" spans="1:27" ht="17.25" customHeight="1">
      <c r="A1054" s="65" t="str">
        <f>IF(priority(Main[[#This Row],[Comments]])&lt;&gt;0, priority(Main[[#This Row],[Comments]]),"")</f>
        <v/>
      </c>
      <c r="B1054" s="60" t="s">
        <v>1630</v>
      </c>
      <c r="C1054" s="105" t="s">
        <v>79</v>
      </c>
      <c r="D1054" s="74" t="s">
        <v>704</v>
      </c>
      <c r="E1054" s="89">
        <v>40610.683993055558</v>
      </c>
      <c r="F1054" s="89"/>
      <c r="G1054" s="65" t="str">
        <f>IF(stdProdLT(Main[[#This Row],[Comments]])=0.1,"N/A",IF(stdProdLT(Main[[#This Row],[Comments]])=0,"",TRIM(stdProdLT(Main[[#This Row],[Comments]]))))</f>
        <v/>
      </c>
      <c r="H1054" s="98" t="str">
        <f>IF(Main[[#This Row],[Std. Prod. Lead Time]]="N/A", "",IF(AND(Main[[#This Row],[In Stock Date]]&lt;&gt;"",Main[[#This Row],[Revised Due Date]]&lt;&gt;"",Main[[#This Row],[In Stock Date]]&lt;&gt;""),Main[[#This Row],[In Stock Date]]-Main[[#This Row],[Revised Due Date]],""))</f>
        <v/>
      </c>
      <c r="I1054" s="110" t="s">
        <v>530</v>
      </c>
      <c r="J1054" s="99" t="s">
        <v>28</v>
      </c>
      <c r="K1054" s="99" t="s">
        <v>1925</v>
      </c>
      <c r="L1054" s="89"/>
      <c r="M1054" s="75" t="str">
        <f>IF(Main[[#This Row],[Tech Start Date]]&lt;1/1/1990,"",IF(Main[[#This Row],[Class]]="C",WORKDAY(Main[[#This Row],[Tech Start Date]],9),IF(Main[[#This Row],[Class]]="B", WORKDAY(Main[[#This Row],[Tech Start Date]],6),IF(Main[[#This Row],[Class]]="A",WORKDAY(Main[[#This Row],[Tech Start Date]],2),""))))</f>
        <v/>
      </c>
      <c r="N1054" s="75" t="str">
        <f>IF(Main[[#This Row],[Tech Start Date]]&lt;1/1/1990,"",IF(Main[[#This Row],[Class]]="C",WORKDAY(Main[[#This Row],[Tech Start Date]],19),IF(Main[[#This Row],[Class]]="B", WORKDAY(Main[[#This Row],[Tech Start Date]],12),IF(Main[[#This Row],[Class]]="A",WORKDAY(Main[[#This Row],[Tech Start Date]],4),""))))</f>
        <v/>
      </c>
      <c r="O1054" s="75" t="str">
        <f>IF(Main[[#This Row],[Tech Start Date]]&lt;1/1/1990,"",IF(Main[[#This Row],[Class]]="C",WORKDAY(Main[[#This Row],[Tech Start Date]],23),IF(Main[[#This Row],[Class]]="B", WORKDAY(Main[[#This Row],[Tech Start Date]],15),IF(Main[[#This Row],[Class]]="A",WORKDAY(Main[[#This Row],[Tech Start Date]],5),""))))</f>
        <v/>
      </c>
      <c r="P1054" s="75" t="str">
        <f>IF(Main[[#This Row],[Tech Start Date]]&lt;1/1/1990,"",IF(Main[[#This Row],[Class]]="C",WORKDAY(Main[[#This Row],[Tech Start Date]],28),IF(Main[[#This Row],[Class]]="B", WORKDAY(Main[[#This Row],[Tech Start Date]],19),IF(Main[[#This Row],[Class]]="A",WORKDAY(Main[[#This Row],[Tech Start Date]],9),""))))</f>
        <v/>
      </c>
      <c r="Q1054" s="89">
        <v>40725</v>
      </c>
      <c r="R1054" s="121"/>
      <c r="S1054" s="99" t="s">
        <v>6</v>
      </c>
      <c r="T1054" s="76" t="s">
        <v>4</v>
      </c>
      <c r="U1054" s="99" t="s">
        <v>29</v>
      </c>
      <c r="V1054" s="99" t="s">
        <v>1916</v>
      </c>
      <c r="W1054" s="99" t="s">
        <v>1915</v>
      </c>
      <c r="X1054" s="99" t="s">
        <v>553</v>
      </c>
      <c r="Y1054" s="73" t="s">
        <v>2946</v>
      </c>
      <c r="Z1054" s="73" t="s">
        <v>30</v>
      </c>
      <c r="AA1054" s="99" t="s">
        <v>553</v>
      </c>
    </row>
    <row r="1055" spans="1:27" ht="17.25" customHeight="1">
      <c r="A1055" s="65" t="str">
        <f>IF(priority(Main[[#This Row],[Comments]])&lt;&gt;0, priority(Main[[#This Row],[Comments]]),"")</f>
        <v/>
      </c>
      <c r="B1055" s="60" t="s">
        <v>1171</v>
      </c>
      <c r="C1055" s="105" t="s">
        <v>4</v>
      </c>
      <c r="D1055" s="74" t="s">
        <v>2417</v>
      </c>
      <c r="E1055" s="89">
        <v>40567.661041666666</v>
      </c>
      <c r="F1055" s="89">
        <v>40602</v>
      </c>
      <c r="G1055" s="65" t="str">
        <f>IF(stdProdLT(Main[[#This Row],[Comments]])=0.1,"N/A",IF(stdProdLT(Main[[#This Row],[Comments]])=0,"",TRIM(stdProdLT(Main[[#This Row],[Comments]]))))</f>
        <v/>
      </c>
      <c r="H1055" s="98" t="str">
        <f>IF(Main[[#This Row],[Std. Prod. Lead Time]]="N/A", "",IF(AND(Main[[#This Row],[In Stock Date]]&lt;&gt;"",Main[[#This Row],[Revised Due Date]]&lt;&gt;"",Main[[#This Row],[In Stock Date]]&lt;&gt;""),Main[[#This Row],[In Stock Date]]-Main[[#This Row],[Revised Due Date]],""))</f>
        <v/>
      </c>
      <c r="I1055" s="110" t="s">
        <v>912</v>
      </c>
      <c r="J1055" s="99" t="s">
        <v>52</v>
      </c>
      <c r="K1055" s="99" t="s">
        <v>1922</v>
      </c>
      <c r="L1055" s="89"/>
      <c r="M1055" s="75" t="str">
        <f>IF(Main[[#This Row],[Tech Start Date]]&lt;1/1/1990,"",IF(Main[[#This Row],[Class]]="C",WORKDAY(Main[[#This Row],[Tech Start Date]],9),IF(Main[[#This Row],[Class]]="B", WORKDAY(Main[[#This Row],[Tech Start Date]],6),IF(Main[[#This Row],[Class]]="A",WORKDAY(Main[[#This Row],[Tech Start Date]],2),""))))</f>
        <v/>
      </c>
      <c r="N1055" s="75" t="str">
        <f>IF(Main[[#This Row],[Tech Start Date]]&lt;1/1/1990,"",IF(Main[[#This Row],[Class]]="C",WORKDAY(Main[[#This Row],[Tech Start Date]],19),IF(Main[[#This Row],[Class]]="B", WORKDAY(Main[[#This Row],[Tech Start Date]],12),IF(Main[[#This Row],[Class]]="A",WORKDAY(Main[[#This Row],[Tech Start Date]],4),""))))</f>
        <v/>
      </c>
      <c r="O1055" s="75" t="str">
        <f>IF(Main[[#This Row],[Tech Start Date]]&lt;1/1/1990,"",IF(Main[[#This Row],[Class]]="C",WORKDAY(Main[[#This Row],[Tech Start Date]],23),IF(Main[[#This Row],[Class]]="B", WORKDAY(Main[[#This Row],[Tech Start Date]],15),IF(Main[[#This Row],[Class]]="A",WORKDAY(Main[[#This Row],[Tech Start Date]],5),""))))</f>
        <v/>
      </c>
      <c r="P1055" s="75" t="str">
        <f>IF(Main[[#This Row],[Tech Start Date]]&lt;1/1/1990,"",IF(Main[[#This Row],[Class]]="C",WORKDAY(Main[[#This Row],[Tech Start Date]],28),IF(Main[[#This Row],[Class]]="B", WORKDAY(Main[[#This Row],[Tech Start Date]],19),IF(Main[[#This Row],[Class]]="A",WORKDAY(Main[[#This Row],[Tech Start Date]],9),""))))</f>
        <v/>
      </c>
      <c r="Q1055" s="89">
        <v>40602</v>
      </c>
      <c r="R1055" s="121"/>
      <c r="S1055" s="99" t="s">
        <v>6</v>
      </c>
      <c r="T1055" s="76" t="s">
        <v>4</v>
      </c>
      <c r="U1055" s="99" t="s">
        <v>29</v>
      </c>
      <c r="V1055" s="99" t="s">
        <v>1913</v>
      </c>
      <c r="W1055" s="99" t="s">
        <v>1915</v>
      </c>
      <c r="X1055" s="99" t="s">
        <v>2812</v>
      </c>
      <c r="Y1055" s="73" t="s">
        <v>2923</v>
      </c>
      <c r="Z1055" s="73" t="s">
        <v>129</v>
      </c>
      <c r="AA1055" s="99" t="s">
        <v>2812</v>
      </c>
    </row>
    <row r="1056" spans="1:27" ht="17.25" customHeight="1">
      <c r="A1056" s="65" t="str">
        <f>IF(priority(Main[[#This Row],[Comments]])&lt;&gt;0, priority(Main[[#This Row],[Comments]]),"")</f>
        <v/>
      </c>
      <c r="B1056" s="60" t="s">
        <v>1572</v>
      </c>
      <c r="C1056" s="105" t="s">
        <v>4</v>
      </c>
      <c r="D1056" s="74" t="s">
        <v>2418</v>
      </c>
      <c r="E1056" s="89">
        <v>40463.34134259259</v>
      </c>
      <c r="F1056" s="89"/>
      <c r="G1056" s="65" t="str">
        <f>IF(stdProdLT(Main[[#This Row],[Comments]])=0.1,"N/A",IF(stdProdLT(Main[[#This Row],[Comments]])=0,"",TRIM(stdProdLT(Main[[#This Row],[Comments]]))))</f>
        <v/>
      </c>
      <c r="H1056" s="98" t="str">
        <f>IF(Main[[#This Row],[Std. Prod. Lead Time]]="N/A", "",IF(AND(Main[[#This Row],[In Stock Date]]&lt;&gt;"",Main[[#This Row],[Revised Due Date]]&lt;&gt;"",Main[[#This Row],[In Stock Date]]&lt;&gt;""),Main[[#This Row],[In Stock Date]]-Main[[#This Row],[Revised Due Date]],""))</f>
        <v/>
      </c>
      <c r="I1056" s="110" t="s">
        <v>912</v>
      </c>
      <c r="J1056" s="99" t="s">
        <v>52</v>
      </c>
      <c r="K1056" s="99" t="s">
        <v>4</v>
      </c>
      <c r="L1056" s="89"/>
      <c r="M1056" s="75" t="str">
        <f>IF(Main[[#This Row],[Tech Start Date]]&lt;1/1/1990,"",IF(Main[[#This Row],[Class]]="C",WORKDAY(Main[[#This Row],[Tech Start Date]],9),IF(Main[[#This Row],[Class]]="B", WORKDAY(Main[[#This Row],[Tech Start Date]],6),IF(Main[[#This Row],[Class]]="A",WORKDAY(Main[[#This Row],[Tech Start Date]],2),""))))</f>
        <v/>
      </c>
      <c r="N1056" s="75" t="str">
        <f>IF(Main[[#This Row],[Tech Start Date]]&lt;1/1/1990,"",IF(Main[[#This Row],[Class]]="C",WORKDAY(Main[[#This Row],[Tech Start Date]],19),IF(Main[[#This Row],[Class]]="B", WORKDAY(Main[[#This Row],[Tech Start Date]],12),IF(Main[[#This Row],[Class]]="A",WORKDAY(Main[[#This Row],[Tech Start Date]],4),""))))</f>
        <v/>
      </c>
      <c r="O1056" s="75" t="str">
        <f>IF(Main[[#This Row],[Tech Start Date]]&lt;1/1/1990,"",IF(Main[[#This Row],[Class]]="C",WORKDAY(Main[[#This Row],[Tech Start Date]],23),IF(Main[[#This Row],[Class]]="B", WORKDAY(Main[[#This Row],[Tech Start Date]],15),IF(Main[[#This Row],[Class]]="A",WORKDAY(Main[[#This Row],[Tech Start Date]],5),""))))</f>
        <v/>
      </c>
      <c r="P1056" s="75" t="str">
        <f>IF(Main[[#This Row],[Tech Start Date]]&lt;1/1/1990,"",IF(Main[[#This Row],[Class]]="C",WORKDAY(Main[[#This Row],[Tech Start Date]],28),IF(Main[[#This Row],[Class]]="B", WORKDAY(Main[[#This Row],[Tech Start Date]],19),IF(Main[[#This Row],[Class]]="A",WORKDAY(Main[[#This Row],[Tech Start Date]],9),""))))</f>
        <v/>
      </c>
      <c r="Q1056" s="89">
        <v>40497</v>
      </c>
      <c r="R1056" s="121"/>
      <c r="S1056" s="99" t="s">
        <v>6</v>
      </c>
      <c r="T1056" s="76" t="s">
        <v>4</v>
      </c>
      <c r="U1056" s="99" t="s">
        <v>29</v>
      </c>
      <c r="V1056" s="99" t="s">
        <v>1913</v>
      </c>
      <c r="W1056" s="99" t="s">
        <v>1917</v>
      </c>
      <c r="X1056" s="99" t="s">
        <v>2812</v>
      </c>
      <c r="Y1056" s="73" t="s">
        <v>2923</v>
      </c>
      <c r="Z1056" s="73" t="s">
        <v>129</v>
      </c>
      <c r="AA1056" s="99" t="s">
        <v>2812</v>
      </c>
    </row>
    <row r="1057" spans="1:27" ht="17.25" customHeight="1">
      <c r="A1057" s="65" t="str">
        <f>IF(priority(Main[[#This Row],[Comments]])&lt;&gt;0, priority(Main[[#This Row],[Comments]]),"")</f>
        <v/>
      </c>
      <c r="B1057" s="60" t="s">
        <v>2419</v>
      </c>
      <c r="C1057" s="105" t="s">
        <v>4</v>
      </c>
      <c r="D1057" s="74" t="s">
        <v>2420</v>
      </c>
      <c r="E1057" s="89">
        <v>40833.65898148148</v>
      </c>
      <c r="F1057" s="89"/>
      <c r="G1057" s="65" t="str">
        <f>IF(stdProdLT(Main[[#This Row],[Comments]])=0.1,"N/A",IF(stdProdLT(Main[[#This Row],[Comments]])=0,"",TRIM(stdProdLT(Main[[#This Row],[Comments]]))))</f>
        <v/>
      </c>
      <c r="H1057" s="98" t="str">
        <f>IF(Main[[#This Row],[Std. Prod. Lead Time]]="N/A", "",IF(AND(Main[[#This Row],[In Stock Date]]&lt;&gt;"",Main[[#This Row],[Revised Due Date]]&lt;&gt;"",Main[[#This Row],[In Stock Date]]&lt;&gt;""),Main[[#This Row],[In Stock Date]]-Main[[#This Row],[Revised Due Date]],""))</f>
        <v/>
      </c>
      <c r="I1057" s="110" t="s">
        <v>530</v>
      </c>
      <c r="J1057" s="99" t="s">
        <v>28</v>
      </c>
      <c r="K1057" s="99" t="s">
        <v>1922</v>
      </c>
      <c r="L1057" s="89"/>
      <c r="M1057" s="75" t="str">
        <f>IF(Main[[#This Row],[Tech Start Date]]&lt;1/1/1990,"",IF(Main[[#This Row],[Class]]="C",WORKDAY(Main[[#This Row],[Tech Start Date]],9),IF(Main[[#This Row],[Class]]="B", WORKDAY(Main[[#This Row],[Tech Start Date]],6),IF(Main[[#This Row],[Class]]="A",WORKDAY(Main[[#This Row],[Tech Start Date]],2),""))))</f>
        <v/>
      </c>
      <c r="N1057" s="75" t="str">
        <f>IF(Main[[#This Row],[Tech Start Date]]&lt;1/1/1990,"",IF(Main[[#This Row],[Class]]="C",WORKDAY(Main[[#This Row],[Tech Start Date]],19),IF(Main[[#This Row],[Class]]="B", WORKDAY(Main[[#This Row],[Tech Start Date]],12),IF(Main[[#This Row],[Class]]="A",WORKDAY(Main[[#This Row],[Tech Start Date]],4),""))))</f>
        <v/>
      </c>
      <c r="O1057" s="75" t="str">
        <f>IF(Main[[#This Row],[Tech Start Date]]&lt;1/1/1990,"",IF(Main[[#This Row],[Class]]="C",WORKDAY(Main[[#This Row],[Tech Start Date]],23),IF(Main[[#This Row],[Class]]="B", WORKDAY(Main[[#This Row],[Tech Start Date]],15),IF(Main[[#This Row],[Class]]="A",WORKDAY(Main[[#This Row],[Tech Start Date]],5),""))))</f>
        <v/>
      </c>
      <c r="P1057" s="75" t="str">
        <f>IF(Main[[#This Row],[Tech Start Date]]&lt;1/1/1990,"",IF(Main[[#This Row],[Class]]="C",WORKDAY(Main[[#This Row],[Tech Start Date]],28),IF(Main[[#This Row],[Class]]="B", WORKDAY(Main[[#This Row],[Tech Start Date]],19),IF(Main[[#This Row],[Class]]="A",WORKDAY(Main[[#This Row],[Tech Start Date]],9),""))))</f>
        <v/>
      </c>
      <c r="Q1057" s="89">
        <v>40923</v>
      </c>
      <c r="R1057" s="121"/>
      <c r="S1057" s="99" t="s">
        <v>6</v>
      </c>
      <c r="T1057" s="76" t="s">
        <v>4</v>
      </c>
      <c r="U1057" s="99" t="s">
        <v>29</v>
      </c>
      <c r="V1057" s="99" t="s">
        <v>1916</v>
      </c>
      <c r="W1057" s="99" t="s">
        <v>1917</v>
      </c>
      <c r="X1057" s="99" t="s">
        <v>553</v>
      </c>
      <c r="Y1057" s="73" t="s">
        <v>2946</v>
      </c>
      <c r="Z1057" s="73" t="s">
        <v>30</v>
      </c>
      <c r="AA1057" s="99" t="s">
        <v>553</v>
      </c>
    </row>
    <row r="1058" spans="1:27" ht="17.25" customHeight="1">
      <c r="A1058" s="65" t="str">
        <f>IF(priority(Main[[#This Row],[Comments]])&lt;&gt;0, priority(Main[[#This Row],[Comments]]),"")</f>
        <v/>
      </c>
      <c r="B1058" s="60" t="s">
        <v>1764</v>
      </c>
      <c r="C1058" s="105" t="s">
        <v>4</v>
      </c>
      <c r="D1058" s="74" t="s">
        <v>2307</v>
      </c>
      <c r="E1058" s="89">
        <v>40660.402291666665</v>
      </c>
      <c r="F1058" s="89"/>
      <c r="G1058" s="65" t="str">
        <f>IF(stdProdLT(Main[[#This Row],[Comments]])=0.1,"N/A",IF(stdProdLT(Main[[#This Row],[Comments]])=0,"",TRIM(stdProdLT(Main[[#This Row],[Comments]]))))</f>
        <v/>
      </c>
      <c r="H1058" s="98" t="str">
        <f>IF(Main[[#This Row],[Std. Prod. Lead Time]]="N/A", "",IF(AND(Main[[#This Row],[In Stock Date]]&lt;&gt;"",Main[[#This Row],[Revised Due Date]]&lt;&gt;"",Main[[#This Row],[In Stock Date]]&lt;&gt;""),Main[[#This Row],[In Stock Date]]-Main[[#This Row],[Revised Due Date]],""))</f>
        <v/>
      </c>
      <c r="I1058" s="110" t="s">
        <v>561</v>
      </c>
      <c r="J1058" s="99" t="s">
        <v>21</v>
      </c>
      <c r="K1058" s="99" t="s">
        <v>4</v>
      </c>
      <c r="L1058" s="89"/>
      <c r="M1058" s="75" t="str">
        <f>IF(Main[[#This Row],[Tech Start Date]]&lt;1/1/1990,"",IF(Main[[#This Row],[Class]]="C",WORKDAY(Main[[#This Row],[Tech Start Date]],9),IF(Main[[#This Row],[Class]]="B", WORKDAY(Main[[#This Row],[Tech Start Date]],6),IF(Main[[#This Row],[Class]]="A",WORKDAY(Main[[#This Row],[Tech Start Date]],2),""))))</f>
        <v/>
      </c>
      <c r="N1058" s="75" t="str">
        <f>IF(Main[[#This Row],[Tech Start Date]]&lt;1/1/1990,"",IF(Main[[#This Row],[Class]]="C",WORKDAY(Main[[#This Row],[Tech Start Date]],19),IF(Main[[#This Row],[Class]]="B", WORKDAY(Main[[#This Row],[Tech Start Date]],12),IF(Main[[#This Row],[Class]]="A",WORKDAY(Main[[#This Row],[Tech Start Date]],4),""))))</f>
        <v/>
      </c>
      <c r="O1058" s="75" t="str">
        <f>IF(Main[[#This Row],[Tech Start Date]]&lt;1/1/1990,"",IF(Main[[#This Row],[Class]]="C",WORKDAY(Main[[#This Row],[Tech Start Date]],23),IF(Main[[#This Row],[Class]]="B", WORKDAY(Main[[#This Row],[Tech Start Date]],15),IF(Main[[#This Row],[Class]]="A",WORKDAY(Main[[#This Row],[Tech Start Date]],5),""))))</f>
        <v/>
      </c>
      <c r="P1058" s="75" t="str">
        <f>IF(Main[[#This Row],[Tech Start Date]]&lt;1/1/1990,"",IF(Main[[#This Row],[Class]]="C",WORKDAY(Main[[#This Row],[Tech Start Date]],28),IF(Main[[#This Row],[Class]]="B", WORKDAY(Main[[#This Row],[Tech Start Date]],19),IF(Main[[#This Row],[Class]]="A",WORKDAY(Main[[#This Row],[Tech Start Date]],9),""))))</f>
        <v/>
      </c>
      <c r="Q1058" s="89">
        <v>40676</v>
      </c>
      <c r="R1058" s="121"/>
      <c r="S1058" s="99" t="s">
        <v>6</v>
      </c>
      <c r="T1058" s="76" t="s">
        <v>4</v>
      </c>
      <c r="U1058" s="99" t="s">
        <v>29</v>
      </c>
      <c r="V1058" s="99" t="s">
        <v>1913</v>
      </c>
      <c r="W1058" s="99" t="s">
        <v>1917</v>
      </c>
      <c r="X1058" s="99" t="s">
        <v>2815</v>
      </c>
      <c r="Y1058" s="73" t="s">
        <v>2930</v>
      </c>
      <c r="Z1058" s="73" t="s">
        <v>4</v>
      </c>
      <c r="AA1058" s="99" t="s">
        <v>2815</v>
      </c>
    </row>
    <row r="1059" spans="1:27" ht="17.25" customHeight="1">
      <c r="A1059" s="65" t="str">
        <f>IF(priority(Main[[#This Row],[Comments]])&lt;&gt;0, priority(Main[[#This Row],[Comments]]),"")</f>
        <v/>
      </c>
      <c r="B1059" s="60" t="s">
        <v>2493</v>
      </c>
      <c r="C1059" s="105" t="s">
        <v>4</v>
      </c>
      <c r="D1059" s="74" t="s">
        <v>2494</v>
      </c>
      <c r="E1059" s="89"/>
      <c r="F1059" s="89"/>
      <c r="G1059" s="65" t="str">
        <f>IF(stdProdLT(Main[[#This Row],[Comments]])=0.1,"N/A",IF(stdProdLT(Main[[#This Row],[Comments]])=0,"",TRIM(stdProdLT(Main[[#This Row],[Comments]]))))</f>
        <v/>
      </c>
      <c r="H1059" s="98" t="str">
        <f>IF(Main[[#This Row],[Std. Prod. Lead Time]]="N/A", "",IF(AND(Main[[#This Row],[In Stock Date]]&lt;&gt;"",Main[[#This Row],[Revised Due Date]]&lt;&gt;"",Main[[#This Row],[In Stock Date]]&lt;&gt;""),Main[[#This Row],[In Stock Date]]-Main[[#This Row],[Revised Due Date]],""))</f>
        <v/>
      </c>
      <c r="I1059" s="110" t="s">
        <v>530</v>
      </c>
      <c r="J1059" s="99" t="s">
        <v>28</v>
      </c>
      <c r="K1059" s="99" t="s">
        <v>1922</v>
      </c>
      <c r="L1059" s="89"/>
      <c r="M1059" s="75" t="str">
        <f>IF(Main[[#This Row],[Tech Start Date]]&lt;1/1/1990,"",IF(Main[[#This Row],[Class]]="C",WORKDAY(Main[[#This Row],[Tech Start Date]],9),IF(Main[[#This Row],[Class]]="B", WORKDAY(Main[[#This Row],[Tech Start Date]],6),IF(Main[[#This Row],[Class]]="A",WORKDAY(Main[[#This Row],[Tech Start Date]],2),""))))</f>
        <v/>
      </c>
      <c r="N1059" s="75" t="str">
        <f>IF(Main[[#This Row],[Tech Start Date]]&lt;1/1/1990,"",IF(Main[[#This Row],[Class]]="C",WORKDAY(Main[[#This Row],[Tech Start Date]],19),IF(Main[[#This Row],[Class]]="B", WORKDAY(Main[[#This Row],[Tech Start Date]],12),IF(Main[[#This Row],[Class]]="A",WORKDAY(Main[[#This Row],[Tech Start Date]],4),""))))</f>
        <v/>
      </c>
      <c r="O1059" s="75" t="str">
        <f>IF(Main[[#This Row],[Tech Start Date]]&lt;1/1/1990,"",IF(Main[[#This Row],[Class]]="C",WORKDAY(Main[[#This Row],[Tech Start Date]],23),IF(Main[[#This Row],[Class]]="B", WORKDAY(Main[[#This Row],[Tech Start Date]],15),IF(Main[[#This Row],[Class]]="A",WORKDAY(Main[[#This Row],[Tech Start Date]],5),""))))</f>
        <v/>
      </c>
      <c r="P1059" s="75" t="str">
        <f>IF(Main[[#This Row],[Tech Start Date]]&lt;1/1/1990,"",IF(Main[[#This Row],[Class]]="C",WORKDAY(Main[[#This Row],[Tech Start Date]],28),IF(Main[[#This Row],[Class]]="B", WORKDAY(Main[[#This Row],[Tech Start Date]],19),IF(Main[[#This Row],[Class]]="A",WORKDAY(Main[[#This Row],[Tech Start Date]],9),""))))</f>
        <v/>
      </c>
      <c r="Q1059" s="89">
        <v>40939</v>
      </c>
      <c r="R1059" s="121"/>
      <c r="S1059" s="99" t="s">
        <v>6</v>
      </c>
      <c r="T1059" s="76" t="s">
        <v>4</v>
      </c>
      <c r="U1059" s="99" t="s">
        <v>14</v>
      </c>
      <c r="V1059" s="99" t="s">
        <v>1916</v>
      </c>
      <c r="W1059" s="99" t="s">
        <v>1917</v>
      </c>
      <c r="X1059" s="99" t="s">
        <v>553</v>
      </c>
      <c r="Y1059" s="73" t="s">
        <v>2946</v>
      </c>
      <c r="Z1059" s="73" t="s">
        <v>30</v>
      </c>
      <c r="AA1059" s="99" t="s">
        <v>553</v>
      </c>
    </row>
    <row r="1060" spans="1:27" ht="17.25" customHeight="1">
      <c r="A1060" s="65" t="str">
        <f>IF(priority(Main[[#This Row],[Comments]])&lt;&gt;0, priority(Main[[#This Row],[Comments]]),"")</f>
        <v/>
      </c>
      <c r="B1060" s="60" t="s">
        <v>2220</v>
      </c>
      <c r="C1060" s="105" t="s">
        <v>4</v>
      </c>
      <c r="D1060" s="74" t="s">
        <v>2221</v>
      </c>
      <c r="E1060" s="89">
        <v>40802.356851851851</v>
      </c>
      <c r="F1060" s="89"/>
      <c r="G1060" s="65" t="str">
        <f>IF(stdProdLT(Main[[#This Row],[Comments]])=0.1,"N/A",IF(stdProdLT(Main[[#This Row],[Comments]])=0,"",TRIM(stdProdLT(Main[[#This Row],[Comments]]))))</f>
        <v/>
      </c>
      <c r="H1060" s="98" t="str">
        <f>IF(Main[[#This Row],[Std. Prod. Lead Time]]="N/A", "",IF(AND(Main[[#This Row],[In Stock Date]]&lt;&gt;"",Main[[#This Row],[Revised Due Date]]&lt;&gt;"",Main[[#This Row],[In Stock Date]]&lt;&gt;""),Main[[#This Row],[In Stock Date]]-Main[[#This Row],[Revised Due Date]],""))</f>
        <v/>
      </c>
      <c r="I1060" s="110" t="s">
        <v>102</v>
      </c>
      <c r="J1060" s="99" t="s">
        <v>75</v>
      </c>
      <c r="K1060" s="99" t="s">
        <v>1926</v>
      </c>
      <c r="L1060" s="89"/>
      <c r="M1060" s="75" t="str">
        <f>IF(Main[[#This Row],[Tech Start Date]]&lt;1/1/1990,"",IF(Main[[#This Row],[Class]]="C",WORKDAY(Main[[#This Row],[Tech Start Date]],9),IF(Main[[#This Row],[Class]]="B", WORKDAY(Main[[#This Row],[Tech Start Date]],6),IF(Main[[#This Row],[Class]]="A",WORKDAY(Main[[#This Row],[Tech Start Date]],2),""))))</f>
        <v/>
      </c>
      <c r="N1060" s="75" t="str">
        <f>IF(Main[[#This Row],[Tech Start Date]]&lt;1/1/1990,"",IF(Main[[#This Row],[Class]]="C",WORKDAY(Main[[#This Row],[Tech Start Date]],19),IF(Main[[#This Row],[Class]]="B", WORKDAY(Main[[#This Row],[Tech Start Date]],12),IF(Main[[#This Row],[Class]]="A",WORKDAY(Main[[#This Row],[Tech Start Date]],4),""))))</f>
        <v/>
      </c>
      <c r="O1060" s="75" t="str">
        <f>IF(Main[[#This Row],[Tech Start Date]]&lt;1/1/1990,"",IF(Main[[#This Row],[Class]]="C",WORKDAY(Main[[#This Row],[Tech Start Date]],23),IF(Main[[#This Row],[Class]]="B", WORKDAY(Main[[#This Row],[Tech Start Date]],15),IF(Main[[#This Row],[Class]]="A",WORKDAY(Main[[#This Row],[Tech Start Date]],5),""))))</f>
        <v/>
      </c>
      <c r="P1060" s="75" t="str">
        <f>IF(Main[[#This Row],[Tech Start Date]]&lt;1/1/1990,"",IF(Main[[#This Row],[Class]]="C",WORKDAY(Main[[#This Row],[Tech Start Date]],28),IF(Main[[#This Row],[Class]]="B", WORKDAY(Main[[#This Row],[Tech Start Date]],19),IF(Main[[#This Row],[Class]]="A",WORKDAY(Main[[#This Row],[Tech Start Date]],9),""))))</f>
        <v/>
      </c>
      <c r="Q1060" s="89"/>
      <c r="R1060" s="121"/>
      <c r="S1060" s="99" t="s">
        <v>6</v>
      </c>
      <c r="T1060" s="76" t="s">
        <v>4</v>
      </c>
      <c r="U1060" s="99" t="s">
        <v>29</v>
      </c>
      <c r="V1060" s="99" t="s">
        <v>1916</v>
      </c>
      <c r="W1060" s="99" t="s">
        <v>1917</v>
      </c>
      <c r="X1060" s="99" t="s">
        <v>102</v>
      </c>
      <c r="Y1060" s="73" t="s">
        <v>3116</v>
      </c>
      <c r="Z1060" s="73" t="s">
        <v>306</v>
      </c>
      <c r="AA1060" s="99" t="s">
        <v>3438</v>
      </c>
    </row>
    <row r="1061" spans="1:27" ht="17.25" customHeight="1">
      <c r="A1061" s="65" t="str">
        <f>IF(priority(Main[[#This Row],[Comments]])&lt;&gt;0, priority(Main[[#This Row],[Comments]]),"")</f>
        <v/>
      </c>
      <c r="B1061" s="60" t="s">
        <v>3293</v>
      </c>
      <c r="C1061" s="105" t="s">
        <v>4</v>
      </c>
      <c r="D1061" s="74" t="s">
        <v>3294</v>
      </c>
      <c r="E1061" s="89">
        <v>40933.366932870369</v>
      </c>
      <c r="F1061" s="89"/>
      <c r="G1061" s="65" t="str">
        <f>IF(stdProdLT(Main[[#This Row],[Comments]])=0.1,"N/A",IF(stdProdLT(Main[[#This Row],[Comments]])=0,"",TRIM(stdProdLT(Main[[#This Row],[Comments]]))))</f>
        <v/>
      </c>
      <c r="H1061" s="98" t="str">
        <f>IF(Main[[#This Row],[Std. Prod. Lead Time]]="N/A", "",IF(AND(Main[[#This Row],[In Stock Date]]&lt;&gt;"",Main[[#This Row],[Revised Due Date]]&lt;&gt;"",Main[[#This Row],[In Stock Date]]&lt;&gt;""),Main[[#This Row],[In Stock Date]]-Main[[#This Row],[Revised Due Date]],""))</f>
        <v/>
      </c>
      <c r="I1061" s="110" t="s">
        <v>44</v>
      </c>
      <c r="J1061" s="99" t="s">
        <v>52</v>
      </c>
      <c r="K1061" s="99" t="s">
        <v>1922</v>
      </c>
      <c r="L1061" s="89"/>
      <c r="M1061" s="75" t="str">
        <f>IF(Main[[#This Row],[Tech Start Date]]&lt;1/1/1990,"",IF(Main[[#This Row],[Class]]="C",WORKDAY(Main[[#This Row],[Tech Start Date]],9),IF(Main[[#This Row],[Class]]="B", WORKDAY(Main[[#This Row],[Tech Start Date]],6),IF(Main[[#This Row],[Class]]="A",WORKDAY(Main[[#This Row],[Tech Start Date]],2),""))))</f>
        <v/>
      </c>
      <c r="N1061" s="75" t="str">
        <f>IF(Main[[#This Row],[Tech Start Date]]&lt;1/1/1990,"",IF(Main[[#This Row],[Class]]="C",WORKDAY(Main[[#This Row],[Tech Start Date]],19),IF(Main[[#This Row],[Class]]="B", WORKDAY(Main[[#This Row],[Tech Start Date]],12),IF(Main[[#This Row],[Class]]="A",WORKDAY(Main[[#This Row],[Tech Start Date]],4),""))))</f>
        <v/>
      </c>
      <c r="O1061" s="75" t="str">
        <f>IF(Main[[#This Row],[Tech Start Date]]&lt;1/1/1990,"",IF(Main[[#This Row],[Class]]="C",WORKDAY(Main[[#This Row],[Tech Start Date]],23),IF(Main[[#This Row],[Class]]="B", WORKDAY(Main[[#This Row],[Tech Start Date]],15),IF(Main[[#This Row],[Class]]="A",WORKDAY(Main[[#This Row],[Tech Start Date]],5),""))))</f>
        <v/>
      </c>
      <c r="P1061" s="75" t="str">
        <f>IF(Main[[#This Row],[Tech Start Date]]&lt;1/1/1990,"",IF(Main[[#This Row],[Class]]="C",WORKDAY(Main[[#This Row],[Tech Start Date]],28),IF(Main[[#This Row],[Class]]="B", WORKDAY(Main[[#This Row],[Tech Start Date]],19),IF(Main[[#This Row],[Class]]="A",WORKDAY(Main[[#This Row],[Tech Start Date]],9),""))))</f>
        <v/>
      </c>
      <c r="Q1061" s="89"/>
      <c r="R1061" s="121"/>
      <c r="S1061" s="99" t="s">
        <v>6</v>
      </c>
      <c r="T1061" s="76" t="s">
        <v>4</v>
      </c>
      <c r="U1061" s="99" t="s">
        <v>29</v>
      </c>
      <c r="V1061" s="99" t="s">
        <v>1916</v>
      </c>
      <c r="W1061" s="99" t="s">
        <v>1917</v>
      </c>
      <c r="X1061" s="99" t="s">
        <v>2860</v>
      </c>
      <c r="Y1061" s="73" t="s">
        <v>2994</v>
      </c>
      <c r="Z1061" s="73" t="s">
        <v>30</v>
      </c>
      <c r="AA1061" s="99" t="s">
        <v>2860</v>
      </c>
    </row>
    <row r="1062" spans="1:27" ht="17.25" customHeight="1">
      <c r="A1062" s="65" t="str">
        <f>IF(priority(Main[[#This Row],[Comments]])&lt;&gt;0, priority(Main[[#This Row],[Comments]]),"")</f>
        <v/>
      </c>
      <c r="B1062" s="60" t="s">
        <v>1840</v>
      </c>
      <c r="C1062" s="105" t="s">
        <v>4</v>
      </c>
      <c r="D1062" s="74" t="s">
        <v>897</v>
      </c>
      <c r="E1062" s="89">
        <v>40080.410775462966</v>
      </c>
      <c r="F1062" s="89"/>
      <c r="G1062" s="65" t="str">
        <f>IF(stdProdLT(Main[[#This Row],[Comments]])=0.1,"N/A",IF(stdProdLT(Main[[#This Row],[Comments]])=0,"",TRIM(stdProdLT(Main[[#This Row],[Comments]]))))</f>
        <v/>
      </c>
      <c r="H1062" s="98" t="str">
        <f>IF(Main[[#This Row],[Std. Prod. Lead Time]]="N/A", "",IF(AND(Main[[#This Row],[In Stock Date]]&lt;&gt;"",Main[[#This Row],[Revised Due Date]]&lt;&gt;"",Main[[#This Row],[In Stock Date]]&lt;&gt;""),Main[[#This Row],[In Stock Date]]-Main[[#This Row],[Revised Due Date]],""))</f>
        <v/>
      </c>
      <c r="I1062" s="110" t="s">
        <v>898</v>
      </c>
      <c r="J1062" s="99" t="s">
        <v>28</v>
      </c>
      <c r="K1062" s="99" t="s">
        <v>1922</v>
      </c>
      <c r="L1062" s="89"/>
      <c r="M1062" s="75" t="str">
        <f>IF(Main[[#This Row],[Tech Start Date]]&lt;1/1/1990,"",IF(Main[[#This Row],[Class]]="C",WORKDAY(Main[[#This Row],[Tech Start Date]],9),IF(Main[[#This Row],[Class]]="B", WORKDAY(Main[[#This Row],[Tech Start Date]],6),IF(Main[[#This Row],[Class]]="A",WORKDAY(Main[[#This Row],[Tech Start Date]],2),""))))</f>
        <v/>
      </c>
      <c r="N1062" s="75" t="str">
        <f>IF(Main[[#This Row],[Tech Start Date]]&lt;1/1/1990,"",IF(Main[[#This Row],[Class]]="C",WORKDAY(Main[[#This Row],[Tech Start Date]],19),IF(Main[[#This Row],[Class]]="B", WORKDAY(Main[[#This Row],[Tech Start Date]],12),IF(Main[[#This Row],[Class]]="A",WORKDAY(Main[[#This Row],[Tech Start Date]],4),""))))</f>
        <v/>
      </c>
      <c r="O1062" s="75" t="str">
        <f>IF(Main[[#This Row],[Tech Start Date]]&lt;1/1/1990,"",IF(Main[[#This Row],[Class]]="C",WORKDAY(Main[[#This Row],[Tech Start Date]],23),IF(Main[[#This Row],[Class]]="B", WORKDAY(Main[[#This Row],[Tech Start Date]],15),IF(Main[[#This Row],[Class]]="A",WORKDAY(Main[[#This Row],[Tech Start Date]],5),""))))</f>
        <v/>
      </c>
      <c r="P1062" s="75" t="str">
        <f>IF(Main[[#This Row],[Tech Start Date]]&lt;1/1/1990,"",IF(Main[[#This Row],[Class]]="C",WORKDAY(Main[[#This Row],[Tech Start Date]],28),IF(Main[[#This Row],[Class]]="B", WORKDAY(Main[[#This Row],[Tech Start Date]],19),IF(Main[[#This Row],[Class]]="A",WORKDAY(Main[[#This Row],[Tech Start Date]],9),""))))</f>
        <v/>
      </c>
      <c r="Q1062" s="89"/>
      <c r="R1062" s="121">
        <v>40494</v>
      </c>
      <c r="S1062" s="99" t="s">
        <v>6</v>
      </c>
      <c r="T1062" s="76" t="s">
        <v>4</v>
      </c>
      <c r="U1062" s="99" t="s">
        <v>29</v>
      </c>
      <c r="V1062" s="99" t="s">
        <v>1916</v>
      </c>
      <c r="W1062" s="99" t="s">
        <v>1917</v>
      </c>
      <c r="X1062" s="99" t="s">
        <v>2881</v>
      </c>
      <c r="Y1062" s="73" t="s">
        <v>3037</v>
      </c>
      <c r="Z1062" s="73" t="s">
        <v>415</v>
      </c>
      <c r="AA1062" s="99" t="s">
        <v>2881</v>
      </c>
    </row>
    <row r="1063" spans="1:27" ht="17.25" customHeight="1">
      <c r="A1063" s="65" t="str">
        <f>IF(priority(Main[[#This Row],[Comments]])&lt;&gt;0, priority(Main[[#This Row],[Comments]]),"")</f>
        <v/>
      </c>
      <c r="B1063" s="60" t="s">
        <v>1794</v>
      </c>
      <c r="C1063" s="105" t="s">
        <v>4</v>
      </c>
      <c r="D1063" s="74" t="s">
        <v>839</v>
      </c>
      <c r="E1063" s="89">
        <v>40639.681793981479</v>
      </c>
      <c r="F1063" s="89"/>
      <c r="G1063" s="65" t="str">
        <f>IF(stdProdLT(Main[[#This Row],[Comments]])=0.1,"N/A",IF(stdProdLT(Main[[#This Row],[Comments]])=0,"",TRIM(stdProdLT(Main[[#This Row],[Comments]]))))</f>
        <v/>
      </c>
      <c r="H1063" s="98" t="str">
        <f>IF(Main[[#This Row],[Std. Prod. Lead Time]]="N/A", "",IF(AND(Main[[#This Row],[In Stock Date]]&lt;&gt;"",Main[[#This Row],[Revised Due Date]]&lt;&gt;"",Main[[#This Row],[In Stock Date]]&lt;&gt;""),Main[[#This Row],[In Stock Date]]-Main[[#This Row],[Revised Due Date]],""))</f>
        <v/>
      </c>
      <c r="I1063" s="110" t="s">
        <v>130</v>
      </c>
      <c r="J1063" s="99" t="s">
        <v>70</v>
      </c>
      <c r="K1063" s="100" t="s">
        <v>1922</v>
      </c>
      <c r="L1063" s="89"/>
      <c r="M1063" s="75" t="str">
        <f>IF(Main[[#This Row],[Tech Start Date]]&lt;1/1/1990,"",IF(Main[[#This Row],[Class]]="C",WORKDAY(Main[[#This Row],[Tech Start Date]],9),IF(Main[[#This Row],[Class]]="B", WORKDAY(Main[[#This Row],[Tech Start Date]],6),IF(Main[[#This Row],[Class]]="A",WORKDAY(Main[[#This Row],[Tech Start Date]],2),""))))</f>
        <v/>
      </c>
      <c r="N1063" s="75" t="str">
        <f>IF(Main[[#This Row],[Tech Start Date]]&lt;1/1/1990,"",IF(Main[[#This Row],[Class]]="C",WORKDAY(Main[[#This Row],[Tech Start Date]],19),IF(Main[[#This Row],[Class]]="B", WORKDAY(Main[[#This Row],[Tech Start Date]],12),IF(Main[[#This Row],[Class]]="A",WORKDAY(Main[[#This Row],[Tech Start Date]],4),""))))</f>
        <v/>
      </c>
      <c r="O1063" s="75" t="str">
        <f>IF(Main[[#This Row],[Tech Start Date]]&lt;1/1/1990,"",IF(Main[[#This Row],[Class]]="C",WORKDAY(Main[[#This Row],[Tech Start Date]],23),IF(Main[[#This Row],[Class]]="B", WORKDAY(Main[[#This Row],[Tech Start Date]],15),IF(Main[[#This Row],[Class]]="A",WORKDAY(Main[[#This Row],[Tech Start Date]],5),""))))</f>
        <v/>
      </c>
      <c r="P1063" s="75" t="str">
        <f>IF(Main[[#This Row],[Tech Start Date]]&lt;1/1/1990,"",IF(Main[[#This Row],[Class]]="C",WORKDAY(Main[[#This Row],[Tech Start Date]],28),IF(Main[[#This Row],[Class]]="B", WORKDAY(Main[[#This Row],[Tech Start Date]],19),IF(Main[[#This Row],[Class]]="A",WORKDAY(Main[[#This Row],[Tech Start Date]],9),""))))</f>
        <v/>
      </c>
      <c r="Q1063" s="89">
        <v>40669</v>
      </c>
      <c r="R1063" s="121"/>
      <c r="S1063" s="99" t="s">
        <v>6</v>
      </c>
      <c r="T1063" s="76" t="s">
        <v>4</v>
      </c>
      <c r="U1063" s="99" t="s">
        <v>29</v>
      </c>
      <c r="V1063" s="99" t="s">
        <v>1916</v>
      </c>
      <c r="W1063" s="99" t="s">
        <v>1917</v>
      </c>
      <c r="X1063" s="99" t="s">
        <v>2813</v>
      </c>
      <c r="Y1063" s="73" t="s">
        <v>2926</v>
      </c>
      <c r="Z1063" s="73" t="s">
        <v>530</v>
      </c>
      <c r="AA1063" s="99" t="s">
        <v>2813</v>
      </c>
    </row>
    <row r="1064" spans="1:27" ht="17.25" customHeight="1">
      <c r="A1064" s="65" t="str">
        <f>IF(priority(Main[[#This Row],[Comments]])&lt;&gt;0, priority(Main[[#This Row],[Comments]]),"")</f>
        <v/>
      </c>
      <c r="B1064" s="60" t="s">
        <v>1890</v>
      </c>
      <c r="C1064" s="105" t="s">
        <v>116</v>
      </c>
      <c r="D1064" s="74" t="s">
        <v>2309</v>
      </c>
      <c r="E1064" s="89">
        <v>40673.421898148146</v>
      </c>
      <c r="F1064" s="89"/>
      <c r="G1064" s="65" t="str">
        <f>IF(stdProdLT(Main[[#This Row],[Comments]])=0.1,"N/A",IF(stdProdLT(Main[[#This Row],[Comments]])=0,"",TRIM(stdProdLT(Main[[#This Row],[Comments]]))))</f>
        <v/>
      </c>
      <c r="H1064" s="98" t="str">
        <f>IF(Main[[#This Row],[Std. Prod. Lead Time]]="N/A", "",IF(AND(Main[[#This Row],[In Stock Date]]&lt;&gt;"",Main[[#This Row],[Revised Due Date]]&lt;&gt;"",Main[[#This Row],[In Stock Date]]&lt;&gt;""),Main[[#This Row],[In Stock Date]]-Main[[#This Row],[Revised Due Date]],""))</f>
        <v/>
      </c>
      <c r="I1064" s="110" t="s">
        <v>937</v>
      </c>
      <c r="J1064" s="99" t="s">
        <v>28</v>
      </c>
      <c r="K1064" s="100" t="s">
        <v>1925</v>
      </c>
      <c r="L1064" s="89"/>
      <c r="M1064" s="75" t="str">
        <f>IF(Main[[#This Row],[Tech Start Date]]&lt;1/1/1990,"",IF(Main[[#This Row],[Class]]="C",WORKDAY(Main[[#This Row],[Tech Start Date]],9),IF(Main[[#This Row],[Class]]="B", WORKDAY(Main[[#This Row],[Tech Start Date]],6),IF(Main[[#This Row],[Class]]="A",WORKDAY(Main[[#This Row],[Tech Start Date]],2),""))))</f>
        <v/>
      </c>
      <c r="N1064" s="75" t="str">
        <f>IF(Main[[#This Row],[Tech Start Date]]&lt;1/1/1990,"",IF(Main[[#This Row],[Class]]="C",WORKDAY(Main[[#This Row],[Tech Start Date]],19),IF(Main[[#This Row],[Class]]="B", WORKDAY(Main[[#This Row],[Tech Start Date]],12),IF(Main[[#This Row],[Class]]="A",WORKDAY(Main[[#This Row],[Tech Start Date]],4),""))))</f>
        <v/>
      </c>
      <c r="O1064" s="75" t="str">
        <f>IF(Main[[#This Row],[Tech Start Date]]&lt;1/1/1990,"",IF(Main[[#This Row],[Class]]="C",WORKDAY(Main[[#This Row],[Tech Start Date]],23),IF(Main[[#This Row],[Class]]="B", WORKDAY(Main[[#This Row],[Tech Start Date]],15),IF(Main[[#This Row],[Class]]="A",WORKDAY(Main[[#This Row],[Tech Start Date]],5),""))))</f>
        <v/>
      </c>
      <c r="P1064" s="75" t="str">
        <f>IF(Main[[#This Row],[Tech Start Date]]&lt;1/1/1990,"",IF(Main[[#This Row],[Class]]="C",WORKDAY(Main[[#This Row],[Tech Start Date]],28),IF(Main[[#This Row],[Class]]="B", WORKDAY(Main[[#This Row],[Tech Start Date]],19),IF(Main[[#This Row],[Class]]="A",WORKDAY(Main[[#This Row],[Tech Start Date]],9),""))))</f>
        <v/>
      </c>
      <c r="Q1064" s="89">
        <v>40724</v>
      </c>
      <c r="R1064" s="121">
        <v>40847</v>
      </c>
      <c r="S1064" s="99" t="s">
        <v>6</v>
      </c>
      <c r="T1064" s="76" t="s">
        <v>2409</v>
      </c>
      <c r="U1064" s="99" t="s">
        <v>29</v>
      </c>
      <c r="V1064" s="99" t="s">
        <v>1913</v>
      </c>
      <c r="W1064" s="99" t="s">
        <v>1917</v>
      </c>
      <c r="X1064" s="99" t="s">
        <v>912</v>
      </c>
      <c r="Y1064" s="73" t="s">
        <v>3051</v>
      </c>
      <c r="Z1064" s="73" t="s">
        <v>129</v>
      </c>
      <c r="AA1064" s="99" t="s">
        <v>912</v>
      </c>
    </row>
    <row r="1065" spans="1:27" ht="17.25" customHeight="1">
      <c r="A1065" s="65" t="str">
        <f>IF(priority(Main[[#This Row],[Comments]])&lt;&gt;0, priority(Main[[#This Row],[Comments]]),"")</f>
        <v/>
      </c>
      <c r="B1065" s="60" t="s">
        <v>2410</v>
      </c>
      <c r="C1065" s="105" t="s">
        <v>213</v>
      </c>
      <c r="D1065" s="74" t="s">
        <v>2411</v>
      </c>
      <c r="E1065" s="89">
        <v>40861.655509259261</v>
      </c>
      <c r="F1065" s="89"/>
      <c r="G1065" s="65" t="str">
        <f>IF(stdProdLT(Main[[#This Row],[Comments]])=0.1,"N/A",IF(stdProdLT(Main[[#This Row],[Comments]])=0,"",TRIM(stdProdLT(Main[[#This Row],[Comments]]))))</f>
        <v/>
      </c>
      <c r="H1065" s="98" t="str">
        <f>IF(Main[[#This Row],[Std. Prod. Lead Time]]="N/A", "",IF(AND(Main[[#This Row],[In Stock Date]]&lt;&gt;"",Main[[#This Row],[Revised Due Date]]&lt;&gt;"",Main[[#This Row],[In Stock Date]]&lt;&gt;""),Main[[#This Row],[In Stock Date]]-Main[[#This Row],[Revised Due Date]],""))</f>
        <v/>
      </c>
      <c r="I1065" s="110" t="s">
        <v>4</v>
      </c>
      <c r="J1065" s="99" t="s">
        <v>4</v>
      </c>
      <c r="K1065" s="99" t="s">
        <v>4</v>
      </c>
      <c r="L1065" s="89"/>
      <c r="M1065" s="75" t="str">
        <f>IF(Main[[#This Row],[Tech Start Date]]&lt;1/1/1990,"",IF(Main[[#This Row],[Class]]="C",WORKDAY(Main[[#This Row],[Tech Start Date]],9),IF(Main[[#This Row],[Class]]="B", WORKDAY(Main[[#This Row],[Tech Start Date]],6),IF(Main[[#This Row],[Class]]="A",WORKDAY(Main[[#This Row],[Tech Start Date]],2),""))))</f>
        <v/>
      </c>
      <c r="N1065" s="75" t="str">
        <f>IF(Main[[#This Row],[Tech Start Date]]&lt;1/1/1990,"",IF(Main[[#This Row],[Class]]="C",WORKDAY(Main[[#This Row],[Tech Start Date]],19),IF(Main[[#This Row],[Class]]="B", WORKDAY(Main[[#This Row],[Tech Start Date]],12),IF(Main[[#This Row],[Class]]="A",WORKDAY(Main[[#This Row],[Tech Start Date]],4),""))))</f>
        <v/>
      </c>
      <c r="O1065" s="75" t="str">
        <f>IF(Main[[#This Row],[Tech Start Date]]&lt;1/1/1990,"",IF(Main[[#This Row],[Class]]="C",WORKDAY(Main[[#This Row],[Tech Start Date]],23),IF(Main[[#This Row],[Class]]="B", WORKDAY(Main[[#This Row],[Tech Start Date]],15),IF(Main[[#This Row],[Class]]="A",WORKDAY(Main[[#This Row],[Tech Start Date]],5),""))))</f>
        <v/>
      </c>
      <c r="P1065" s="75" t="str">
        <f>IF(Main[[#This Row],[Tech Start Date]]&lt;1/1/1990,"",IF(Main[[#This Row],[Class]]="C",WORKDAY(Main[[#This Row],[Tech Start Date]],28),IF(Main[[#This Row],[Class]]="B", WORKDAY(Main[[#This Row],[Tech Start Date]],19),IF(Main[[#This Row],[Class]]="A",WORKDAY(Main[[#This Row],[Tech Start Date]],9),""))))</f>
        <v/>
      </c>
      <c r="Q1065" s="89">
        <v>40967</v>
      </c>
      <c r="R1065" s="121"/>
      <c r="S1065" s="99" t="s">
        <v>17</v>
      </c>
      <c r="T1065" s="76" t="s">
        <v>4</v>
      </c>
      <c r="U1065" s="99" t="s">
        <v>7</v>
      </c>
      <c r="V1065" s="99" t="s">
        <v>1923</v>
      </c>
      <c r="W1065" s="99" t="s">
        <v>1918</v>
      </c>
      <c r="X1065" s="99" t="s">
        <v>431</v>
      </c>
      <c r="Y1065" s="73" t="s">
        <v>3117</v>
      </c>
      <c r="Z1065" s="73" t="s">
        <v>4</v>
      </c>
      <c r="AA1065" s="99" t="s">
        <v>431</v>
      </c>
    </row>
    <row r="1066" spans="1:27" ht="17.25" customHeight="1">
      <c r="A1066" s="65" t="str">
        <f>IF(priority(Main[[#This Row],[Comments]])&lt;&gt;0, priority(Main[[#This Row],[Comments]]),"")</f>
        <v/>
      </c>
      <c r="B1066" s="60" t="s">
        <v>2273</v>
      </c>
      <c r="C1066" s="105" t="s">
        <v>2274</v>
      </c>
      <c r="D1066" s="74" t="s">
        <v>2275</v>
      </c>
      <c r="E1066" s="89"/>
      <c r="F1066" s="89">
        <v>40816</v>
      </c>
      <c r="G1066" s="65" t="str">
        <f>IF(stdProdLT(Main[[#This Row],[Comments]])=0.1,"N/A",IF(stdProdLT(Main[[#This Row],[Comments]])=0,"",TRIM(stdProdLT(Main[[#This Row],[Comments]]))))</f>
        <v/>
      </c>
      <c r="H1066" s="98" t="str">
        <f>IF(Main[[#This Row],[Std. Prod. Lead Time]]="N/A", "",IF(AND(Main[[#This Row],[In Stock Date]]&lt;&gt;"",Main[[#This Row],[Revised Due Date]]&lt;&gt;"",Main[[#This Row],[In Stock Date]]&lt;&gt;""),Main[[#This Row],[In Stock Date]]-Main[[#This Row],[Revised Due Date]],""))</f>
        <v/>
      </c>
      <c r="I1066" s="110" t="s">
        <v>4</v>
      </c>
      <c r="J1066" s="99" t="s">
        <v>4</v>
      </c>
      <c r="K1066" s="99" t="s">
        <v>4</v>
      </c>
      <c r="L1066" s="89"/>
      <c r="M1066" s="75" t="str">
        <f>IF(Main[[#This Row],[Tech Start Date]]&lt;1/1/1990,"",IF(Main[[#This Row],[Class]]="C",WORKDAY(Main[[#This Row],[Tech Start Date]],9),IF(Main[[#This Row],[Class]]="B", WORKDAY(Main[[#This Row],[Tech Start Date]],6),IF(Main[[#This Row],[Class]]="A",WORKDAY(Main[[#This Row],[Tech Start Date]],2),""))))</f>
        <v/>
      </c>
      <c r="N1066" s="75" t="str">
        <f>IF(Main[[#This Row],[Tech Start Date]]&lt;1/1/1990,"",IF(Main[[#This Row],[Class]]="C",WORKDAY(Main[[#This Row],[Tech Start Date]],19),IF(Main[[#This Row],[Class]]="B", WORKDAY(Main[[#This Row],[Tech Start Date]],12),IF(Main[[#This Row],[Class]]="A",WORKDAY(Main[[#This Row],[Tech Start Date]],4),""))))</f>
        <v/>
      </c>
      <c r="O1066" s="75" t="str">
        <f>IF(Main[[#This Row],[Tech Start Date]]&lt;1/1/1990,"",IF(Main[[#This Row],[Class]]="C",WORKDAY(Main[[#This Row],[Tech Start Date]],23),IF(Main[[#This Row],[Class]]="B", WORKDAY(Main[[#This Row],[Tech Start Date]],15),IF(Main[[#This Row],[Class]]="A",WORKDAY(Main[[#This Row],[Tech Start Date]],5),""))))</f>
        <v/>
      </c>
      <c r="P1066" s="75" t="str">
        <f>IF(Main[[#This Row],[Tech Start Date]]&lt;1/1/1990,"",IF(Main[[#This Row],[Class]]="C",WORKDAY(Main[[#This Row],[Tech Start Date]],28),IF(Main[[#This Row],[Class]]="B", WORKDAY(Main[[#This Row],[Tech Start Date]],19),IF(Main[[#This Row],[Class]]="A",WORKDAY(Main[[#This Row],[Tech Start Date]],9),""))))</f>
        <v/>
      </c>
      <c r="Q1066" s="89">
        <v>40816</v>
      </c>
      <c r="R1066" s="121"/>
      <c r="S1066" s="99" t="s">
        <v>296</v>
      </c>
      <c r="T1066" s="76" t="s">
        <v>4</v>
      </c>
      <c r="U1066" s="99" t="s">
        <v>14</v>
      </c>
      <c r="V1066" s="99" t="s">
        <v>1923</v>
      </c>
      <c r="W1066" s="99" t="s">
        <v>1921</v>
      </c>
      <c r="X1066" s="99" t="s">
        <v>2904</v>
      </c>
      <c r="Y1066" s="73" t="s">
        <v>3118</v>
      </c>
      <c r="Z1066" s="73" t="s">
        <v>4</v>
      </c>
      <c r="AA1066" s="99" t="s">
        <v>3442</v>
      </c>
    </row>
    <row r="1067" spans="1:27" ht="17.25" customHeight="1">
      <c r="A1067" s="65" t="str">
        <f>IF(priority(Main[[#This Row],[Comments]])&lt;&gt;0, priority(Main[[#This Row],[Comments]]),"")</f>
        <v/>
      </c>
      <c r="B1067" s="60" t="s">
        <v>2412</v>
      </c>
      <c r="C1067" s="105" t="s">
        <v>4</v>
      </c>
      <c r="D1067" s="74" t="s">
        <v>2413</v>
      </c>
      <c r="E1067" s="89">
        <v>40826.139097222222</v>
      </c>
      <c r="F1067" s="89"/>
      <c r="G1067" s="65" t="str">
        <f>IF(stdProdLT(Main[[#This Row],[Comments]])=0.1,"N/A",IF(stdProdLT(Main[[#This Row],[Comments]])=0,"",TRIM(stdProdLT(Main[[#This Row],[Comments]]))))</f>
        <v/>
      </c>
      <c r="H1067" s="98" t="str">
        <f>IF(Main[[#This Row],[Std. Prod. Lead Time]]="N/A", "",IF(AND(Main[[#This Row],[In Stock Date]]&lt;&gt;"",Main[[#This Row],[Revised Due Date]]&lt;&gt;"",Main[[#This Row],[In Stock Date]]&lt;&gt;""),Main[[#This Row],[In Stock Date]]-Main[[#This Row],[Revised Due Date]],""))</f>
        <v/>
      </c>
      <c r="I1067" s="110" t="s">
        <v>4</v>
      </c>
      <c r="J1067" s="99" t="s">
        <v>4</v>
      </c>
      <c r="K1067" s="99" t="s">
        <v>4</v>
      </c>
      <c r="L1067" s="89"/>
      <c r="M1067" s="75" t="str">
        <f>IF(Main[[#This Row],[Tech Start Date]]&lt;1/1/1990,"",IF(Main[[#This Row],[Class]]="C",WORKDAY(Main[[#This Row],[Tech Start Date]],9),IF(Main[[#This Row],[Class]]="B", WORKDAY(Main[[#This Row],[Tech Start Date]],6),IF(Main[[#This Row],[Class]]="A",WORKDAY(Main[[#This Row],[Tech Start Date]],2),""))))</f>
        <v/>
      </c>
      <c r="N1067" s="75" t="str">
        <f>IF(Main[[#This Row],[Tech Start Date]]&lt;1/1/1990,"",IF(Main[[#This Row],[Class]]="C",WORKDAY(Main[[#This Row],[Tech Start Date]],19),IF(Main[[#This Row],[Class]]="B", WORKDAY(Main[[#This Row],[Tech Start Date]],12),IF(Main[[#This Row],[Class]]="A",WORKDAY(Main[[#This Row],[Tech Start Date]],4),""))))</f>
        <v/>
      </c>
      <c r="O1067" s="75" t="str">
        <f>IF(Main[[#This Row],[Tech Start Date]]&lt;1/1/1990,"",IF(Main[[#This Row],[Class]]="C",WORKDAY(Main[[#This Row],[Tech Start Date]],23),IF(Main[[#This Row],[Class]]="B", WORKDAY(Main[[#This Row],[Tech Start Date]],15),IF(Main[[#This Row],[Class]]="A",WORKDAY(Main[[#This Row],[Tech Start Date]],5),""))))</f>
        <v/>
      </c>
      <c r="P1067" s="75" t="str">
        <f>IF(Main[[#This Row],[Tech Start Date]]&lt;1/1/1990,"",IF(Main[[#This Row],[Class]]="C",WORKDAY(Main[[#This Row],[Tech Start Date]],28),IF(Main[[#This Row],[Class]]="B", WORKDAY(Main[[#This Row],[Tech Start Date]],19),IF(Main[[#This Row],[Class]]="A",WORKDAY(Main[[#This Row],[Tech Start Date]],9),""))))</f>
        <v/>
      </c>
      <c r="Q1067" s="89">
        <v>40847</v>
      </c>
      <c r="R1067" s="121"/>
      <c r="S1067" s="99" t="s">
        <v>6</v>
      </c>
      <c r="T1067" s="76" t="s">
        <v>4</v>
      </c>
      <c r="U1067" s="99" t="s">
        <v>7</v>
      </c>
      <c r="V1067" s="99" t="s">
        <v>1913</v>
      </c>
      <c r="W1067" s="99" t="s">
        <v>4</v>
      </c>
      <c r="X1067" s="99" t="s">
        <v>2845</v>
      </c>
      <c r="Y1067" s="73" t="s">
        <v>2980</v>
      </c>
      <c r="Z1067" s="73" t="s">
        <v>4</v>
      </c>
      <c r="AA1067" s="99" t="s">
        <v>2845</v>
      </c>
    </row>
    <row r="1068" spans="1:27" ht="17.25" customHeight="1">
      <c r="A1068" s="65" t="str">
        <f>IF(priority(Main[[#This Row],[Comments]])&lt;&gt;0, priority(Main[[#This Row],[Comments]]),"")</f>
        <v/>
      </c>
      <c r="B1068" s="60" t="s">
        <v>2388</v>
      </c>
      <c r="C1068" s="105" t="s">
        <v>4</v>
      </c>
      <c r="D1068" s="74" t="s">
        <v>2389</v>
      </c>
      <c r="E1068" s="89"/>
      <c r="F1068" s="89"/>
      <c r="G1068" s="65" t="str">
        <f>IF(stdProdLT(Main[[#This Row],[Comments]])=0.1,"N/A",IF(stdProdLT(Main[[#This Row],[Comments]])=0,"",TRIM(stdProdLT(Main[[#This Row],[Comments]]))))</f>
        <v/>
      </c>
      <c r="H1068" s="98" t="str">
        <f>IF(Main[[#This Row],[Std. Prod. Lead Time]]="N/A", "",IF(AND(Main[[#This Row],[In Stock Date]]&lt;&gt;"",Main[[#This Row],[Revised Due Date]]&lt;&gt;"",Main[[#This Row],[In Stock Date]]&lt;&gt;""),Main[[#This Row],[In Stock Date]]-Main[[#This Row],[Revised Due Date]],""))</f>
        <v/>
      </c>
      <c r="I1068" s="110" t="s">
        <v>4</v>
      </c>
      <c r="J1068" s="99" t="s">
        <v>4</v>
      </c>
      <c r="K1068" s="99" t="s">
        <v>4</v>
      </c>
      <c r="L1068" s="89"/>
      <c r="M1068" s="75" t="str">
        <f>IF(Main[[#This Row],[Tech Start Date]]&lt;1/1/1990,"",IF(Main[[#This Row],[Class]]="C",WORKDAY(Main[[#This Row],[Tech Start Date]],9),IF(Main[[#This Row],[Class]]="B", WORKDAY(Main[[#This Row],[Tech Start Date]],6),IF(Main[[#This Row],[Class]]="A",WORKDAY(Main[[#This Row],[Tech Start Date]],2),""))))</f>
        <v/>
      </c>
      <c r="N1068" s="75" t="str">
        <f>IF(Main[[#This Row],[Tech Start Date]]&lt;1/1/1990,"",IF(Main[[#This Row],[Class]]="C",WORKDAY(Main[[#This Row],[Tech Start Date]],19),IF(Main[[#This Row],[Class]]="B", WORKDAY(Main[[#This Row],[Tech Start Date]],12),IF(Main[[#This Row],[Class]]="A",WORKDAY(Main[[#This Row],[Tech Start Date]],4),""))))</f>
        <v/>
      </c>
      <c r="O1068" s="75" t="str">
        <f>IF(Main[[#This Row],[Tech Start Date]]&lt;1/1/1990,"",IF(Main[[#This Row],[Class]]="C",WORKDAY(Main[[#This Row],[Tech Start Date]],23),IF(Main[[#This Row],[Class]]="B", WORKDAY(Main[[#This Row],[Tech Start Date]],15),IF(Main[[#This Row],[Class]]="A",WORKDAY(Main[[#This Row],[Tech Start Date]],5),""))))</f>
        <v/>
      </c>
      <c r="P1068" s="75" t="str">
        <f>IF(Main[[#This Row],[Tech Start Date]]&lt;1/1/1990,"",IF(Main[[#This Row],[Class]]="C",WORKDAY(Main[[#This Row],[Tech Start Date]],28),IF(Main[[#This Row],[Class]]="B", WORKDAY(Main[[#This Row],[Tech Start Date]],19),IF(Main[[#This Row],[Class]]="A",WORKDAY(Main[[#This Row],[Tech Start Date]],9),""))))</f>
        <v/>
      </c>
      <c r="Q1068" s="89"/>
      <c r="R1068" s="121"/>
      <c r="S1068" s="99" t="s">
        <v>6</v>
      </c>
      <c r="T1068" s="76" t="s">
        <v>4</v>
      </c>
      <c r="U1068" s="99" t="s">
        <v>14</v>
      </c>
      <c r="V1068" s="99" t="s">
        <v>1913</v>
      </c>
      <c r="W1068" s="99" t="s">
        <v>1917</v>
      </c>
      <c r="X1068" s="99" t="s">
        <v>399</v>
      </c>
      <c r="Y1068" s="73" t="s">
        <v>4</v>
      </c>
      <c r="Z1068" s="73" t="s">
        <v>4</v>
      </c>
      <c r="AA1068" s="99" t="s">
        <v>3446</v>
      </c>
    </row>
    <row r="1069" spans="1:27" ht="17.25" customHeight="1">
      <c r="A1069" s="65" t="str">
        <f>IF(priority(Main[[#This Row],[Comments]])&lt;&gt;0, priority(Main[[#This Row],[Comments]]),"")</f>
        <v/>
      </c>
      <c r="B1069" s="60" t="s">
        <v>3612</v>
      </c>
      <c r="C1069" s="105" t="s">
        <v>3613</v>
      </c>
      <c r="D1069" s="74" t="s">
        <v>3614</v>
      </c>
      <c r="E1069" s="89">
        <v>40956.576782407406</v>
      </c>
      <c r="F1069" s="89"/>
      <c r="G1069" s="65" t="str">
        <f>IF(stdProdLT(Main[[#This Row],[Comments]])=0.1,"N/A",IF(stdProdLT(Main[[#This Row],[Comments]])=0,"",TRIM(stdProdLT(Main[[#This Row],[Comments]]))))</f>
        <v>N/A</v>
      </c>
      <c r="H1069" s="98" t="str">
        <f>IF(Main[[#This Row],[Std. Prod. Lead Time]]="N/A", "",IF(AND(Main[[#This Row],[In Stock Date]]&lt;&gt;"",Main[[#This Row],[Revised Due Date]]&lt;&gt;"",Main[[#This Row],[In Stock Date]]&lt;&gt;""),Main[[#This Row],[In Stock Date]]-Main[[#This Row],[Revised Due Date]],""))</f>
        <v/>
      </c>
      <c r="I1069" s="110" t="s">
        <v>941</v>
      </c>
      <c r="J1069" s="99" t="s">
        <v>28</v>
      </c>
      <c r="K1069" s="99" t="s">
        <v>1920</v>
      </c>
      <c r="L1069" s="89"/>
      <c r="M1069" s="75" t="str">
        <f>IF(Main[[#This Row],[Tech Start Date]]&lt;1/1/1990,"",IF(Main[[#This Row],[Class]]="C",WORKDAY(Main[[#This Row],[Tech Start Date]],9),IF(Main[[#This Row],[Class]]="B", WORKDAY(Main[[#This Row],[Tech Start Date]],6),IF(Main[[#This Row],[Class]]="A",WORKDAY(Main[[#This Row],[Tech Start Date]],2),""))))</f>
        <v/>
      </c>
      <c r="N1069" s="75" t="str">
        <f>IF(Main[[#This Row],[Tech Start Date]]&lt;1/1/1990,"",IF(Main[[#This Row],[Class]]="C",WORKDAY(Main[[#This Row],[Tech Start Date]],19),IF(Main[[#This Row],[Class]]="B", WORKDAY(Main[[#This Row],[Tech Start Date]],12),IF(Main[[#This Row],[Class]]="A",WORKDAY(Main[[#This Row],[Tech Start Date]],4),""))))</f>
        <v/>
      </c>
      <c r="O1069" s="75" t="str">
        <f>IF(Main[[#This Row],[Tech Start Date]]&lt;1/1/1990,"",IF(Main[[#This Row],[Class]]="C",WORKDAY(Main[[#This Row],[Tech Start Date]],23),IF(Main[[#This Row],[Class]]="B", WORKDAY(Main[[#This Row],[Tech Start Date]],15),IF(Main[[#This Row],[Class]]="A",WORKDAY(Main[[#This Row],[Tech Start Date]],5),""))))</f>
        <v/>
      </c>
      <c r="P1069" s="75" t="str">
        <f>IF(Main[[#This Row],[Tech Start Date]]&lt;1/1/1990,"",IF(Main[[#This Row],[Class]]="C",WORKDAY(Main[[#This Row],[Tech Start Date]],28),IF(Main[[#This Row],[Class]]="B", WORKDAY(Main[[#This Row],[Tech Start Date]],19),IF(Main[[#This Row],[Class]]="A",WORKDAY(Main[[#This Row],[Tech Start Date]],9),""))))</f>
        <v/>
      </c>
      <c r="Q1069" s="89"/>
      <c r="R1069" s="121"/>
      <c r="S1069" s="99" t="s">
        <v>6</v>
      </c>
      <c r="T1069" s="76" t="s">
        <v>3226</v>
      </c>
      <c r="U1069" s="99" t="s">
        <v>29</v>
      </c>
      <c r="V1069" s="99" t="s">
        <v>1914</v>
      </c>
      <c r="W1069" s="99" t="s">
        <v>1917</v>
      </c>
      <c r="X1069" s="99" t="s">
        <v>2810</v>
      </c>
      <c r="Y1069" s="73" t="s">
        <v>2987</v>
      </c>
      <c r="Z1069" s="73" t="s">
        <v>2049</v>
      </c>
      <c r="AA1069" s="99" t="s">
        <v>3615</v>
      </c>
    </row>
    <row r="1070" spans="1:27" ht="17.25" customHeight="1">
      <c r="A1070" s="65" t="str">
        <f>IF(priority(Main[[#This Row],[Comments]])&lt;&gt;0, priority(Main[[#This Row],[Comments]]),"")</f>
        <v/>
      </c>
      <c r="B1070" s="60" t="s">
        <v>3616</v>
      </c>
      <c r="C1070" s="105" t="s">
        <v>4</v>
      </c>
      <c r="D1070" s="74" t="s">
        <v>3617</v>
      </c>
      <c r="E1070" s="89">
        <v>40953.403587962966</v>
      </c>
      <c r="F1070" s="89"/>
      <c r="G1070" s="65" t="str">
        <f>IF(stdProdLT(Main[[#This Row],[Comments]])=0.1,"N/A",IF(stdProdLT(Main[[#This Row],[Comments]])=0,"",TRIM(stdProdLT(Main[[#This Row],[Comments]]))))</f>
        <v/>
      </c>
      <c r="H1070" s="98" t="str">
        <f>IF(Main[[#This Row],[Std. Prod. Lead Time]]="N/A", "",IF(AND(Main[[#This Row],[In Stock Date]]&lt;&gt;"",Main[[#This Row],[Revised Due Date]]&lt;&gt;"",Main[[#This Row],[In Stock Date]]&lt;&gt;""),Main[[#This Row],[In Stock Date]]-Main[[#This Row],[Revised Due Date]],""))</f>
        <v/>
      </c>
      <c r="I1070" s="110" t="s">
        <v>530</v>
      </c>
      <c r="J1070" s="99" t="s">
        <v>28</v>
      </c>
      <c r="K1070" s="99" t="s">
        <v>1922</v>
      </c>
      <c r="L1070" s="89"/>
      <c r="M1070" s="75" t="str">
        <f>IF(Main[[#This Row],[Tech Start Date]]&lt;1/1/1990,"",IF(Main[[#This Row],[Class]]="C",WORKDAY(Main[[#This Row],[Tech Start Date]],9),IF(Main[[#This Row],[Class]]="B", WORKDAY(Main[[#This Row],[Tech Start Date]],6),IF(Main[[#This Row],[Class]]="A",WORKDAY(Main[[#This Row],[Tech Start Date]],2),""))))</f>
        <v/>
      </c>
      <c r="N1070" s="75" t="str">
        <f>IF(Main[[#This Row],[Tech Start Date]]&lt;1/1/1990,"",IF(Main[[#This Row],[Class]]="C",WORKDAY(Main[[#This Row],[Tech Start Date]],19),IF(Main[[#This Row],[Class]]="B", WORKDAY(Main[[#This Row],[Tech Start Date]],12),IF(Main[[#This Row],[Class]]="A",WORKDAY(Main[[#This Row],[Tech Start Date]],4),""))))</f>
        <v/>
      </c>
      <c r="O1070" s="75" t="str">
        <f>IF(Main[[#This Row],[Tech Start Date]]&lt;1/1/1990,"",IF(Main[[#This Row],[Class]]="C",WORKDAY(Main[[#This Row],[Tech Start Date]],23),IF(Main[[#This Row],[Class]]="B", WORKDAY(Main[[#This Row],[Tech Start Date]],15),IF(Main[[#This Row],[Class]]="A",WORKDAY(Main[[#This Row],[Tech Start Date]],5),""))))</f>
        <v/>
      </c>
      <c r="P1070" s="75" t="str">
        <f>IF(Main[[#This Row],[Tech Start Date]]&lt;1/1/1990,"",IF(Main[[#This Row],[Class]]="C",WORKDAY(Main[[#This Row],[Tech Start Date]],28),IF(Main[[#This Row],[Class]]="B", WORKDAY(Main[[#This Row],[Tech Start Date]],19),IF(Main[[#This Row],[Class]]="A",WORKDAY(Main[[#This Row],[Tech Start Date]],9),""))))</f>
        <v/>
      </c>
      <c r="Q1070" s="89"/>
      <c r="R1070" s="121"/>
      <c r="S1070" s="99" t="s">
        <v>6</v>
      </c>
      <c r="T1070" s="76" t="s">
        <v>4</v>
      </c>
      <c r="U1070" s="99" t="s">
        <v>29</v>
      </c>
      <c r="V1070" s="99" t="s">
        <v>1916</v>
      </c>
      <c r="W1070" s="99" t="s">
        <v>1915</v>
      </c>
      <c r="X1070" s="99" t="s">
        <v>530</v>
      </c>
      <c r="Y1070" s="73" t="s">
        <v>3138</v>
      </c>
      <c r="Z1070" s="73" t="s">
        <v>30</v>
      </c>
      <c r="AA1070" s="99" t="s">
        <v>530</v>
      </c>
    </row>
    <row r="1071" spans="1:27" ht="17.25" customHeight="1">
      <c r="A1071" s="65" t="str">
        <f>IF(priority(Main[[#This Row],[Comments]])&lt;&gt;0, priority(Main[[#This Row],[Comments]]),"")</f>
        <v/>
      </c>
      <c r="B1071" s="60" t="s">
        <v>4008</v>
      </c>
      <c r="C1071" s="105" t="s">
        <v>4</v>
      </c>
      <c r="D1071" s="74" t="s">
        <v>4009</v>
      </c>
      <c r="E1071" s="89">
        <v>40969.698576388888</v>
      </c>
      <c r="F1071" s="89"/>
      <c r="G1071" s="65" t="str">
        <f>IF(stdProdLT(Main[[#This Row],[Comments]])=0.1,"N/A",IF(stdProdLT(Main[[#This Row],[Comments]])=0,"",TRIM(stdProdLT(Main[[#This Row],[Comments]]))))</f>
        <v/>
      </c>
      <c r="H1071" s="98" t="str">
        <f>IF(Main[[#This Row],[Std. Prod. Lead Time]]="N/A", "",IF(AND(Main[[#This Row],[In Stock Date]]&lt;&gt;"",Main[[#This Row],[Revised Due Date]]&lt;&gt;"",Main[[#This Row],[In Stock Date]]&lt;&gt;""),Main[[#This Row],[In Stock Date]]-Main[[#This Row],[Revised Due Date]],""))</f>
        <v/>
      </c>
      <c r="I1071" s="110" t="s">
        <v>2040</v>
      </c>
      <c r="J1071" s="99" t="s">
        <v>28</v>
      </c>
      <c r="K1071" s="99" t="s">
        <v>4</v>
      </c>
      <c r="L1071" s="89"/>
      <c r="M1071" s="75" t="str">
        <f>IF(Main[[#This Row],[Tech Start Date]]&lt;1/1/1990,"",IF(Main[[#This Row],[Class]]="C",WORKDAY(Main[[#This Row],[Tech Start Date]],9),IF(Main[[#This Row],[Class]]="B", WORKDAY(Main[[#This Row],[Tech Start Date]],6),IF(Main[[#This Row],[Class]]="A",WORKDAY(Main[[#This Row],[Tech Start Date]],2),""))))</f>
        <v/>
      </c>
      <c r="N1071" s="75" t="str">
        <f>IF(Main[[#This Row],[Tech Start Date]]&lt;1/1/1990,"",IF(Main[[#This Row],[Class]]="C",WORKDAY(Main[[#This Row],[Tech Start Date]],19),IF(Main[[#This Row],[Class]]="B", WORKDAY(Main[[#This Row],[Tech Start Date]],12),IF(Main[[#This Row],[Class]]="A",WORKDAY(Main[[#This Row],[Tech Start Date]],4),""))))</f>
        <v/>
      </c>
      <c r="O1071" s="75" t="str">
        <f>IF(Main[[#This Row],[Tech Start Date]]&lt;1/1/1990,"",IF(Main[[#This Row],[Class]]="C",WORKDAY(Main[[#This Row],[Tech Start Date]],23),IF(Main[[#This Row],[Class]]="B", WORKDAY(Main[[#This Row],[Tech Start Date]],15),IF(Main[[#This Row],[Class]]="A",WORKDAY(Main[[#This Row],[Tech Start Date]],5),""))))</f>
        <v/>
      </c>
      <c r="P1071" s="75" t="str">
        <f>IF(Main[[#This Row],[Tech Start Date]]&lt;1/1/1990,"",IF(Main[[#This Row],[Class]]="C",WORKDAY(Main[[#This Row],[Tech Start Date]],28),IF(Main[[#This Row],[Class]]="B", WORKDAY(Main[[#This Row],[Tech Start Date]],19),IF(Main[[#This Row],[Class]]="A",WORKDAY(Main[[#This Row],[Tech Start Date]],9),""))))</f>
        <v/>
      </c>
      <c r="Q1071" s="89"/>
      <c r="R1071" s="121"/>
      <c r="S1071" s="99" t="s">
        <v>6</v>
      </c>
      <c r="T1071" s="76" t="s">
        <v>4</v>
      </c>
      <c r="U1071" s="99" t="s">
        <v>29</v>
      </c>
      <c r="V1071" s="99" t="s">
        <v>1923</v>
      </c>
      <c r="W1071" s="99" t="s">
        <v>1917</v>
      </c>
      <c r="X1071" s="99" t="s">
        <v>2040</v>
      </c>
      <c r="Y1071" s="73" t="s">
        <v>3150</v>
      </c>
      <c r="Z1071" s="73" t="s">
        <v>4</v>
      </c>
      <c r="AA1071" s="99" t="s">
        <v>2040</v>
      </c>
    </row>
    <row r="1072" spans="1:27" ht="17.25" customHeight="1">
      <c r="A1072" s="65" t="str">
        <f>IF(priority(Main[[#This Row],[Comments]])&lt;&gt;0, priority(Main[[#This Row],[Comments]]),"")</f>
        <v/>
      </c>
      <c r="B1072" s="60" t="s">
        <v>3918</v>
      </c>
      <c r="C1072" s="105" t="s">
        <v>3919</v>
      </c>
      <c r="D1072" s="74" t="s">
        <v>3920</v>
      </c>
      <c r="E1072" s="89">
        <v>40968.569189814814</v>
      </c>
      <c r="F1072" s="89"/>
      <c r="G1072" s="65" t="str">
        <f>IF(stdProdLT(Main[[#This Row],[Comments]])=0.1,"N/A",IF(stdProdLT(Main[[#This Row],[Comments]])=0,"",TRIM(stdProdLT(Main[[#This Row],[Comments]]))))</f>
        <v/>
      </c>
      <c r="H1072" s="98" t="str">
        <f>IF(Main[[#This Row],[Std. Prod. Lead Time]]="N/A", "",IF(AND(Main[[#This Row],[In Stock Date]]&lt;&gt;"",Main[[#This Row],[Revised Due Date]]&lt;&gt;"",Main[[#This Row],[In Stock Date]]&lt;&gt;""),Main[[#This Row],[In Stock Date]]-Main[[#This Row],[Revised Due Date]],""))</f>
        <v/>
      </c>
      <c r="I1072" s="110" t="s">
        <v>81</v>
      </c>
      <c r="J1072" s="99" t="s">
        <v>52</v>
      </c>
      <c r="K1072" s="99" t="s">
        <v>4</v>
      </c>
      <c r="L1072" s="89"/>
      <c r="M1072" s="75" t="str">
        <f>IF(Main[[#This Row],[Tech Start Date]]&lt;1/1/1990,"",IF(Main[[#This Row],[Class]]="C",WORKDAY(Main[[#This Row],[Tech Start Date]],9),IF(Main[[#This Row],[Class]]="B", WORKDAY(Main[[#This Row],[Tech Start Date]],6),IF(Main[[#This Row],[Class]]="A",WORKDAY(Main[[#This Row],[Tech Start Date]],2),""))))</f>
        <v/>
      </c>
      <c r="N1072" s="75" t="str">
        <f>IF(Main[[#This Row],[Tech Start Date]]&lt;1/1/1990,"",IF(Main[[#This Row],[Class]]="C",WORKDAY(Main[[#This Row],[Tech Start Date]],19),IF(Main[[#This Row],[Class]]="B", WORKDAY(Main[[#This Row],[Tech Start Date]],12),IF(Main[[#This Row],[Class]]="A",WORKDAY(Main[[#This Row],[Tech Start Date]],4),""))))</f>
        <v/>
      </c>
      <c r="O1072" s="75" t="str">
        <f>IF(Main[[#This Row],[Tech Start Date]]&lt;1/1/1990,"",IF(Main[[#This Row],[Class]]="C",WORKDAY(Main[[#This Row],[Tech Start Date]],23),IF(Main[[#This Row],[Class]]="B", WORKDAY(Main[[#This Row],[Tech Start Date]],15),IF(Main[[#This Row],[Class]]="A",WORKDAY(Main[[#This Row],[Tech Start Date]],5),""))))</f>
        <v/>
      </c>
      <c r="P1072" s="75" t="str">
        <f>IF(Main[[#This Row],[Tech Start Date]]&lt;1/1/1990,"",IF(Main[[#This Row],[Class]]="C",WORKDAY(Main[[#This Row],[Tech Start Date]],28),IF(Main[[#This Row],[Class]]="B", WORKDAY(Main[[#This Row],[Tech Start Date]],19),IF(Main[[#This Row],[Class]]="A",WORKDAY(Main[[#This Row],[Tech Start Date]],9),""))))</f>
        <v/>
      </c>
      <c r="Q1072" s="89">
        <v>40973</v>
      </c>
      <c r="R1072" s="121"/>
      <c r="S1072" s="99" t="s">
        <v>6</v>
      </c>
      <c r="T1072" s="76" t="s">
        <v>3928</v>
      </c>
      <c r="U1072" s="99" t="s">
        <v>29</v>
      </c>
      <c r="V1072" s="99" t="s">
        <v>1916</v>
      </c>
      <c r="W1072" s="99" t="s">
        <v>1917</v>
      </c>
      <c r="X1072" s="99" t="s">
        <v>765</v>
      </c>
      <c r="Y1072" s="73" t="s">
        <v>2929</v>
      </c>
      <c r="Z1072" s="73" t="s">
        <v>765</v>
      </c>
      <c r="AA1072" s="99" t="s">
        <v>765</v>
      </c>
    </row>
    <row r="1073" spans="1:27" ht="17.25" customHeight="1">
      <c r="A1073" s="65" t="str">
        <f>IF(priority(Main[[#This Row],[Comments]])&lt;&gt;0, priority(Main[[#This Row],[Comments]]),"")</f>
        <v/>
      </c>
      <c r="B1073" s="60" t="s">
        <v>1906</v>
      </c>
      <c r="C1073" s="105" t="s">
        <v>4</v>
      </c>
      <c r="D1073" s="74" t="s">
        <v>957</v>
      </c>
      <c r="E1073" s="89">
        <v>40140.581273148149</v>
      </c>
      <c r="F1073" s="89"/>
      <c r="G1073" s="65" t="str">
        <f>IF(stdProdLT(Main[[#This Row],[Comments]])=0.1,"N/A",IF(stdProdLT(Main[[#This Row],[Comments]])=0,"",TRIM(stdProdLT(Main[[#This Row],[Comments]]))))</f>
        <v/>
      </c>
      <c r="H1073" s="98" t="str">
        <f>IF(Main[[#This Row],[Std. Prod. Lead Time]]="N/A", "",IF(AND(Main[[#This Row],[In Stock Date]]&lt;&gt;"",Main[[#This Row],[Revised Due Date]]&lt;&gt;"",Main[[#This Row],[In Stock Date]]&lt;&gt;""),Main[[#This Row],[In Stock Date]]-Main[[#This Row],[Revised Due Date]],""))</f>
        <v/>
      </c>
      <c r="I1073" s="110" t="s">
        <v>431</v>
      </c>
      <c r="J1073" s="99" t="s">
        <v>28</v>
      </c>
      <c r="K1073" s="99" t="s">
        <v>1925</v>
      </c>
      <c r="L1073" s="89"/>
      <c r="M1073" s="75" t="str">
        <f>IF(Main[[#This Row],[Tech Start Date]]&lt;1/1/1990,"",IF(Main[[#This Row],[Class]]="C",WORKDAY(Main[[#This Row],[Tech Start Date]],9),IF(Main[[#This Row],[Class]]="B", WORKDAY(Main[[#This Row],[Tech Start Date]],6),IF(Main[[#This Row],[Class]]="A",WORKDAY(Main[[#This Row],[Tech Start Date]],2),""))))</f>
        <v/>
      </c>
      <c r="N1073" s="75" t="str">
        <f>IF(Main[[#This Row],[Tech Start Date]]&lt;1/1/1990,"",IF(Main[[#This Row],[Class]]="C",WORKDAY(Main[[#This Row],[Tech Start Date]],19),IF(Main[[#This Row],[Class]]="B", WORKDAY(Main[[#This Row],[Tech Start Date]],12),IF(Main[[#This Row],[Class]]="A",WORKDAY(Main[[#This Row],[Tech Start Date]],4),""))))</f>
        <v/>
      </c>
      <c r="O1073" s="75" t="str">
        <f>IF(Main[[#This Row],[Tech Start Date]]&lt;1/1/1990,"",IF(Main[[#This Row],[Class]]="C",WORKDAY(Main[[#This Row],[Tech Start Date]],23),IF(Main[[#This Row],[Class]]="B", WORKDAY(Main[[#This Row],[Tech Start Date]],15),IF(Main[[#This Row],[Class]]="A",WORKDAY(Main[[#This Row],[Tech Start Date]],5),""))))</f>
        <v/>
      </c>
      <c r="P1073" s="75" t="str">
        <f>IF(Main[[#This Row],[Tech Start Date]]&lt;1/1/1990,"",IF(Main[[#This Row],[Class]]="C",WORKDAY(Main[[#This Row],[Tech Start Date]],28),IF(Main[[#This Row],[Class]]="B", WORKDAY(Main[[#This Row],[Tech Start Date]],19),IF(Main[[#This Row],[Class]]="A",WORKDAY(Main[[#This Row],[Tech Start Date]],9),""))))</f>
        <v/>
      </c>
      <c r="Q1073" s="89">
        <v>40326</v>
      </c>
      <c r="R1073" s="121">
        <v>40966</v>
      </c>
      <c r="S1073" s="99" t="s">
        <v>17</v>
      </c>
      <c r="T1073" s="76" t="s">
        <v>4</v>
      </c>
      <c r="U1073" s="99" t="s">
        <v>29</v>
      </c>
      <c r="V1073" s="99" t="s">
        <v>1916</v>
      </c>
      <c r="W1073" s="99" t="s">
        <v>1918</v>
      </c>
      <c r="X1073" s="99" t="s">
        <v>415</v>
      </c>
      <c r="Y1073" s="73" t="s">
        <v>2969</v>
      </c>
      <c r="Z1073" s="73" t="s">
        <v>415</v>
      </c>
      <c r="AA1073" s="99" t="s">
        <v>415</v>
      </c>
    </row>
    <row r="1074" spans="1:27" ht="17.25" customHeight="1">
      <c r="A1074" s="65" t="str">
        <f>IF(priority(Main[[#This Row],[Comments]])&lt;&gt;0, priority(Main[[#This Row],[Comments]]),"")</f>
        <v/>
      </c>
      <c r="B1074" s="60" t="s">
        <v>2120</v>
      </c>
      <c r="C1074" s="105" t="s">
        <v>4</v>
      </c>
      <c r="D1074" s="74" t="s">
        <v>2415</v>
      </c>
      <c r="E1074" s="89"/>
      <c r="F1074" s="89"/>
      <c r="G1074" s="65" t="str">
        <f>IF(stdProdLT(Main[[#This Row],[Comments]])=0.1,"N/A",IF(stdProdLT(Main[[#This Row],[Comments]])=0,"",TRIM(stdProdLT(Main[[#This Row],[Comments]]))))</f>
        <v/>
      </c>
      <c r="H1074" s="98" t="str">
        <f>IF(Main[[#This Row],[Std. Prod. Lead Time]]="N/A", "",IF(AND(Main[[#This Row],[In Stock Date]]&lt;&gt;"",Main[[#This Row],[Revised Due Date]]&lt;&gt;"",Main[[#This Row],[In Stock Date]]&lt;&gt;""),Main[[#This Row],[In Stock Date]]-Main[[#This Row],[Revised Due Date]],""))</f>
        <v/>
      </c>
      <c r="I1074" s="110" t="s">
        <v>2047</v>
      </c>
      <c r="J1074" s="99" t="s">
        <v>28</v>
      </c>
      <c r="K1074" s="99" t="s">
        <v>1922</v>
      </c>
      <c r="L1074" s="89"/>
      <c r="M1074" s="75" t="str">
        <f>IF(Main[[#This Row],[Tech Start Date]]&lt;1/1/1990,"",IF(Main[[#This Row],[Class]]="C",WORKDAY(Main[[#This Row],[Tech Start Date]],9),IF(Main[[#This Row],[Class]]="B", WORKDAY(Main[[#This Row],[Tech Start Date]],6),IF(Main[[#This Row],[Class]]="A",WORKDAY(Main[[#This Row],[Tech Start Date]],2),""))))</f>
        <v/>
      </c>
      <c r="N1074" s="75" t="str">
        <f>IF(Main[[#This Row],[Tech Start Date]]&lt;1/1/1990,"",IF(Main[[#This Row],[Class]]="C",WORKDAY(Main[[#This Row],[Tech Start Date]],19),IF(Main[[#This Row],[Class]]="B", WORKDAY(Main[[#This Row],[Tech Start Date]],12),IF(Main[[#This Row],[Class]]="A",WORKDAY(Main[[#This Row],[Tech Start Date]],4),""))))</f>
        <v/>
      </c>
      <c r="O1074" s="75" t="str">
        <f>IF(Main[[#This Row],[Tech Start Date]]&lt;1/1/1990,"",IF(Main[[#This Row],[Class]]="C",WORKDAY(Main[[#This Row],[Tech Start Date]],23),IF(Main[[#This Row],[Class]]="B", WORKDAY(Main[[#This Row],[Tech Start Date]],15),IF(Main[[#This Row],[Class]]="A",WORKDAY(Main[[#This Row],[Tech Start Date]],5),""))))</f>
        <v/>
      </c>
      <c r="P1074" s="75" t="str">
        <f>IF(Main[[#This Row],[Tech Start Date]]&lt;1/1/1990,"",IF(Main[[#This Row],[Class]]="C",WORKDAY(Main[[#This Row],[Tech Start Date]],28),IF(Main[[#This Row],[Class]]="B", WORKDAY(Main[[#This Row],[Tech Start Date]],19),IF(Main[[#This Row],[Class]]="A",WORKDAY(Main[[#This Row],[Tech Start Date]],9),""))))</f>
        <v/>
      </c>
      <c r="Q1074" s="89">
        <v>40816</v>
      </c>
      <c r="R1074" s="121"/>
      <c r="S1074" s="99" t="s">
        <v>6</v>
      </c>
      <c r="T1074" s="76" t="s">
        <v>4</v>
      </c>
      <c r="U1074" s="99" t="s">
        <v>14</v>
      </c>
      <c r="V1074" s="99" t="s">
        <v>1923</v>
      </c>
      <c r="W1074" s="99" t="s">
        <v>1917</v>
      </c>
      <c r="X1074" s="99" t="s">
        <v>2897</v>
      </c>
      <c r="Y1074" s="73" t="s">
        <v>3077</v>
      </c>
      <c r="Z1074" s="73" t="s">
        <v>44</v>
      </c>
      <c r="AA1074" s="99" t="s">
        <v>2897</v>
      </c>
    </row>
    <row r="1075" spans="1:27" ht="17.25" customHeight="1">
      <c r="A1075" s="65" t="str">
        <f>IF(priority(Main[[#This Row],[Comments]])&lt;&gt;0, priority(Main[[#This Row],[Comments]]),"")</f>
        <v/>
      </c>
      <c r="B1075" s="60" t="s">
        <v>2456</v>
      </c>
      <c r="C1075" s="105" t="s">
        <v>95</v>
      </c>
      <c r="D1075" s="74" t="s">
        <v>2682</v>
      </c>
      <c r="E1075" s="89">
        <v>40876.601030092592</v>
      </c>
      <c r="F1075" s="89"/>
      <c r="G1075" s="65" t="str">
        <f>IF(stdProdLT(Main[[#This Row],[Comments]])=0.1,"N/A",IF(stdProdLT(Main[[#This Row],[Comments]])=0,"",TRIM(stdProdLT(Main[[#This Row],[Comments]]))))</f>
        <v/>
      </c>
      <c r="H1075" s="98" t="str">
        <f>IF(Main[[#This Row],[Std. Prod. Lead Time]]="N/A", "",IF(AND(Main[[#This Row],[In Stock Date]]&lt;&gt;"",Main[[#This Row],[Revised Due Date]]&lt;&gt;"",Main[[#This Row],[In Stock Date]]&lt;&gt;""),Main[[#This Row],[In Stock Date]]-Main[[#This Row],[Revised Due Date]],""))</f>
        <v/>
      </c>
      <c r="I1075" s="110" t="s">
        <v>530</v>
      </c>
      <c r="J1075" s="99" t="s">
        <v>28</v>
      </c>
      <c r="K1075" s="99" t="s">
        <v>1922</v>
      </c>
      <c r="L1075" s="89"/>
      <c r="M1075" s="75" t="str">
        <f>IF(Main[[#This Row],[Tech Start Date]]&lt;1/1/1990,"",IF(Main[[#This Row],[Class]]="C",WORKDAY(Main[[#This Row],[Tech Start Date]],9),IF(Main[[#This Row],[Class]]="B", WORKDAY(Main[[#This Row],[Tech Start Date]],6),IF(Main[[#This Row],[Class]]="A",WORKDAY(Main[[#This Row],[Tech Start Date]],2),""))))</f>
        <v/>
      </c>
      <c r="N1075" s="75" t="str">
        <f>IF(Main[[#This Row],[Tech Start Date]]&lt;1/1/1990,"",IF(Main[[#This Row],[Class]]="C",WORKDAY(Main[[#This Row],[Tech Start Date]],19),IF(Main[[#This Row],[Class]]="B", WORKDAY(Main[[#This Row],[Tech Start Date]],12),IF(Main[[#This Row],[Class]]="A",WORKDAY(Main[[#This Row],[Tech Start Date]],4),""))))</f>
        <v/>
      </c>
      <c r="O1075" s="75" t="str">
        <f>IF(Main[[#This Row],[Tech Start Date]]&lt;1/1/1990,"",IF(Main[[#This Row],[Class]]="C",WORKDAY(Main[[#This Row],[Tech Start Date]],23),IF(Main[[#This Row],[Class]]="B", WORKDAY(Main[[#This Row],[Tech Start Date]],15),IF(Main[[#This Row],[Class]]="A",WORKDAY(Main[[#This Row],[Tech Start Date]],5),""))))</f>
        <v/>
      </c>
      <c r="P1075" s="75" t="str">
        <f>IF(Main[[#This Row],[Tech Start Date]]&lt;1/1/1990,"",IF(Main[[#This Row],[Class]]="C",WORKDAY(Main[[#This Row],[Tech Start Date]],28),IF(Main[[#This Row],[Class]]="B", WORKDAY(Main[[#This Row],[Tech Start Date]],19),IF(Main[[#This Row],[Class]]="A",WORKDAY(Main[[#This Row],[Tech Start Date]],9),""))))</f>
        <v/>
      </c>
      <c r="Q1075" s="89">
        <v>40900</v>
      </c>
      <c r="R1075" s="121"/>
      <c r="S1075" s="99" t="s">
        <v>6</v>
      </c>
      <c r="T1075" s="76" t="s">
        <v>4</v>
      </c>
      <c r="U1075" s="99" t="s">
        <v>29</v>
      </c>
      <c r="V1075" s="99" t="s">
        <v>1923</v>
      </c>
      <c r="W1075" s="99" t="s">
        <v>1921</v>
      </c>
      <c r="X1075" s="99" t="s">
        <v>883</v>
      </c>
      <c r="Y1075" s="73" t="s">
        <v>2957</v>
      </c>
      <c r="Z1075" s="73" t="s">
        <v>30</v>
      </c>
      <c r="AA1075" s="99" t="s">
        <v>883</v>
      </c>
    </row>
    <row r="1076" spans="1:27" ht="17.25" customHeight="1">
      <c r="A1076" s="65" t="str">
        <f>IF(priority(Main[[#This Row],[Comments]])&lt;&gt;0, priority(Main[[#This Row],[Comments]]),"")</f>
        <v/>
      </c>
      <c r="B1076" s="60" t="s">
        <v>3618</v>
      </c>
      <c r="C1076" s="105" t="s">
        <v>2350</v>
      </c>
      <c r="D1076" s="74" t="s">
        <v>3619</v>
      </c>
      <c r="E1076" s="89">
        <v>40966.113449074073</v>
      </c>
      <c r="F1076" s="89">
        <v>41014</v>
      </c>
      <c r="G1076" s="65" t="str">
        <f>IF(stdProdLT(Main[[#This Row],[Comments]])=0.1,"N/A",IF(stdProdLT(Main[[#This Row],[Comments]])=0,"",TRIM(stdProdLT(Main[[#This Row],[Comments]]))))</f>
        <v/>
      </c>
      <c r="H1076" s="98" t="str">
        <f>IF(Main[[#This Row],[Std. Prod. Lead Time]]="N/A", "",IF(AND(Main[[#This Row],[In Stock Date]]&lt;&gt;"",Main[[#This Row],[Revised Due Date]]&lt;&gt;"",Main[[#This Row],[In Stock Date]]&lt;&gt;""),Main[[#This Row],[In Stock Date]]-Main[[#This Row],[Revised Due Date]],""))</f>
        <v/>
      </c>
      <c r="I1076" s="110" t="s">
        <v>4</v>
      </c>
      <c r="J1076" s="99" t="s">
        <v>4</v>
      </c>
      <c r="K1076" s="99" t="s">
        <v>4</v>
      </c>
      <c r="L1076" s="89"/>
      <c r="M1076" s="75" t="str">
        <f>IF(Main[[#This Row],[Tech Start Date]]&lt;1/1/1990,"",IF(Main[[#This Row],[Class]]="C",WORKDAY(Main[[#This Row],[Tech Start Date]],9),IF(Main[[#This Row],[Class]]="B", WORKDAY(Main[[#This Row],[Tech Start Date]],6),IF(Main[[#This Row],[Class]]="A",WORKDAY(Main[[#This Row],[Tech Start Date]],2),""))))</f>
        <v/>
      </c>
      <c r="N1076" s="75" t="str">
        <f>IF(Main[[#This Row],[Tech Start Date]]&lt;1/1/1990,"",IF(Main[[#This Row],[Class]]="C",WORKDAY(Main[[#This Row],[Tech Start Date]],19),IF(Main[[#This Row],[Class]]="B", WORKDAY(Main[[#This Row],[Tech Start Date]],12),IF(Main[[#This Row],[Class]]="A",WORKDAY(Main[[#This Row],[Tech Start Date]],4),""))))</f>
        <v/>
      </c>
      <c r="O1076" s="75" t="str">
        <f>IF(Main[[#This Row],[Tech Start Date]]&lt;1/1/1990,"",IF(Main[[#This Row],[Class]]="C",WORKDAY(Main[[#This Row],[Tech Start Date]],23),IF(Main[[#This Row],[Class]]="B", WORKDAY(Main[[#This Row],[Tech Start Date]],15),IF(Main[[#This Row],[Class]]="A",WORKDAY(Main[[#This Row],[Tech Start Date]],5),""))))</f>
        <v/>
      </c>
      <c r="P1076" s="75" t="str">
        <f>IF(Main[[#This Row],[Tech Start Date]]&lt;1/1/1990,"",IF(Main[[#This Row],[Class]]="C",WORKDAY(Main[[#This Row],[Tech Start Date]],28),IF(Main[[#This Row],[Class]]="B", WORKDAY(Main[[#This Row],[Tech Start Date]],19),IF(Main[[#This Row],[Class]]="A",WORKDAY(Main[[#This Row],[Tech Start Date]],9),""))))</f>
        <v/>
      </c>
      <c r="Q1076" s="89">
        <v>40916</v>
      </c>
      <c r="R1076" s="121"/>
      <c r="S1076" s="99" t="s">
        <v>11</v>
      </c>
      <c r="T1076" s="76" t="s">
        <v>4</v>
      </c>
      <c r="U1076" s="99" t="s">
        <v>694</v>
      </c>
      <c r="V1076" s="99" t="s">
        <v>1923</v>
      </c>
      <c r="W1076" s="99" t="s">
        <v>1921</v>
      </c>
      <c r="X1076" s="99" t="s">
        <v>2837</v>
      </c>
      <c r="Y1076" s="73" t="s">
        <v>4</v>
      </c>
      <c r="Z1076" s="73" t="s">
        <v>4</v>
      </c>
      <c r="AA1076" s="99" t="s">
        <v>2837</v>
      </c>
    </row>
    <row r="1077" spans="1:27" ht="17.25" customHeight="1">
      <c r="A1077" s="65" t="str">
        <f>IF(priority(Main[[#This Row],[Comments]])&lt;&gt;0, priority(Main[[#This Row],[Comments]]),"")</f>
        <v/>
      </c>
      <c r="B1077" s="60" t="s">
        <v>2767</v>
      </c>
      <c r="C1077" s="105" t="s">
        <v>2768</v>
      </c>
      <c r="D1077" s="74" t="s">
        <v>3264</v>
      </c>
      <c r="E1077" s="89"/>
      <c r="F1077" s="89"/>
      <c r="G1077" s="65" t="str">
        <f>IF(stdProdLT(Main[[#This Row],[Comments]])=0.1,"N/A",IF(stdProdLT(Main[[#This Row],[Comments]])=0,"",TRIM(stdProdLT(Main[[#This Row],[Comments]]))))</f>
        <v>112</v>
      </c>
      <c r="H1077" s="98" t="str">
        <f>IF(Main[[#This Row],[Std. Prod. Lead Time]]="N/A", "",IF(AND(Main[[#This Row],[In Stock Date]]&lt;&gt;"",Main[[#This Row],[Revised Due Date]]&lt;&gt;"",Main[[#This Row],[In Stock Date]]&lt;&gt;""),Main[[#This Row],[In Stock Date]]-Main[[#This Row],[Revised Due Date]],""))</f>
        <v/>
      </c>
      <c r="I1077" s="110" t="s">
        <v>4</v>
      </c>
      <c r="J1077" s="99" t="s">
        <v>4</v>
      </c>
      <c r="K1077" s="99" t="s">
        <v>4</v>
      </c>
      <c r="L1077" s="89"/>
      <c r="M1077" s="75" t="str">
        <f>IF(Main[[#This Row],[Tech Start Date]]&lt;1/1/1990,"",IF(Main[[#This Row],[Class]]="C",WORKDAY(Main[[#This Row],[Tech Start Date]],9),IF(Main[[#This Row],[Class]]="B", WORKDAY(Main[[#This Row],[Tech Start Date]],6),IF(Main[[#This Row],[Class]]="A",WORKDAY(Main[[#This Row],[Tech Start Date]],2),""))))</f>
        <v/>
      </c>
      <c r="N1077" s="75" t="str">
        <f>IF(Main[[#This Row],[Tech Start Date]]&lt;1/1/1990,"",IF(Main[[#This Row],[Class]]="C",WORKDAY(Main[[#This Row],[Tech Start Date]],19),IF(Main[[#This Row],[Class]]="B", WORKDAY(Main[[#This Row],[Tech Start Date]],12),IF(Main[[#This Row],[Class]]="A",WORKDAY(Main[[#This Row],[Tech Start Date]],4),""))))</f>
        <v/>
      </c>
      <c r="O1077" s="75" t="str">
        <f>IF(Main[[#This Row],[Tech Start Date]]&lt;1/1/1990,"",IF(Main[[#This Row],[Class]]="C",WORKDAY(Main[[#This Row],[Tech Start Date]],23),IF(Main[[#This Row],[Class]]="B", WORKDAY(Main[[#This Row],[Tech Start Date]],15),IF(Main[[#This Row],[Class]]="A",WORKDAY(Main[[#This Row],[Tech Start Date]],5),""))))</f>
        <v/>
      </c>
      <c r="P1077" s="75" t="str">
        <f>IF(Main[[#This Row],[Tech Start Date]]&lt;1/1/1990,"",IF(Main[[#This Row],[Class]]="C",WORKDAY(Main[[#This Row],[Tech Start Date]],28),IF(Main[[#This Row],[Class]]="B", WORKDAY(Main[[#This Row],[Tech Start Date]],19),IF(Main[[#This Row],[Class]]="A",WORKDAY(Main[[#This Row],[Tech Start Date]],9),""))))</f>
        <v/>
      </c>
      <c r="Q1077" s="89"/>
      <c r="R1077" s="121"/>
      <c r="S1077" s="99" t="s">
        <v>11</v>
      </c>
      <c r="T1077" s="76" t="s">
        <v>3167</v>
      </c>
      <c r="U1077" s="99" t="s">
        <v>14</v>
      </c>
      <c r="V1077" s="99" t="s">
        <v>1916</v>
      </c>
      <c r="W1077" s="99" t="s">
        <v>1921</v>
      </c>
      <c r="X1077" s="99" t="s">
        <v>306</v>
      </c>
      <c r="Y1077" s="73" t="s">
        <v>4</v>
      </c>
      <c r="Z1077" s="73" t="s">
        <v>4</v>
      </c>
      <c r="AA1077" s="99" t="s">
        <v>4</v>
      </c>
    </row>
    <row r="1078" spans="1:27" ht="17.25" customHeight="1">
      <c r="A1078" s="65" t="str">
        <f>IF(priority(Main[[#This Row],[Comments]])&lt;&gt;0, priority(Main[[#This Row],[Comments]]),"")</f>
        <v/>
      </c>
      <c r="B1078" s="60" t="s">
        <v>3620</v>
      </c>
      <c r="C1078" s="105" t="s">
        <v>4</v>
      </c>
      <c r="D1078" s="74" t="s">
        <v>3621</v>
      </c>
      <c r="E1078" s="89">
        <v>40959.588020833333</v>
      </c>
      <c r="F1078" s="89"/>
      <c r="G1078" s="65" t="str">
        <f>IF(stdProdLT(Main[[#This Row],[Comments]])=0.1,"N/A",IF(stdProdLT(Main[[#This Row],[Comments]])=0,"",TRIM(stdProdLT(Main[[#This Row],[Comments]]))))</f>
        <v/>
      </c>
      <c r="H1078" s="98" t="str">
        <f>IF(Main[[#This Row],[Std. Prod. Lead Time]]="N/A", "",IF(AND(Main[[#This Row],[In Stock Date]]&lt;&gt;"",Main[[#This Row],[Revised Due Date]]&lt;&gt;"",Main[[#This Row],[In Stock Date]]&lt;&gt;""),Main[[#This Row],[In Stock Date]]-Main[[#This Row],[Revised Due Date]],""))</f>
        <v/>
      </c>
      <c r="I1078" s="110" t="s">
        <v>4</v>
      </c>
      <c r="J1078" s="99" t="s">
        <v>4</v>
      </c>
      <c r="K1078" s="99" t="s">
        <v>4</v>
      </c>
      <c r="L1078" s="89"/>
      <c r="M1078" s="75" t="str">
        <f>IF(Main[[#This Row],[Tech Start Date]]&lt;1/1/1990,"",IF(Main[[#This Row],[Class]]="C",WORKDAY(Main[[#This Row],[Tech Start Date]],9),IF(Main[[#This Row],[Class]]="B", WORKDAY(Main[[#This Row],[Tech Start Date]],6),IF(Main[[#This Row],[Class]]="A",WORKDAY(Main[[#This Row],[Tech Start Date]],2),""))))</f>
        <v/>
      </c>
      <c r="N1078" s="75" t="str">
        <f>IF(Main[[#This Row],[Tech Start Date]]&lt;1/1/1990,"",IF(Main[[#This Row],[Class]]="C",WORKDAY(Main[[#This Row],[Tech Start Date]],19),IF(Main[[#This Row],[Class]]="B", WORKDAY(Main[[#This Row],[Tech Start Date]],12),IF(Main[[#This Row],[Class]]="A",WORKDAY(Main[[#This Row],[Tech Start Date]],4),""))))</f>
        <v/>
      </c>
      <c r="O1078" s="75" t="str">
        <f>IF(Main[[#This Row],[Tech Start Date]]&lt;1/1/1990,"",IF(Main[[#This Row],[Class]]="C",WORKDAY(Main[[#This Row],[Tech Start Date]],23),IF(Main[[#This Row],[Class]]="B", WORKDAY(Main[[#This Row],[Tech Start Date]],15),IF(Main[[#This Row],[Class]]="A",WORKDAY(Main[[#This Row],[Tech Start Date]],5),""))))</f>
        <v/>
      </c>
      <c r="P1078" s="75" t="str">
        <f>IF(Main[[#This Row],[Tech Start Date]]&lt;1/1/1990,"",IF(Main[[#This Row],[Class]]="C",WORKDAY(Main[[#This Row],[Tech Start Date]],28),IF(Main[[#This Row],[Class]]="B", WORKDAY(Main[[#This Row],[Tech Start Date]],19),IF(Main[[#This Row],[Class]]="A",WORKDAY(Main[[#This Row],[Tech Start Date]],9),""))))</f>
        <v/>
      </c>
      <c r="Q1078" s="89"/>
      <c r="R1078" s="121"/>
      <c r="S1078" s="99" t="s">
        <v>6</v>
      </c>
      <c r="T1078" s="76" t="s">
        <v>4</v>
      </c>
      <c r="U1078" s="99" t="s">
        <v>29</v>
      </c>
      <c r="V1078" s="99" t="s">
        <v>1923</v>
      </c>
      <c r="W1078" s="99" t="s">
        <v>4</v>
      </c>
      <c r="X1078" s="99" t="s">
        <v>102</v>
      </c>
      <c r="Y1078" s="73" t="s">
        <v>3119</v>
      </c>
      <c r="Z1078" s="73" t="s">
        <v>4</v>
      </c>
      <c r="AA1078" s="99" t="s">
        <v>3447</v>
      </c>
    </row>
    <row r="1079" spans="1:27" ht="17.25" customHeight="1">
      <c r="A1079" s="65" t="str">
        <f>IF(priority(Main[[#This Row],[Comments]])&lt;&gt;0, priority(Main[[#This Row],[Comments]]),"")</f>
        <v/>
      </c>
      <c r="B1079" s="60" t="s">
        <v>3523</v>
      </c>
      <c r="C1079" s="105" t="s">
        <v>4</v>
      </c>
      <c r="D1079" s="74" t="s">
        <v>3524</v>
      </c>
      <c r="E1079" s="89">
        <v>40947.470821759256</v>
      </c>
      <c r="F1079" s="89"/>
      <c r="G1079" s="65" t="str">
        <f>IF(stdProdLT(Main[[#This Row],[Comments]])=0.1,"N/A",IF(stdProdLT(Main[[#This Row],[Comments]])=0,"",TRIM(stdProdLT(Main[[#This Row],[Comments]]))))</f>
        <v/>
      </c>
      <c r="H1079" s="98" t="str">
        <f>IF(Main[[#This Row],[Std. Prod. Lead Time]]="N/A", "",IF(AND(Main[[#This Row],[In Stock Date]]&lt;&gt;"",Main[[#This Row],[Revised Due Date]]&lt;&gt;"",Main[[#This Row],[In Stock Date]]&lt;&gt;""),Main[[#This Row],[In Stock Date]]-Main[[#This Row],[Revised Due Date]],""))</f>
        <v/>
      </c>
      <c r="I1079" s="110" t="s">
        <v>4</v>
      </c>
      <c r="J1079" s="99" t="s">
        <v>4</v>
      </c>
      <c r="K1079" s="99" t="s">
        <v>4</v>
      </c>
      <c r="L1079" s="89"/>
      <c r="M1079" s="75" t="str">
        <f>IF(Main[[#This Row],[Tech Start Date]]&lt;1/1/1990,"",IF(Main[[#This Row],[Class]]="C",WORKDAY(Main[[#This Row],[Tech Start Date]],9),IF(Main[[#This Row],[Class]]="B", WORKDAY(Main[[#This Row],[Tech Start Date]],6),IF(Main[[#This Row],[Class]]="A",WORKDAY(Main[[#This Row],[Tech Start Date]],2),""))))</f>
        <v/>
      </c>
      <c r="N1079" s="75" t="str">
        <f>IF(Main[[#This Row],[Tech Start Date]]&lt;1/1/1990,"",IF(Main[[#This Row],[Class]]="C",WORKDAY(Main[[#This Row],[Tech Start Date]],19),IF(Main[[#This Row],[Class]]="B", WORKDAY(Main[[#This Row],[Tech Start Date]],12),IF(Main[[#This Row],[Class]]="A",WORKDAY(Main[[#This Row],[Tech Start Date]],4),""))))</f>
        <v/>
      </c>
      <c r="O1079" s="75" t="str">
        <f>IF(Main[[#This Row],[Tech Start Date]]&lt;1/1/1990,"",IF(Main[[#This Row],[Class]]="C",WORKDAY(Main[[#This Row],[Tech Start Date]],23),IF(Main[[#This Row],[Class]]="B", WORKDAY(Main[[#This Row],[Tech Start Date]],15),IF(Main[[#This Row],[Class]]="A",WORKDAY(Main[[#This Row],[Tech Start Date]],5),""))))</f>
        <v/>
      </c>
      <c r="P1079" s="75" t="str">
        <f>IF(Main[[#This Row],[Tech Start Date]]&lt;1/1/1990,"",IF(Main[[#This Row],[Class]]="C",WORKDAY(Main[[#This Row],[Tech Start Date]],28),IF(Main[[#This Row],[Class]]="B", WORKDAY(Main[[#This Row],[Tech Start Date]],19),IF(Main[[#This Row],[Class]]="A",WORKDAY(Main[[#This Row],[Tech Start Date]],9),""))))</f>
        <v/>
      </c>
      <c r="Q1079" s="89"/>
      <c r="R1079" s="121"/>
      <c r="S1079" s="99" t="s">
        <v>6</v>
      </c>
      <c r="T1079" s="76" t="s">
        <v>4</v>
      </c>
      <c r="U1079" s="99" t="s">
        <v>29</v>
      </c>
      <c r="V1079" s="99" t="s">
        <v>1914</v>
      </c>
      <c r="W1079" s="99" t="s">
        <v>1917</v>
      </c>
      <c r="X1079" s="99" t="s">
        <v>306</v>
      </c>
      <c r="Y1079" s="73" t="s">
        <v>4</v>
      </c>
      <c r="Z1079" s="73" t="s">
        <v>4</v>
      </c>
      <c r="AA1079" s="99" t="s">
        <v>4</v>
      </c>
    </row>
    <row r="1080" spans="1:27" ht="17.25" customHeight="1">
      <c r="A1080" s="65" t="str">
        <f>IF(priority(Main[[#This Row],[Comments]])&lt;&gt;0, priority(Main[[#This Row],[Comments]]),"")</f>
        <v/>
      </c>
      <c r="B1080" s="60" t="s">
        <v>2568</v>
      </c>
      <c r="C1080" s="105" t="s">
        <v>4</v>
      </c>
      <c r="D1080" s="74" t="s">
        <v>2569</v>
      </c>
      <c r="E1080" s="89"/>
      <c r="F1080" s="89"/>
      <c r="G1080" s="65" t="str">
        <f>IF(stdProdLT(Main[[#This Row],[Comments]])=0.1,"N/A",IF(stdProdLT(Main[[#This Row],[Comments]])=0,"",TRIM(stdProdLT(Main[[#This Row],[Comments]]))))</f>
        <v/>
      </c>
      <c r="H1080" s="98" t="str">
        <f>IF(Main[[#This Row],[Std. Prod. Lead Time]]="N/A", "",IF(AND(Main[[#This Row],[In Stock Date]]&lt;&gt;"",Main[[#This Row],[Revised Due Date]]&lt;&gt;"",Main[[#This Row],[In Stock Date]]&lt;&gt;""),Main[[#This Row],[In Stock Date]]-Main[[#This Row],[Revised Due Date]],""))</f>
        <v/>
      </c>
      <c r="I1080" s="110" t="s">
        <v>4</v>
      </c>
      <c r="J1080" s="99" t="s">
        <v>4</v>
      </c>
      <c r="K1080" s="99" t="s">
        <v>4</v>
      </c>
      <c r="L1080" s="89"/>
      <c r="M1080" s="75" t="str">
        <f>IF(Main[[#This Row],[Tech Start Date]]&lt;1/1/1990,"",IF(Main[[#This Row],[Class]]="C",WORKDAY(Main[[#This Row],[Tech Start Date]],9),IF(Main[[#This Row],[Class]]="B", WORKDAY(Main[[#This Row],[Tech Start Date]],6),IF(Main[[#This Row],[Class]]="A",WORKDAY(Main[[#This Row],[Tech Start Date]],2),""))))</f>
        <v/>
      </c>
      <c r="N1080" s="75" t="str">
        <f>IF(Main[[#This Row],[Tech Start Date]]&lt;1/1/1990,"",IF(Main[[#This Row],[Class]]="C",WORKDAY(Main[[#This Row],[Tech Start Date]],19),IF(Main[[#This Row],[Class]]="B", WORKDAY(Main[[#This Row],[Tech Start Date]],12),IF(Main[[#This Row],[Class]]="A",WORKDAY(Main[[#This Row],[Tech Start Date]],4),""))))</f>
        <v/>
      </c>
      <c r="O1080" s="75" t="str">
        <f>IF(Main[[#This Row],[Tech Start Date]]&lt;1/1/1990,"",IF(Main[[#This Row],[Class]]="C",WORKDAY(Main[[#This Row],[Tech Start Date]],23),IF(Main[[#This Row],[Class]]="B", WORKDAY(Main[[#This Row],[Tech Start Date]],15),IF(Main[[#This Row],[Class]]="A",WORKDAY(Main[[#This Row],[Tech Start Date]],5),""))))</f>
        <v/>
      </c>
      <c r="P1080" s="75" t="str">
        <f>IF(Main[[#This Row],[Tech Start Date]]&lt;1/1/1990,"",IF(Main[[#This Row],[Class]]="C",WORKDAY(Main[[#This Row],[Tech Start Date]],28),IF(Main[[#This Row],[Class]]="B", WORKDAY(Main[[#This Row],[Tech Start Date]],19),IF(Main[[#This Row],[Class]]="A",WORKDAY(Main[[#This Row],[Tech Start Date]],9),""))))</f>
        <v/>
      </c>
      <c r="Q1080" s="89"/>
      <c r="R1080" s="121"/>
      <c r="S1080" s="99" t="s">
        <v>6</v>
      </c>
      <c r="T1080" s="76" t="s">
        <v>4</v>
      </c>
      <c r="U1080" s="99" t="s">
        <v>14</v>
      </c>
      <c r="V1080" s="99" t="s">
        <v>1916</v>
      </c>
      <c r="W1080" s="99" t="s">
        <v>1917</v>
      </c>
      <c r="X1080" s="99" t="s">
        <v>306</v>
      </c>
      <c r="Y1080" s="73" t="s">
        <v>2935</v>
      </c>
      <c r="Z1080" s="73" t="s">
        <v>4</v>
      </c>
      <c r="AA1080" s="99" t="s">
        <v>306</v>
      </c>
    </row>
    <row r="1081" spans="1:27" ht="17.25" customHeight="1">
      <c r="A1081" s="65" t="str">
        <f>IF(priority(Main[[#This Row],[Comments]])&lt;&gt;0, priority(Main[[#This Row],[Comments]]),"")</f>
        <v/>
      </c>
      <c r="B1081" s="60" t="s">
        <v>2268</v>
      </c>
      <c r="C1081" s="105" t="s">
        <v>4</v>
      </c>
      <c r="D1081" s="74" t="s">
        <v>2269</v>
      </c>
      <c r="E1081" s="89">
        <v>40809.888067129628</v>
      </c>
      <c r="F1081" s="89"/>
      <c r="G1081" s="65" t="str">
        <f>IF(stdProdLT(Main[[#This Row],[Comments]])=0.1,"N/A",IF(stdProdLT(Main[[#This Row],[Comments]])=0,"",TRIM(stdProdLT(Main[[#This Row],[Comments]]))))</f>
        <v/>
      </c>
      <c r="H1081" s="98" t="str">
        <f>IF(Main[[#This Row],[Std. Prod. Lead Time]]="N/A", "",IF(AND(Main[[#This Row],[In Stock Date]]&lt;&gt;"",Main[[#This Row],[Revised Due Date]]&lt;&gt;"",Main[[#This Row],[In Stock Date]]&lt;&gt;""),Main[[#This Row],[In Stock Date]]-Main[[#This Row],[Revised Due Date]],""))</f>
        <v/>
      </c>
      <c r="I1081" s="110" t="s">
        <v>81</v>
      </c>
      <c r="J1081" s="99" t="s">
        <v>52</v>
      </c>
      <c r="K1081" s="100" t="s">
        <v>1922</v>
      </c>
      <c r="L1081" s="89"/>
      <c r="M1081" s="75" t="str">
        <f>IF(Main[[#This Row],[Tech Start Date]]&lt;1/1/1990,"",IF(Main[[#This Row],[Class]]="C",WORKDAY(Main[[#This Row],[Tech Start Date]],9),IF(Main[[#This Row],[Class]]="B", WORKDAY(Main[[#This Row],[Tech Start Date]],6),IF(Main[[#This Row],[Class]]="A",WORKDAY(Main[[#This Row],[Tech Start Date]],2),""))))</f>
        <v/>
      </c>
      <c r="N1081" s="75" t="str">
        <f>IF(Main[[#This Row],[Tech Start Date]]&lt;1/1/1990,"",IF(Main[[#This Row],[Class]]="C",WORKDAY(Main[[#This Row],[Tech Start Date]],19),IF(Main[[#This Row],[Class]]="B", WORKDAY(Main[[#This Row],[Tech Start Date]],12),IF(Main[[#This Row],[Class]]="A",WORKDAY(Main[[#This Row],[Tech Start Date]],4),""))))</f>
        <v/>
      </c>
      <c r="O1081" s="75" t="str">
        <f>IF(Main[[#This Row],[Tech Start Date]]&lt;1/1/1990,"",IF(Main[[#This Row],[Class]]="C",WORKDAY(Main[[#This Row],[Tech Start Date]],23),IF(Main[[#This Row],[Class]]="B", WORKDAY(Main[[#This Row],[Tech Start Date]],15),IF(Main[[#This Row],[Class]]="A",WORKDAY(Main[[#This Row],[Tech Start Date]],5),""))))</f>
        <v/>
      </c>
      <c r="P1081" s="75" t="str">
        <f>IF(Main[[#This Row],[Tech Start Date]]&lt;1/1/1990,"",IF(Main[[#This Row],[Class]]="C",WORKDAY(Main[[#This Row],[Tech Start Date]],28),IF(Main[[#This Row],[Class]]="B", WORKDAY(Main[[#This Row],[Tech Start Date]],19),IF(Main[[#This Row],[Class]]="A",WORKDAY(Main[[#This Row],[Tech Start Date]],9),""))))</f>
        <v/>
      </c>
      <c r="Q1081" s="89"/>
      <c r="R1081" s="121"/>
      <c r="S1081" s="99" t="s">
        <v>6</v>
      </c>
      <c r="T1081" s="76" t="s">
        <v>4</v>
      </c>
      <c r="U1081" s="99" t="s">
        <v>29</v>
      </c>
      <c r="V1081" s="99" t="s">
        <v>1923</v>
      </c>
      <c r="W1081" s="99" t="s">
        <v>1917</v>
      </c>
      <c r="X1081" s="99" t="s">
        <v>2859</v>
      </c>
      <c r="Y1081" s="73" t="s">
        <v>3004</v>
      </c>
      <c r="Z1081" s="73" t="s">
        <v>30</v>
      </c>
      <c r="AA1081" s="99" t="s">
        <v>2859</v>
      </c>
    </row>
    <row r="1082" spans="1:27" ht="17.25" customHeight="1">
      <c r="A1082" s="65" t="str">
        <f>IF(priority(Main[[#This Row],[Comments]])&lt;&gt;0, priority(Main[[#This Row],[Comments]]),"")</f>
        <v/>
      </c>
      <c r="B1082" s="60" t="s">
        <v>2246</v>
      </c>
      <c r="C1082" s="105" t="s">
        <v>4</v>
      </c>
      <c r="D1082" s="74" t="s">
        <v>2247</v>
      </c>
      <c r="E1082" s="89">
        <v>40806.354490740741</v>
      </c>
      <c r="F1082" s="89"/>
      <c r="G1082" s="65" t="str">
        <f>IF(stdProdLT(Main[[#This Row],[Comments]])=0.1,"N/A",IF(stdProdLT(Main[[#This Row],[Comments]])=0,"",TRIM(stdProdLT(Main[[#This Row],[Comments]]))))</f>
        <v/>
      </c>
      <c r="H1082" s="98" t="str">
        <f>IF(Main[[#This Row],[Std. Prod. Lead Time]]="N/A", "",IF(AND(Main[[#This Row],[In Stock Date]]&lt;&gt;"",Main[[#This Row],[Revised Due Date]]&lt;&gt;"",Main[[#This Row],[In Stock Date]]&lt;&gt;""),Main[[#This Row],[In Stock Date]]-Main[[#This Row],[Revised Due Date]],""))</f>
        <v/>
      </c>
      <c r="I1082" s="110" t="s">
        <v>4</v>
      </c>
      <c r="J1082" s="99" t="s">
        <v>4</v>
      </c>
      <c r="K1082" s="99" t="s">
        <v>4</v>
      </c>
      <c r="L1082" s="89"/>
      <c r="M1082" s="75" t="str">
        <f>IF(Main[[#This Row],[Tech Start Date]]&lt;1/1/1990,"",IF(Main[[#This Row],[Class]]="C",WORKDAY(Main[[#This Row],[Tech Start Date]],9),IF(Main[[#This Row],[Class]]="B", WORKDAY(Main[[#This Row],[Tech Start Date]],6),IF(Main[[#This Row],[Class]]="A",WORKDAY(Main[[#This Row],[Tech Start Date]],2),""))))</f>
        <v/>
      </c>
      <c r="N1082" s="75" t="str">
        <f>IF(Main[[#This Row],[Tech Start Date]]&lt;1/1/1990,"",IF(Main[[#This Row],[Class]]="C",WORKDAY(Main[[#This Row],[Tech Start Date]],19),IF(Main[[#This Row],[Class]]="B", WORKDAY(Main[[#This Row],[Tech Start Date]],12),IF(Main[[#This Row],[Class]]="A",WORKDAY(Main[[#This Row],[Tech Start Date]],4),""))))</f>
        <v/>
      </c>
      <c r="O1082" s="75" t="str">
        <f>IF(Main[[#This Row],[Tech Start Date]]&lt;1/1/1990,"",IF(Main[[#This Row],[Class]]="C",WORKDAY(Main[[#This Row],[Tech Start Date]],23),IF(Main[[#This Row],[Class]]="B", WORKDAY(Main[[#This Row],[Tech Start Date]],15),IF(Main[[#This Row],[Class]]="A",WORKDAY(Main[[#This Row],[Tech Start Date]],5),""))))</f>
        <v/>
      </c>
      <c r="P1082" s="75" t="str">
        <f>IF(Main[[#This Row],[Tech Start Date]]&lt;1/1/1990,"",IF(Main[[#This Row],[Class]]="C",WORKDAY(Main[[#This Row],[Tech Start Date]],28),IF(Main[[#This Row],[Class]]="B", WORKDAY(Main[[#This Row],[Tech Start Date]],19),IF(Main[[#This Row],[Class]]="A",WORKDAY(Main[[#This Row],[Tech Start Date]],9),""))))</f>
        <v/>
      </c>
      <c r="Q1082" s="89"/>
      <c r="R1082" s="121"/>
      <c r="S1082" s="99" t="s">
        <v>17</v>
      </c>
      <c r="T1082" s="76" t="s">
        <v>4</v>
      </c>
      <c r="U1082" s="99" t="s">
        <v>7</v>
      </c>
      <c r="V1082" s="99" t="s">
        <v>1914</v>
      </c>
      <c r="W1082" s="99" t="s">
        <v>1915</v>
      </c>
      <c r="X1082" s="99" t="s">
        <v>2860</v>
      </c>
      <c r="Y1082" s="73" t="s">
        <v>2994</v>
      </c>
      <c r="Z1082" s="73" t="s">
        <v>4</v>
      </c>
      <c r="AA1082" s="99" t="s">
        <v>2860</v>
      </c>
    </row>
    <row r="1083" spans="1:27" ht="17.25" customHeight="1">
      <c r="A1083" s="65" t="str">
        <f>IF(priority(Main[[#This Row],[Comments]])&lt;&gt;0, priority(Main[[#This Row],[Comments]]),"")</f>
        <v/>
      </c>
      <c r="B1083" s="60" t="s">
        <v>2113</v>
      </c>
      <c r="C1083" s="105" t="s">
        <v>4</v>
      </c>
      <c r="D1083" s="74" t="s">
        <v>3503</v>
      </c>
      <c r="E1083" s="89">
        <v>40780.253831018519</v>
      </c>
      <c r="F1083" s="89"/>
      <c r="G1083" s="65" t="str">
        <f>IF(stdProdLT(Main[[#This Row],[Comments]])=0.1,"N/A",IF(stdProdLT(Main[[#This Row],[Comments]])=0,"",TRIM(stdProdLT(Main[[#This Row],[Comments]]))))</f>
        <v/>
      </c>
      <c r="H1083" s="98" t="str">
        <f>IF(Main[[#This Row],[Std. Prod. Lead Time]]="N/A", "",IF(AND(Main[[#This Row],[In Stock Date]]&lt;&gt;"",Main[[#This Row],[Revised Due Date]]&lt;&gt;"",Main[[#This Row],[In Stock Date]]&lt;&gt;""),Main[[#This Row],[In Stock Date]]-Main[[#This Row],[Revised Due Date]],""))</f>
        <v/>
      </c>
      <c r="I1083" s="110" t="s">
        <v>2047</v>
      </c>
      <c r="J1083" s="99" t="s">
        <v>52</v>
      </c>
      <c r="K1083" s="99" t="s">
        <v>1922</v>
      </c>
      <c r="L1083" s="89"/>
      <c r="M1083" s="75" t="str">
        <f>IF(Main[[#This Row],[Tech Start Date]]&lt;1/1/1990,"",IF(Main[[#This Row],[Class]]="C",WORKDAY(Main[[#This Row],[Tech Start Date]],9),IF(Main[[#This Row],[Class]]="B", WORKDAY(Main[[#This Row],[Tech Start Date]],6),IF(Main[[#This Row],[Class]]="A",WORKDAY(Main[[#This Row],[Tech Start Date]],2),""))))</f>
        <v/>
      </c>
      <c r="N1083" s="75" t="str">
        <f>IF(Main[[#This Row],[Tech Start Date]]&lt;1/1/1990,"",IF(Main[[#This Row],[Class]]="C",WORKDAY(Main[[#This Row],[Tech Start Date]],19),IF(Main[[#This Row],[Class]]="B", WORKDAY(Main[[#This Row],[Tech Start Date]],12),IF(Main[[#This Row],[Class]]="A",WORKDAY(Main[[#This Row],[Tech Start Date]],4),""))))</f>
        <v/>
      </c>
      <c r="O1083" s="75" t="str">
        <f>IF(Main[[#This Row],[Tech Start Date]]&lt;1/1/1990,"",IF(Main[[#This Row],[Class]]="C",WORKDAY(Main[[#This Row],[Tech Start Date]],23),IF(Main[[#This Row],[Class]]="B", WORKDAY(Main[[#This Row],[Tech Start Date]],15),IF(Main[[#This Row],[Class]]="A",WORKDAY(Main[[#This Row],[Tech Start Date]],5),""))))</f>
        <v/>
      </c>
      <c r="P1083" s="75" t="str">
        <f>IF(Main[[#This Row],[Tech Start Date]]&lt;1/1/1990,"",IF(Main[[#This Row],[Class]]="C",WORKDAY(Main[[#This Row],[Tech Start Date]],28),IF(Main[[#This Row],[Class]]="B", WORKDAY(Main[[#This Row],[Tech Start Date]],19),IF(Main[[#This Row],[Class]]="A",WORKDAY(Main[[#This Row],[Tech Start Date]],9),""))))</f>
        <v/>
      </c>
      <c r="Q1083" s="89">
        <v>40800</v>
      </c>
      <c r="R1083" s="121"/>
      <c r="S1083" s="99" t="s">
        <v>6</v>
      </c>
      <c r="T1083" s="76" t="s">
        <v>4</v>
      </c>
      <c r="U1083" s="99" t="s">
        <v>29</v>
      </c>
      <c r="V1083" s="99" t="s">
        <v>1916</v>
      </c>
      <c r="W1083" s="99" t="s">
        <v>1917</v>
      </c>
      <c r="X1083" s="99" t="s">
        <v>2816</v>
      </c>
      <c r="Y1083" s="73" t="s">
        <v>2932</v>
      </c>
      <c r="Z1083" s="73" t="s">
        <v>30</v>
      </c>
      <c r="AA1083" s="99" t="s">
        <v>2816</v>
      </c>
    </row>
    <row r="1084" spans="1:27" ht="17.25" customHeight="1">
      <c r="A1084" s="65" t="str">
        <f>IF(priority(Main[[#This Row],[Comments]])&lt;&gt;0, priority(Main[[#This Row],[Comments]]),"")</f>
        <v/>
      </c>
      <c r="B1084" s="60" t="s">
        <v>3515</v>
      </c>
      <c r="C1084" s="105" t="s">
        <v>53</v>
      </c>
      <c r="D1084" s="74" t="s">
        <v>3622</v>
      </c>
      <c r="E1084" s="89">
        <v>40949.374872685185</v>
      </c>
      <c r="F1084" s="89"/>
      <c r="G1084" s="65" t="str">
        <f>IF(stdProdLT(Main[[#This Row],[Comments]])=0.1,"N/A",IF(stdProdLT(Main[[#This Row],[Comments]])=0,"",TRIM(stdProdLT(Main[[#This Row],[Comments]]))))</f>
        <v/>
      </c>
      <c r="H1084" s="98" t="str">
        <f>IF(Main[[#This Row],[Std. Prod. Lead Time]]="N/A", "",IF(AND(Main[[#This Row],[In Stock Date]]&lt;&gt;"",Main[[#This Row],[Revised Due Date]]&lt;&gt;"",Main[[#This Row],[In Stock Date]]&lt;&gt;""),Main[[#This Row],[In Stock Date]]-Main[[#This Row],[Revised Due Date]],""))</f>
        <v/>
      </c>
      <c r="I1084" s="110" t="s">
        <v>941</v>
      </c>
      <c r="J1084" s="99" t="s">
        <v>28</v>
      </c>
      <c r="K1084" s="99" t="s">
        <v>1922</v>
      </c>
      <c r="L1084" s="89"/>
      <c r="M1084" s="75" t="str">
        <f>IF(Main[[#This Row],[Tech Start Date]]&lt;1/1/1990,"",IF(Main[[#This Row],[Class]]="C",WORKDAY(Main[[#This Row],[Tech Start Date]],9),IF(Main[[#This Row],[Class]]="B", WORKDAY(Main[[#This Row],[Tech Start Date]],6),IF(Main[[#This Row],[Class]]="A",WORKDAY(Main[[#This Row],[Tech Start Date]],2),""))))</f>
        <v/>
      </c>
      <c r="N1084" s="75" t="str">
        <f>IF(Main[[#This Row],[Tech Start Date]]&lt;1/1/1990,"",IF(Main[[#This Row],[Class]]="C",WORKDAY(Main[[#This Row],[Tech Start Date]],19),IF(Main[[#This Row],[Class]]="B", WORKDAY(Main[[#This Row],[Tech Start Date]],12),IF(Main[[#This Row],[Class]]="A",WORKDAY(Main[[#This Row],[Tech Start Date]],4),""))))</f>
        <v/>
      </c>
      <c r="O1084" s="75" t="str">
        <f>IF(Main[[#This Row],[Tech Start Date]]&lt;1/1/1990,"",IF(Main[[#This Row],[Class]]="C",WORKDAY(Main[[#This Row],[Tech Start Date]],23),IF(Main[[#This Row],[Class]]="B", WORKDAY(Main[[#This Row],[Tech Start Date]],15),IF(Main[[#This Row],[Class]]="A",WORKDAY(Main[[#This Row],[Tech Start Date]],5),""))))</f>
        <v/>
      </c>
      <c r="P1084" s="75" t="str">
        <f>IF(Main[[#This Row],[Tech Start Date]]&lt;1/1/1990,"",IF(Main[[#This Row],[Class]]="C",WORKDAY(Main[[#This Row],[Tech Start Date]],28),IF(Main[[#This Row],[Class]]="B", WORKDAY(Main[[#This Row],[Tech Start Date]],19),IF(Main[[#This Row],[Class]]="A",WORKDAY(Main[[#This Row],[Tech Start Date]],9),""))))</f>
        <v/>
      </c>
      <c r="Q1084" s="89">
        <v>40956</v>
      </c>
      <c r="R1084" s="121"/>
      <c r="S1084" s="99" t="s">
        <v>6</v>
      </c>
      <c r="T1084" s="76" t="s">
        <v>4</v>
      </c>
      <c r="U1084" s="99" t="s">
        <v>29</v>
      </c>
      <c r="V1084" s="99" t="s">
        <v>1914</v>
      </c>
      <c r="W1084" s="99" t="s">
        <v>1915</v>
      </c>
      <c r="X1084" s="99" t="s">
        <v>2810</v>
      </c>
      <c r="Y1084" s="73" t="s">
        <v>4</v>
      </c>
      <c r="Z1084" s="73" t="s">
        <v>2049</v>
      </c>
      <c r="AA1084" s="99" t="s">
        <v>2810</v>
      </c>
    </row>
    <row r="1085" spans="1:27" ht="17.25" customHeight="1">
      <c r="A1085" s="65" t="str">
        <f>IF(priority(Main[[#This Row],[Comments]])&lt;&gt;0, priority(Main[[#This Row],[Comments]]),"")</f>
        <v/>
      </c>
      <c r="B1085" s="60" t="s">
        <v>3623</v>
      </c>
      <c r="C1085" s="105" t="s">
        <v>3624</v>
      </c>
      <c r="D1085" s="74" t="s">
        <v>3625</v>
      </c>
      <c r="E1085" s="89"/>
      <c r="F1085" s="89">
        <v>41044</v>
      </c>
      <c r="G1085" s="65" t="str">
        <f>IF(stdProdLT(Main[[#This Row],[Comments]])=0.1,"N/A",IF(stdProdLT(Main[[#This Row],[Comments]])=0,"",TRIM(stdProdLT(Main[[#This Row],[Comments]]))))</f>
        <v/>
      </c>
      <c r="H1085" s="98" t="str">
        <f>IF(Main[[#This Row],[Std. Prod. Lead Time]]="N/A", "",IF(AND(Main[[#This Row],[In Stock Date]]&lt;&gt;"",Main[[#This Row],[Revised Due Date]]&lt;&gt;"",Main[[#This Row],[In Stock Date]]&lt;&gt;""),Main[[#This Row],[In Stock Date]]-Main[[#This Row],[Revised Due Date]],""))</f>
        <v/>
      </c>
      <c r="I1085" s="110" t="s">
        <v>4</v>
      </c>
      <c r="J1085" s="99" t="s">
        <v>4</v>
      </c>
      <c r="K1085" s="99" t="s">
        <v>4</v>
      </c>
      <c r="L1085" s="89"/>
      <c r="M1085" s="75" t="str">
        <f>IF(Main[[#This Row],[Tech Start Date]]&lt;1/1/1990,"",IF(Main[[#This Row],[Class]]="C",WORKDAY(Main[[#This Row],[Tech Start Date]],9),IF(Main[[#This Row],[Class]]="B", WORKDAY(Main[[#This Row],[Tech Start Date]],6),IF(Main[[#This Row],[Class]]="A",WORKDAY(Main[[#This Row],[Tech Start Date]],2),""))))</f>
        <v/>
      </c>
      <c r="N1085" s="75" t="str">
        <f>IF(Main[[#This Row],[Tech Start Date]]&lt;1/1/1990,"",IF(Main[[#This Row],[Class]]="C",WORKDAY(Main[[#This Row],[Tech Start Date]],19),IF(Main[[#This Row],[Class]]="B", WORKDAY(Main[[#This Row],[Tech Start Date]],12),IF(Main[[#This Row],[Class]]="A",WORKDAY(Main[[#This Row],[Tech Start Date]],4),""))))</f>
        <v/>
      </c>
      <c r="O1085" s="75" t="str">
        <f>IF(Main[[#This Row],[Tech Start Date]]&lt;1/1/1990,"",IF(Main[[#This Row],[Class]]="C",WORKDAY(Main[[#This Row],[Tech Start Date]],23),IF(Main[[#This Row],[Class]]="B", WORKDAY(Main[[#This Row],[Tech Start Date]],15),IF(Main[[#This Row],[Class]]="A",WORKDAY(Main[[#This Row],[Tech Start Date]],5),""))))</f>
        <v/>
      </c>
      <c r="P1085" s="75" t="str">
        <f>IF(Main[[#This Row],[Tech Start Date]]&lt;1/1/1990,"",IF(Main[[#This Row],[Class]]="C",WORKDAY(Main[[#This Row],[Tech Start Date]],28),IF(Main[[#This Row],[Class]]="B", WORKDAY(Main[[#This Row],[Tech Start Date]],19),IF(Main[[#This Row],[Class]]="A",WORKDAY(Main[[#This Row],[Tech Start Date]],9),""))))</f>
        <v/>
      </c>
      <c r="Q1085" s="89">
        <v>40904</v>
      </c>
      <c r="R1085" s="121"/>
      <c r="S1085" s="99" t="s">
        <v>11</v>
      </c>
      <c r="T1085" s="76" t="s">
        <v>4</v>
      </c>
      <c r="U1085" s="99" t="s">
        <v>12</v>
      </c>
      <c r="V1085" s="99" t="s">
        <v>1913</v>
      </c>
      <c r="W1085" s="99" t="s">
        <v>1921</v>
      </c>
      <c r="X1085" s="99" t="s">
        <v>2837</v>
      </c>
      <c r="Y1085" s="73" t="s">
        <v>4</v>
      </c>
      <c r="Z1085" s="73" t="s">
        <v>4</v>
      </c>
      <c r="AA1085" s="99" t="s">
        <v>2837</v>
      </c>
    </row>
    <row r="1086" spans="1:27" ht="17.25" customHeight="1">
      <c r="A1086" s="65" t="str">
        <f>IF(priority(Main[[#This Row],[Comments]])&lt;&gt;0, priority(Main[[#This Row],[Comments]]),"")</f>
        <v/>
      </c>
      <c r="B1086" s="60" t="s">
        <v>2434</v>
      </c>
      <c r="C1086" s="105" t="s">
        <v>4</v>
      </c>
      <c r="D1086" s="74" t="s">
        <v>2435</v>
      </c>
      <c r="E1086" s="89">
        <v>40820.810810185183</v>
      </c>
      <c r="F1086" s="89"/>
      <c r="G1086" s="65" t="str">
        <f>IF(stdProdLT(Main[[#This Row],[Comments]])=0.1,"N/A",IF(stdProdLT(Main[[#This Row],[Comments]])=0,"",TRIM(stdProdLT(Main[[#This Row],[Comments]]))))</f>
        <v/>
      </c>
      <c r="H1086" s="98" t="str">
        <f>IF(Main[[#This Row],[Std. Prod. Lead Time]]="N/A", "",IF(AND(Main[[#This Row],[In Stock Date]]&lt;&gt;"",Main[[#This Row],[Revised Due Date]]&lt;&gt;"",Main[[#This Row],[In Stock Date]]&lt;&gt;""),Main[[#This Row],[In Stock Date]]-Main[[#This Row],[Revised Due Date]],""))</f>
        <v/>
      </c>
      <c r="I1086" s="110" t="s">
        <v>429</v>
      </c>
      <c r="J1086" s="99" t="s">
        <v>1974</v>
      </c>
      <c r="K1086" s="99" t="s">
        <v>1922</v>
      </c>
      <c r="L1086" s="89"/>
      <c r="M1086" s="75" t="str">
        <f>IF(Main[[#This Row],[Tech Start Date]]&lt;1/1/1990,"",IF(Main[[#This Row],[Class]]="C",WORKDAY(Main[[#This Row],[Tech Start Date]],9),IF(Main[[#This Row],[Class]]="B", WORKDAY(Main[[#This Row],[Tech Start Date]],6),IF(Main[[#This Row],[Class]]="A",WORKDAY(Main[[#This Row],[Tech Start Date]],2),""))))</f>
        <v/>
      </c>
      <c r="N1086" s="75" t="str">
        <f>IF(Main[[#This Row],[Tech Start Date]]&lt;1/1/1990,"",IF(Main[[#This Row],[Class]]="C",WORKDAY(Main[[#This Row],[Tech Start Date]],19),IF(Main[[#This Row],[Class]]="B", WORKDAY(Main[[#This Row],[Tech Start Date]],12),IF(Main[[#This Row],[Class]]="A",WORKDAY(Main[[#This Row],[Tech Start Date]],4),""))))</f>
        <v/>
      </c>
      <c r="O1086" s="75" t="str">
        <f>IF(Main[[#This Row],[Tech Start Date]]&lt;1/1/1990,"",IF(Main[[#This Row],[Class]]="C",WORKDAY(Main[[#This Row],[Tech Start Date]],23),IF(Main[[#This Row],[Class]]="B", WORKDAY(Main[[#This Row],[Tech Start Date]],15),IF(Main[[#This Row],[Class]]="A",WORKDAY(Main[[#This Row],[Tech Start Date]],5),""))))</f>
        <v/>
      </c>
      <c r="P1086" s="75" t="str">
        <f>IF(Main[[#This Row],[Tech Start Date]]&lt;1/1/1990,"",IF(Main[[#This Row],[Class]]="C",WORKDAY(Main[[#This Row],[Tech Start Date]],28),IF(Main[[#This Row],[Class]]="B", WORKDAY(Main[[#This Row],[Tech Start Date]],19),IF(Main[[#This Row],[Class]]="A",WORKDAY(Main[[#This Row],[Tech Start Date]],9),""))))</f>
        <v/>
      </c>
      <c r="Q1086" s="89">
        <v>40847</v>
      </c>
      <c r="R1086" s="121"/>
      <c r="S1086" s="99" t="s">
        <v>6</v>
      </c>
      <c r="T1086" s="76" t="s">
        <v>4</v>
      </c>
      <c r="U1086" s="99" t="s">
        <v>29</v>
      </c>
      <c r="V1086" s="99" t="s">
        <v>1916</v>
      </c>
      <c r="W1086" s="99" t="s">
        <v>1917</v>
      </c>
      <c r="X1086" s="99" t="s">
        <v>30</v>
      </c>
      <c r="Y1086" s="73" t="s">
        <v>2934</v>
      </c>
      <c r="Z1086" s="73" t="s">
        <v>30</v>
      </c>
      <c r="AA1086" s="99" t="s">
        <v>30</v>
      </c>
    </row>
    <row r="1087" spans="1:27" ht="17.25" customHeight="1">
      <c r="A1087" s="65" t="str">
        <f>IF(priority(Main[[#This Row],[Comments]])&lt;&gt;0, priority(Main[[#This Row],[Comments]]),"")</f>
        <v/>
      </c>
      <c r="B1087" s="60" t="s">
        <v>2436</v>
      </c>
      <c r="C1087" s="105" t="s">
        <v>4</v>
      </c>
      <c r="D1087" s="74" t="s">
        <v>2437</v>
      </c>
      <c r="E1087" s="89">
        <v>40834.538703703707</v>
      </c>
      <c r="F1087" s="89"/>
      <c r="G1087" s="65" t="str">
        <f>IF(stdProdLT(Main[[#This Row],[Comments]])=0.1,"N/A",IF(stdProdLT(Main[[#This Row],[Comments]])=0,"",TRIM(stdProdLT(Main[[#This Row],[Comments]]))))</f>
        <v/>
      </c>
      <c r="H1087" s="98" t="str">
        <f>IF(Main[[#This Row],[Std. Prod. Lead Time]]="N/A", "",IF(AND(Main[[#This Row],[In Stock Date]]&lt;&gt;"",Main[[#This Row],[Revised Due Date]]&lt;&gt;"",Main[[#This Row],[In Stock Date]]&lt;&gt;""),Main[[#This Row],[In Stock Date]]-Main[[#This Row],[Revised Due Date]],""))</f>
        <v/>
      </c>
      <c r="I1087" s="110" t="s">
        <v>4</v>
      </c>
      <c r="J1087" s="99" t="s">
        <v>4</v>
      </c>
      <c r="K1087" s="99" t="s">
        <v>4</v>
      </c>
      <c r="L1087" s="89"/>
      <c r="M1087" s="75" t="str">
        <f>IF(Main[[#This Row],[Tech Start Date]]&lt;1/1/1990,"",IF(Main[[#This Row],[Class]]="C",WORKDAY(Main[[#This Row],[Tech Start Date]],9),IF(Main[[#This Row],[Class]]="B", WORKDAY(Main[[#This Row],[Tech Start Date]],6),IF(Main[[#This Row],[Class]]="A",WORKDAY(Main[[#This Row],[Tech Start Date]],2),""))))</f>
        <v/>
      </c>
      <c r="N1087" s="75" t="str">
        <f>IF(Main[[#This Row],[Tech Start Date]]&lt;1/1/1990,"",IF(Main[[#This Row],[Class]]="C",WORKDAY(Main[[#This Row],[Tech Start Date]],19),IF(Main[[#This Row],[Class]]="B", WORKDAY(Main[[#This Row],[Tech Start Date]],12),IF(Main[[#This Row],[Class]]="A",WORKDAY(Main[[#This Row],[Tech Start Date]],4),""))))</f>
        <v/>
      </c>
      <c r="O1087" s="75" t="str">
        <f>IF(Main[[#This Row],[Tech Start Date]]&lt;1/1/1990,"",IF(Main[[#This Row],[Class]]="C",WORKDAY(Main[[#This Row],[Tech Start Date]],23),IF(Main[[#This Row],[Class]]="B", WORKDAY(Main[[#This Row],[Tech Start Date]],15),IF(Main[[#This Row],[Class]]="A",WORKDAY(Main[[#This Row],[Tech Start Date]],5),""))))</f>
        <v/>
      </c>
      <c r="P1087" s="75" t="str">
        <f>IF(Main[[#This Row],[Tech Start Date]]&lt;1/1/1990,"",IF(Main[[#This Row],[Class]]="C",WORKDAY(Main[[#This Row],[Tech Start Date]],28),IF(Main[[#This Row],[Class]]="B", WORKDAY(Main[[#This Row],[Tech Start Date]],19),IF(Main[[#This Row],[Class]]="A",WORKDAY(Main[[#This Row],[Tech Start Date]],9),""))))</f>
        <v/>
      </c>
      <c r="Q1087" s="89"/>
      <c r="R1087" s="121"/>
      <c r="S1087" s="99" t="s">
        <v>6</v>
      </c>
      <c r="T1087" s="76" t="s">
        <v>4</v>
      </c>
      <c r="U1087" s="99" t="s">
        <v>29</v>
      </c>
      <c r="V1087" s="99" t="s">
        <v>1913</v>
      </c>
      <c r="W1087" s="99" t="s">
        <v>1915</v>
      </c>
      <c r="X1087" s="99" t="s">
        <v>306</v>
      </c>
      <c r="Y1087" s="73" t="s">
        <v>4</v>
      </c>
      <c r="Z1087" s="73" t="s">
        <v>4</v>
      </c>
      <c r="AA1087" s="99" t="s">
        <v>4</v>
      </c>
    </row>
    <row r="1088" spans="1:27" ht="17.25" customHeight="1">
      <c r="A1088" s="65" t="str">
        <f>IF(priority(Main[[#This Row],[Comments]])&lt;&gt;0, priority(Main[[#This Row],[Comments]]),"")</f>
        <v/>
      </c>
      <c r="B1088" s="60" t="s">
        <v>2439</v>
      </c>
      <c r="C1088" s="105" t="s">
        <v>2348</v>
      </c>
      <c r="D1088" s="74" t="s">
        <v>2440</v>
      </c>
      <c r="E1088" s="89"/>
      <c r="F1088" s="89">
        <v>40940</v>
      </c>
      <c r="G1088" s="65" t="str">
        <f>IF(stdProdLT(Main[[#This Row],[Comments]])=0.1,"N/A",IF(stdProdLT(Main[[#This Row],[Comments]])=0,"",TRIM(stdProdLT(Main[[#This Row],[Comments]]))))</f>
        <v/>
      </c>
      <c r="H1088" s="98" t="str">
        <f>IF(Main[[#This Row],[Std. Prod. Lead Time]]="N/A", "",IF(AND(Main[[#This Row],[In Stock Date]]&lt;&gt;"",Main[[#This Row],[Revised Due Date]]&lt;&gt;"",Main[[#This Row],[In Stock Date]]&lt;&gt;""),Main[[#This Row],[In Stock Date]]-Main[[#This Row],[Revised Due Date]],""))</f>
        <v/>
      </c>
      <c r="I1088" s="110" t="s">
        <v>4</v>
      </c>
      <c r="J1088" s="99" t="s">
        <v>4</v>
      </c>
      <c r="K1088" s="99" t="s">
        <v>4</v>
      </c>
      <c r="L1088" s="89"/>
      <c r="M1088" s="75" t="str">
        <f>IF(Main[[#This Row],[Tech Start Date]]&lt;1/1/1990,"",IF(Main[[#This Row],[Class]]="C",WORKDAY(Main[[#This Row],[Tech Start Date]],9),IF(Main[[#This Row],[Class]]="B", WORKDAY(Main[[#This Row],[Tech Start Date]],6),IF(Main[[#This Row],[Class]]="A",WORKDAY(Main[[#This Row],[Tech Start Date]],2),""))))</f>
        <v/>
      </c>
      <c r="N1088" s="75" t="str">
        <f>IF(Main[[#This Row],[Tech Start Date]]&lt;1/1/1990,"",IF(Main[[#This Row],[Class]]="C",WORKDAY(Main[[#This Row],[Tech Start Date]],19),IF(Main[[#This Row],[Class]]="B", WORKDAY(Main[[#This Row],[Tech Start Date]],12),IF(Main[[#This Row],[Class]]="A",WORKDAY(Main[[#This Row],[Tech Start Date]],4),""))))</f>
        <v/>
      </c>
      <c r="O1088" s="75" t="str">
        <f>IF(Main[[#This Row],[Tech Start Date]]&lt;1/1/1990,"",IF(Main[[#This Row],[Class]]="C",WORKDAY(Main[[#This Row],[Tech Start Date]],23),IF(Main[[#This Row],[Class]]="B", WORKDAY(Main[[#This Row],[Tech Start Date]],15),IF(Main[[#This Row],[Class]]="A",WORKDAY(Main[[#This Row],[Tech Start Date]],5),""))))</f>
        <v/>
      </c>
      <c r="P1088" s="75" t="str">
        <f>IF(Main[[#This Row],[Tech Start Date]]&lt;1/1/1990,"",IF(Main[[#This Row],[Class]]="C",WORKDAY(Main[[#This Row],[Tech Start Date]],28),IF(Main[[#This Row],[Class]]="B", WORKDAY(Main[[#This Row],[Tech Start Date]],19),IF(Main[[#This Row],[Class]]="A",WORKDAY(Main[[#This Row],[Tech Start Date]],9),""))))</f>
        <v/>
      </c>
      <c r="Q1088" s="89">
        <v>40878</v>
      </c>
      <c r="R1088" s="121"/>
      <c r="S1088" s="99" t="s">
        <v>11</v>
      </c>
      <c r="T1088" s="76" t="s">
        <v>4</v>
      </c>
      <c r="U1088" s="99" t="s">
        <v>14</v>
      </c>
      <c r="V1088" s="99" t="s">
        <v>1923</v>
      </c>
      <c r="W1088" s="99" t="s">
        <v>1921</v>
      </c>
      <c r="X1088" s="99" t="s">
        <v>2842</v>
      </c>
      <c r="Y1088" s="73" t="s">
        <v>2973</v>
      </c>
      <c r="Z1088" s="73" t="s">
        <v>4</v>
      </c>
      <c r="AA1088" s="99" t="s">
        <v>2842</v>
      </c>
    </row>
    <row r="1089" spans="1:27" ht="17.25" customHeight="1">
      <c r="A1089" s="65" t="str">
        <f>IF(priority(Main[[#This Row],[Comments]])&lt;&gt;0, priority(Main[[#This Row],[Comments]]),"")</f>
        <v/>
      </c>
      <c r="B1089" s="60" t="s">
        <v>3627</v>
      </c>
      <c r="C1089" s="105" t="s">
        <v>4</v>
      </c>
      <c r="D1089" s="74" t="s">
        <v>3628</v>
      </c>
      <c r="E1089" s="89">
        <v>40960.474270833336</v>
      </c>
      <c r="F1089" s="89"/>
      <c r="G1089" s="65" t="str">
        <f>IF(stdProdLT(Main[[#This Row],[Comments]])=0.1,"N/A",IF(stdProdLT(Main[[#This Row],[Comments]])=0,"",TRIM(stdProdLT(Main[[#This Row],[Comments]]))))</f>
        <v/>
      </c>
      <c r="H1089" s="98" t="str">
        <f>IF(Main[[#This Row],[Std. Prod. Lead Time]]="N/A", "",IF(AND(Main[[#This Row],[In Stock Date]]&lt;&gt;"",Main[[#This Row],[Revised Due Date]]&lt;&gt;"",Main[[#This Row],[In Stock Date]]&lt;&gt;""),Main[[#This Row],[In Stock Date]]-Main[[#This Row],[Revised Due Date]],""))</f>
        <v/>
      </c>
      <c r="I1089" s="110" t="s">
        <v>429</v>
      </c>
      <c r="J1089" s="99" t="s">
        <v>70</v>
      </c>
      <c r="K1089" s="99" t="s">
        <v>1922</v>
      </c>
      <c r="L1089" s="89"/>
      <c r="M1089" s="75" t="str">
        <f>IF(Main[[#This Row],[Tech Start Date]]&lt;1/1/1990,"",IF(Main[[#This Row],[Class]]="C",WORKDAY(Main[[#This Row],[Tech Start Date]],9),IF(Main[[#This Row],[Class]]="B", WORKDAY(Main[[#This Row],[Tech Start Date]],6),IF(Main[[#This Row],[Class]]="A",WORKDAY(Main[[#This Row],[Tech Start Date]],2),""))))</f>
        <v/>
      </c>
      <c r="N1089" s="75" t="str">
        <f>IF(Main[[#This Row],[Tech Start Date]]&lt;1/1/1990,"",IF(Main[[#This Row],[Class]]="C",WORKDAY(Main[[#This Row],[Tech Start Date]],19),IF(Main[[#This Row],[Class]]="B", WORKDAY(Main[[#This Row],[Tech Start Date]],12),IF(Main[[#This Row],[Class]]="A",WORKDAY(Main[[#This Row],[Tech Start Date]],4),""))))</f>
        <v/>
      </c>
      <c r="O1089" s="75" t="str">
        <f>IF(Main[[#This Row],[Tech Start Date]]&lt;1/1/1990,"",IF(Main[[#This Row],[Class]]="C",WORKDAY(Main[[#This Row],[Tech Start Date]],23),IF(Main[[#This Row],[Class]]="B", WORKDAY(Main[[#This Row],[Tech Start Date]],15),IF(Main[[#This Row],[Class]]="A",WORKDAY(Main[[#This Row],[Tech Start Date]],5),""))))</f>
        <v/>
      </c>
      <c r="P1089" s="75" t="str">
        <f>IF(Main[[#This Row],[Tech Start Date]]&lt;1/1/1990,"",IF(Main[[#This Row],[Class]]="C",WORKDAY(Main[[#This Row],[Tech Start Date]],28),IF(Main[[#This Row],[Class]]="B", WORKDAY(Main[[#This Row],[Tech Start Date]],19),IF(Main[[#This Row],[Class]]="A",WORKDAY(Main[[#This Row],[Tech Start Date]],9),""))))</f>
        <v/>
      </c>
      <c r="Q1089" s="89">
        <v>40974</v>
      </c>
      <c r="R1089" s="121"/>
      <c r="S1089" s="99" t="s">
        <v>6</v>
      </c>
      <c r="T1089" s="76" t="s">
        <v>4</v>
      </c>
      <c r="U1089" s="99" t="s">
        <v>29</v>
      </c>
      <c r="V1089" s="99" t="s">
        <v>1916</v>
      </c>
      <c r="W1089" s="99" t="s">
        <v>1917</v>
      </c>
      <c r="X1089" s="99" t="s">
        <v>2047</v>
      </c>
      <c r="Y1089" s="73" t="s">
        <v>4</v>
      </c>
      <c r="Z1089" s="73" t="s">
        <v>30</v>
      </c>
      <c r="AA1089" s="99" t="s">
        <v>3629</v>
      </c>
    </row>
    <row r="1090" spans="1:27" ht="17.25" customHeight="1">
      <c r="A1090" s="65" t="str">
        <f>IF(priority(Main[[#This Row],[Comments]])&lt;&gt;0, priority(Main[[#This Row],[Comments]]),"")</f>
        <v/>
      </c>
      <c r="B1090" s="60" t="s">
        <v>3626</v>
      </c>
      <c r="C1090" s="105" t="s">
        <v>3624</v>
      </c>
      <c r="D1090" s="74" t="s">
        <v>3625</v>
      </c>
      <c r="E1090" s="89"/>
      <c r="F1090" s="89">
        <v>41108</v>
      </c>
      <c r="G1090" s="65" t="str">
        <f>IF(stdProdLT(Main[[#This Row],[Comments]])=0.1,"N/A",IF(stdProdLT(Main[[#This Row],[Comments]])=0,"",TRIM(stdProdLT(Main[[#This Row],[Comments]]))))</f>
        <v/>
      </c>
      <c r="H1090" s="98" t="str">
        <f>IF(Main[[#This Row],[Std. Prod. Lead Time]]="N/A", "",IF(AND(Main[[#This Row],[In Stock Date]]&lt;&gt;"",Main[[#This Row],[Revised Due Date]]&lt;&gt;"",Main[[#This Row],[In Stock Date]]&lt;&gt;""),Main[[#This Row],[In Stock Date]]-Main[[#This Row],[Revised Due Date]],""))</f>
        <v/>
      </c>
      <c r="I1090" s="110" t="s">
        <v>4</v>
      </c>
      <c r="J1090" s="99" t="s">
        <v>4</v>
      </c>
      <c r="K1090" s="99" t="s">
        <v>4</v>
      </c>
      <c r="L1090" s="89"/>
      <c r="M1090" s="75" t="str">
        <f>IF(Main[[#This Row],[Tech Start Date]]&lt;1/1/1990,"",IF(Main[[#This Row],[Class]]="C",WORKDAY(Main[[#This Row],[Tech Start Date]],9),IF(Main[[#This Row],[Class]]="B", WORKDAY(Main[[#This Row],[Tech Start Date]],6),IF(Main[[#This Row],[Class]]="A",WORKDAY(Main[[#This Row],[Tech Start Date]],2),""))))</f>
        <v/>
      </c>
      <c r="N1090" s="75" t="str">
        <f>IF(Main[[#This Row],[Tech Start Date]]&lt;1/1/1990,"",IF(Main[[#This Row],[Class]]="C",WORKDAY(Main[[#This Row],[Tech Start Date]],19),IF(Main[[#This Row],[Class]]="B", WORKDAY(Main[[#This Row],[Tech Start Date]],12),IF(Main[[#This Row],[Class]]="A",WORKDAY(Main[[#This Row],[Tech Start Date]],4),""))))</f>
        <v/>
      </c>
      <c r="O1090" s="75" t="str">
        <f>IF(Main[[#This Row],[Tech Start Date]]&lt;1/1/1990,"",IF(Main[[#This Row],[Class]]="C",WORKDAY(Main[[#This Row],[Tech Start Date]],23),IF(Main[[#This Row],[Class]]="B", WORKDAY(Main[[#This Row],[Tech Start Date]],15),IF(Main[[#This Row],[Class]]="A",WORKDAY(Main[[#This Row],[Tech Start Date]],5),""))))</f>
        <v/>
      </c>
      <c r="P1090" s="75" t="str">
        <f>IF(Main[[#This Row],[Tech Start Date]]&lt;1/1/1990,"",IF(Main[[#This Row],[Class]]="C",WORKDAY(Main[[#This Row],[Tech Start Date]],28),IF(Main[[#This Row],[Class]]="B", WORKDAY(Main[[#This Row],[Tech Start Date]],19),IF(Main[[#This Row],[Class]]="A",WORKDAY(Main[[#This Row],[Tech Start Date]],9),""))))</f>
        <v/>
      </c>
      <c r="Q1090" s="89">
        <v>40968</v>
      </c>
      <c r="R1090" s="121"/>
      <c r="S1090" s="99" t="s">
        <v>11</v>
      </c>
      <c r="T1090" s="76" t="s">
        <v>4</v>
      </c>
      <c r="U1090" s="99" t="s">
        <v>12</v>
      </c>
      <c r="V1090" s="99" t="s">
        <v>1913</v>
      </c>
      <c r="W1090" s="99" t="s">
        <v>1921</v>
      </c>
      <c r="X1090" s="99" t="s">
        <v>2837</v>
      </c>
      <c r="Y1090" s="73" t="s">
        <v>4</v>
      </c>
      <c r="Z1090" s="73" t="s">
        <v>4</v>
      </c>
      <c r="AA1090" s="99" t="s">
        <v>2837</v>
      </c>
    </row>
    <row r="1091" spans="1:27" ht="17.25" customHeight="1">
      <c r="A1091" s="65" t="str">
        <f>IF(priority(Main[[#This Row],[Comments]])&lt;&gt;0, priority(Main[[#This Row],[Comments]]),"")</f>
        <v/>
      </c>
      <c r="B1091" s="60" t="s">
        <v>1447</v>
      </c>
      <c r="C1091" s="105" t="s">
        <v>4</v>
      </c>
      <c r="D1091" s="74" t="s">
        <v>3882</v>
      </c>
      <c r="E1091" s="89">
        <v>40626.477812500001</v>
      </c>
      <c r="F1091" s="89"/>
      <c r="G1091" s="65" t="str">
        <f>IF(stdProdLT(Main[[#This Row],[Comments]])=0.1,"N/A",IF(stdProdLT(Main[[#This Row],[Comments]])=0,"",TRIM(stdProdLT(Main[[#This Row],[Comments]]))))</f>
        <v/>
      </c>
      <c r="H1091" s="98" t="str">
        <f>IF(Main[[#This Row],[Std. Prod. Lead Time]]="N/A", "",IF(AND(Main[[#This Row],[In Stock Date]]&lt;&gt;"",Main[[#This Row],[Revised Due Date]]&lt;&gt;"",Main[[#This Row],[In Stock Date]]&lt;&gt;""),Main[[#This Row],[In Stock Date]]-Main[[#This Row],[Revised Due Date]],""))</f>
        <v/>
      </c>
      <c r="I1091" s="110" t="s">
        <v>2204</v>
      </c>
      <c r="J1091" s="99" t="s">
        <v>75</v>
      </c>
      <c r="K1091" s="99" t="s">
        <v>1922</v>
      </c>
      <c r="L1091" s="89"/>
      <c r="M1091" s="75" t="str">
        <f>IF(Main[[#This Row],[Tech Start Date]]&lt;1/1/1990,"",IF(Main[[#This Row],[Class]]="C",WORKDAY(Main[[#This Row],[Tech Start Date]],9),IF(Main[[#This Row],[Class]]="B", WORKDAY(Main[[#This Row],[Tech Start Date]],6),IF(Main[[#This Row],[Class]]="A",WORKDAY(Main[[#This Row],[Tech Start Date]],2),""))))</f>
        <v/>
      </c>
      <c r="N1091" s="75" t="str">
        <f>IF(Main[[#This Row],[Tech Start Date]]&lt;1/1/1990,"",IF(Main[[#This Row],[Class]]="C",WORKDAY(Main[[#This Row],[Tech Start Date]],19),IF(Main[[#This Row],[Class]]="B", WORKDAY(Main[[#This Row],[Tech Start Date]],12),IF(Main[[#This Row],[Class]]="A",WORKDAY(Main[[#This Row],[Tech Start Date]],4),""))))</f>
        <v/>
      </c>
      <c r="O1091" s="75" t="str">
        <f>IF(Main[[#This Row],[Tech Start Date]]&lt;1/1/1990,"",IF(Main[[#This Row],[Class]]="C",WORKDAY(Main[[#This Row],[Tech Start Date]],23),IF(Main[[#This Row],[Class]]="B", WORKDAY(Main[[#This Row],[Tech Start Date]],15),IF(Main[[#This Row],[Class]]="A",WORKDAY(Main[[#This Row],[Tech Start Date]],5),""))))</f>
        <v/>
      </c>
      <c r="P1091" s="75" t="str">
        <f>IF(Main[[#This Row],[Tech Start Date]]&lt;1/1/1990,"",IF(Main[[#This Row],[Class]]="C",WORKDAY(Main[[#This Row],[Tech Start Date]],28),IF(Main[[#This Row],[Class]]="B", WORKDAY(Main[[#This Row],[Tech Start Date]],19),IF(Main[[#This Row],[Class]]="A",WORKDAY(Main[[#This Row],[Tech Start Date]],9),""))))</f>
        <v/>
      </c>
      <c r="Q1091" s="89"/>
      <c r="R1091" s="121"/>
      <c r="S1091" s="99" t="s">
        <v>6</v>
      </c>
      <c r="T1091" s="76" t="s">
        <v>4</v>
      </c>
      <c r="U1091" s="99" t="s">
        <v>29</v>
      </c>
      <c r="V1091" s="99" t="s">
        <v>1916</v>
      </c>
      <c r="W1091" s="99" t="s">
        <v>1917</v>
      </c>
      <c r="X1091" s="99" t="s">
        <v>74</v>
      </c>
      <c r="Y1091" s="73" t="s">
        <v>3025</v>
      </c>
      <c r="Z1091" s="73" t="s">
        <v>415</v>
      </c>
      <c r="AA1091" s="99" t="s">
        <v>74</v>
      </c>
    </row>
    <row r="1092" spans="1:27" ht="17.25" customHeight="1">
      <c r="A1092" s="65" t="str">
        <f>IF(priority(Main[[#This Row],[Comments]])&lt;&gt;0, priority(Main[[#This Row],[Comments]]),"")</f>
        <v/>
      </c>
      <c r="B1092" s="60" t="s">
        <v>3883</v>
      </c>
      <c r="C1092" s="105" t="s">
        <v>3959</v>
      </c>
      <c r="D1092" s="74" t="s">
        <v>3884</v>
      </c>
      <c r="E1092" s="89">
        <v>40968.458784722221</v>
      </c>
      <c r="F1092" s="89">
        <v>41030</v>
      </c>
      <c r="G1092" s="65" t="str">
        <f>IF(stdProdLT(Main[[#This Row],[Comments]])=0.1,"N/A",IF(stdProdLT(Main[[#This Row],[Comments]])=0,"",TRIM(stdProdLT(Main[[#This Row],[Comments]]))))</f>
        <v>N/A</v>
      </c>
      <c r="H1092" s="98" t="str">
        <f>IF(Main[[#This Row],[Std. Prod. Lead Time]]="N/A", "",IF(AND(Main[[#This Row],[In Stock Date]]&lt;&gt;"",Main[[#This Row],[Revised Due Date]]&lt;&gt;"",Main[[#This Row],[In Stock Date]]&lt;&gt;""),Main[[#This Row],[In Stock Date]]-Main[[#This Row],[Revised Due Date]],""))</f>
        <v/>
      </c>
      <c r="I1092" s="110" t="s">
        <v>4</v>
      </c>
      <c r="J1092" s="99" t="s">
        <v>4</v>
      </c>
      <c r="K1092" s="99" t="s">
        <v>4</v>
      </c>
      <c r="L1092" s="89"/>
      <c r="M1092" s="75" t="str">
        <f>IF(Main[[#This Row],[Tech Start Date]]&lt;1/1/1990,"",IF(Main[[#This Row],[Class]]="C",WORKDAY(Main[[#This Row],[Tech Start Date]],9),IF(Main[[#This Row],[Class]]="B", WORKDAY(Main[[#This Row],[Tech Start Date]],6),IF(Main[[#This Row],[Class]]="A",WORKDAY(Main[[#This Row],[Tech Start Date]],2),""))))</f>
        <v/>
      </c>
      <c r="N1092" s="75" t="str">
        <f>IF(Main[[#This Row],[Tech Start Date]]&lt;1/1/1990,"",IF(Main[[#This Row],[Class]]="C",WORKDAY(Main[[#This Row],[Tech Start Date]],19),IF(Main[[#This Row],[Class]]="B", WORKDAY(Main[[#This Row],[Tech Start Date]],12),IF(Main[[#This Row],[Class]]="A",WORKDAY(Main[[#This Row],[Tech Start Date]],4),""))))</f>
        <v/>
      </c>
      <c r="O1092" s="75" t="str">
        <f>IF(Main[[#This Row],[Tech Start Date]]&lt;1/1/1990,"",IF(Main[[#This Row],[Class]]="C",WORKDAY(Main[[#This Row],[Tech Start Date]],23),IF(Main[[#This Row],[Class]]="B", WORKDAY(Main[[#This Row],[Tech Start Date]],15),IF(Main[[#This Row],[Class]]="A",WORKDAY(Main[[#This Row],[Tech Start Date]],5),""))))</f>
        <v/>
      </c>
      <c r="P1092" s="75" t="str">
        <f>IF(Main[[#This Row],[Tech Start Date]]&lt;1/1/1990,"",IF(Main[[#This Row],[Class]]="C",WORKDAY(Main[[#This Row],[Tech Start Date]],28),IF(Main[[#This Row],[Class]]="B", WORKDAY(Main[[#This Row],[Tech Start Date]],19),IF(Main[[#This Row],[Class]]="A",WORKDAY(Main[[#This Row],[Tech Start Date]],9),""))))</f>
        <v/>
      </c>
      <c r="Q1092" s="89">
        <v>40972</v>
      </c>
      <c r="R1092" s="121"/>
      <c r="S1092" s="99" t="s">
        <v>11</v>
      </c>
      <c r="T1092" s="76" t="s">
        <v>3916</v>
      </c>
      <c r="U1092" s="99" t="s">
        <v>7</v>
      </c>
      <c r="V1092" s="99" t="s">
        <v>1923</v>
      </c>
      <c r="W1092" s="99" t="s">
        <v>1921</v>
      </c>
      <c r="X1092" s="99" t="s">
        <v>2851</v>
      </c>
      <c r="Y1092" s="73" t="s">
        <v>2992</v>
      </c>
      <c r="Z1092" s="73" t="s">
        <v>4</v>
      </c>
      <c r="AA1092" s="99" t="s">
        <v>2851</v>
      </c>
    </row>
    <row r="1093" spans="1:27" ht="17.25" customHeight="1">
      <c r="A1093" s="65" t="str">
        <f>IF(priority(Main[[#This Row],[Comments]])&lt;&gt;0, priority(Main[[#This Row],[Comments]]),"")</f>
        <v/>
      </c>
      <c r="B1093" s="60" t="s">
        <v>3885</v>
      </c>
      <c r="C1093" s="105" t="s">
        <v>4</v>
      </c>
      <c r="D1093" s="74" t="s">
        <v>3886</v>
      </c>
      <c r="E1093" s="89">
        <v>40968.460902777777</v>
      </c>
      <c r="F1093" s="89"/>
      <c r="G1093" s="65" t="str">
        <f>IF(stdProdLT(Main[[#This Row],[Comments]])=0.1,"N/A",IF(stdProdLT(Main[[#This Row],[Comments]])=0,"",TRIM(stdProdLT(Main[[#This Row],[Comments]]))))</f>
        <v/>
      </c>
      <c r="H1093" s="98" t="str">
        <f>IF(Main[[#This Row],[Std. Prod. Lead Time]]="N/A", "",IF(AND(Main[[#This Row],[In Stock Date]]&lt;&gt;"",Main[[#This Row],[Revised Due Date]]&lt;&gt;"",Main[[#This Row],[In Stock Date]]&lt;&gt;""),Main[[#This Row],[In Stock Date]]-Main[[#This Row],[Revised Due Date]],""))</f>
        <v/>
      </c>
      <c r="I1093" s="110" t="s">
        <v>4</v>
      </c>
      <c r="J1093" s="99" t="s">
        <v>4</v>
      </c>
      <c r="K1093" s="99" t="s">
        <v>4</v>
      </c>
      <c r="L1093" s="89"/>
      <c r="M1093" s="75" t="str">
        <f>IF(Main[[#This Row],[Tech Start Date]]&lt;1/1/1990,"",IF(Main[[#This Row],[Class]]="C",WORKDAY(Main[[#This Row],[Tech Start Date]],9),IF(Main[[#This Row],[Class]]="B", WORKDAY(Main[[#This Row],[Tech Start Date]],6),IF(Main[[#This Row],[Class]]="A",WORKDAY(Main[[#This Row],[Tech Start Date]],2),""))))</f>
        <v/>
      </c>
      <c r="N1093" s="75" t="str">
        <f>IF(Main[[#This Row],[Tech Start Date]]&lt;1/1/1990,"",IF(Main[[#This Row],[Class]]="C",WORKDAY(Main[[#This Row],[Tech Start Date]],19),IF(Main[[#This Row],[Class]]="B", WORKDAY(Main[[#This Row],[Tech Start Date]],12),IF(Main[[#This Row],[Class]]="A",WORKDAY(Main[[#This Row],[Tech Start Date]],4),""))))</f>
        <v/>
      </c>
      <c r="O1093" s="75" t="str">
        <f>IF(Main[[#This Row],[Tech Start Date]]&lt;1/1/1990,"",IF(Main[[#This Row],[Class]]="C",WORKDAY(Main[[#This Row],[Tech Start Date]],23),IF(Main[[#This Row],[Class]]="B", WORKDAY(Main[[#This Row],[Tech Start Date]],15),IF(Main[[#This Row],[Class]]="A",WORKDAY(Main[[#This Row],[Tech Start Date]],5),""))))</f>
        <v/>
      </c>
      <c r="P1093" s="75" t="str">
        <f>IF(Main[[#This Row],[Tech Start Date]]&lt;1/1/1990,"",IF(Main[[#This Row],[Class]]="C",WORKDAY(Main[[#This Row],[Tech Start Date]],28),IF(Main[[#This Row],[Class]]="B", WORKDAY(Main[[#This Row],[Tech Start Date]],19),IF(Main[[#This Row],[Class]]="A",WORKDAY(Main[[#This Row],[Tech Start Date]],9),""))))</f>
        <v/>
      </c>
      <c r="Q1093" s="89"/>
      <c r="R1093" s="121"/>
      <c r="S1093" s="99" t="s">
        <v>6</v>
      </c>
      <c r="T1093" s="76" t="s">
        <v>4</v>
      </c>
      <c r="U1093" s="99" t="s">
        <v>29</v>
      </c>
      <c r="V1093" s="99" t="s">
        <v>1916</v>
      </c>
      <c r="W1093" s="99" t="s">
        <v>1917</v>
      </c>
      <c r="X1093" s="99" t="s">
        <v>81</v>
      </c>
      <c r="Y1093" s="73" t="s">
        <v>2963</v>
      </c>
      <c r="Z1093" s="73" t="s">
        <v>4</v>
      </c>
      <c r="AA1093" s="99" t="s">
        <v>81</v>
      </c>
    </row>
    <row r="1094" spans="1:27" ht="17.25" customHeight="1">
      <c r="A1094" s="65" t="str">
        <f>IF(priority(Main[[#This Row],[Comments]])&lt;&gt;0, priority(Main[[#This Row],[Comments]]),"")</f>
        <v/>
      </c>
      <c r="B1094" s="60" t="s">
        <v>2750</v>
      </c>
      <c r="C1094" s="105" t="s">
        <v>4</v>
      </c>
      <c r="D1094" s="74" t="s">
        <v>2751</v>
      </c>
      <c r="E1094" s="89">
        <v>40911.432222222225</v>
      </c>
      <c r="F1094" s="89"/>
      <c r="G1094" s="65" t="str">
        <f>IF(stdProdLT(Main[[#This Row],[Comments]])=0.1,"N/A",IF(stdProdLT(Main[[#This Row],[Comments]])=0,"",TRIM(stdProdLT(Main[[#This Row],[Comments]]))))</f>
        <v/>
      </c>
      <c r="H1094" s="98" t="str">
        <f>IF(Main[[#This Row],[Std. Prod. Lead Time]]="N/A", "",IF(AND(Main[[#This Row],[In Stock Date]]&lt;&gt;"",Main[[#This Row],[Revised Due Date]]&lt;&gt;"",Main[[#This Row],[In Stock Date]]&lt;&gt;""),Main[[#This Row],[In Stock Date]]-Main[[#This Row],[Revised Due Date]],""))</f>
        <v/>
      </c>
      <c r="I1094" s="110" t="s">
        <v>937</v>
      </c>
      <c r="J1094" s="99" t="s">
        <v>52</v>
      </c>
      <c r="K1094" s="99" t="s">
        <v>1922</v>
      </c>
      <c r="L1094" s="89"/>
      <c r="M1094" s="75" t="str">
        <f>IF(Main[[#This Row],[Tech Start Date]]&lt;1/1/1990,"",IF(Main[[#This Row],[Class]]="C",WORKDAY(Main[[#This Row],[Tech Start Date]],9),IF(Main[[#This Row],[Class]]="B", WORKDAY(Main[[#This Row],[Tech Start Date]],6),IF(Main[[#This Row],[Class]]="A",WORKDAY(Main[[#This Row],[Tech Start Date]],2),""))))</f>
        <v/>
      </c>
      <c r="N1094" s="75" t="str">
        <f>IF(Main[[#This Row],[Tech Start Date]]&lt;1/1/1990,"",IF(Main[[#This Row],[Class]]="C",WORKDAY(Main[[#This Row],[Tech Start Date]],19),IF(Main[[#This Row],[Class]]="B", WORKDAY(Main[[#This Row],[Tech Start Date]],12),IF(Main[[#This Row],[Class]]="A",WORKDAY(Main[[#This Row],[Tech Start Date]],4),""))))</f>
        <v/>
      </c>
      <c r="O1094" s="75" t="str">
        <f>IF(Main[[#This Row],[Tech Start Date]]&lt;1/1/1990,"",IF(Main[[#This Row],[Class]]="C",WORKDAY(Main[[#This Row],[Tech Start Date]],23),IF(Main[[#This Row],[Class]]="B", WORKDAY(Main[[#This Row],[Tech Start Date]],15),IF(Main[[#This Row],[Class]]="A",WORKDAY(Main[[#This Row],[Tech Start Date]],5),""))))</f>
        <v/>
      </c>
      <c r="P1094" s="75" t="str">
        <f>IF(Main[[#This Row],[Tech Start Date]]&lt;1/1/1990,"",IF(Main[[#This Row],[Class]]="C",WORKDAY(Main[[#This Row],[Tech Start Date]],28),IF(Main[[#This Row],[Class]]="B", WORKDAY(Main[[#This Row],[Tech Start Date]],19),IF(Main[[#This Row],[Class]]="A",WORKDAY(Main[[#This Row],[Tech Start Date]],9),""))))</f>
        <v/>
      </c>
      <c r="Q1094" s="89"/>
      <c r="R1094" s="121"/>
      <c r="S1094" s="99" t="s">
        <v>6</v>
      </c>
      <c r="T1094" s="76" t="s">
        <v>4</v>
      </c>
      <c r="U1094" s="99" t="s">
        <v>29</v>
      </c>
      <c r="V1094" s="99" t="s">
        <v>1913</v>
      </c>
      <c r="W1094" s="99" t="s">
        <v>1917</v>
      </c>
      <c r="X1094" s="99" t="s">
        <v>2204</v>
      </c>
      <c r="Y1094" s="73" t="s">
        <v>3121</v>
      </c>
      <c r="Z1094" s="73" t="s">
        <v>912</v>
      </c>
      <c r="AA1094" s="99" t="s">
        <v>2204</v>
      </c>
    </row>
    <row r="1095" spans="1:27" ht="17.25" customHeight="1">
      <c r="A1095" s="65" t="str">
        <f>IF(priority(Main[[#This Row],[Comments]])&lt;&gt;0, priority(Main[[#This Row],[Comments]]),"")</f>
        <v/>
      </c>
      <c r="B1095" s="60" t="s">
        <v>2664</v>
      </c>
      <c r="C1095" s="105" t="s">
        <v>4</v>
      </c>
      <c r="D1095" s="74" t="s">
        <v>2665</v>
      </c>
      <c r="E1095" s="89">
        <v>40879.618761574071</v>
      </c>
      <c r="F1095" s="89"/>
      <c r="G1095" s="65" t="str">
        <f>IF(stdProdLT(Main[[#This Row],[Comments]])=0.1,"N/A",IF(stdProdLT(Main[[#This Row],[Comments]])=0,"",TRIM(stdProdLT(Main[[#This Row],[Comments]]))))</f>
        <v/>
      </c>
      <c r="H1095" s="98" t="str">
        <f>IF(Main[[#This Row],[Std. Prod. Lead Time]]="N/A", "",IF(AND(Main[[#This Row],[In Stock Date]]&lt;&gt;"",Main[[#This Row],[Revised Due Date]]&lt;&gt;"",Main[[#This Row],[In Stock Date]]&lt;&gt;""),Main[[#This Row],[In Stock Date]]-Main[[#This Row],[Revised Due Date]],""))</f>
        <v/>
      </c>
      <c r="I1095" s="110" t="s">
        <v>4</v>
      </c>
      <c r="J1095" s="99" t="s">
        <v>4</v>
      </c>
      <c r="K1095" s="100" t="s">
        <v>4</v>
      </c>
      <c r="L1095" s="89"/>
      <c r="M1095" s="75" t="str">
        <f>IF(Main[[#This Row],[Tech Start Date]]&lt;1/1/1990,"",IF(Main[[#This Row],[Class]]="C",WORKDAY(Main[[#This Row],[Tech Start Date]],9),IF(Main[[#This Row],[Class]]="B", WORKDAY(Main[[#This Row],[Tech Start Date]],6),IF(Main[[#This Row],[Class]]="A",WORKDAY(Main[[#This Row],[Tech Start Date]],2),""))))</f>
        <v/>
      </c>
      <c r="N1095" s="75" t="str">
        <f>IF(Main[[#This Row],[Tech Start Date]]&lt;1/1/1990,"",IF(Main[[#This Row],[Class]]="C",WORKDAY(Main[[#This Row],[Tech Start Date]],19),IF(Main[[#This Row],[Class]]="B", WORKDAY(Main[[#This Row],[Tech Start Date]],12),IF(Main[[#This Row],[Class]]="A",WORKDAY(Main[[#This Row],[Tech Start Date]],4),""))))</f>
        <v/>
      </c>
      <c r="O1095" s="75" t="str">
        <f>IF(Main[[#This Row],[Tech Start Date]]&lt;1/1/1990,"",IF(Main[[#This Row],[Class]]="C",WORKDAY(Main[[#This Row],[Tech Start Date]],23),IF(Main[[#This Row],[Class]]="B", WORKDAY(Main[[#This Row],[Tech Start Date]],15),IF(Main[[#This Row],[Class]]="A",WORKDAY(Main[[#This Row],[Tech Start Date]],5),""))))</f>
        <v/>
      </c>
      <c r="P1095" s="75" t="str">
        <f>IF(Main[[#This Row],[Tech Start Date]]&lt;1/1/1990,"",IF(Main[[#This Row],[Class]]="C",WORKDAY(Main[[#This Row],[Tech Start Date]],28),IF(Main[[#This Row],[Class]]="B", WORKDAY(Main[[#This Row],[Tech Start Date]],19),IF(Main[[#This Row],[Class]]="A",WORKDAY(Main[[#This Row],[Tech Start Date]],9),""))))</f>
        <v/>
      </c>
      <c r="Q1095" s="89"/>
      <c r="R1095" s="121"/>
      <c r="S1095" s="99" t="s">
        <v>17</v>
      </c>
      <c r="T1095" s="76" t="s">
        <v>4</v>
      </c>
      <c r="U1095" s="99" t="s">
        <v>7</v>
      </c>
      <c r="V1095" s="99" t="s">
        <v>1916</v>
      </c>
      <c r="W1095" s="99" t="s">
        <v>1918</v>
      </c>
      <c r="X1095" s="99" t="s">
        <v>553</v>
      </c>
      <c r="Y1095" s="73" t="s">
        <v>2946</v>
      </c>
      <c r="Z1095" s="73" t="s">
        <v>4</v>
      </c>
      <c r="AA1095" s="99" t="s">
        <v>553</v>
      </c>
    </row>
    <row r="1096" spans="1:27" ht="17.25" customHeight="1">
      <c r="A1096" s="65" t="str">
        <f>IF(priority(Main[[#This Row],[Comments]])&lt;&gt;0, priority(Main[[#This Row],[Comments]]),"")</f>
        <v/>
      </c>
      <c r="B1096" s="60" t="s">
        <v>1904</v>
      </c>
      <c r="C1096" s="105" t="s">
        <v>31</v>
      </c>
      <c r="D1096" s="74" t="s">
        <v>955</v>
      </c>
      <c r="E1096" s="89">
        <v>40528.412233796298</v>
      </c>
      <c r="F1096" s="89">
        <v>40634</v>
      </c>
      <c r="G1096" s="65" t="str">
        <f>IF(stdProdLT(Main[[#This Row],[Comments]])=0.1,"N/A",IF(stdProdLT(Main[[#This Row],[Comments]])=0,"",TRIM(stdProdLT(Main[[#This Row],[Comments]]))))</f>
        <v/>
      </c>
      <c r="H1096" s="98">
        <f>IF(Main[[#This Row],[Std. Prod. Lead Time]]="N/A", "",IF(AND(Main[[#This Row],[In Stock Date]]&lt;&gt;"",Main[[#This Row],[Revised Due Date]]&lt;&gt;"",Main[[#This Row],[In Stock Date]]&lt;&gt;""),Main[[#This Row],[In Stock Date]]-Main[[#This Row],[Revised Due Date]],""))</f>
        <v>-255</v>
      </c>
      <c r="I1096" s="110" t="s">
        <v>431</v>
      </c>
      <c r="J1096" s="99" t="s">
        <v>28</v>
      </c>
      <c r="K1096" s="100" t="s">
        <v>1925</v>
      </c>
      <c r="L1096" s="89"/>
      <c r="M1096" s="75" t="str">
        <f>IF(Main[[#This Row],[Tech Start Date]]&lt;1/1/1990,"",IF(Main[[#This Row],[Class]]="C",WORKDAY(Main[[#This Row],[Tech Start Date]],9),IF(Main[[#This Row],[Class]]="B", WORKDAY(Main[[#This Row],[Tech Start Date]],6),IF(Main[[#This Row],[Class]]="A",WORKDAY(Main[[#This Row],[Tech Start Date]],2),""))))</f>
        <v/>
      </c>
      <c r="N1096" s="75" t="str">
        <f>IF(Main[[#This Row],[Tech Start Date]]&lt;1/1/1990,"",IF(Main[[#This Row],[Class]]="C",WORKDAY(Main[[#This Row],[Tech Start Date]],19),IF(Main[[#This Row],[Class]]="B", WORKDAY(Main[[#This Row],[Tech Start Date]],12),IF(Main[[#This Row],[Class]]="A",WORKDAY(Main[[#This Row],[Tech Start Date]],4),""))))</f>
        <v/>
      </c>
      <c r="O1096" s="75" t="str">
        <f>IF(Main[[#This Row],[Tech Start Date]]&lt;1/1/1990,"",IF(Main[[#This Row],[Class]]="C",WORKDAY(Main[[#This Row],[Tech Start Date]],23),IF(Main[[#This Row],[Class]]="B", WORKDAY(Main[[#This Row],[Tech Start Date]],15),IF(Main[[#This Row],[Class]]="A",WORKDAY(Main[[#This Row],[Tech Start Date]],5),""))))</f>
        <v/>
      </c>
      <c r="P1096" s="75" t="str">
        <f>IF(Main[[#This Row],[Tech Start Date]]&lt;1/1/1990,"",IF(Main[[#This Row],[Class]]="C",WORKDAY(Main[[#This Row],[Tech Start Date]],28),IF(Main[[#This Row],[Class]]="B", WORKDAY(Main[[#This Row],[Tech Start Date]],19),IF(Main[[#This Row],[Class]]="A",WORKDAY(Main[[#This Row],[Tech Start Date]],9),""))))</f>
        <v/>
      </c>
      <c r="Q1096" s="89">
        <v>40634</v>
      </c>
      <c r="R1096" s="121">
        <v>40889</v>
      </c>
      <c r="S1096" s="99" t="s">
        <v>17</v>
      </c>
      <c r="T1096" s="76" t="s">
        <v>4</v>
      </c>
      <c r="U1096" s="99" t="s">
        <v>29</v>
      </c>
      <c r="V1096" s="99" t="s">
        <v>1916</v>
      </c>
      <c r="W1096" s="99" t="s">
        <v>1924</v>
      </c>
      <c r="X1096" s="99" t="s">
        <v>553</v>
      </c>
      <c r="Y1096" s="73" t="s">
        <v>3023</v>
      </c>
      <c r="Z1096" s="73" t="s">
        <v>415</v>
      </c>
      <c r="AA1096" s="99" t="s">
        <v>2886</v>
      </c>
    </row>
    <row r="1097" spans="1:27" ht="17.25" customHeight="1">
      <c r="A1097" s="65" t="str">
        <f>IF(priority(Main[[#This Row],[Comments]])&lt;&gt;0, priority(Main[[#This Row],[Comments]]),"")</f>
        <v/>
      </c>
      <c r="B1097" s="60" t="s">
        <v>2425</v>
      </c>
      <c r="C1097" s="105" t="s">
        <v>4</v>
      </c>
      <c r="D1097" s="74" t="s">
        <v>2426</v>
      </c>
      <c r="E1097" s="89">
        <v>40822.361354166664</v>
      </c>
      <c r="F1097" s="89"/>
      <c r="G1097" s="65" t="str">
        <f>IF(stdProdLT(Main[[#This Row],[Comments]])=0.1,"N/A",IF(stdProdLT(Main[[#This Row],[Comments]])=0,"",TRIM(stdProdLT(Main[[#This Row],[Comments]]))))</f>
        <v/>
      </c>
      <c r="H1097" s="98" t="str">
        <f>IF(Main[[#This Row],[Std. Prod. Lead Time]]="N/A", "",IF(AND(Main[[#This Row],[In Stock Date]]&lt;&gt;"",Main[[#This Row],[Revised Due Date]]&lt;&gt;"",Main[[#This Row],[In Stock Date]]&lt;&gt;""),Main[[#This Row],[In Stock Date]]-Main[[#This Row],[Revised Due Date]],""))</f>
        <v/>
      </c>
      <c r="I1097" s="110" t="s">
        <v>4</v>
      </c>
      <c r="J1097" s="99" t="s">
        <v>4</v>
      </c>
      <c r="K1097" s="99" t="s">
        <v>4</v>
      </c>
      <c r="L1097" s="89"/>
      <c r="M1097" s="75" t="str">
        <f>IF(Main[[#This Row],[Tech Start Date]]&lt;1/1/1990,"",IF(Main[[#This Row],[Class]]="C",WORKDAY(Main[[#This Row],[Tech Start Date]],9),IF(Main[[#This Row],[Class]]="B", WORKDAY(Main[[#This Row],[Tech Start Date]],6),IF(Main[[#This Row],[Class]]="A",WORKDAY(Main[[#This Row],[Tech Start Date]],2),""))))</f>
        <v/>
      </c>
      <c r="N1097" s="75" t="str">
        <f>IF(Main[[#This Row],[Tech Start Date]]&lt;1/1/1990,"",IF(Main[[#This Row],[Class]]="C",WORKDAY(Main[[#This Row],[Tech Start Date]],19),IF(Main[[#This Row],[Class]]="B", WORKDAY(Main[[#This Row],[Tech Start Date]],12),IF(Main[[#This Row],[Class]]="A",WORKDAY(Main[[#This Row],[Tech Start Date]],4),""))))</f>
        <v/>
      </c>
      <c r="O1097" s="75" t="str">
        <f>IF(Main[[#This Row],[Tech Start Date]]&lt;1/1/1990,"",IF(Main[[#This Row],[Class]]="C",WORKDAY(Main[[#This Row],[Tech Start Date]],23),IF(Main[[#This Row],[Class]]="B", WORKDAY(Main[[#This Row],[Tech Start Date]],15),IF(Main[[#This Row],[Class]]="A",WORKDAY(Main[[#This Row],[Tech Start Date]],5),""))))</f>
        <v/>
      </c>
      <c r="P1097" s="75" t="str">
        <f>IF(Main[[#This Row],[Tech Start Date]]&lt;1/1/1990,"",IF(Main[[#This Row],[Class]]="C",WORKDAY(Main[[#This Row],[Tech Start Date]],28),IF(Main[[#This Row],[Class]]="B", WORKDAY(Main[[#This Row],[Tech Start Date]],19),IF(Main[[#This Row],[Class]]="A",WORKDAY(Main[[#This Row],[Tech Start Date]],9),""))))</f>
        <v/>
      </c>
      <c r="Q1097" s="89">
        <v>40872</v>
      </c>
      <c r="R1097" s="121"/>
      <c r="S1097" s="99" t="s">
        <v>6</v>
      </c>
      <c r="T1097" s="76" t="s">
        <v>4</v>
      </c>
      <c r="U1097" s="99" t="s">
        <v>7</v>
      </c>
      <c r="V1097" s="99" t="s">
        <v>1913</v>
      </c>
      <c r="W1097" s="99" t="s">
        <v>4</v>
      </c>
      <c r="X1097" s="99" t="s">
        <v>2816</v>
      </c>
      <c r="Y1097" s="73" t="s">
        <v>2932</v>
      </c>
      <c r="Z1097" s="73" t="s">
        <v>4</v>
      </c>
      <c r="AA1097" s="99" t="s">
        <v>2816</v>
      </c>
    </row>
    <row r="1098" spans="1:27" ht="17.25" customHeight="1">
      <c r="A1098" s="65" t="str">
        <f>IF(priority(Main[[#This Row],[Comments]])&lt;&gt;0, priority(Main[[#This Row],[Comments]]),"")</f>
        <v/>
      </c>
      <c r="B1098" s="60" t="s">
        <v>2421</v>
      </c>
      <c r="C1098" s="105" t="s">
        <v>4</v>
      </c>
      <c r="D1098" s="74" t="s">
        <v>2422</v>
      </c>
      <c r="E1098" s="89"/>
      <c r="F1098" s="89"/>
      <c r="G1098" s="65" t="str">
        <f>IF(stdProdLT(Main[[#This Row],[Comments]])=0.1,"N/A",IF(stdProdLT(Main[[#This Row],[Comments]])=0,"",TRIM(stdProdLT(Main[[#This Row],[Comments]]))))</f>
        <v/>
      </c>
      <c r="H1098" s="98" t="str">
        <f>IF(Main[[#This Row],[Std. Prod. Lead Time]]="N/A", "",IF(AND(Main[[#This Row],[In Stock Date]]&lt;&gt;"",Main[[#This Row],[Revised Due Date]]&lt;&gt;"",Main[[#This Row],[In Stock Date]]&lt;&gt;""),Main[[#This Row],[In Stock Date]]-Main[[#This Row],[Revised Due Date]],""))</f>
        <v/>
      </c>
      <c r="I1098" s="110" t="s">
        <v>4</v>
      </c>
      <c r="J1098" s="99" t="s">
        <v>4</v>
      </c>
      <c r="K1098" s="100" t="s">
        <v>4</v>
      </c>
      <c r="L1098" s="89"/>
      <c r="M1098" s="75" t="str">
        <f>IF(Main[[#This Row],[Tech Start Date]]&lt;1/1/1990,"",IF(Main[[#This Row],[Class]]="C",WORKDAY(Main[[#This Row],[Tech Start Date]],9),IF(Main[[#This Row],[Class]]="B", WORKDAY(Main[[#This Row],[Tech Start Date]],6),IF(Main[[#This Row],[Class]]="A",WORKDAY(Main[[#This Row],[Tech Start Date]],2),""))))</f>
        <v/>
      </c>
      <c r="N1098" s="75" t="str">
        <f>IF(Main[[#This Row],[Tech Start Date]]&lt;1/1/1990,"",IF(Main[[#This Row],[Class]]="C",WORKDAY(Main[[#This Row],[Tech Start Date]],19),IF(Main[[#This Row],[Class]]="B", WORKDAY(Main[[#This Row],[Tech Start Date]],12),IF(Main[[#This Row],[Class]]="A",WORKDAY(Main[[#This Row],[Tech Start Date]],4),""))))</f>
        <v/>
      </c>
      <c r="O1098" s="75" t="str">
        <f>IF(Main[[#This Row],[Tech Start Date]]&lt;1/1/1990,"",IF(Main[[#This Row],[Class]]="C",WORKDAY(Main[[#This Row],[Tech Start Date]],23),IF(Main[[#This Row],[Class]]="B", WORKDAY(Main[[#This Row],[Tech Start Date]],15),IF(Main[[#This Row],[Class]]="A",WORKDAY(Main[[#This Row],[Tech Start Date]],5),""))))</f>
        <v/>
      </c>
      <c r="P1098" s="75" t="str">
        <f>IF(Main[[#This Row],[Tech Start Date]]&lt;1/1/1990,"",IF(Main[[#This Row],[Class]]="C",WORKDAY(Main[[#This Row],[Tech Start Date]],28),IF(Main[[#This Row],[Class]]="B", WORKDAY(Main[[#This Row],[Tech Start Date]],19),IF(Main[[#This Row],[Class]]="A",WORKDAY(Main[[#This Row],[Tech Start Date]],9),""))))</f>
        <v/>
      </c>
      <c r="Q1098" s="89">
        <v>40907</v>
      </c>
      <c r="R1098" s="121"/>
      <c r="S1098" s="99" t="s">
        <v>6</v>
      </c>
      <c r="T1098" s="76" t="s">
        <v>4</v>
      </c>
      <c r="U1098" s="99" t="s">
        <v>14</v>
      </c>
      <c r="V1098" s="99" t="s">
        <v>1913</v>
      </c>
      <c r="W1098" s="99" t="s">
        <v>1917</v>
      </c>
      <c r="X1098" s="99" t="s">
        <v>2815</v>
      </c>
      <c r="Y1098" s="73" t="s">
        <v>2930</v>
      </c>
      <c r="Z1098" s="73" t="s">
        <v>4</v>
      </c>
      <c r="AA1098" s="99" t="s">
        <v>2815</v>
      </c>
    </row>
    <row r="1099" spans="1:27" ht="17.25" customHeight="1">
      <c r="A1099" s="65" t="str">
        <f>IF(priority(Main[[#This Row],[Comments]])&lt;&gt;0, priority(Main[[#This Row],[Comments]]),"")</f>
        <v/>
      </c>
      <c r="B1099" s="60" t="s">
        <v>1981</v>
      </c>
      <c r="C1099" s="105" t="s">
        <v>4</v>
      </c>
      <c r="D1099" s="74" t="s">
        <v>2442</v>
      </c>
      <c r="E1099" s="89">
        <v>40737.702951388892</v>
      </c>
      <c r="F1099" s="89">
        <v>40755</v>
      </c>
      <c r="G1099" s="65" t="str">
        <f>IF(stdProdLT(Main[[#This Row],[Comments]])=0.1,"N/A",IF(stdProdLT(Main[[#This Row],[Comments]])=0,"",TRIM(stdProdLT(Main[[#This Row],[Comments]]))))</f>
        <v/>
      </c>
      <c r="H1099" s="98" t="str">
        <f>IF(Main[[#This Row],[Std. Prod. Lead Time]]="N/A", "",IF(AND(Main[[#This Row],[In Stock Date]]&lt;&gt;"",Main[[#This Row],[Revised Due Date]]&lt;&gt;"",Main[[#This Row],[In Stock Date]]&lt;&gt;""),Main[[#This Row],[In Stock Date]]-Main[[#This Row],[Revised Due Date]],""))</f>
        <v/>
      </c>
      <c r="I1099" s="110" t="s">
        <v>530</v>
      </c>
      <c r="J1099" s="99" t="s">
        <v>21</v>
      </c>
      <c r="K1099" s="99" t="s">
        <v>1922</v>
      </c>
      <c r="L1099" s="89"/>
      <c r="M1099" s="75" t="str">
        <f>IF(Main[[#This Row],[Tech Start Date]]&lt;1/1/1990,"",IF(Main[[#This Row],[Class]]="C",WORKDAY(Main[[#This Row],[Tech Start Date]],9),IF(Main[[#This Row],[Class]]="B", WORKDAY(Main[[#This Row],[Tech Start Date]],6),IF(Main[[#This Row],[Class]]="A",WORKDAY(Main[[#This Row],[Tech Start Date]],2),""))))</f>
        <v/>
      </c>
      <c r="N1099" s="75" t="str">
        <f>IF(Main[[#This Row],[Tech Start Date]]&lt;1/1/1990,"",IF(Main[[#This Row],[Class]]="C",WORKDAY(Main[[#This Row],[Tech Start Date]],19),IF(Main[[#This Row],[Class]]="B", WORKDAY(Main[[#This Row],[Tech Start Date]],12),IF(Main[[#This Row],[Class]]="A",WORKDAY(Main[[#This Row],[Tech Start Date]],4),""))))</f>
        <v/>
      </c>
      <c r="O1099" s="75" t="str">
        <f>IF(Main[[#This Row],[Tech Start Date]]&lt;1/1/1990,"",IF(Main[[#This Row],[Class]]="C",WORKDAY(Main[[#This Row],[Tech Start Date]],23),IF(Main[[#This Row],[Class]]="B", WORKDAY(Main[[#This Row],[Tech Start Date]],15),IF(Main[[#This Row],[Class]]="A",WORKDAY(Main[[#This Row],[Tech Start Date]],5),""))))</f>
        <v/>
      </c>
      <c r="P1099" s="75" t="str">
        <f>IF(Main[[#This Row],[Tech Start Date]]&lt;1/1/1990,"",IF(Main[[#This Row],[Class]]="C",WORKDAY(Main[[#This Row],[Tech Start Date]],28),IF(Main[[#This Row],[Class]]="B", WORKDAY(Main[[#This Row],[Tech Start Date]],19),IF(Main[[#This Row],[Class]]="A",WORKDAY(Main[[#This Row],[Tech Start Date]],9),""))))</f>
        <v/>
      </c>
      <c r="Q1099" s="89">
        <v>40770</v>
      </c>
      <c r="R1099" s="121"/>
      <c r="S1099" s="99" t="s">
        <v>6</v>
      </c>
      <c r="T1099" s="76" t="s">
        <v>4</v>
      </c>
      <c r="U1099" s="99" t="s">
        <v>29</v>
      </c>
      <c r="V1099" s="99" t="s">
        <v>1923</v>
      </c>
      <c r="W1099" s="99" t="s">
        <v>1917</v>
      </c>
      <c r="X1099" s="99" t="s">
        <v>2835</v>
      </c>
      <c r="Y1099" s="73" t="s">
        <v>2965</v>
      </c>
      <c r="Z1099" s="73" t="s">
        <v>30</v>
      </c>
      <c r="AA1099" s="99" t="s">
        <v>2835</v>
      </c>
    </row>
    <row r="1100" spans="1:27" ht="17.25" customHeight="1">
      <c r="A1100" s="65" t="str">
        <f>IF(priority(Main[[#This Row],[Comments]])&lt;&gt;0, priority(Main[[#This Row],[Comments]]),"")</f>
        <v/>
      </c>
      <c r="B1100" s="60" t="s">
        <v>1200</v>
      </c>
      <c r="C1100" s="105" t="s">
        <v>4</v>
      </c>
      <c r="D1100" s="74" t="s">
        <v>3298</v>
      </c>
      <c r="E1100" s="89"/>
      <c r="F1100" s="89"/>
      <c r="G1100" s="65" t="str">
        <f>IF(stdProdLT(Main[[#This Row],[Comments]])=0.1,"N/A",IF(stdProdLT(Main[[#This Row],[Comments]])=0,"",TRIM(stdProdLT(Main[[#This Row],[Comments]]))))</f>
        <v/>
      </c>
      <c r="H1100" s="98" t="str">
        <f>IF(Main[[#This Row],[Std. Prod. Lead Time]]="N/A", "",IF(AND(Main[[#This Row],[In Stock Date]]&lt;&gt;"",Main[[#This Row],[Revised Due Date]]&lt;&gt;"",Main[[#This Row],[In Stock Date]]&lt;&gt;""),Main[[#This Row],[In Stock Date]]-Main[[#This Row],[Revised Due Date]],""))</f>
        <v/>
      </c>
      <c r="I1100" s="110" t="s">
        <v>2047</v>
      </c>
      <c r="J1100" s="99" t="s">
        <v>28</v>
      </c>
      <c r="K1100" s="99" t="s">
        <v>1922</v>
      </c>
      <c r="L1100" s="89"/>
      <c r="M1100" s="75" t="str">
        <f>IF(Main[[#This Row],[Tech Start Date]]&lt;1/1/1990,"",IF(Main[[#This Row],[Class]]="C",WORKDAY(Main[[#This Row],[Tech Start Date]],9),IF(Main[[#This Row],[Class]]="B", WORKDAY(Main[[#This Row],[Tech Start Date]],6),IF(Main[[#This Row],[Class]]="A",WORKDAY(Main[[#This Row],[Tech Start Date]],2),""))))</f>
        <v/>
      </c>
      <c r="N1100" s="75" t="str">
        <f>IF(Main[[#This Row],[Tech Start Date]]&lt;1/1/1990,"",IF(Main[[#This Row],[Class]]="C",WORKDAY(Main[[#This Row],[Tech Start Date]],19),IF(Main[[#This Row],[Class]]="B", WORKDAY(Main[[#This Row],[Tech Start Date]],12),IF(Main[[#This Row],[Class]]="A",WORKDAY(Main[[#This Row],[Tech Start Date]],4),""))))</f>
        <v/>
      </c>
      <c r="O1100" s="75" t="str">
        <f>IF(Main[[#This Row],[Tech Start Date]]&lt;1/1/1990,"",IF(Main[[#This Row],[Class]]="C",WORKDAY(Main[[#This Row],[Tech Start Date]],23),IF(Main[[#This Row],[Class]]="B", WORKDAY(Main[[#This Row],[Tech Start Date]],15),IF(Main[[#This Row],[Class]]="A",WORKDAY(Main[[#This Row],[Tech Start Date]],5),""))))</f>
        <v/>
      </c>
      <c r="P1100" s="75" t="str">
        <f>IF(Main[[#This Row],[Tech Start Date]]&lt;1/1/1990,"",IF(Main[[#This Row],[Class]]="C",WORKDAY(Main[[#This Row],[Tech Start Date]],28),IF(Main[[#This Row],[Class]]="B", WORKDAY(Main[[#This Row],[Tech Start Date]],19),IF(Main[[#This Row],[Class]]="A",WORKDAY(Main[[#This Row],[Tech Start Date]],9),""))))</f>
        <v/>
      </c>
      <c r="Q1100" s="89"/>
      <c r="R1100" s="121"/>
      <c r="S1100" s="99" t="s">
        <v>6</v>
      </c>
      <c r="T1100" s="76" t="s">
        <v>4</v>
      </c>
      <c r="U1100" s="99" t="s">
        <v>14</v>
      </c>
      <c r="V1100" s="99" t="s">
        <v>1916</v>
      </c>
      <c r="W1100" s="99" t="s">
        <v>1917</v>
      </c>
      <c r="X1100" s="99" t="s">
        <v>2813</v>
      </c>
      <c r="Y1100" s="73" t="s">
        <v>2926</v>
      </c>
      <c r="Z1100" s="73" t="s">
        <v>30</v>
      </c>
      <c r="AA1100" s="99" t="s">
        <v>2813</v>
      </c>
    </row>
    <row r="1101" spans="1:27" ht="17.25" customHeight="1">
      <c r="A1101" s="65" t="str">
        <f>IF(priority(Main[[#This Row],[Comments]])&lt;&gt;0, priority(Main[[#This Row],[Comments]]),"")</f>
        <v/>
      </c>
      <c r="B1101" s="60" t="s">
        <v>3960</v>
      </c>
      <c r="C1101" s="105" t="s">
        <v>31</v>
      </c>
      <c r="D1101" s="74" t="s">
        <v>3961</v>
      </c>
      <c r="E1101" s="89">
        <v>40969.355092592596</v>
      </c>
      <c r="F1101" s="89">
        <v>41000</v>
      </c>
      <c r="G1101" s="65" t="str">
        <f>IF(stdProdLT(Main[[#This Row],[Comments]])=0.1,"N/A",IF(stdProdLT(Main[[#This Row],[Comments]])=0,"",TRIM(stdProdLT(Main[[#This Row],[Comments]]))))</f>
        <v/>
      </c>
      <c r="H1101" s="98" t="str">
        <f>IF(Main[[#This Row],[Std. Prod. Lead Time]]="N/A", "",IF(AND(Main[[#This Row],[In Stock Date]]&lt;&gt;"",Main[[#This Row],[Revised Due Date]]&lt;&gt;"",Main[[#This Row],[In Stock Date]]&lt;&gt;""),Main[[#This Row],[In Stock Date]]-Main[[#This Row],[Revised Due Date]],""))</f>
        <v/>
      </c>
      <c r="I1101" s="110" t="s">
        <v>4</v>
      </c>
      <c r="J1101" s="99" t="s">
        <v>75</v>
      </c>
      <c r="K1101" s="99" t="s">
        <v>4</v>
      </c>
      <c r="L1101" s="89"/>
      <c r="M1101" s="75" t="str">
        <f>IF(Main[[#This Row],[Tech Start Date]]&lt;1/1/1990,"",IF(Main[[#This Row],[Class]]="C",WORKDAY(Main[[#This Row],[Tech Start Date]],9),IF(Main[[#This Row],[Class]]="B", WORKDAY(Main[[#This Row],[Tech Start Date]],6),IF(Main[[#This Row],[Class]]="A",WORKDAY(Main[[#This Row],[Tech Start Date]],2),""))))</f>
        <v/>
      </c>
      <c r="N1101" s="75" t="str">
        <f>IF(Main[[#This Row],[Tech Start Date]]&lt;1/1/1990,"",IF(Main[[#This Row],[Class]]="C",WORKDAY(Main[[#This Row],[Tech Start Date]],19),IF(Main[[#This Row],[Class]]="B", WORKDAY(Main[[#This Row],[Tech Start Date]],12),IF(Main[[#This Row],[Class]]="A",WORKDAY(Main[[#This Row],[Tech Start Date]],4),""))))</f>
        <v/>
      </c>
      <c r="O1101" s="75" t="str">
        <f>IF(Main[[#This Row],[Tech Start Date]]&lt;1/1/1990,"",IF(Main[[#This Row],[Class]]="C",WORKDAY(Main[[#This Row],[Tech Start Date]],23),IF(Main[[#This Row],[Class]]="B", WORKDAY(Main[[#This Row],[Tech Start Date]],15),IF(Main[[#This Row],[Class]]="A",WORKDAY(Main[[#This Row],[Tech Start Date]],5),""))))</f>
        <v/>
      </c>
      <c r="P1101" s="75" t="str">
        <f>IF(Main[[#This Row],[Tech Start Date]]&lt;1/1/1990,"",IF(Main[[#This Row],[Class]]="C",WORKDAY(Main[[#This Row],[Tech Start Date]],28),IF(Main[[#This Row],[Class]]="B", WORKDAY(Main[[#This Row],[Tech Start Date]],19),IF(Main[[#This Row],[Class]]="A",WORKDAY(Main[[#This Row],[Tech Start Date]],9),""))))</f>
        <v/>
      </c>
      <c r="Q1101" s="89">
        <v>41000</v>
      </c>
      <c r="R1101" s="121"/>
      <c r="S1101" s="99" t="s">
        <v>11</v>
      </c>
      <c r="T1101" s="76" t="s">
        <v>4</v>
      </c>
      <c r="U1101" s="99" t="s">
        <v>7</v>
      </c>
      <c r="V1101" s="99" t="s">
        <v>1923</v>
      </c>
      <c r="W1101" s="99" t="s">
        <v>1921</v>
      </c>
      <c r="X1101" s="99" t="s">
        <v>2840</v>
      </c>
      <c r="Y1101" s="73" t="s">
        <v>3234</v>
      </c>
      <c r="Z1101" s="73" t="s">
        <v>306</v>
      </c>
      <c r="AA1101" s="99" t="s">
        <v>2840</v>
      </c>
    </row>
    <row r="1102" spans="1:27" ht="17.25" customHeight="1">
      <c r="A1102" s="65" t="str">
        <f>IF(priority(Main[[#This Row],[Comments]])&lt;&gt;0, priority(Main[[#This Row],[Comments]]),"")</f>
        <v/>
      </c>
      <c r="B1102" s="60" t="s">
        <v>1842</v>
      </c>
      <c r="C1102" s="105" t="s">
        <v>4</v>
      </c>
      <c r="D1102" s="74" t="s">
        <v>900</v>
      </c>
      <c r="E1102" s="89">
        <v>40478.709317129629</v>
      </c>
      <c r="F1102" s="89">
        <v>40492</v>
      </c>
      <c r="G1102" s="65" t="str">
        <f>IF(stdProdLT(Main[[#This Row],[Comments]])=0.1,"N/A",IF(stdProdLT(Main[[#This Row],[Comments]])=0,"",TRIM(stdProdLT(Main[[#This Row],[Comments]]))))</f>
        <v/>
      </c>
      <c r="H1102" s="98">
        <f>IF(Main[[#This Row],[Std. Prod. Lead Time]]="N/A", "",IF(AND(Main[[#This Row],[In Stock Date]]&lt;&gt;"",Main[[#This Row],[Revised Due Date]]&lt;&gt;"",Main[[#This Row],[In Stock Date]]&lt;&gt;""),Main[[#This Row],[In Stock Date]]-Main[[#This Row],[Revised Due Date]],""))</f>
        <v>-3</v>
      </c>
      <c r="I1102" s="110" t="s">
        <v>4</v>
      </c>
      <c r="J1102" s="99" t="s">
        <v>28</v>
      </c>
      <c r="K1102" s="99" t="s">
        <v>1920</v>
      </c>
      <c r="L1102" s="89"/>
      <c r="M1102" s="75" t="str">
        <f>IF(Main[[#This Row],[Tech Start Date]]&lt;1/1/1990,"",IF(Main[[#This Row],[Class]]="C",WORKDAY(Main[[#This Row],[Tech Start Date]],9),IF(Main[[#This Row],[Class]]="B", WORKDAY(Main[[#This Row],[Tech Start Date]],6),IF(Main[[#This Row],[Class]]="A",WORKDAY(Main[[#This Row],[Tech Start Date]],2),""))))</f>
        <v/>
      </c>
      <c r="N1102" s="75" t="str">
        <f>IF(Main[[#This Row],[Tech Start Date]]&lt;1/1/1990,"",IF(Main[[#This Row],[Class]]="C",WORKDAY(Main[[#This Row],[Tech Start Date]],19),IF(Main[[#This Row],[Class]]="B", WORKDAY(Main[[#This Row],[Tech Start Date]],12),IF(Main[[#This Row],[Class]]="A",WORKDAY(Main[[#This Row],[Tech Start Date]],4),""))))</f>
        <v/>
      </c>
      <c r="O1102" s="75" t="str">
        <f>IF(Main[[#This Row],[Tech Start Date]]&lt;1/1/1990,"",IF(Main[[#This Row],[Class]]="C",WORKDAY(Main[[#This Row],[Tech Start Date]],23),IF(Main[[#This Row],[Class]]="B", WORKDAY(Main[[#This Row],[Tech Start Date]],15),IF(Main[[#This Row],[Class]]="A",WORKDAY(Main[[#This Row],[Tech Start Date]],5),""))))</f>
        <v/>
      </c>
      <c r="P1102" s="75" t="str">
        <f>IF(Main[[#This Row],[Tech Start Date]]&lt;1/1/1990,"",IF(Main[[#This Row],[Class]]="C",WORKDAY(Main[[#This Row],[Tech Start Date]],28),IF(Main[[#This Row],[Class]]="B", WORKDAY(Main[[#This Row],[Tech Start Date]],19),IF(Main[[#This Row],[Class]]="A",WORKDAY(Main[[#This Row],[Tech Start Date]],9),""))))</f>
        <v/>
      </c>
      <c r="Q1102" s="89">
        <v>40908</v>
      </c>
      <c r="R1102" s="121">
        <v>40495</v>
      </c>
      <c r="S1102" s="99" t="s">
        <v>17</v>
      </c>
      <c r="T1102" s="76" t="s">
        <v>2429</v>
      </c>
      <c r="U1102" s="99" t="s">
        <v>29</v>
      </c>
      <c r="V1102" s="99" t="s">
        <v>1914</v>
      </c>
      <c r="W1102" s="99" t="s">
        <v>1915</v>
      </c>
      <c r="X1102" s="99" t="s">
        <v>50</v>
      </c>
      <c r="Y1102" s="73" t="s">
        <v>4</v>
      </c>
      <c r="Z1102" s="73" t="s">
        <v>4</v>
      </c>
      <c r="AA1102" s="99" t="s">
        <v>975</v>
      </c>
    </row>
    <row r="1103" spans="1:27" ht="17.25" customHeight="1">
      <c r="A1103" s="65" t="str">
        <f>IF(priority(Main[[#This Row],[Comments]])&lt;&gt;0, priority(Main[[#This Row],[Comments]]),"")</f>
        <v/>
      </c>
      <c r="B1103" s="60" t="s">
        <v>1124</v>
      </c>
      <c r="C1103" s="105" t="s">
        <v>4</v>
      </c>
      <c r="D1103" s="74" t="s">
        <v>2430</v>
      </c>
      <c r="E1103" s="89">
        <v>40581.512430555558</v>
      </c>
      <c r="F1103" s="89">
        <v>40627</v>
      </c>
      <c r="G1103" s="65" t="str">
        <f>IF(stdProdLT(Main[[#This Row],[Comments]])=0.1,"N/A",IF(stdProdLT(Main[[#This Row],[Comments]])=0,"",TRIM(stdProdLT(Main[[#This Row],[Comments]]))))</f>
        <v/>
      </c>
      <c r="H1103" s="98" t="str">
        <f>IF(Main[[#This Row],[Std. Prod. Lead Time]]="N/A", "",IF(AND(Main[[#This Row],[In Stock Date]]&lt;&gt;"",Main[[#This Row],[Revised Due Date]]&lt;&gt;"",Main[[#This Row],[In Stock Date]]&lt;&gt;""),Main[[#This Row],[In Stock Date]]-Main[[#This Row],[Revised Due Date]],""))</f>
        <v/>
      </c>
      <c r="I1103" s="110" t="s">
        <v>912</v>
      </c>
      <c r="J1103" s="99" t="s">
        <v>52</v>
      </c>
      <c r="K1103" s="99" t="s">
        <v>1920</v>
      </c>
      <c r="L1103" s="89"/>
      <c r="M1103" s="75" t="str">
        <f>IF(Main[[#This Row],[Tech Start Date]]&lt;1/1/1990,"",IF(Main[[#This Row],[Class]]="C",WORKDAY(Main[[#This Row],[Tech Start Date]],9),IF(Main[[#This Row],[Class]]="B", WORKDAY(Main[[#This Row],[Tech Start Date]],6),IF(Main[[#This Row],[Class]]="A",WORKDAY(Main[[#This Row],[Tech Start Date]],2),""))))</f>
        <v/>
      </c>
      <c r="N1103" s="75" t="str">
        <f>IF(Main[[#This Row],[Tech Start Date]]&lt;1/1/1990,"",IF(Main[[#This Row],[Class]]="C",WORKDAY(Main[[#This Row],[Tech Start Date]],19),IF(Main[[#This Row],[Class]]="B", WORKDAY(Main[[#This Row],[Tech Start Date]],12),IF(Main[[#This Row],[Class]]="A",WORKDAY(Main[[#This Row],[Tech Start Date]],4),""))))</f>
        <v/>
      </c>
      <c r="O1103" s="75" t="str">
        <f>IF(Main[[#This Row],[Tech Start Date]]&lt;1/1/1990,"",IF(Main[[#This Row],[Class]]="C",WORKDAY(Main[[#This Row],[Tech Start Date]],23),IF(Main[[#This Row],[Class]]="B", WORKDAY(Main[[#This Row],[Tech Start Date]],15),IF(Main[[#This Row],[Class]]="A",WORKDAY(Main[[#This Row],[Tech Start Date]],5),""))))</f>
        <v/>
      </c>
      <c r="P1103" s="75" t="str">
        <f>IF(Main[[#This Row],[Tech Start Date]]&lt;1/1/1990,"",IF(Main[[#This Row],[Class]]="C",WORKDAY(Main[[#This Row],[Tech Start Date]],28),IF(Main[[#This Row],[Class]]="B", WORKDAY(Main[[#This Row],[Tech Start Date]],19),IF(Main[[#This Row],[Class]]="A",WORKDAY(Main[[#This Row],[Tech Start Date]],9),""))))</f>
        <v/>
      </c>
      <c r="Q1103" s="89">
        <v>40627</v>
      </c>
      <c r="R1103" s="121"/>
      <c r="S1103" s="99" t="s">
        <v>6</v>
      </c>
      <c r="T1103" s="76" t="s">
        <v>4</v>
      </c>
      <c r="U1103" s="99" t="s">
        <v>29</v>
      </c>
      <c r="V1103" s="99" t="s">
        <v>1913</v>
      </c>
      <c r="W1103" s="99" t="s">
        <v>1915</v>
      </c>
      <c r="X1103" s="99" t="s">
        <v>2812</v>
      </c>
      <c r="Y1103" s="73" t="s">
        <v>2923</v>
      </c>
      <c r="Z1103" s="73" t="s">
        <v>129</v>
      </c>
      <c r="AA1103" s="99" t="s">
        <v>2812</v>
      </c>
    </row>
    <row r="1104" spans="1:27" ht="17.25" customHeight="1">
      <c r="A1104" s="65" t="str">
        <f>IF(priority(Main[[#This Row],[Comments]])&lt;&gt;0, priority(Main[[#This Row],[Comments]]),"")</f>
        <v/>
      </c>
      <c r="B1104" s="60" t="s">
        <v>1313</v>
      </c>
      <c r="C1104" s="105" t="s">
        <v>4</v>
      </c>
      <c r="D1104" s="74" t="s">
        <v>2300</v>
      </c>
      <c r="E1104" s="89">
        <v>40627.285358796296</v>
      </c>
      <c r="F1104" s="89"/>
      <c r="G1104" s="65" t="str">
        <f>IF(stdProdLT(Main[[#This Row],[Comments]])=0.1,"N/A",IF(stdProdLT(Main[[#This Row],[Comments]])=0,"",TRIM(stdProdLT(Main[[#This Row],[Comments]]))))</f>
        <v/>
      </c>
      <c r="H1104" s="98" t="str">
        <f>IF(Main[[#This Row],[Std. Prod. Lead Time]]="N/A", "",IF(AND(Main[[#This Row],[In Stock Date]]&lt;&gt;"",Main[[#This Row],[Revised Due Date]]&lt;&gt;"",Main[[#This Row],[In Stock Date]]&lt;&gt;""),Main[[#This Row],[In Stock Date]]-Main[[#This Row],[Revised Due Date]],""))</f>
        <v/>
      </c>
      <c r="I1104" s="110" t="s">
        <v>561</v>
      </c>
      <c r="J1104" s="99" t="s">
        <v>21</v>
      </c>
      <c r="K1104" s="99" t="s">
        <v>1922</v>
      </c>
      <c r="L1104" s="89"/>
      <c r="M1104" s="75" t="str">
        <f>IF(Main[[#This Row],[Tech Start Date]]&lt;1/1/1990,"",IF(Main[[#This Row],[Class]]="C",WORKDAY(Main[[#This Row],[Tech Start Date]],9),IF(Main[[#This Row],[Class]]="B", WORKDAY(Main[[#This Row],[Tech Start Date]],6),IF(Main[[#This Row],[Class]]="A",WORKDAY(Main[[#This Row],[Tech Start Date]],2),""))))</f>
        <v/>
      </c>
      <c r="N1104" s="75" t="str">
        <f>IF(Main[[#This Row],[Tech Start Date]]&lt;1/1/1990,"",IF(Main[[#This Row],[Class]]="C",WORKDAY(Main[[#This Row],[Tech Start Date]],19),IF(Main[[#This Row],[Class]]="B", WORKDAY(Main[[#This Row],[Tech Start Date]],12),IF(Main[[#This Row],[Class]]="A",WORKDAY(Main[[#This Row],[Tech Start Date]],4),""))))</f>
        <v/>
      </c>
      <c r="O1104" s="75" t="str">
        <f>IF(Main[[#This Row],[Tech Start Date]]&lt;1/1/1990,"",IF(Main[[#This Row],[Class]]="C",WORKDAY(Main[[#This Row],[Tech Start Date]],23),IF(Main[[#This Row],[Class]]="B", WORKDAY(Main[[#This Row],[Tech Start Date]],15),IF(Main[[#This Row],[Class]]="A",WORKDAY(Main[[#This Row],[Tech Start Date]],5),""))))</f>
        <v/>
      </c>
      <c r="P1104" s="75" t="str">
        <f>IF(Main[[#This Row],[Tech Start Date]]&lt;1/1/1990,"",IF(Main[[#This Row],[Class]]="C",WORKDAY(Main[[#This Row],[Tech Start Date]],28),IF(Main[[#This Row],[Class]]="B", WORKDAY(Main[[#This Row],[Tech Start Date]],19),IF(Main[[#This Row],[Class]]="A",WORKDAY(Main[[#This Row],[Tech Start Date]],9),""))))</f>
        <v/>
      </c>
      <c r="Q1104" s="89">
        <v>40658</v>
      </c>
      <c r="R1104" s="121"/>
      <c r="S1104" s="99" t="s">
        <v>6</v>
      </c>
      <c r="T1104" s="76" t="s">
        <v>4</v>
      </c>
      <c r="U1104" s="99" t="s">
        <v>29</v>
      </c>
      <c r="V1104" s="99" t="s">
        <v>1913</v>
      </c>
      <c r="W1104" s="99" t="s">
        <v>1915</v>
      </c>
      <c r="X1104" s="99" t="s">
        <v>2812</v>
      </c>
      <c r="Y1104" s="73" t="s">
        <v>2923</v>
      </c>
      <c r="Z1104" s="73" t="s">
        <v>530</v>
      </c>
      <c r="AA1104" s="99" t="s">
        <v>2812</v>
      </c>
    </row>
    <row r="1105" spans="1:27" ht="17.25" customHeight="1">
      <c r="A1105" s="65" t="str">
        <f>IF(priority(Main[[#This Row],[Comments]])&lt;&gt;0, priority(Main[[#This Row],[Comments]]),"")</f>
        <v/>
      </c>
      <c r="B1105" s="60" t="s">
        <v>2431</v>
      </c>
      <c r="C1105" s="105" t="s">
        <v>4</v>
      </c>
      <c r="D1105" s="74" t="s">
        <v>2432</v>
      </c>
      <c r="E1105" s="89"/>
      <c r="F1105" s="89"/>
      <c r="G1105" s="65" t="str">
        <f>IF(stdProdLT(Main[[#This Row],[Comments]])=0.1,"N/A",IF(stdProdLT(Main[[#This Row],[Comments]])=0,"",TRIM(stdProdLT(Main[[#This Row],[Comments]]))))</f>
        <v/>
      </c>
      <c r="H1105" s="98" t="str">
        <f>IF(Main[[#This Row],[Std. Prod. Lead Time]]="N/A", "",IF(AND(Main[[#This Row],[In Stock Date]]&lt;&gt;"",Main[[#This Row],[Revised Due Date]]&lt;&gt;"",Main[[#This Row],[In Stock Date]]&lt;&gt;""),Main[[#This Row],[In Stock Date]]-Main[[#This Row],[Revised Due Date]],""))</f>
        <v/>
      </c>
      <c r="I1105" s="110" t="s">
        <v>4</v>
      </c>
      <c r="J1105" s="99" t="s">
        <v>4</v>
      </c>
      <c r="K1105" s="99" t="s">
        <v>4</v>
      </c>
      <c r="L1105" s="89"/>
      <c r="M1105" s="75" t="str">
        <f>IF(Main[[#This Row],[Tech Start Date]]&lt;1/1/1990,"",IF(Main[[#This Row],[Class]]="C",WORKDAY(Main[[#This Row],[Tech Start Date]],9),IF(Main[[#This Row],[Class]]="B", WORKDAY(Main[[#This Row],[Tech Start Date]],6),IF(Main[[#This Row],[Class]]="A",WORKDAY(Main[[#This Row],[Tech Start Date]],2),""))))</f>
        <v/>
      </c>
      <c r="N1105" s="75" t="str">
        <f>IF(Main[[#This Row],[Tech Start Date]]&lt;1/1/1990,"",IF(Main[[#This Row],[Class]]="C",WORKDAY(Main[[#This Row],[Tech Start Date]],19),IF(Main[[#This Row],[Class]]="B", WORKDAY(Main[[#This Row],[Tech Start Date]],12),IF(Main[[#This Row],[Class]]="A",WORKDAY(Main[[#This Row],[Tech Start Date]],4),""))))</f>
        <v/>
      </c>
      <c r="O1105" s="75" t="str">
        <f>IF(Main[[#This Row],[Tech Start Date]]&lt;1/1/1990,"",IF(Main[[#This Row],[Class]]="C",WORKDAY(Main[[#This Row],[Tech Start Date]],23),IF(Main[[#This Row],[Class]]="B", WORKDAY(Main[[#This Row],[Tech Start Date]],15),IF(Main[[#This Row],[Class]]="A",WORKDAY(Main[[#This Row],[Tech Start Date]],5),""))))</f>
        <v/>
      </c>
      <c r="P1105" s="75" t="str">
        <f>IF(Main[[#This Row],[Tech Start Date]]&lt;1/1/1990,"",IF(Main[[#This Row],[Class]]="C",WORKDAY(Main[[#This Row],[Tech Start Date]],28),IF(Main[[#This Row],[Class]]="B", WORKDAY(Main[[#This Row],[Tech Start Date]],19),IF(Main[[#This Row],[Class]]="A",WORKDAY(Main[[#This Row],[Tech Start Date]],9),""))))</f>
        <v/>
      </c>
      <c r="Q1105" s="89">
        <v>40877</v>
      </c>
      <c r="R1105" s="121"/>
      <c r="S1105" s="99" t="s">
        <v>6</v>
      </c>
      <c r="T1105" s="76" t="s">
        <v>4</v>
      </c>
      <c r="U1105" s="99" t="s">
        <v>14</v>
      </c>
      <c r="V1105" s="99" t="s">
        <v>1913</v>
      </c>
      <c r="W1105" s="99" t="s">
        <v>1917</v>
      </c>
      <c r="X1105" s="99" t="s">
        <v>2815</v>
      </c>
      <c r="Y1105" s="73" t="s">
        <v>2930</v>
      </c>
      <c r="Z1105" s="73" t="s">
        <v>4</v>
      </c>
      <c r="AA1105" s="99" t="s">
        <v>2815</v>
      </c>
    </row>
    <row r="1106" spans="1:27" ht="17.25" customHeight="1">
      <c r="A1106" s="65" t="str">
        <f>IF(priority(Main[[#This Row],[Comments]])&lt;&gt;0, priority(Main[[#This Row],[Comments]]),"")</f>
        <v/>
      </c>
      <c r="B1106" s="60" t="s">
        <v>2433</v>
      </c>
      <c r="C1106" s="105" t="s">
        <v>2350</v>
      </c>
      <c r="D1106" s="74" t="s">
        <v>2351</v>
      </c>
      <c r="E1106" s="89"/>
      <c r="F1106" s="89">
        <v>41008</v>
      </c>
      <c r="G1106" s="65" t="str">
        <f>IF(stdProdLT(Main[[#This Row],[Comments]])=0.1,"N/A",IF(stdProdLT(Main[[#This Row],[Comments]])=0,"",TRIM(stdProdLT(Main[[#This Row],[Comments]]))))</f>
        <v/>
      </c>
      <c r="H1106" s="98" t="str">
        <f>IF(Main[[#This Row],[Std. Prod. Lead Time]]="N/A", "",IF(AND(Main[[#This Row],[In Stock Date]]&lt;&gt;"",Main[[#This Row],[Revised Due Date]]&lt;&gt;"",Main[[#This Row],[In Stock Date]]&lt;&gt;""),Main[[#This Row],[In Stock Date]]-Main[[#This Row],[Revised Due Date]],""))</f>
        <v/>
      </c>
      <c r="I1106" s="110" t="s">
        <v>4</v>
      </c>
      <c r="J1106" s="99" t="s">
        <v>4</v>
      </c>
      <c r="K1106" s="99" t="s">
        <v>4</v>
      </c>
      <c r="L1106" s="89"/>
      <c r="M1106" s="75" t="str">
        <f>IF(Main[[#This Row],[Tech Start Date]]&lt;1/1/1990,"",IF(Main[[#This Row],[Class]]="C",WORKDAY(Main[[#This Row],[Tech Start Date]],9),IF(Main[[#This Row],[Class]]="B", WORKDAY(Main[[#This Row],[Tech Start Date]],6),IF(Main[[#This Row],[Class]]="A",WORKDAY(Main[[#This Row],[Tech Start Date]],2),""))))</f>
        <v/>
      </c>
      <c r="N1106" s="75" t="str">
        <f>IF(Main[[#This Row],[Tech Start Date]]&lt;1/1/1990,"",IF(Main[[#This Row],[Class]]="C",WORKDAY(Main[[#This Row],[Tech Start Date]],19),IF(Main[[#This Row],[Class]]="B", WORKDAY(Main[[#This Row],[Tech Start Date]],12),IF(Main[[#This Row],[Class]]="A",WORKDAY(Main[[#This Row],[Tech Start Date]],4),""))))</f>
        <v/>
      </c>
      <c r="O1106" s="75" t="str">
        <f>IF(Main[[#This Row],[Tech Start Date]]&lt;1/1/1990,"",IF(Main[[#This Row],[Class]]="C",WORKDAY(Main[[#This Row],[Tech Start Date]],23),IF(Main[[#This Row],[Class]]="B", WORKDAY(Main[[#This Row],[Tech Start Date]],15),IF(Main[[#This Row],[Class]]="A",WORKDAY(Main[[#This Row],[Tech Start Date]],5),""))))</f>
        <v/>
      </c>
      <c r="P1106" s="75" t="str">
        <f>IF(Main[[#This Row],[Tech Start Date]]&lt;1/1/1990,"",IF(Main[[#This Row],[Class]]="C",WORKDAY(Main[[#This Row],[Tech Start Date]],28),IF(Main[[#This Row],[Class]]="B", WORKDAY(Main[[#This Row],[Tech Start Date]],19),IF(Main[[#This Row],[Class]]="A",WORKDAY(Main[[#This Row],[Tech Start Date]],9),""))))</f>
        <v/>
      </c>
      <c r="Q1106" s="89">
        <v>40826</v>
      </c>
      <c r="R1106" s="121"/>
      <c r="S1106" s="99" t="s">
        <v>11</v>
      </c>
      <c r="T1106" s="76" t="s">
        <v>4</v>
      </c>
      <c r="U1106" s="99" t="s">
        <v>12</v>
      </c>
      <c r="V1106" s="99" t="s">
        <v>1916</v>
      </c>
      <c r="W1106" s="99" t="s">
        <v>1919</v>
      </c>
      <c r="X1106" s="99" t="s">
        <v>2837</v>
      </c>
      <c r="Y1106" s="73" t="s">
        <v>4</v>
      </c>
      <c r="Z1106" s="73" t="s">
        <v>4</v>
      </c>
      <c r="AA1106" s="99" t="s">
        <v>2837</v>
      </c>
    </row>
    <row r="1107" spans="1:27" ht="17.25" customHeight="1">
      <c r="A1107" s="65" t="str">
        <f>IF(priority(Main[[#This Row],[Comments]])&lt;&gt;0, priority(Main[[#This Row],[Comments]]),"")</f>
        <v/>
      </c>
      <c r="B1107" s="60" t="s">
        <v>3520</v>
      </c>
      <c r="C1107" s="105" t="s">
        <v>4</v>
      </c>
      <c r="D1107" s="74" t="s">
        <v>3521</v>
      </c>
      <c r="E1107" s="89">
        <v>40948.6487037037</v>
      </c>
      <c r="F1107" s="89"/>
      <c r="G1107" s="65" t="str">
        <f>IF(stdProdLT(Main[[#This Row],[Comments]])=0.1,"N/A",IF(stdProdLT(Main[[#This Row],[Comments]])=0,"",TRIM(stdProdLT(Main[[#This Row],[Comments]]))))</f>
        <v/>
      </c>
      <c r="H1107" s="98" t="str">
        <f>IF(Main[[#This Row],[Std. Prod. Lead Time]]="N/A", "",IF(AND(Main[[#This Row],[In Stock Date]]&lt;&gt;"",Main[[#This Row],[Revised Due Date]]&lt;&gt;"",Main[[#This Row],[In Stock Date]]&lt;&gt;""),Main[[#This Row],[In Stock Date]]-Main[[#This Row],[Revised Due Date]],""))</f>
        <v/>
      </c>
      <c r="I1107" s="110" t="s">
        <v>530</v>
      </c>
      <c r="J1107" s="99" t="s">
        <v>28</v>
      </c>
      <c r="K1107" s="99" t="s">
        <v>1922</v>
      </c>
      <c r="L1107" s="89"/>
      <c r="M1107" s="75" t="str">
        <f>IF(Main[[#This Row],[Tech Start Date]]&lt;1/1/1990,"",IF(Main[[#This Row],[Class]]="C",WORKDAY(Main[[#This Row],[Tech Start Date]],9),IF(Main[[#This Row],[Class]]="B", WORKDAY(Main[[#This Row],[Tech Start Date]],6),IF(Main[[#This Row],[Class]]="A",WORKDAY(Main[[#This Row],[Tech Start Date]],2),""))))</f>
        <v/>
      </c>
      <c r="N1107" s="75" t="str">
        <f>IF(Main[[#This Row],[Tech Start Date]]&lt;1/1/1990,"",IF(Main[[#This Row],[Class]]="C",WORKDAY(Main[[#This Row],[Tech Start Date]],19),IF(Main[[#This Row],[Class]]="B", WORKDAY(Main[[#This Row],[Tech Start Date]],12),IF(Main[[#This Row],[Class]]="A",WORKDAY(Main[[#This Row],[Tech Start Date]],4),""))))</f>
        <v/>
      </c>
      <c r="O1107" s="75" t="str">
        <f>IF(Main[[#This Row],[Tech Start Date]]&lt;1/1/1990,"",IF(Main[[#This Row],[Class]]="C",WORKDAY(Main[[#This Row],[Tech Start Date]],23),IF(Main[[#This Row],[Class]]="B", WORKDAY(Main[[#This Row],[Tech Start Date]],15),IF(Main[[#This Row],[Class]]="A",WORKDAY(Main[[#This Row],[Tech Start Date]],5),""))))</f>
        <v/>
      </c>
      <c r="P1107" s="75" t="str">
        <f>IF(Main[[#This Row],[Tech Start Date]]&lt;1/1/1990,"",IF(Main[[#This Row],[Class]]="C",WORKDAY(Main[[#This Row],[Tech Start Date]],28),IF(Main[[#This Row],[Class]]="B", WORKDAY(Main[[#This Row],[Tech Start Date]],19),IF(Main[[#This Row],[Class]]="A",WORKDAY(Main[[#This Row],[Tech Start Date]],9),""))))</f>
        <v/>
      </c>
      <c r="Q1107" s="89">
        <v>40949</v>
      </c>
      <c r="R1107" s="121"/>
      <c r="S1107" s="99" t="s">
        <v>6</v>
      </c>
      <c r="T1107" s="76" t="s">
        <v>4</v>
      </c>
      <c r="U1107" s="99" t="s">
        <v>29</v>
      </c>
      <c r="V1107" s="99" t="s">
        <v>1916</v>
      </c>
      <c r="W1107" s="99" t="s">
        <v>1915</v>
      </c>
      <c r="X1107" s="99" t="s">
        <v>2889</v>
      </c>
      <c r="Y1107" s="73" t="s">
        <v>3054</v>
      </c>
      <c r="Z1107" s="73" t="s">
        <v>30</v>
      </c>
      <c r="AA1107" s="99" t="s">
        <v>2889</v>
      </c>
    </row>
    <row r="1108" spans="1:27" ht="17.25" customHeight="1">
      <c r="A1108" s="65" t="str">
        <f>IF(priority(Main[[#This Row],[Comments]])&lt;&gt;0, priority(Main[[#This Row],[Comments]]),"")</f>
        <v/>
      </c>
      <c r="B1108" s="60" t="s">
        <v>2062</v>
      </c>
      <c r="C1108" s="105" t="s">
        <v>4</v>
      </c>
      <c r="D1108" s="74" t="s">
        <v>2443</v>
      </c>
      <c r="E1108" s="89">
        <v>40772.422800925924</v>
      </c>
      <c r="F1108" s="89"/>
      <c r="G1108" s="65" t="str">
        <f>IF(stdProdLT(Main[[#This Row],[Comments]])=0.1,"N/A",IF(stdProdLT(Main[[#This Row],[Comments]])=0,"",TRIM(stdProdLT(Main[[#This Row],[Comments]]))))</f>
        <v/>
      </c>
      <c r="H1108" s="98" t="str">
        <f>IF(Main[[#This Row],[Std. Prod. Lead Time]]="N/A", "",IF(AND(Main[[#This Row],[In Stock Date]]&lt;&gt;"",Main[[#This Row],[Revised Due Date]]&lt;&gt;"",Main[[#This Row],[In Stock Date]]&lt;&gt;""),Main[[#This Row],[In Stock Date]]-Main[[#This Row],[Revised Due Date]],""))</f>
        <v/>
      </c>
      <c r="I1108" s="110" t="s">
        <v>912</v>
      </c>
      <c r="J1108" s="99" t="s">
        <v>52</v>
      </c>
      <c r="K1108" s="99" t="s">
        <v>4</v>
      </c>
      <c r="L1108" s="89"/>
      <c r="M1108" s="75" t="str">
        <f>IF(Main[[#This Row],[Tech Start Date]]&lt;1/1/1990,"",IF(Main[[#This Row],[Class]]="C",WORKDAY(Main[[#This Row],[Tech Start Date]],9),IF(Main[[#This Row],[Class]]="B", WORKDAY(Main[[#This Row],[Tech Start Date]],6),IF(Main[[#This Row],[Class]]="A",WORKDAY(Main[[#This Row],[Tech Start Date]],2),""))))</f>
        <v/>
      </c>
      <c r="N1108" s="75" t="str">
        <f>IF(Main[[#This Row],[Tech Start Date]]&lt;1/1/1990,"",IF(Main[[#This Row],[Class]]="C",WORKDAY(Main[[#This Row],[Tech Start Date]],19),IF(Main[[#This Row],[Class]]="B", WORKDAY(Main[[#This Row],[Tech Start Date]],12),IF(Main[[#This Row],[Class]]="A",WORKDAY(Main[[#This Row],[Tech Start Date]],4),""))))</f>
        <v/>
      </c>
      <c r="O1108" s="75" t="str">
        <f>IF(Main[[#This Row],[Tech Start Date]]&lt;1/1/1990,"",IF(Main[[#This Row],[Class]]="C",WORKDAY(Main[[#This Row],[Tech Start Date]],23),IF(Main[[#This Row],[Class]]="B", WORKDAY(Main[[#This Row],[Tech Start Date]],15),IF(Main[[#This Row],[Class]]="A",WORKDAY(Main[[#This Row],[Tech Start Date]],5),""))))</f>
        <v/>
      </c>
      <c r="P1108" s="75" t="str">
        <f>IF(Main[[#This Row],[Tech Start Date]]&lt;1/1/1990,"",IF(Main[[#This Row],[Class]]="C",WORKDAY(Main[[#This Row],[Tech Start Date]],28),IF(Main[[#This Row],[Class]]="B", WORKDAY(Main[[#This Row],[Tech Start Date]],19),IF(Main[[#This Row],[Class]]="A",WORKDAY(Main[[#This Row],[Tech Start Date]],9),""))))</f>
        <v/>
      </c>
      <c r="Q1108" s="89"/>
      <c r="R1108" s="121"/>
      <c r="S1108" s="99" t="s">
        <v>6</v>
      </c>
      <c r="T1108" s="76" t="s">
        <v>4</v>
      </c>
      <c r="U1108" s="99" t="s">
        <v>29</v>
      </c>
      <c r="V1108" s="99" t="s">
        <v>1913</v>
      </c>
      <c r="W1108" s="99" t="s">
        <v>1917</v>
      </c>
      <c r="X1108" s="99" t="s">
        <v>937</v>
      </c>
      <c r="Y1108" s="73" t="s">
        <v>2978</v>
      </c>
      <c r="Z1108" s="73" t="s">
        <v>129</v>
      </c>
      <c r="AA1108" s="99" t="s">
        <v>937</v>
      </c>
    </row>
    <row r="1109" spans="1:27" ht="17.25" customHeight="1">
      <c r="A1109" s="65" t="str">
        <f>IF(priority(Main[[#This Row],[Comments]])&lt;&gt;0, priority(Main[[#This Row],[Comments]]),"")</f>
        <v/>
      </c>
      <c r="B1109" s="60" t="s">
        <v>2444</v>
      </c>
      <c r="C1109" s="105" t="s">
        <v>4</v>
      </c>
      <c r="D1109" s="74" t="s">
        <v>2445</v>
      </c>
      <c r="E1109" s="89">
        <v>40834.417719907404</v>
      </c>
      <c r="F1109" s="89"/>
      <c r="G1109" s="65" t="str">
        <f>IF(stdProdLT(Main[[#This Row],[Comments]])=0.1,"N/A",IF(stdProdLT(Main[[#This Row],[Comments]])=0,"",TRIM(stdProdLT(Main[[#This Row],[Comments]]))))</f>
        <v/>
      </c>
      <c r="H1109" s="98" t="str">
        <f>IF(Main[[#This Row],[Std. Prod. Lead Time]]="N/A", "",IF(AND(Main[[#This Row],[In Stock Date]]&lt;&gt;"",Main[[#This Row],[Revised Due Date]]&lt;&gt;"",Main[[#This Row],[In Stock Date]]&lt;&gt;""),Main[[#This Row],[In Stock Date]]-Main[[#This Row],[Revised Due Date]],""))</f>
        <v/>
      </c>
      <c r="I1109" s="110" t="s">
        <v>4</v>
      </c>
      <c r="J1109" s="99" t="s">
        <v>4</v>
      </c>
      <c r="K1109" s="99" t="s">
        <v>4</v>
      </c>
      <c r="L1109" s="89"/>
      <c r="M1109" s="75" t="str">
        <f>IF(Main[[#This Row],[Tech Start Date]]&lt;1/1/1990,"",IF(Main[[#This Row],[Class]]="C",WORKDAY(Main[[#This Row],[Tech Start Date]],9),IF(Main[[#This Row],[Class]]="B", WORKDAY(Main[[#This Row],[Tech Start Date]],6),IF(Main[[#This Row],[Class]]="A",WORKDAY(Main[[#This Row],[Tech Start Date]],2),""))))</f>
        <v/>
      </c>
      <c r="N1109" s="75" t="str">
        <f>IF(Main[[#This Row],[Tech Start Date]]&lt;1/1/1990,"",IF(Main[[#This Row],[Class]]="C",WORKDAY(Main[[#This Row],[Tech Start Date]],19),IF(Main[[#This Row],[Class]]="B", WORKDAY(Main[[#This Row],[Tech Start Date]],12),IF(Main[[#This Row],[Class]]="A",WORKDAY(Main[[#This Row],[Tech Start Date]],4),""))))</f>
        <v/>
      </c>
      <c r="O1109" s="75" t="str">
        <f>IF(Main[[#This Row],[Tech Start Date]]&lt;1/1/1990,"",IF(Main[[#This Row],[Class]]="C",WORKDAY(Main[[#This Row],[Tech Start Date]],23),IF(Main[[#This Row],[Class]]="B", WORKDAY(Main[[#This Row],[Tech Start Date]],15),IF(Main[[#This Row],[Class]]="A",WORKDAY(Main[[#This Row],[Tech Start Date]],5),""))))</f>
        <v/>
      </c>
      <c r="P1109" s="75" t="str">
        <f>IF(Main[[#This Row],[Tech Start Date]]&lt;1/1/1990,"",IF(Main[[#This Row],[Class]]="C",WORKDAY(Main[[#This Row],[Tech Start Date]],28),IF(Main[[#This Row],[Class]]="B", WORKDAY(Main[[#This Row],[Tech Start Date]],19),IF(Main[[#This Row],[Class]]="A",WORKDAY(Main[[#This Row],[Tech Start Date]],9),""))))</f>
        <v/>
      </c>
      <c r="Q1109" s="89"/>
      <c r="R1109" s="121"/>
      <c r="S1109" s="99" t="s">
        <v>6</v>
      </c>
      <c r="T1109" s="76" t="s">
        <v>4</v>
      </c>
      <c r="U1109" s="99" t="s">
        <v>29</v>
      </c>
      <c r="V1109" s="99" t="s">
        <v>1916</v>
      </c>
      <c r="W1109" s="99" t="s">
        <v>1917</v>
      </c>
      <c r="X1109" s="99" t="s">
        <v>306</v>
      </c>
      <c r="Y1109" s="73" t="s">
        <v>4</v>
      </c>
      <c r="Z1109" s="73" t="s">
        <v>4</v>
      </c>
      <c r="AA1109" s="99" t="s">
        <v>4</v>
      </c>
    </row>
    <row r="1110" spans="1:27" ht="17.25" customHeight="1">
      <c r="A1110" s="65" t="str">
        <f>IF(priority(Main[[#This Row],[Comments]])&lt;&gt;0, priority(Main[[#This Row],[Comments]]),"")</f>
        <v/>
      </c>
      <c r="B1110" s="60" t="s">
        <v>2238</v>
      </c>
      <c r="C1110" s="105" t="s">
        <v>4</v>
      </c>
      <c r="D1110" s="74" t="s">
        <v>2446</v>
      </c>
      <c r="E1110" s="89">
        <v>40798.432673611111</v>
      </c>
      <c r="F1110" s="89"/>
      <c r="G1110" s="65" t="str">
        <f>IF(stdProdLT(Main[[#This Row],[Comments]])=0.1,"N/A",IF(stdProdLT(Main[[#This Row],[Comments]])=0,"",TRIM(stdProdLT(Main[[#This Row],[Comments]]))))</f>
        <v/>
      </c>
      <c r="H1110" s="98" t="str">
        <f>IF(Main[[#This Row],[Std. Prod. Lead Time]]="N/A", "",IF(AND(Main[[#This Row],[In Stock Date]]&lt;&gt;"",Main[[#This Row],[Revised Due Date]]&lt;&gt;"",Main[[#This Row],[In Stock Date]]&lt;&gt;""),Main[[#This Row],[In Stock Date]]-Main[[#This Row],[Revised Due Date]],""))</f>
        <v/>
      </c>
      <c r="I1110" s="110" t="s">
        <v>912</v>
      </c>
      <c r="J1110" s="99" t="s">
        <v>52</v>
      </c>
      <c r="K1110" s="99" t="s">
        <v>4</v>
      </c>
      <c r="L1110" s="89"/>
      <c r="M1110" s="75" t="str">
        <f>IF(Main[[#This Row],[Tech Start Date]]&lt;1/1/1990,"",IF(Main[[#This Row],[Class]]="C",WORKDAY(Main[[#This Row],[Tech Start Date]],9),IF(Main[[#This Row],[Class]]="B", WORKDAY(Main[[#This Row],[Tech Start Date]],6),IF(Main[[#This Row],[Class]]="A",WORKDAY(Main[[#This Row],[Tech Start Date]],2),""))))</f>
        <v/>
      </c>
      <c r="N1110" s="75" t="str">
        <f>IF(Main[[#This Row],[Tech Start Date]]&lt;1/1/1990,"",IF(Main[[#This Row],[Class]]="C",WORKDAY(Main[[#This Row],[Tech Start Date]],19),IF(Main[[#This Row],[Class]]="B", WORKDAY(Main[[#This Row],[Tech Start Date]],12),IF(Main[[#This Row],[Class]]="A",WORKDAY(Main[[#This Row],[Tech Start Date]],4),""))))</f>
        <v/>
      </c>
      <c r="O1110" s="75" t="str">
        <f>IF(Main[[#This Row],[Tech Start Date]]&lt;1/1/1990,"",IF(Main[[#This Row],[Class]]="C",WORKDAY(Main[[#This Row],[Tech Start Date]],23),IF(Main[[#This Row],[Class]]="B", WORKDAY(Main[[#This Row],[Tech Start Date]],15),IF(Main[[#This Row],[Class]]="A",WORKDAY(Main[[#This Row],[Tech Start Date]],5),""))))</f>
        <v/>
      </c>
      <c r="P1110" s="75" t="str">
        <f>IF(Main[[#This Row],[Tech Start Date]]&lt;1/1/1990,"",IF(Main[[#This Row],[Class]]="C",WORKDAY(Main[[#This Row],[Tech Start Date]],28),IF(Main[[#This Row],[Class]]="B", WORKDAY(Main[[#This Row],[Tech Start Date]],19),IF(Main[[#This Row],[Class]]="A",WORKDAY(Main[[#This Row],[Tech Start Date]],9),""))))</f>
        <v/>
      </c>
      <c r="Q1110" s="89"/>
      <c r="R1110" s="121"/>
      <c r="S1110" s="99" t="s">
        <v>6</v>
      </c>
      <c r="T1110" s="76" t="s">
        <v>4</v>
      </c>
      <c r="U1110" s="99" t="s">
        <v>29</v>
      </c>
      <c r="V1110" s="99" t="s">
        <v>1913</v>
      </c>
      <c r="W1110" s="99" t="s">
        <v>1917</v>
      </c>
      <c r="X1110" s="99" t="s">
        <v>561</v>
      </c>
      <c r="Y1110" s="73" t="s">
        <v>4</v>
      </c>
      <c r="Z1110" s="73" t="s">
        <v>129</v>
      </c>
      <c r="AA1110" s="99" t="s">
        <v>4</v>
      </c>
    </row>
    <row r="1111" spans="1:27" ht="17.25" customHeight="1">
      <c r="A1111" s="65" t="str">
        <f>IF(priority(Main[[#This Row],[Comments]])&lt;&gt;0, priority(Main[[#This Row],[Comments]]),"")</f>
        <v/>
      </c>
      <c r="B1111" s="60" t="s">
        <v>2709</v>
      </c>
      <c r="C1111" s="105" t="s">
        <v>4</v>
      </c>
      <c r="D1111" s="74" t="s">
        <v>3641</v>
      </c>
      <c r="E1111" s="89">
        <v>40917.685127314813</v>
      </c>
      <c r="F1111" s="89"/>
      <c r="G1111" s="65" t="str">
        <f>IF(stdProdLT(Main[[#This Row],[Comments]])=0.1,"N/A",IF(stdProdLT(Main[[#This Row],[Comments]])=0,"",TRIM(stdProdLT(Main[[#This Row],[Comments]]))))</f>
        <v/>
      </c>
      <c r="H1111" s="98" t="str">
        <f>IF(Main[[#This Row],[Std. Prod. Lead Time]]="N/A", "",IF(AND(Main[[#This Row],[In Stock Date]]&lt;&gt;"",Main[[#This Row],[Revised Due Date]]&lt;&gt;"",Main[[#This Row],[In Stock Date]]&lt;&gt;""),Main[[#This Row],[In Stock Date]]-Main[[#This Row],[Revised Due Date]],""))</f>
        <v/>
      </c>
      <c r="I1111" s="110" t="s">
        <v>69</v>
      </c>
      <c r="J1111" s="99" t="s">
        <v>70</v>
      </c>
      <c r="K1111" s="99" t="s">
        <v>1922</v>
      </c>
      <c r="L1111" s="89"/>
      <c r="M1111" s="75" t="str">
        <f>IF(Main[[#This Row],[Tech Start Date]]&lt;1/1/1990,"",IF(Main[[#This Row],[Class]]="C",WORKDAY(Main[[#This Row],[Tech Start Date]],9),IF(Main[[#This Row],[Class]]="B", WORKDAY(Main[[#This Row],[Tech Start Date]],6),IF(Main[[#This Row],[Class]]="A",WORKDAY(Main[[#This Row],[Tech Start Date]],2),""))))</f>
        <v/>
      </c>
      <c r="N1111" s="75" t="str">
        <f>IF(Main[[#This Row],[Tech Start Date]]&lt;1/1/1990,"",IF(Main[[#This Row],[Class]]="C",WORKDAY(Main[[#This Row],[Tech Start Date]],19),IF(Main[[#This Row],[Class]]="B", WORKDAY(Main[[#This Row],[Tech Start Date]],12),IF(Main[[#This Row],[Class]]="A",WORKDAY(Main[[#This Row],[Tech Start Date]],4),""))))</f>
        <v/>
      </c>
      <c r="O1111" s="75" t="str">
        <f>IF(Main[[#This Row],[Tech Start Date]]&lt;1/1/1990,"",IF(Main[[#This Row],[Class]]="C",WORKDAY(Main[[#This Row],[Tech Start Date]],23),IF(Main[[#This Row],[Class]]="B", WORKDAY(Main[[#This Row],[Tech Start Date]],15),IF(Main[[#This Row],[Class]]="A",WORKDAY(Main[[#This Row],[Tech Start Date]],5),""))))</f>
        <v/>
      </c>
      <c r="P1111" s="75" t="str">
        <f>IF(Main[[#This Row],[Tech Start Date]]&lt;1/1/1990,"",IF(Main[[#This Row],[Class]]="C",WORKDAY(Main[[#This Row],[Tech Start Date]],28),IF(Main[[#This Row],[Class]]="B", WORKDAY(Main[[#This Row],[Tech Start Date]],19),IF(Main[[#This Row],[Class]]="A",WORKDAY(Main[[#This Row],[Tech Start Date]],9),""))))</f>
        <v/>
      </c>
      <c r="Q1111" s="89"/>
      <c r="R1111" s="121"/>
      <c r="S1111" s="99" t="s">
        <v>6</v>
      </c>
      <c r="T1111" s="76" t="s">
        <v>4</v>
      </c>
      <c r="U1111" s="99" t="s">
        <v>29</v>
      </c>
      <c r="V1111" s="99" t="s">
        <v>1916</v>
      </c>
      <c r="W1111" s="99" t="s">
        <v>1917</v>
      </c>
      <c r="X1111" s="99" t="s">
        <v>2859</v>
      </c>
      <c r="Y1111" s="73" t="s">
        <v>3004</v>
      </c>
      <c r="Z1111" s="73" t="s">
        <v>81</v>
      </c>
      <c r="AA1111" s="99" t="s">
        <v>2859</v>
      </c>
    </row>
    <row r="1112" spans="1:27" ht="17.25" customHeight="1">
      <c r="A1112" s="65" t="str">
        <f>IF(priority(Main[[#This Row],[Comments]])&lt;&gt;0, priority(Main[[#This Row],[Comments]]),"")</f>
        <v/>
      </c>
      <c r="B1112" s="60" t="s">
        <v>3205</v>
      </c>
      <c r="C1112" s="105" t="s">
        <v>4</v>
      </c>
      <c r="D1112" s="74" t="s">
        <v>3637</v>
      </c>
      <c r="E1112" s="89">
        <v>40921.629143518519</v>
      </c>
      <c r="F1112" s="89"/>
      <c r="G1112" s="65" t="str">
        <f>IF(stdProdLT(Main[[#This Row],[Comments]])=0.1,"N/A",IF(stdProdLT(Main[[#This Row],[Comments]])=0,"",TRIM(stdProdLT(Main[[#This Row],[Comments]]))))</f>
        <v/>
      </c>
      <c r="H1112" s="98" t="str">
        <f>IF(Main[[#This Row],[Std. Prod. Lead Time]]="N/A", "",IF(AND(Main[[#This Row],[In Stock Date]]&lt;&gt;"",Main[[#This Row],[Revised Due Date]]&lt;&gt;"",Main[[#This Row],[In Stock Date]]&lt;&gt;""),Main[[#This Row],[In Stock Date]]-Main[[#This Row],[Revised Due Date]],""))</f>
        <v/>
      </c>
      <c r="I1112" s="110" t="s">
        <v>2047</v>
      </c>
      <c r="J1112" s="99" t="s">
        <v>28</v>
      </c>
      <c r="K1112" s="99" t="s">
        <v>1922</v>
      </c>
      <c r="L1112" s="89"/>
      <c r="M1112" s="75" t="str">
        <f>IF(Main[[#This Row],[Tech Start Date]]&lt;1/1/1990,"",IF(Main[[#This Row],[Class]]="C",WORKDAY(Main[[#This Row],[Tech Start Date]],9),IF(Main[[#This Row],[Class]]="B", WORKDAY(Main[[#This Row],[Tech Start Date]],6),IF(Main[[#This Row],[Class]]="A",WORKDAY(Main[[#This Row],[Tech Start Date]],2),""))))</f>
        <v/>
      </c>
      <c r="N1112" s="75" t="str">
        <f>IF(Main[[#This Row],[Tech Start Date]]&lt;1/1/1990,"",IF(Main[[#This Row],[Class]]="C",WORKDAY(Main[[#This Row],[Tech Start Date]],19),IF(Main[[#This Row],[Class]]="B", WORKDAY(Main[[#This Row],[Tech Start Date]],12),IF(Main[[#This Row],[Class]]="A",WORKDAY(Main[[#This Row],[Tech Start Date]],4),""))))</f>
        <v/>
      </c>
      <c r="O1112" s="75" t="str">
        <f>IF(Main[[#This Row],[Tech Start Date]]&lt;1/1/1990,"",IF(Main[[#This Row],[Class]]="C",WORKDAY(Main[[#This Row],[Tech Start Date]],23),IF(Main[[#This Row],[Class]]="B", WORKDAY(Main[[#This Row],[Tech Start Date]],15),IF(Main[[#This Row],[Class]]="A",WORKDAY(Main[[#This Row],[Tech Start Date]],5),""))))</f>
        <v/>
      </c>
      <c r="P1112" s="75" t="str">
        <f>IF(Main[[#This Row],[Tech Start Date]]&lt;1/1/1990,"",IF(Main[[#This Row],[Class]]="C",WORKDAY(Main[[#This Row],[Tech Start Date]],28),IF(Main[[#This Row],[Class]]="B", WORKDAY(Main[[#This Row],[Tech Start Date]],19),IF(Main[[#This Row],[Class]]="A",WORKDAY(Main[[#This Row],[Tech Start Date]],9),""))))</f>
        <v/>
      </c>
      <c r="Q1112" s="89"/>
      <c r="R1112" s="121"/>
      <c r="S1112" s="99" t="s">
        <v>6</v>
      </c>
      <c r="T1112" s="76" t="s">
        <v>4</v>
      </c>
      <c r="U1112" s="99" t="s">
        <v>29</v>
      </c>
      <c r="V1112" s="99" t="s">
        <v>1923</v>
      </c>
      <c r="W1112" s="99" t="s">
        <v>1917</v>
      </c>
      <c r="X1112" s="99" t="s">
        <v>306</v>
      </c>
      <c r="Y1112" s="73" t="s">
        <v>4</v>
      </c>
      <c r="Z1112" s="73" t="s">
        <v>30</v>
      </c>
      <c r="AA1112" s="99" t="s">
        <v>4</v>
      </c>
    </row>
    <row r="1113" spans="1:27" ht="17.25" customHeight="1">
      <c r="A1113" s="65" t="str">
        <f>IF(priority(Main[[#This Row],[Comments]])&lt;&gt;0, priority(Main[[#This Row],[Comments]]),"")</f>
        <v/>
      </c>
      <c r="B1113" s="60" t="s">
        <v>3638</v>
      </c>
      <c r="C1113" s="105" t="s">
        <v>4</v>
      </c>
      <c r="D1113" s="74" t="s">
        <v>3639</v>
      </c>
      <c r="E1113" s="89">
        <v>40962.575243055559</v>
      </c>
      <c r="F1113" s="89"/>
      <c r="G1113" s="65" t="str">
        <f>IF(stdProdLT(Main[[#This Row],[Comments]])=0.1,"N/A",IF(stdProdLT(Main[[#This Row],[Comments]])=0,"",TRIM(stdProdLT(Main[[#This Row],[Comments]]))))</f>
        <v/>
      </c>
      <c r="H1113" s="98" t="str">
        <f>IF(Main[[#This Row],[Std. Prod. Lead Time]]="N/A", "",IF(AND(Main[[#This Row],[In Stock Date]]&lt;&gt;"",Main[[#This Row],[Revised Due Date]]&lt;&gt;"",Main[[#This Row],[In Stock Date]]&lt;&gt;""),Main[[#This Row],[In Stock Date]]-Main[[#This Row],[Revised Due Date]],""))</f>
        <v/>
      </c>
      <c r="I1113" s="110" t="s">
        <v>2047</v>
      </c>
      <c r="J1113" s="99" t="s">
        <v>28</v>
      </c>
      <c r="K1113" s="99" t="s">
        <v>4</v>
      </c>
      <c r="L1113" s="89"/>
      <c r="M1113" s="75" t="str">
        <f>IF(Main[[#This Row],[Tech Start Date]]&lt;1/1/1990,"",IF(Main[[#This Row],[Class]]="C",WORKDAY(Main[[#This Row],[Tech Start Date]],9),IF(Main[[#This Row],[Class]]="B", WORKDAY(Main[[#This Row],[Tech Start Date]],6),IF(Main[[#This Row],[Class]]="A",WORKDAY(Main[[#This Row],[Tech Start Date]],2),""))))</f>
        <v/>
      </c>
      <c r="N1113" s="75" t="str">
        <f>IF(Main[[#This Row],[Tech Start Date]]&lt;1/1/1990,"",IF(Main[[#This Row],[Class]]="C",WORKDAY(Main[[#This Row],[Tech Start Date]],19),IF(Main[[#This Row],[Class]]="B", WORKDAY(Main[[#This Row],[Tech Start Date]],12),IF(Main[[#This Row],[Class]]="A",WORKDAY(Main[[#This Row],[Tech Start Date]],4),""))))</f>
        <v/>
      </c>
      <c r="O1113" s="75" t="str">
        <f>IF(Main[[#This Row],[Tech Start Date]]&lt;1/1/1990,"",IF(Main[[#This Row],[Class]]="C",WORKDAY(Main[[#This Row],[Tech Start Date]],23),IF(Main[[#This Row],[Class]]="B", WORKDAY(Main[[#This Row],[Tech Start Date]],15),IF(Main[[#This Row],[Class]]="A",WORKDAY(Main[[#This Row],[Tech Start Date]],5),""))))</f>
        <v/>
      </c>
      <c r="P1113" s="75" t="str">
        <f>IF(Main[[#This Row],[Tech Start Date]]&lt;1/1/1990,"",IF(Main[[#This Row],[Class]]="C",WORKDAY(Main[[#This Row],[Tech Start Date]],28),IF(Main[[#This Row],[Class]]="B", WORKDAY(Main[[#This Row],[Tech Start Date]],19),IF(Main[[#This Row],[Class]]="A",WORKDAY(Main[[#This Row],[Tech Start Date]],9),""))))</f>
        <v/>
      </c>
      <c r="Q1113" s="89">
        <v>40998</v>
      </c>
      <c r="R1113" s="121"/>
      <c r="S1113" s="99" t="s">
        <v>6</v>
      </c>
      <c r="T1113" s="76" t="s">
        <v>4</v>
      </c>
      <c r="U1113" s="99" t="s">
        <v>29</v>
      </c>
      <c r="V1113" s="99" t="s">
        <v>1923</v>
      </c>
      <c r="W1113" s="99" t="s">
        <v>1917</v>
      </c>
      <c r="X1113" s="99" t="s">
        <v>2812</v>
      </c>
      <c r="Y1113" s="73" t="s">
        <v>2923</v>
      </c>
      <c r="Z1113" s="73" t="s">
        <v>30</v>
      </c>
      <c r="AA1113" s="99" t="s">
        <v>2812</v>
      </c>
    </row>
    <row r="1114" spans="1:27" ht="17.25" customHeight="1">
      <c r="A1114" s="65" t="str">
        <f>IF(priority(Main[[#This Row],[Comments]])&lt;&gt;0, priority(Main[[#This Row],[Comments]]),"")</f>
        <v/>
      </c>
      <c r="B1114" s="60" t="s">
        <v>2398</v>
      </c>
      <c r="C1114" s="105" t="s">
        <v>4</v>
      </c>
      <c r="D1114" s="74" t="s">
        <v>2399</v>
      </c>
      <c r="E1114" s="89">
        <v>40820.81591435185</v>
      </c>
      <c r="F1114" s="89"/>
      <c r="G1114" s="65" t="str">
        <f>IF(stdProdLT(Main[[#This Row],[Comments]])=0.1,"N/A",IF(stdProdLT(Main[[#This Row],[Comments]])=0,"",TRIM(stdProdLT(Main[[#This Row],[Comments]]))))</f>
        <v/>
      </c>
      <c r="H1114" s="98" t="str">
        <f>IF(Main[[#This Row],[Std. Prod. Lead Time]]="N/A", "",IF(AND(Main[[#This Row],[In Stock Date]]&lt;&gt;"",Main[[#This Row],[Revised Due Date]]&lt;&gt;"",Main[[#This Row],[In Stock Date]]&lt;&gt;""),Main[[#This Row],[In Stock Date]]-Main[[#This Row],[Revised Due Date]],""))</f>
        <v/>
      </c>
      <c r="I1114" s="110" t="s">
        <v>239</v>
      </c>
      <c r="J1114" s="99" t="s">
        <v>28</v>
      </c>
      <c r="K1114" s="99" t="s">
        <v>1922</v>
      </c>
      <c r="L1114" s="89"/>
      <c r="M1114" s="75" t="str">
        <f>IF(Main[[#This Row],[Tech Start Date]]&lt;1/1/1990,"",IF(Main[[#This Row],[Class]]="C",WORKDAY(Main[[#This Row],[Tech Start Date]],9),IF(Main[[#This Row],[Class]]="B", WORKDAY(Main[[#This Row],[Tech Start Date]],6),IF(Main[[#This Row],[Class]]="A",WORKDAY(Main[[#This Row],[Tech Start Date]],2),""))))</f>
        <v/>
      </c>
      <c r="N1114" s="75" t="str">
        <f>IF(Main[[#This Row],[Tech Start Date]]&lt;1/1/1990,"",IF(Main[[#This Row],[Class]]="C",WORKDAY(Main[[#This Row],[Tech Start Date]],19),IF(Main[[#This Row],[Class]]="B", WORKDAY(Main[[#This Row],[Tech Start Date]],12),IF(Main[[#This Row],[Class]]="A",WORKDAY(Main[[#This Row],[Tech Start Date]],4),""))))</f>
        <v/>
      </c>
      <c r="O1114" s="75" t="str">
        <f>IF(Main[[#This Row],[Tech Start Date]]&lt;1/1/1990,"",IF(Main[[#This Row],[Class]]="C",WORKDAY(Main[[#This Row],[Tech Start Date]],23),IF(Main[[#This Row],[Class]]="B", WORKDAY(Main[[#This Row],[Tech Start Date]],15),IF(Main[[#This Row],[Class]]="A",WORKDAY(Main[[#This Row],[Tech Start Date]],5),""))))</f>
        <v/>
      </c>
      <c r="P1114" s="75" t="str">
        <f>IF(Main[[#This Row],[Tech Start Date]]&lt;1/1/1990,"",IF(Main[[#This Row],[Class]]="C",WORKDAY(Main[[#This Row],[Tech Start Date]],28),IF(Main[[#This Row],[Class]]="B", WORKDAY(Main[[#This Row],[Tech Start Date]],19),IF(Main[[#This Row],[Class]]="A",WORKDAY(Main[[#This Row],[Tech Start Date]],9),""))))</f>
        <v/>
      </c>
      <c r="Q1114" s="89">
        <v>40847</v>
      </c>
      <c r="R1114" s="121"/>
      <c r="S1114" s="99" t="s">
        <v>6</v>
      </c>
      <c r="T1114" s="76" t="s">
        <v>4</v>
      </c>
      <c r="U1114" s="99" t="s">
        <v>29</v>
      </c>
      <c r="V1114" s="99" t="s">
        <v>1916</v>
      </c>
      <c r="W1114" s="99" t="s">
        <v>1917</v>
      </c>
      <c r="X1114" s="99" t="s">
        <v>30</v>
      </c>
      <c r="Y1114" s="73" t="s">
        <v>2934</v>
      </c>
      <c r="Z1114" s="73" t="s">
        <v>30</v>
      </c>
      <c r="AA1114" s="99" t="s">
        <v>30</v>
      </c>
    </row>
    <row r="1115" spans="1:27" ht="17.25" customHeight="1">
      <c r="A1115" s="65" t="str">
        <f>IF(priority(Main[[#This Row],[Comments]])&lt;&gt;0, priority(Main[[#This Row],[Comments]]),"")</f>
        <v/>
      </c>
      <c r="B1115" s="60" t="s">
        <v>3640</v>
      </c>
      <c r="C1115" s="105" t="s">
        <v>3589</v>
      </c>
      <c r="D1115" s="74" t="s">
        <v>3590</v>
      </c>
      <c r="E1115" s="89"/>
      <c r="F1115" s="89">
        <v>40982</v>
      </c>
      <c r="G1115" s="65" t="str">
        <f>IF(stdProdLT(Main[[#This Row],[Comments]])=0.1,"N/A",IF(stdProdLT(Main[[#This Row],[Comments]])=0,"",TRIM(stdProdLT(Main[[#This Row],[Comments]]))))</f>
        <v/>
      </c>
      <c r="H1115" s="98" t="str">
        <f>IF(Main[[#This Row],[Std. Prod. Lead Time]]="N/A", "",IF(AND(Main[[#This Row],[In Stock Date]]&lt;&gt;"",Main[[#This Row],[Revised Due Date]]&lt;&gt;"",Main[[#This Row],[In Stock Date]]&lt;&gt;""),Main[[#This Row],[In Stock Date]]-Main[[#This Row],[Revised Due Date]],""))</f>
        <v/>
      </c>
      <c r="I1115" s="110" t="s">
        <v>4</v>
      </c>
      <c r="J1115" s="99" t="s">
        <v>4</v>
      </c>
      <c r="K1115" s="99" t="s">
        <v>4</v>
      </c>
      <c r="L1115" s="89"/>
      <c r="M1115" s="75" t="str">
        <f>IF(Main[[#This Row],[Tech Start Date]]&lt;1/1/1990,"",IF(Main[[#This Row],[Class]]="C",WORKDAY(Main[[#This Row],[Tech Start Date]],9),IF(Main[[#This Row],[Class]]="B", WORKDAY(Main[[#This Row],[Tech Start Date]],6),IF(Main[[#This Row],[Class]]="A",WORKDAY(Main[[#This Row],[Tech Start Date]],2),""))))</f>
        <v/>
      </c>
      <c r="N1115" s="75" t="str">
        <f>IF(Main[[#This Row],[Tech Start Date]]&lt;1/1/1990,"",IF(Main[[#This Row],[Class]]="C",WORKDAY(Main[[#This Row],[Tech Start Date]],19),IF(Main[[#This Row],[Class]]="B", WORKDAY(Main[[#This Row],[Tech Start Date]],12),IF(Main[[#This Row],[Class]]="A",WORKDAY(Main[[#This Row],[Tech Start Date]],4),""))))</f>
        <v/>
      </c>
      <c r="O1115" s="75" t="str">
        <f>IF(Main[[#This Row],[Tech Start Date]]&lt;1/1/1990,"",IF(Main[[#This Row],[Class]]="C",WORKDAY(Main[[#This Row],[Tech Start Date]],23),IF(Main[[#This Row],[Class]]="B", WORKDAY(Main[[#This Row],[Tech Start Date]],15),IF(Main[[#This Row],[Class]]="A",WORKDAY(Main[[#This Row],[Tech Start Date]],5),""))))</f>
        <v/>
      </c>
      <c r="P1115" s="75" t="str">
        <f>IF(Main[[#This Row],[Tech Start Date]]&lt;1/1/1990,"",IF(Main[[#This Row],[Class]]="C",WORKDAY(Main[[#This Row],[Tech Start Date]],28),IF(Main[[#This Row],[Class]]="B", WORKDAY(Main[[#This Row],[Tech Start Date]],19),IF(Main[[#This Row],[Class]]="A",WORKDAY(Main[[#This Row],[Tech Start Date]],9),""))))</f>
        <v/>
      </c>
      <c r="Q1115" s="89"/>
      <c r="R1115" s="121"/>
      <c r="S1115" s="99" t="s">
        <v>11</v>
      </c>
      <c r="T1115" s="76" t="s">
        <v>4</v>
      </c>
      <c r="U1115" s="99" t="s">
        <v>12</v>
      </c>
      <c r="V1115" s="99" t="s">
        <v>1916</v>
      </c>
      <c r="W1115" s="99" t="s">
        <v>1918</v>
      </c>
      <c r="X1115" s="99" t="s">
        <v>2828</v>
      </c>
      <c r="Y1115" s="73" t="s">
        <v>3581</v>
      </c>
      <c r="Z1115" s="73" t="s">
        <v>4</v>
      </c>
      <c r="AA1115" s="99" t="s">
        <v>2828</v>
      </c>
    </row>
    <row r="1116" spans="1:27" ht="17.25" customHeight="1">
      <c r="A1116" s="65" t="str">
        <f>IF(priority(Main[[#This Row],[Comments]])&lt;&gt;0, priority(Main[[#This Row],[Comments]]),"")</f>
        <v/>
      </c>
      <c r="B1116" s="60" t="s">
        <v>1866</v>
      </c>
      <c r="C1116" s="105" t="s">
        <v>4</v>
      </c>
      <c r="D1116" s="74" t="s">
        <v>924</v>
      </c>
      <c r="E1116" s="89">
        <v>39968.4141087963</v>
      </c>
      <c r="F1116" s="89">
        <v>40298</v>
      </c>
      <c r="G1116" s="65" t="str">
        <f>IF(stdProdLT(Main[[#This Row],[Comments]])=0.1,"N/A",IF(stdProdLT(Main[[#This Row],[Comments]])=0,"",TRIM(stdProdLT(Main[[#This Row],[Comments]]))))</f>
        <v/>
      </c>
      <c r="H1116" s="98">
        <f>IF(Main[[#This Row],[Std. Prod. Lead Time]]="N/A", "",IF(AND(Main[[#This Row],[In Stock Date]]&lt;&gt;"",Main[[#This Row],[Revised Due Date]]&lt;&gt;"",Main[[#This Row],[In Stock Date]]&lt;&gt;""),Main[[#This Row],[In Stock Date]]-Main[[#This Row],[Revised Due Date]],""))</f>
        <v>-697</v>
      </c>
      <c r="I1116" s="110" t="s">
        <v>974</v>
      </c>
      <c r="J1116" s="99" t="s">
        <v>4</v>
      </c>
      <c r="K1116" s="99" t="s">
        <v>1925</v>
      </c>
      <c r="L1116" s="89"/>
      <c r="M1116" s="75" t="str">
        <f>IF(Main[[#This Row],[Tech Start Date]]&lt;1/1/1990,"",IF(Main[[#This Row],[Class]]="C",WORKDAY(Main[[#This Row],[Tech Start Date]],9),IF(Main[[#This Row],[Class]]="B", WORKDAY(Main[[#This Row],[Tech Start Date]],6),IF(Main[[#This Row],[Class]]="A",WORKDAY(Main[[#This Row],[Tech Start Date]],2),""))))</f>
        <v/>
      </c>
      <c r="N1116" s="75" t="str">
        <f>IF(Main[[#This Row],[Tech Start Date]]&lt;1/1/1990,"",IF(Main[[#This Row],[Class]]="C",WORKDAY(Main[[#This Row],[Tech Start Date]],19),IF(Main[[#This Row],[Class]]="B", WORKDAY(Main[[#This Row],[Tech Start Date]],12),IF(Main[[#This Row],[Class]]="A",WORKDAY(Main[[#This Row],[Tech Start Date]],4),""))))</f>
        <v/>
      </c>
      <c r="O1116" s="75" t="str">
        <f>IF(Main[[#This Row],[Tech Start Date]]&lt;1/1/1990,"",IF(Main[[#This Row],[Class]]="C",WORKDAY(Main[[#This Row],[Tech Start Date]],23),IF(Main[[#This Row],[Class]]="B", WORKDAY(Main[[#This Row],[Tech Start Date]],15),IF(Main[[#This Row],[Class]]="A",WORKDAY(Main[[#This Row],[Tech Start Date]],5),""))))</f>
        <v/>
      </c>
      <c r="P1116" s="75" t="str">
        <f>IF(Main[[#This Row],[Tech Start Date]]&lt;1/1/1990,"",IF(Main[[#This Row],[Class]]="C",WORKDAY(Main[[#This Row],[Tech Start Date]],28),IF(Main[[#This Row],[Class]]="B", WORKDAY(Main[[#This Row],[Tech Start Date]],19),IF(Main[[#This Row],[Class]]="A",WORKDAY(Main[[#This Row],[Tech Start Date]],9),""))))</f>
        <v/>
      </c>
      <c r="Q1116" s="89">
        <v>40165</v>
      </c>
      <c r="R1116" s="121">
        <v>40995</v>
      </c>
      <c r="S1116" s="99" t="s">
        <v>17</v>
      </c>
      <c r="T1116" s="76" t="s">
        <v>4</v>
      </c>
      <c r="U1116" s="99" t="s">
        <v>29</v>
      </c>
      <c r="V1116" s="99" t="s">
        <v>1916</v>
      </c>
      <c r="W1116" s="99" t="s">
        <v>1921</v>
      </c>
      <c r="X1116" s="99" t="s">
        <v>968</v>
      </c>
      <c r="Y1116" s="73" t="s">
        <v>3109</v>
      </c>
      <c r="Z1116" s="73" t="s">
        <v>415</v>
      </c>
      <c r="AA1116" s="99" t="s">
        <v>968</v>
      </c>
    </row>
    <row r="1117" spans="1:27" ht="17.25" customHeight="1">
      <c r="A1117" s="65" t="str">
        <f>IF(priority(Main[[#This Row],[Comments]])&lt;&gt;0, priority(Main[[#This Row],[Comments]]),"")</f>
        <v/>
      </c>
      <c r="B1117" s="60" t="s">
        <v>2285</v>
      </c>
      <c r="C1117" s="105" t="s">
        <v>67</v>
      </c>
      <c r="D1117" s="74" t="s">
        <v>2281</v>
      </c>
      <c r="E1117" s="89">
        <v>40813.66920138889</v>
      </c>
      <c r="F1117" s="89">
        <v>41075</v>
      </c>
      <c r="G1117" s="65" t="str">
        <f>IF(stdProdLT(Main[[#This Row],[Comments]])=0.1,"N/A",IF(stdProdLT(Main[[#This Row],[Comments]])=0,"",TRIM(stdProdLT(Main[[#This Row],[Comments]]))))</f>
        <v/>
      </c>
      <c r="H1117" s="98" t="str">
        <f>IF(Main[[#This Row],[Std. Prod. Lead Time]]="N/A", "",IF(AND(Main[[#This Row],[In Stock Date]]&lt;&gt;"",Main[[#This Row],[Revised Due Date]]&lt;&gt;"",Main[[#This Row],[In Stock Date]]&lt;&gt;""),Main[[#This Row],[In Stock Date]]-Main[[#This Row],[Revised Due Date]],""))</f>
        <v/>
      </c>
      <c r="I1117" s="110" t="s">
        <v>239</v>
      </c>
      <c r="J1117" s="99" t="s">
        <v>28</v>
      </c>
      <c r="K1117" s="99" t="s">
        <v>1925</v>
      </c>
      <c r="L1117" s="89"/>
      <c r="M1117" s="75" t="str">
        <f>IF(Main[[#This Row],[Tech Start Date]]&lt;1/1/1990,"",IF(Main[[#This Row],[Class]]="C",WORKDAY(Main[[#This Row],[Tech Start Date]],9),IF(Main[[#This Row],[Class]]="B", WORKDAY(Main[[#This Row],[Tech Start Date]],6),IF(Main[[#This Row],[Class]]="A",WORKDAY(Main[[#This Row],[Tech Start Date]],2),""))))</f>
        <v/>
      </c>
      <c r="N1117" s="75" t="str">
        <f>IF(Main[[#This Row],[Tech Start Date]]&lt;1/1/1990,"",IF(Main[[#This Row],[Class]]="C",WORKDAY(Main[[#This Row],[Tech Start Date]],19),IF(Main[[#This Row],[Class]]="B", WORKDAY(Main[[#This Row],[Tech Start Date]],12),IF(Main[[#This Row],[Class]]="A",WORKDAY(Main[[#This Row],[Tech Start Date]],4),""))))</f>
        <v/>
      </c>
      <c r="O1117" s="75" t="str">
        <f>IF(Main[[#This Row],[Tech Start Date]]&lt;1/1/1990,"",IF(Main[[#This Row],[Class]]="C",WORKDAY(Main[[#This Row],[Tech Start Date]],23),IF(Main[[#This Row],[Class]]="B", WORKDAY(Main[[#This Row],[Tech Start Date]],15),IF(Main[[#This Row],[Class]]="A",WORKDAY(Main[[#This Row],[Tech Start Date]],5),""))))</f>
        <v/>
      </c>
      <c r="P1117" s="75" t="str">
        <f>IF(Main[[#This Row],[Tech Start Date]]&lt;1/1/1990,"",IF(Main[[#This Row],[Class]]="C",WORKDAY(Main[[#This Row],[Tech Start Date]],28),IF(Main[[#This Row],[Class]]="B", WORKDAY(Main[[#This Row],[Tech Start Date]],19),IF(Main[[#This Row],[Class]]="A",WORKDAY(Main[[#This Row],[Tech Start Date]],9),""))))</f>
        <v/>
      </c>
      <c r="Q1117" s="89">
        <v>41258</v>
      </c>
      <c r="R1117" s="121"/>
      <c r="S1117" s="99" t="s">
        <v>17</v>
      </c>
      <c r="T1117" s="76" t="s">
        <v>4</v>
      </c>
      <c r="U1117" s="99" t="s">
        <v>29</v>
      </c>
      <c r="V1117" s="99" t="s">
        <v>1923</v>
      </c>
      <c r="W1117" s="99" t="s">
        <v>1924</v>
      </c>
      <c r="X1117" s="99" t="s">
        <v>553</v>
      </c>
      <c r="Y1117" s="73" t="s">
        <v>2946</v>
      </c>
      <c r="Z1117" s="73" t="s">
        <v>239</v>
      </c>
      <c r="AA1117" s="99" t="s">
        <v>553</v>
      </c>
    </row>
    <row r="1118" spans="1:27" ht="17.25" customHeight="1">
      <c r="A1118" s="65" t="str">
        <f>IF(priority(Main[[#This Row],[Comments]])&lt;&gt;0, priority(Main[[#This Row],[Comments]]),"")</f>
        <v/>
      </c>
      <c r="B1118" s="60" t="s">
        <v>2155</v>
      </c>
      <c r="C1118" s="105" t="s">
        <v>2156</v>
      </c>
      <c r="D1118" s="74" t="s">
        <v>2337</v>
      </c>
      <c r="E1118" s="89">
        <v>40781.400787037041</v>
      </c>
      <c r="F1118" s="89"/>
      <c r="G1118" s="65" t="str">
        <f>IF(stdProdLT(Main[[#This Row],[Comments]])=0.1,"N/A",IF(stdProdLT(Main[[#This Row],[Comments]])=0,"",TRIM(stdProdLT(Main[[#This Row],[Comments]]))))</f>
        <v/>
      </c>
      <c r="H1118" s="98" t="str">
        <f>IF(Main[[#This Row],[Std. Prod. Lead Time]]="N/A", "",IF(AND(Main[[#This Row],[In Stock Date]]&lt;&gt;"",Main[[#This Row],[Revised Due Date]]&lt;&gt;"",Main[[#This Row],[In Stock Date]]&lt;&gt;""),Main[[#This Row],[In Stock Date]]-Main[[#This Row],[Revised Due Date]],""))</f>
        <v/>
      </c>
      <c r="I1118" s="110" t="s">
        <v>4</v>
      </c>
      <c r="J1118" s="99" t="s">
        <v>28</v>
      </c>
      <c r="K1118" s="99" t="s">
        <v>1922</v>
      </c>
      <c r="L1118" s="89"/>
      <c r="M1118" s="75" t="str">
        <f>IF(Main[[#This Row],[Tech Start Date]]&lt;1/1/1990,"",IF(Main[[#This Row],[Class]]="C",WORKDAY(Main[[#This Row],[Tech Start Date]],9),IF(Main[[#This Row],[Class]]="B", WORKDAY(Main[[#This Row],[Tech Start Date]],6),IF(Main[[#This Row],[Class]]="A",WORKDAY(Main[[#This Row],[Tech Start Date]],2),""))))</f>
        <v/>
      </c>
      <c r="N1118" s="75" t="str">
        <f>IF(Main[[#This Row],[Tech Start Date]]&lt;1/1/1990,"",IF(Main[[#This Row],[Class]]="C",WORKDAY(Main[[#This Row],[Tech Start Date]],19),IF(Main[[#This Row],[Class]]="B", WORKDAY(Main[[#This Row],[Tech Start Date]],12),IF(Main[[#This Row],[Class]]="A",WORKDAY(Main[[#This Row],[Tech Start Date]],4),""))))</f>
        <v/>
      </c>
      <c r="O1118" s="75" t="str">
        <f>IF(Main[[#This Row],[Tech Start Date]]&lt;1/1/1990,"",IF(Main[[#This Row],[Class]]="C",WORKDAY(Main[[#This Row],[Tech Start Date]],23),IF(Main[[#This Row],[Class]]="B", WORKDAY(Main[[#This Row],[Tech Start Date]],15),IF(Main[[#This Row],[Class]]="A",WORKDAY(Main[[#This Row],[Tech Start Date]],5),""))))</f>
        <v/>
      </c>
      <c r="P1118" s="75" t="str">
        <f>IF(Main[[#This Row],[Tech Start Date]]&lt;1/1/1990,"",IF(Main[[#This Row],[Class]]="C",WORKDAY(Main[[#This Row],[Tech Start Date]],28),IF(Main[[#This Row],[Class]]="B", WORKDAY(Main[[#This Row],[Tech Start Date]],19),IF(Main[[#This Row],[Class]]="A",WORKDAY(Main[[#This Row],[Tech Start Date]],9),""))))</f>
        <v/>
      </c>
      <c r="Q1118" s="89">
        <v>40836</v>
      </c>
      <c r="R1118" s="121"/>
      <c r="S1118" s="99" t="s">
        <v>6</v>
      </c>
      <c r="T1118" s="76" t="s">
        <v>4</v>
      </c>
      <c r="U1118" s="99" t="s">
        <v>29</v>
      </c>
      <c r="V1118" s="99" t="s">
        <v>1916</v>
      </c>
      <c r="W1118" s="99" t="s">
        <v>1917</v>
      </c>
      <c r="X1118" s="99" t="s">
        <v>2830</v>
      </c>
      <c r="Y1118" s="73" t="s">
        <v>2959</v>
      </c>
      <c r="Z1118" s="73" t="s">
        <v>30</v>
      </c>
      <c r="AA1118" s="99" t="s">
        <v>2830</v>
      </c>
    </row>
    <row r="1119" spans="1:27" ht="17.25" customHeight="1">
      <c r="A1119" s="65" t="str">
        <f>IF(priority(Main[[#This Row],[Comments]])&lt;&gt;0, priority(Main[[#This Row],[Comments]]),"")</f>
        <v/>
      </c>
      <c r="B1119" s="60" t="s">
        <v>2744</v>
      </c>
      <c r="C1119" s="105" t="s">
        <v>4</v>
      </c>
      <c r="D1119" s="74" t="s">
        <v>2745</v>
      </c>
      <c r="E1119" s="89">
        <v>40883.642361111109</v>
      </c>
      <c r="F1119" s="89"/>
      <c r="G1119" s="65" t="str">
        <f>IF(stdProdLT(Main[[#This Row],[Comments]])=0.1,"N/A",IF(stdProdLT(Main[[#This Row],[Comments]])=0,"",TRIM(stdProdLT(Main[[#This Row],[Comments]]))))</f>
        <v/>
      </c>
      <c r="H1119" s="98" t="str">
        <f>IF(Main[[#This Row],[Std. Prod. Lead Time]]="N/A", "",IF(AND(Main[[#This Row],[In Stock Date]]&lt;&gt;"",Main[[#This Row],[Revised Due Date]]&lt;&gt;"",Main[[#This Row],[In Stock Date]]&lt;&gt;""),Main[[#This Row],[In Stock Date]]-Main[[#This Row],[Revised Due Date]],""))</f>
        <v/>
      </c>
      <c r="I1119" s="110" t="s">
        <v>74</v>
      </c>
      <c r="J1119" s="99" t="s">
        <v>4</v>
      </c>
      <c r="K1119" s="99" t="s">
        <v>1925</v>
      </c>
      <c r="L1119" s="89"/>
      <c r="M1119" s="75" t="str">
        <f>IF(Main[[#This Row],[Tech Start Date]]&lt;1/1/1990,"",IF(Main[[#This Row],[Class]]="C",WORKDAY(Main[[#This Row],[Tech Start Date]],9),IF(Main[[#This Row],[Class]]="B", WORKDAY(Main[[#This Row],[Tech Start Date]],6),IF(Main[[#This Row],[Class]]="A",WORKDAY(Main[[#This Row],[Tech Start Date]],2),""))))</f>
        <v/>
      </c>
      <c r="N1119" s="75" t="str">
        <f>IF(Main[[#This Row],[Tech Start Date]]&lt;1/1/1990,"",IF(Main[[#This Row],[Class]]="C",WORKDAY(Main[[#This Row],[Tech Start Date]],19),IF(Main[[#This Row],[Class]]="B", WORKDAY(Main[[#This Row],[Tech Start Date]],12),IF(Main[[#This Row],[Class]]="A",WORKDAY(Main[[#This Row],[Tech Start Date]],4),""))))</f>
        <v/>
      </c>
      <c r="O1119" s="75" t="str">
        <f>IF(Main[[#This Row],[Tech Start Date]]&lt;1/1/1990,"",IF(Main[[#This Row],[Class]]="C",WORKDAY(Main[[#This Row],[Tech Start Date]],23),IF(Main[[#This Row],[Class]]="B", WORKDAY(Main[[#This Row],[Tech Start Date]],15),IF(Main[[#This Row],[Class]]="A",WORKDAY(Main[[#This Row],[Tech Start Date]],5),""))))</f>
        <v/>
      </c>
      <c r="P1119" s="75" t="str">
        <f>IF(Main[[#This Row],[Tech Start Date]]&lt;1/1/1990,"",IF(Main[[#This Row],[Class]]="C",WORKDAY(Main[[#This Row],[Tech Start Date]],28),IF(Main[[#This Row],[Class]]="B", WORKDAY(Main[[#This Row],[Tech Start Date]],19),IF(Main[[#This Row],[Class]]="A",WORKDAY(Main[[#This Row],[Tech Start Date]],9),""))))</f>
        <v/>
      </c>
      <c r="Q1119" s="89"/>
      <c r="R1119" s="121"/>
      <c r="S1119" s="99" t="s">
        <v>17</v>
      </c>
      <c r="T1119" s="76" t="s">
        <v>4</v>
      </c>
      <c r="U1119" s="99" t="s">
        <v>29</v>
      </c>
      <c r="V1119" s="99" t="s">
        <v>1916</v>
      </c>
      <c r="W1119" s="99" t="s">
        <v>1918</v>
      </c>
      <c r="X1119" s="99" t="s">
        <v>415</v>
      </c>
      <c r="Y1119" s="73" t="s">
        <v>2969</v>
      </c>
      <c r="Z1119" s="73" t="s">
        <v>415</v>
      </c>
      <c r="AA1119" s="99" t="s">
        <v>415</v>
      </c>
    </row>
    <row r="1120" spans="1:27" ht="17.25" customHeight="1">
      <c r="A1120" s="65" t="str">
        <f>IF(priority(Main[[#This Row],[Comments]])&lt;&gt;0, priority(Main[[#This Row],[Comments]]),"")</f>
        <v/>
      </c>
      <c r="B1120" s="60" t="s">
        <v>2500</v>
      </c>
      <c r="C1120" s="105" t="s">
        <v>4</v>
      </c>
      <c r="D1120" s="74" t="s">
        <v>2501</v>
      </c>
      <c r="E1120" s="89">
        <v>40849.455775462964</v>
      </c>
      <c r="F1120" s="89"/>
      <c r="G1120" s="65" t="str">
        <f>IF(stdProdLT(Main[[#This Row],[Comments]])=0.1,"N/A",IF(stdProdLT(Main[[#This Row],[Comments]])=0,"",TRIM(stdProdLT(Main[[#This Row],[Comments]]))))</f>
        <v/>
      </c>
      <c r="H1120" s="98" t="str">
        <f>IF(Main[[#This Row],[Std. Prod. Lead Time]]="N/A", "",IF(AND(Main[[#This Row],[In Stock Date]]&lt;&gt;"",Main[[#This Row],[Revised Due Date]]&lt;&gt;"",Main[[#This Row],[In Stock Date]]&lt;&gt;""),Main[[#This Row],[In Stock Date]]-Main[[#This Row],[Revised Due Date]],""))</f>
        <v/>
      </c>
      <c r="I1120" s="110" t="s">
        <v>69</v>
      </c>
      <c r="J1120" s="99" t="s">
        <v>70</v>
      </c>
      <c r="K1120" s="99" t="s">
        <v>1922</v>
      </c>
      <c r="L1120" s="89"/>
      <c r="M1120" s="75" t="str">
        <f>IF(Main[[#This Row],[Tech Start Date]]&lt;1/1/1990,"",IF(Main[[#This Row],[Class]]="C",WORKDAY(Main[[#This Row],[Tech Start Date]],9),IF(Main[[#This Row],[Class]]="B", WORKDAY(Main[[#This Row],[Tech Start Date]],6),IF(Main[[#This Row],[Class]]="A",WORKDAY(Main[[#This Row],[Tech Start Date]],2),""))))</f>
        <v/>
      </c>
      <c r="N1120" s="75" t="str">
        <f>IF(Main[[#This Row],[Tech Start Date]]&lt;1/1/1990,"",IF(Main[[#This Row],[Class]]="C",WORKDAY(Main[[#This Row],[Tech Start Date]],19),IF(Main[[#This Row],[Class]]="B", WORKDAY(Main[[#This Row],[Tech Start Date]],12),IF(Main[[#This Row],[Class]]="A",WORKDAY(Main[[#This Row],[Tech Start Date]],4),""))))</f>
        <v/>
      </c>
      <c r="O1120" s="75" t="str">
        <f>IF(Main[[#This Row],[Tech Start Date]]&lt;1/1/1990,"",IF(Main[[#This Row],[Class]]="C",WORKDAY(Main[[#This Row],[Tech Start Date]],23),IF(Main[[#This Row],[Class]]="B", WORKDAY(Main[[#This Row],[Tech Start Date]],15),IF(Main[[#This Row],[Class]]="A",WORKDAY(Main[[#This Row],[Tech Start Date]],5),""))))</f>
        <v/>
      </c>
      <c r="P1120" s="75" t="str">
        <f>IF(Main[[#This Row],[Tech Start Date]]&lt;1/1/1990,"",IF(Main[[#This Row],[Class]]="C",WORKDAY(Main[[#This Row],[Tech Start Date]],28),IF(Main[[#This Row],[Class]]="B", WORKDAY(Main[[#This Row],[Tech Start Date]],19),IF(Main[[#This Row],[Class]]="A",WORKDAY(Main[[#This Row],[Tech Start Date]],9),""))))</f>
        <v/>
      </c>
      <c r="Q1120" s="89">
        <v>40879</v>
      </c>
      <c r="R1120" s="121"/>
      <c r="S1120" s="99" t="s">
        <v>6</v>
      </c>
      <c r="T1120" s="76" t="s">
        <v>4</v>
      </c>
      <c r="U1120" s="99" t="s">
        <v>29</v>
      </c>
      <c r="V1120" s="99" t="s">
        <v>1916</v>
      </c>
      <c r="W1120" s="99" t="s">
        <v>1917</v>
      </c>
      <c r="X1120" s="99" t="s">
        <v>2897</v>
      </c>
      <c r="Y1120" s="73" t="s">
        <v>3077</v>
      </c>
      <c r="Z1120" s="73" t="s">
        <v>30</v>
      </c>
      <c r="AA1120" s="99" t="s">
        <v>2897</v>
      </c>
    </row>
    <row r="1121" spans="1:27" ht="17.25" customHeight="1">
      <c r="A1121" s="65" t="str">
        <f>IF(priority(Main[[#This Row],[Comments]])&lt;&gt;0, priority(Main[[#This Row],[Comments]]),"")</f>
        <v/>
      </c>
      <c r="B1121" s="60" t="s">
        <v>3212</v>
      </c>
      <c r="C1121" s="105" t="s">
        <v>4</v>
      </c>
      <c r="D1121" s="74" t="s">
        <v>3213</v>
      </c>
      <c r="E1121" s="89">
        <v>40924.459930555553</v>
      </c>
      <c r="F1121" s="89"/>
      <c r="G1121" s="65" t="str">
        <f>IF(stdProdLT(Main[[#This Row],[Comments]])=0.1,"N/A",IF(stdProdLT(Main[[#This Row],[Comments]])=0,"",TRIM(stdProdLT(Main[[#This Row],[Comments]]))))</f>
        <v/>
      </c>
      <c r="H1121" s="98" t="str">
        <f>IF(Main[[#This Row],[Std. Prod. Lead Time]]="N/A", "",IF(AND(Main[[#This Row],[In Stock Date]]&lt;&gt;"",Main[[#This Row],[Revised Due Date]]&lt;&gt;"",Main[[#This Row],[In Stock Date]]&lt;&gt;""),Main[[#This Row],[In Stock Date]]-Main[[#This Row],[Revised Due Date]],""))</f>
        <v/>
      </c>
      <c r="I1121" s="110" t="s">
        <v>4</v>
      </c>
      <c r="J1121" s="99" t="s">
        <v>28</v>
      </c>
      <c r="K1121" s="99" t="s">
        <v>4</v>
      </c>
      <c r="L1121" s="89"/>
      <c r="M1121" s="75" t="str">
        <f>IF(Main[[#This Row],[Tech Start Date]]&lt;1/1/1990,"",IF(Main[[#This Row],[Class]]="C",WORKDAY(Main[[#This Row],[Tech Start Date]],9),IF(Main[[#This Row],[Class]]="B", WORKDAY(Main[[#This Row],[Tech Start Date]],6),IF(Main[[#This Row],[Class]]="A",WORKDAY(Main[[#This Row],[Tech Start Date]],2),""))))</f>
        <v/>
      </c>
      <c r="N1121" s="75" t="str">
        <f>IF(Main[[#This Row],[Tech Start Date]]&lt;1/1/1990,"",IF(Main[[#This Row],[Class]]="C",WORKDAY(Main[[#This Row],[Tech Start Date]],19),IF(Main[[#This Row],[Class]]="B", WORKDAY(Main[[#This Row],[Tech Start Date]],12),IF(Main[[#This Row],[Class]]="A",WORKDAY(Main[[#This Row],[Tech Start Date]],4),""))))</f>
        <v/>
      </c>
      <c r="O1121" s="75" t="str">
        <f>IF(Main[[#This Row],[Tech Start Date]]&lt;1/1/1990,"",IF(Main[[#This Row],[Class]]="C",WORKDAY(Main[[#This Row],[Tech Start Date]],23),IF(Main[[#This Row],[Class]]="B", WORKDAY(Main[[#This Row],[Tech Start Date]],15),IF(Main[[#This Row],[Class]]="A",WORKDAY(Main[[#This Row],[Tech Start Date]],5),""))))</f>
        <v/>
      </c>
      <c r="P1121" s="75" t="str">
        <f>IF(Main[[#This Row],[Tech Start Date]]&lt;1/1/1990,"",IF(Main[[#This Row],[Class]]="C",WORKDAY(Main[[#This Row],[Tech Start Date]],28),IF(Main[[#This Row],[Class]]="B", WORKDAY(Main[[#This Row],[Tech Start Date]],19),IF(Main[[#This Row],[Class]]="A",WORKDAY(Main[[#This Row],[Tech Start Date]],9),""))))</f>
        <v/>
      </c>
      <c r="Q1121" s="89"/>
      <c r="R1121" s="121"/>
      <c r="S1121" s="99" t="s">
        <v>6</v>
      </c>
      <c r="T1121" s="76" t="s">
        <v>4</v>
      </c>
      <c r="U1121" s="99" t="s">
        <v>29</v>
      </c>
      <c r="V1121" s="99" t="s">
        <v>1916</v>
      </c>
      <c r="W1121" s="99" t="s">
        <v>1917</v>
      </c>
      <c r="X1121" s="99" t="s">
        <v>102</v>
      </c>
      <c r="Y1121" s="73" t="s">
        <v>3214</v>
      </c>
      <c r="Z1121" s="73" t="s">
        <v>30</v>
      </c>
      <c r="AA1121" s="99" t="s">
        <v>3449</v>
      </c>
    </row>
    <row r="1122" spans="1:27" ht="17.25" customHeight="1">
      <c r="A1122" s="65" t="str">
        <f>IF(priority(Main[[#This Row],[Comments]])&lt;&gt;0, priority(Main[[#This Row],[Comments]]),"")</f>
        <v/>
      </c>
      <c r="B1122" s="60" t="s">
        <v>3532</v>
      </c>
      <c r="C1122" s="105" t="s">
        <v>4</v>
      </c>
      <c r="D1122" s="74" t="s">
        <v>3636</v>
      </c>
      <c r="E1122" s="89">
        <v>40948.438587962963</v>
      </c>
      <c r="F1122" s="89"/>
      <c r="G1122" s="65" t="str">
        <f>IF(stdProdLT(Main[[#This Row],[Comments]])=0.1,"N/A",IF(stdProdLT(Main[[#This Row],[Comments]])=0,"",TRIM(stdProdLT(Main[[#This Row],[Comments]]))))</f>
        <v/>
      </c>
      <c r="H1122" s="98" t="str">
        <f>IF(Main[[#This Row],[Std. Prod. Lead Time]]="N/A", "",IF(AND(Main[[#This Row],[In Stock Date]]&lt;&gt;"",Main[[#This Row],[Revised Due Date]]&lt;&gt;"",Main[[#This Row],[In Stock Date]]&lt;&gt;""),Main[[#This Row],[In Stock Date]]-Main[[#This Row],[Revised Due Date]],""))</f>
        <v/>
      </c>
      <c r="I1122" s="110" t="s">
        <v>4</v>
      </c>
      <c r="J1122" s="99" t="s">
        <v>4</v>
      </c>
      <c r="K1122" s="99" t="s">
        <v>4</v>
      </c>
      <c r="L1122" s="89"/>
      <c r="M1122" s="75" t="str">
        <f>IF(Main[[#This Row],[Tech Start Date]]&lt;1/1/1990,"",IF(Main[[#This Row],[Class]]="C",WORKDAY(Main[[#This Row],[Tech Start Date]],9),IF(Main[[#This Row],[Class]]="B", WORKDAY(Main[[#This Row],[Tech Start Date]],6),IF(Main[[#This Row],[Class]]="A",WORKDAY(Main[[#This Row],[Tech Start Date]],2),""))))</f>
        <v/>
      </c>
      <c r="N1122" s="75" t="str">
        <f>IF(Main[[#This Row],[Tech Start Date]]&lt;1/1/1990,"",IF(Main[[#This Row],[Class]]="C",WORKDAY(Main[[#This Row],[Tech Start Date]],19),IF(Main[[#This Row],[Class]]="B", WORKDAY(Main[[#This Row],[Tech Start Date]],12),IF(Main[[#This Row],[Class]]="A",WORKDAY(Main[[#This Row],[Tech Start Date]],4),""))))</f>
        <v/>
      </c>
      <c r="O1122" s="75" t="str">
        <f>IF(Main[[#This Row],[Tech Start Date]]&lt;1/1/1990,"",IF(Main[[#This Row],[Class]]="C",WORKDAY(Main[[#This Row],[Tech Start Date]],23),IF(Main[[#This Row],[Class]]="B", WORKDAY(Main[[#This Row],[Tech Start Date]],15),IF(Main[[#This Row],[Class]]="A",WORKDAY(Main[[#This Row],[Tech Start Date]],5),""))))</f>
        <v/>
      </c>
      <c r="P1122" s="75" t="str">
        <f>IF(Main[[#This Row],[Tech Start Date]]&lt;1/1/1990,"",IF(Main[[#This Row],[Class]]="C",WORKDAY(Main[[#This Row],[Tech Start Date]],28),IF(Main[[#This Row],[Class]]="B", WORKDAY(Main[[#This Row],[Tech Start Date]],19),IF(Main[[#This Row],[Class]]="A",WORKDAY(Main[[#This Row],[Tech Start Date]],9),""))))</f>
        <v/>
      </c>
      <c r="Q1122" s="89"/>
      <c r="R1122" s="121"/>
      <c r="S1122" s="99" t="s">
        <v>6</v>
      </c>
      <c r="T1122" s="76" t="s">
        <v>4</v>
      </c>
      <c r="U1122" s="99" t="s">
        <v>29</v>
      </c>
      <c r="V1122" s="99" t="s">
        <v>1913</v>
      </c>
      <c r="W1122" s="99" t="s">
        <v>1917</v>
      </c>
      <c r="X1122" s="99" t="s">
        <v>102</v>
      </c>
      <c r="Y1122" s="73" t="s">
        <v>3074</v>
      </c>
      <c r="Z1122" s="73" t="s">
        <v>4</v>
      </c>
      <c r="AA1122" s="99" t="s">
        <v>3416</v>
      </c>
    </row>
    <row r="1123" spans="1:27" ht="17.25" customHeight="1">
      <c r="A1123" s="65" t="str">
        <f>IF(priority(Main[[#This Row],[Comments]])&lt;&gt;0, priority(Main[[#This Row],[Comments]]),"")</f>
        <v/>
      </c>
      <c r="B1123" s="60" t="s">
        <v>3277</v>
      </c>
      <c r="C1123" s="105" t="s">
        <v>4</v>
      </c>
      <c r="D1123" s="74" t="s">
        <v>3278</v>
      </c>
      <c r="E1123" s="89">
        <v>40933.367569444446</v>
      </c>
      <c r="F1123" s="89"/>
      <c r="G1123" s="65" t="str">
        <f>IF(stdProdLT(Main[[#This Row],[Comments]])=0.1,"N/A",IF(stdProdLT(Main[[#This Row],[Comments]])=0,"",TRIM(stdProdLT(Main[[#This Row],[Comments]]))))</f>
        <v/>
      </c>
      <c r="H1123" s="98" t="str">
        <f>IF(Main[[#This Row],[Std. Prod. Lead Time]]="N/A", "",IF(AND(Main[[#This Row],[In Stock Date]]&lt;&gt;"",Main[[#This Row],[Revised Due Date]]&lt;&gt;"",Main[[#This Row],[In Stock Date]]&lt;&gt;""),Main[[#This Row],[In Stock Date]]-Main[[#This Row],[Revised Due Date]],""))</f>
        <v/>
      </c>
      <c r="I1123" s="110" t="s">
        <v>530</v>
      </c>
      <c r="J1123" s="99" t="s">
        <v>52</v>
      </c>
      <c r="K1123" s="99" t="s">
        <v>1922</v>
      </c>
      <c r="L1123" s="89"/>
      <c r="M1123" s="75" t="str">
        <f>IF(Main[[#This Row],[Tech Start Date]]&lt;1/1/1990,"",IF(Main[[#This Row],[Class]]="C",WORKDAY(Main[[#This Row],[Tech Start Date]],9),IF(Main[[#This Row],[Class]]="B", WORKDAY(Main[[#This Row],[Tech Start Date]],6),IF(Main[[#This Row],[Class]]="A",WORKDAY(Main[[#This Row],[Tech Start Date]],2),""))))</f>
        <v/>
      </c>
      <c r="N1123" s="75" t="str">
        <f>IF(Main[[#This Row],[Tech Start Date]]&lt;1/1/1990,"",IF(Main[[#This Row],[Class]]="C",WORKDAY(Main[[#This Row],[Tech Start Date]],19),IF(Main[[#This Row],[Class]]="B", WORKDAY(Main[[#This Row],[Tech Start Date]],12),IF(Main[[#This Row],[Class]]="A",WORKDAY(Main[[#This Row],[Tech Start Date]],4),""))))</f>
        <v/>
      </c>
      <c r="O1123" s="75" t="str">
        <f>IF(Main[[#This Row],[Tech Start Date]]&lt;1/1/1990,"",IF(Main[[#This Row],[Class]]="C",WORKDAY(Main[[#This Row],[Tech Start Date]],23),IF(Main[[#This Row],[Class]]="B", WORKDAY(Main[[#This Row],[Tech Start Date]],15),IF(Main[[#This Row],[Class]]="A",WORKDAY(Main[[#This Row],[Tech Start Date]],5),""))))</f>
        <v/>
      </c>
      <c r="P1123" s="75" t="str">
        <f>IF(Main[[#This Row],[Tech Start Date]]&lt;1/1/1990,"",IF(Main[[#This Row],[Class]]="C",WORKDAY(Main[[#This Row],[Tech Start Date]],28),IF(Main[[#This Row],[Class]]="B", WORKDAY(Main[[#This Row],[Tech Start Date]],19),IF(Main[[#This Row],[Class]]="A",WORKDAY(Main[[#This Row],[Tech Start Date]],9),""))))</f>
        <v/>
      </c>
      <c r="Q1123" s="89"/>
      <c r="R1123" s="121"/>
      <c r="S1123" s="99" t="s">
        <v>6</v>
      </c>
      <c r="T1123" s="76" t="s">
        <v>4</v>
      </c>
      <c r="U1123" s="99" t="s">
        <v>29</v>
      </c>
      <c r="V1123" s="99" t="s">
        <v>1916</v>
      </c>
      <c r="W1123" s="99" t="s">
        <v>1917</v>
      </c>
      <c r="X1123" s="99" t="s">
        <v>2860</v>
      </c>
      <c r="Y1123" s="73" t="s">
        <v>2994</v>
      </c>
      <c r="Z1123" s="73" t="s">
        <v>30</v>
      </c>
      <c r="AA1123" s="99" t="s">
        <v>2860</v>
      </c>
    </row>
    <row r="1124" spans="1:27" ht="17.25" customHeight="1">
      <c r="A1124" s="65" t="str">
        <f>IF(priority(Main[[#This Row],[Comments]])&lt;&gt;0, priority(Main[[#This Row],[Comments]]),"")</f>
        <v/>
      </c>
      <c r="B1124" s="60" t="s">
        <v>2719</v>
      </c>
      <c r="C1124" s="105" t="s">
        <v>4</v>
      </c>
      <c r="D1124" s="74" t="s">
        <v>3203</v>
      </c>
      <c r="E1124" s="89">
        <v>40899.185671296298</v>
      </c>
      <c r="F1124" s="89"/>
      <c r="G1124" s="65" t="str">
        <f>IF(stdProdLT(Main[[#This Row],[Comments]])=0.1,"N/A",IF(stdProdLT(Main[[#This Row],[Comments]])=0,"",TRIM(stdProdLT(Main[[#This Row],[Comments]]))))</f>
        <v/>
      </c>
      <c r="H1124" s="98" t="str">
        <f>IF(Main[[#This Row],[Std. Prod. Lead Time]]="N/A", "",IF(AND(Main[[#This Row],[In Stock Date]]&lt;&gt;"",Main[[#This Row],[Revised Due Date]]&lt;&gt;"",Main[[#This Row],[In Stock Date]]&lt;&gt;""),Main[[#This Row],[In Stock Date]]-Main[[#This Row],[Revised Due Date]],""))</f>
        <v/>
      </c>
      <c r="I1124" s="110" t="s">
        <v>69</v>
      </c>
      <c r="J1124" s="99" t="s">
        <v>28</v>
      </c>
      <c r="K1124" s="99" t="s">
        <v>1922</v>
      </c>
      <c r="L1124" s="89"/>
      <c r="M1124" s="75" t="str">
        <f>IF(Main[[#This Row],[Tech Start Date]]&lt;1/1/1990,"",IF(Main[[#This Row],[Class]]="C",WORKDAY(Main[[#This Row],[Tech Start Date]],9),IF(Main[[#This Row],[Class]]="B", WORKDAY(Main[[#This Row],[Tech Start Date]],6),IF(Main[[#This Row],[Class]]="A",WORKDAY(Main[[#This Row],[Tech Start Date]],2),""))))</f>
        <v/>
      </c>
      <c r="N1124" s="75" t="str">
        <f>IF(Main[[#This Row],[Tech Start Date]]&lt;1/1/1990,"",IF(Main[[#This Row],[Class]]="C",WORKDAY(Main[[#This Row],[Tech Start Date]],19),IF(Main[[#This Row],[Class]]="B", WORKDAY(Main[[#This Row],[Tech Start Date]],12),IF(Main[[#This Row],[Class]]="A",WORKDAY(Main[[#This Row],[Tech Start Date]],4),""))))</f>
        <v/>
      </c>
      <c r="O1124" s="75" t="str">
        <f>IF(Main[[#This Row],[Tech Start Date]]&lt;1/1/1990,"",IF(Main[[#This Row],[Class]]="C",WORKDAY(Main[[#This Row],[Tech Start Date]],23),IF(Main[[#This Row],[Class]]="B", WORKDAY(Main[[#This Row],[Tech Start Date]],15),IF(Main[[#This Row],[Class]]="A",WORKDAY(Main[[#This Row],[Tech Start Date]],5),""))))</f>
        <v/>
      </c>
      <c r="P1124" s="75" t="str">
        <f>IF(Main[[#This Row],[Tech Start Date]]&lt;1/1/1990,"",IF(Main[[#This Row],[Class]]="C",WORKDAY(Main[[#This Row],[Tech Start Date]],28),IF(Main[[#This Row],[Class]]="B", WORKDAY(Main[[#This Row],[Tech Start Date]],19),IF(Main[[#This Row],[Class]]="A",WORKDAY(Main[[#This Row],[Tech Start Date]],9),""))))</f>
        <v/>
      </c>
      <c r="Q1124" s="89">
        <v>40931</v>
      </c>
      <c r="R1124" s="121"/>
      <c r="S1124" s="99" t="s">
        <v>6</v>
      </c>
      <c r="T1124" s="76" t="s">
        <v>4</v>
      </c>
      <c r="U1124" s="99" t="s">
        <v>29</v>
      </c>
      <c r="V1124" s="99" t="s">
        <v>1916</v>
      </c>
      <c r="W1124" s="99" t="s">
        <v>1917</v>
      </c>
      <c r="X1124" s="99" t="s">
        <v>2816</v>
      </c>
      <c r="Y1124" s="73" t="s">
        <v>2932</v>
      </c>
      <c r="Z1124" s="73" t="s">
        <v>30</v>
      </c>
      <c r="AA1124" s="99" t="s">
        <v>2816</v>
      </c>
    </row>
    <row r="1125" spans="1:27" ht="17.25" customHeight="1">
      <c r="A1125" s="65" t="str">
        <f>IF(priority(Main[[#This Row],[Comments]])&lt;&gt;0, priority(Main[[#This Row],[Comments]]),"")</f>
        <v/>
      </c>
      <c r="B1125" s="60" t="s">
        <v>2680</v>
      </c>
      <c r="C1125" s="105" t="s">
        <v>4</v>
      </c>
      <c r="D1125" s="74" t="s">
        <v>2681</v>
      </c>
      <c r="E1125" s="89">
        <v>40890.683576388888</v>
      </c>
      <c r="F1125" s="89"/>
      <c r="G1125" s="65" t="str">
        <f>IF(stdProdLT(Main[[#This Row],[Comments]])=0.1,"N/A",IF(stdProdLT(Main[[#This Row],[Comments]])=0,"",TRIM(stdProdLT(Main[[#This Row],[Comments]]))))</f>
        <v/>
      </c>
      <c r="H1125" s="98" t="str">
        <f>IF(Main[[#This Row],[Std. Prod. Lead Time]]="N/A", "",IF(AND(Main[[#This Row],[In Stock Date]]&lt;&gt;"",Main[[#This Row],[Revised Due Date]]&lt;&gt;"",Main[[#This Row],[In Stock Date]]&lt;&gt;""),Main[[#This Row],[In Stock Date]]-Main[[#This Row],[Revised Due Date]],""))</f>
        <v/>
      </c>
      <c r="I1125" s="110" t="s">
        <v>239</v>
      </c>
      <c r="J1125" s="99" t="s">
        <v>21</v>
      </c>
      <c r="K1125" s="99" t="s">
        <v>1922</v>
      </c>
      <c r="L1125" s="89"/>
      <c r="M1125" s="75" t="str">
        <f>IF(Main[[#This Row],[Tech Start Date]]&lt;1/1/1990,"",IF(Main[[#This Row],[Class]]="C",WORKDAY(Main[[#This Row],[Tech Start Date]],9),IF(Main[[#This Row],[Class]]="B", WORKDAY(Main[[#This Row],[Tech Start Date]],6),IF(Main[[#This Row],[Class]]="A",WORKDAY(Main[[#This Row],[Tech Start Date]],2),""))))</f>
        <v/>
      </c>
      <c r="N1125" s="75" t="str">
        <f>IF(Main[[#This Row],[Tech Start Date]]&lt;1/1/1990,"",IF(Main[[#This Row],[Class]]="C",WORKDAY(Main[[#This Row],[Tech Start Date]],19),IF(Main[[#This Row],[Class]]="B", WORKDAY(Main[[#This Row],[Tech Start Date]],12),IF(Main[[#This Row],[Class]]="A",WORKDAY(Main[[#This Row],[Tech Start Date]],4),""))))</f>
        <v/>
      </c>
      <c r="O1125" s="75" t="str">
        <f>IF(Main[[#This Row],[Tech Start Date]]&lt;1/1/1990,"",IF(Main[[#This Row],[Class]]="C",WORKDAY(Main[[#This Row],[Tech Start Date]],23),IF(Main[[#This Row],[Class]]="B", WORKDAY(Main[[#This Row],[Tech Start Date]],15),IF(Main[[#This Row],[Class]]="A",WORKDAY(Main[[#This Row],[Tech Start Date]],5),""))))</f>
        <v/>
      </c>
      <c r="P1125" s="75" t="str">
        <f>IF(Main[[#This Row],[Tech Start Date]]&lt;1/1/1990,"",IF(Main[[#This Row],[Class]]="C",WORKDAY(Main[[#This Row],[Tech Start Date]],28),IF(Main[[#This Row],[Class]]="B", WORKDAY(Main[[#This Row],[Tech Start Date]],19),IF(Main[[#This Row],[Class]]="A",WORKDAY(Main[[#This Row],[Tech Start Date]],9),""))))</f>
        <v/>
      </c>
      <c r="Q1125" s="89">
        <v>40939</v>
      </c>
      <c r="R1125" s="121"/>
      <c r="S1125" s="99" t="s">
        <v>6</v>
      </c>
      <c r="T1125" s="76" t="s">
        <v>4</v>
      </c>
      <c r="U1125" s="99" t="s">
        <v>29</v>
      </c>
      <c r="V1125" s="99" t="s">
        <v>1916</v>
      </c>
      <c r="W1125" s="99" t="s">
        <v>1917</v>
      </c>
      <c r="X1125" s="99" t="s">
        <v>765</v>
      </c>
      <c r="Y1125" s="73" t="s">
        <v>2929</v>
      </c>
      <c r="Z1125" s="73" t="s">
        <v>30</v>
      </c>
      <c r="AA1125" s="99" t="s">
        <v>765</v>
      </c>
    </row>
    <row r="1126" spans="1:27" ht="17.25" customHeight="1">
      <c r="A1126" s="65" t="str">
        <f>IF(priority(Main[[#This Row],[Comments]])&lt;&gt;0, priority(Main[[#This Row],[Comments]]),"")</f>
        <v/>
      </c>
      <c r="B1126" s="60" t="s">
        <v>2095</v>
      </c>
      <c r="C1126" s="105" t="s">
        <v>4</v>
      </c>
      <c r="D1126" s="74" t="s">
        <v>3262</v>
      </c>
      <c r="E1126" s="89">
        <v>40763.171296296299</v>
      </c>
      <c r="F1126" s="89"/>
      <c r="G1126" s="65" t="str">
        <f>IF(stdProdLT(Main[[#This Row],[Comments]])=0.1,"N/A",IF(stdProdLT(Main[[#This Row],[Comments]])=0,"",TRIM(stdProdLT(Main[[#This Row],[Comments]]))))</f>
        <v/>
      </c>
      <c r="H1126" s="98" t="str">
        <f>IF(Main[[#This Row],[Std. Prod. Lead Time]]="N/A", "",IF(AND(Main[[#This Row],[In Stock Date]]&lt;&gt;"",Main[[#This Row],[Revised Due Date]]&lt;&gt;"",Main[[#This Row],[In Stock Date]]&lt;&gt;""),Main[[#This Row],[In Stock Date]]-Main[[#This Row],[Revised Due Date]],""))</f>
        <v/>
      </c>
      <c r="I1126" s="110" t="s">
        <v>530</v>
      </c>
      <c r="J1126" s="99" t="s">
        <v>3263</v>
      </c>
      <c r="K1126" s="99" t="s">
        <v>1922</v>
      </c>
      <c r="L1126" s="89"/>
      <c r="M1126" s="75" t="str">
        <f>IF(Main[[#This Row],[Tech Start Date]]&lt;1/1/1990,"",IF(Main[[#This Row],[Class]]="C",WORKDAY(Main[[#This Row],[Tech Start Date]],9),IF(Main[[#This Row],[Class]]="B", WORKDAY(Main[[#This Row],[Tech Start Date]],6),IF(Main[[#This Row],[Class]]="A",WORKDAY(Main[[#This Row],[Tech Start Date]],2),""))))</f>
        <v/>
      </c>
      <c r="N1126" s="75" t="str">
        <f>IF(Main[[#This Row],[Tech Start Date]]&lt;1/1/1990,"",IF(Main[[#This Row],[Class]]="C",WORKDAY(Main[[#This Row],[Tech Start Date]],19),IF(Main[[#This Row],[Class]]="B", WORKDAY(Main[[#This Row],[Tech Start Date]],12),IF(Main[[#This Row],[Class]]="A",WORKDAY(Main[[#This Row],[Tech Start Date]],4),""))))</f>
        <v/>
      </c>
      <c r="O1126" s="75" t="str">
        <f>IF(Main[[#This Row],[Tech Start Date]]&lt;1/1/1990,"",IF(Main[[#This Row],[Class]]="C",WORKDAY(Main[[#This Row],[Tech Start Date]],23),IF(Main[[#This Row],[Class]]="B", WORKDAY(Main[[#This Row],[Tech Start Date]],15),IF(Main[[#This Row],[Class]]="A",WORKDAY(Main[[#This Row],[Tech Start Date]],5),""))))</f>
        <v/>
      </c>
      <c r="P1126" s="75" t="str">
        <f>IF(Main[[#This Row],[Tech Start Date]]&lt;1/1/1990,"",IF(Main[[#This Row],[Class]]="C",WORKDAY(Main[[#This Row],[Tech Start Date]],28),IF(Main[[#This Row],[Class]]="B", WORKDAY(Main[[#This Row],[Tech Start Date]],19),IF(Main[[#This Row],[Class]]="A",WORKDAY(Main[[#This Row],[Tech Start Date]],9),""))))</f>
        <v/>
      </c>
      <c r="Q1126" s="89">
        <v>40784</v>
      </c>
      <c r="R1126" s="121"/>
      <c r="S1126" s="99" t="s">
        <v>6</v>
      </c>
      <c r="T1126" s="76" t="s">
        <v>4</v>
      </c>
      <c r="U1126" s="99" t="s">
        <v>29</v>
      </c>
      <c r="V1126" s="99" t="s">
        <v>1916</v>
      </c>
      <c r="W1126" s="99" t="s">
        <v>1917</v>
      </c>
      <c r="X1126" s="99" t="s">
        <v>2845</v>
      </c>
      <c r="Y1126" s="73" t="s">
        <v>2980</v>
      </c>
      <c r="Z1126" s="73" t="s">
        <v>30</v>
      </c>
      <c r="AA1126" s="99" t="s">
        <v>2845</v>
      </c>
    </row>
    <row r="1127" spans="1:27" ht="17.25" customHeight="1">
      <c r="A1127" s="65" t="str">
        <f>IF(priority(Main[[#This Row],[Comments]])&lt;&gt;0, priority(Main[[#This Row],[Comments]]),"")</f>
        <v/>
      </c>
      <c r="B1127" s="60" t="s">
        <v>2449</v>
      </c>
      <c r="C1127" s="105" t="s">
        <v>4</v>
      </c>
      <c r="D1127" s="74" t="s">
        <v>2450</v>
      </c>
      <c r="E1127" s="89"/>
      <c r="F1127" s="89"/>
      <c r="G1127" s="65" t="str">
        <f>IF(stdProdLT(Main[[#This Row],[Comments]])=0.1,"N/A",IF(stdProdLT(Main[[#This Row],[Comments]])=0,"",TRIM(stdProdLT(Main[[#This Row],[Comments]]))))</f>
        <v/>
      </c>
      <c r="H1127" s="98" t="str">
        <f>IF(Main[[#This Row],[Std. Prod. Lead Time]]="N/A", "",IF(AND(Main[[#This Row],[In Stock Date]]&lt;&gt;"",Main[[#This Row],[Revised Due Date]]&lt;&gt;"",Main[[#This Row],[In Stock Date]]&lt;&gt;""),Main[[#This Row],[In Stock Date]]-Main[[#This Row],[Revised Due Date]],""))</f>
        <v/>
      </c>
      <c r="I1127" s="110" t="s">
        <v>530</v>
      </c>
      <c r="J1127" s="99" t="s">
        <v>28</v>
      </c>
      <c r="K1127" s="99" t="s">
        <v>1922</v>
      </c>
      <c r="L1127" s="89"/>
      <c r="M1127" s="75" t="str">
        <f>IF(Main[[#This Row],[Tech Start Date]]&lt;1/1/1990,"",IF(Main[[#This Row],[Class]]="C",WORKDAY(Main[[#This Row],[Tech Start Date]],9),IF(Main[[#This Row],[Class]]="B", WORKDAY(Main[[#This Row],[Tech Start Date]],6),IF(Main[[#This Row],[Class]]="A",WORKDAY(Main[[#This Row],[Tech Start Date]],2),""))))</f>
        <v/>
      </c>
      <c r="N1127" s="75" t="str">
        <f>IF(Main[[#This Row],[Tech Start Date]]&lt;1/1/1990,"",IF(Main[[#This Row],[Class]]="C",WORKDAY(Main[[#This Row],[Tech Start Date]],19),IF(Main[[#This Row],[Class]]="B", WORKDAY(Main[[#This Row],[Tech Start Date]],12),IF(Main[[#This Row],[Class]]="A",WORKDAY(Main[[#This Row],[Tech Start Date]],4),""))))</f>
        <v/>
      </c>
      <c r="O1127" s="75" t="str">
        <f>IF(Main[[#This Row],[Tech Start Date]]&lt;1/1/1990,"",IF(Main[[#This Row],[Class]]="C",WORKDAY(Main[[#This Row],[Tech Start Date]],23),IF(Main[[#This Row],[Class]]="B", WORKDAY(Main[[#This Row],[Tech Start Date]],15),IF(Main[[#This Row],[Class]]="A",WORKDAY(Main[[#This Row],[Tech Start Date]],5),""))))</f>
        <v/>
      </c>
      <c r="P1127" s="75" t="str">
        <f>IF(Main[[#This Row],[Tech Start Date]]&lt;1/1/1990,"",IF(Main[[#This Row],[Class]]="C",WORKDAY(Main[[#This Row],[Tech Start Date]],28),IF(Main[[#This Row],[Class]]="B", WORKDAY(Main[[#This Row],[Tech Start Date]],19),IF(Main[[#This Row],[Class]]="A",WORKDAY(Main[[#This Row],[Tech Start Date]],9),""))))</f>
        <v/>
      </c>
      <c r="Q1127" s="89">
        <v>40954</v>
      </c>
      <c r="R1127" s="121"/>
      <c r="S1127" s="99" t="s">
        <v>6</v>
      </c>
      <c r="T1127" s="76" t="s">
        <v>4</v>
      </c>
      <c r="U1127" s="99" t="s">
        <v>14</v>
      </c>
      <c r="V1127" s="99" t="s">
        <v>1916</v>
      </c>
      <c r="W1127" s="99" t="s">
        <v>1917</v>
      </c>
      <c r="X1127" s="99" t="s">
        <v>553</v>
      </c>
      <c r="Y1127" s="73" t="s">
        <v>2946</v>
      </c>
      <c r="Z1127" s="73" t="s">
        <v>30</v>
      </c>
      <c r="AA1127" s="99" t="s">
        <v>553</v>
      </c>
    </row>
    <row r="1128" spans="1:27" ht="17.25" customHeight="1">
      <c r="A1128" s="65" t="str">
        <f>IF(priority(Main[[#This Row],[Comments]])&lt;&gt;0, priority(Main[[#This Row],[Comments]]),"")</f>
        <v/>
      </c>
      <c r="B1128" s="60" t="s">
        <v>2451</v>
      </c>
      <c r="C1128" s="105" t="s">
        <v>113</v>
      </c>
      <c r="D1128" s="74" t="s">
        <v>2452</v>
      </c>
      <c r="E1128" s="89"/>
      <c r="F1128" s="89">
        <v>40841</v>
      </c>
      <c r="G1128" s="65" t="str">
        <f>IF(stdProdLT(Main[[#This Row],[Comments]])=0.1,"N/A",IF(stdProdLT(Main[[#This Row],[Comments]])=0,"",TRIM(stdProdLT(Main[[#This Row],[Comments]]))))</f>
        <v/>
      </c>
      <c r="H1128" s="98" t="str">
        <f>IF(Main[[#This Row],[Std. Prod. Lead Time]]="N/A", "",IF(AND(Main[[#This Row],[In Stock Date]]&lt;&gt;"",Main[[#This Row],[Revised Due Date]]&lt;&gt;"",Main[[#This Row],[In Stock Date]]&lt;&gt;""),Main[[#This Row],[In Stock Date]]-Main[[#This Row],[Revised Due Date]],""))</f>
        <v/>
      </c>
      <c r="I1128" s="110" t="s">
        <v>4</v>
      </c>
      <c r="J1128" s="99" t="s">
        <v>4</v>
      </c>
      <c r="K1128" s="99" t="s">
        <v>4</v>
      </c>
      <c r="L1128" s="89"/>
      <c r="M1128" s="75" t="str">
        <f>IF(Main[[#This Row],[Tech Start Date]]&lt;1/1/1990,"",IF(Main[[#This Row],[Class]]="C",WORKDAY(Main[[#This Row],[Tech Start Date]],9),IF(Main[[#This Row],[Class]]="B", WORKDAY(Main[[#This Row],[Tech Start Date]],6),IF(Main[[#This Row],[Class]]="A",WORKDAY(Main[[#This Row],[Tech Start Date]],2),""))))</f>
        <v/>
      </c>
      <c r="N1128" s="75" t="str">
        <f>IF(Main[[#This Row],[Tech Start Date]]&lt;1/1/1990,"",IF(Main[[#This Row],[Class]]="C",WORKDAY(Main[[#This Row],[Tech Start Date]],19),IF(Main[[#This Row],[Class]]="B", WORKDAY(Main[[#This Row],[Tech Start Date]],12),IF(Main[[#This Row],[Class]]="A",WORKDAY(Main[[#This Row],[Tech Start Date]],4),""))))</f>
        <v/>
      </c>
      <c r="O1128" s="75" t="str">
        <f>IF(Main[[#This Row],[Tech Start Date]]&lt;1/1/1990,"",IF(Main[[#This Row],[Class]]="C",WORKDAY(Main[[#This Row],[Tech Start Date]],23),IF(Main[[#This Row],[Class]]="B", WORKDAY(Main[[#This Row],[Tech Start Date]],15),IF(Main[[#This Row],[Class]]="A",WORKDAY(Main[[#This Row],[Tech Start Date]],5),""))))</f>
        <v/>
      </c>
      <c r="P1128" s="75" t="str">
        <f>IF(Main[[#This Row],[Tech Start Date]]&lt;1/1/1990,"",IF(Main[[#This Row],[Class]]="C",WORKDAY(Main[[#This Row],[Tech Start Date]],28),IF(Main[[#This Row],[Class]]="B", WORKDAY(Main[[#This Row],[Tech Start Date]],19),IF(Main[[#This Row],[Class]]="A",WORKDAY(Main[[#This Row],[Tech Start Date]],9),""))))</f>
        <v/>
      </c>
      <c r="Q1128" s="89"/>
      <c r="R1128" s="121"/>
      <c r="S1128" s="99" t="s">
        <v>11</v>
      </c>
      <c r="T1128" s="76" t="s">
        <v>4</v>
      </c>
      <c r="U1128" s="99" t="s">
        <v>12</v>
      </c>
      <c r="V1128" s="99" t="s">
        <v>1913</v>
      </c>
      <c r="W1128" s="99" t="s">
        <v>1915</v>
      </c>
      <c r="X1128" s="99" t="s">
        <v>2827</v>
      </c>
      <c r="Y1128" s="73" t="s">
        <v>2933</v>
      </c>
      <c r="Z1128" s="73" t="s">
        <v>4</v>
      </c>
      <c r="AA1128" s="99" t="s">
        <v>2827</v>
      </c>
    </row>
    <row r="1129" spans="1:27" ht="17.25" customHeight="1">
      <c r="A1129" s="65" t="str">
        <f>IF(priority(Main[[#This Row],[Comments]])&lt;&gt;0, priority(Main[[#This Row],[Comments]]),"")</f>
        <v/>
      </c>
      <c r="B1129" s="60" t="s">
        <v>3541</v>
      </c>
      <c r="C1129" s="105" t="s">
        <v>4</v>
      </c>
      <c r="D1129" s="74" t="s">
        <v>3542</v>
      </c>
      <c r="E1129" s="89">
        <v>40946.701331018521</v>
      </c>
      <c r="F1129" s="89"/>
      <c r="G1129" s="65" t="str">
        <f>IF(stdProdLT(Main[[#This Row],[Comments]])=0.1,"N/A",IF(stdProdLT(Main[[#This Row],[Comments]])=0,"",TRIM(stdProdLT(Main[[#This Row],[Comments]]))))</f>
        <v/>
      </c>
      <c r="H1129" s="98" t="str">
        <f>IF(Main[[#This Row],[Std. Prod. Lead Time]]="N/A", "",IF(AND(Main[[#This Row],[In Stock Date]]&lt;&gt;"",Main[[#This Row],[Revised Due Date]]&lt;&gt;"",Main[[#This Row],[In Stock Date]]&lt;&gt;""),Main[[#This Row],[In Stock Date]]-Main[[#This Row],[Revised Due Date]],""))</f>
        <v/>
      </c>
      <c r="I1129" s="110" t="s">
        <v>4</v>
      </c>
      <c r="J1129" s="99" t="s">
        <v>4</v>
      </c>
      <c r="K1129" s="99" t="s">
        <v>4</v>
      </c>
      <c r="L1129" s="89"/>
      <c r="M1129" s="75" t="str">
        <f>IF(Main[[#This Row],[Tech Start Date]]&lt;1/1/1990,"",IF(Main[[#This Row],[Class]]="C",WORKDAY(Main[[#This Row],[Tech Start Date]],9),IF(Main[[#This Row],[Class]]="B", WORKDAY(Main[[#This Row],[Tech Start Date]],6),IF(Main[[#This Row],[Class]]="A",WORKDAY(Main[[#This Row],[Tech Start Date]],2),""))))</f>
        <v/>
      </c>
      <c r="N1129" s="75" t="str">
        <f>IF(Main[[#This Row],[Tech Start Date]]&lt;1/1/1990,"",IF(Main[[#This Row],[Class]]="C",WORKDAY(Main[[#This Row],[Tech Start Date]],19),IF(Main[[#This Row],[Class]]="B", WORKDAY(Main[[#This Row],[Tech Start Date]],12),IF(Main[[#This Row],[Class]]="A",WORKDAY(Main[[#This Row],[Tech Start Date]],4),""))))</f>
        <v/>
      </c>
      <c r="O1129" s="75" t="str">
        <f>IF(Main[[#This Row],[Tech Start Date]]&lt;1/1/1990,"",IF(Main[[#This Row],[Class]]="C",WORKDAY(Main[[#This Row],[Tech Start Date]],23),IF(Main[[#This Row],[Class]]="B", WORKDAY(Main[[#This Row],[Tech Start Date]],15),IF(Main[[#This Row],[Class]]="A",WORKDAY(Main[[#This Row],[Tech Start Date]],5),""))))</f>
        <v/>
      </c>
      <c r="P1129" s="75" t="str">
        <f>IF(Main[[#This Row],[Tech Start Date]]&lt;1/1/1990,"",IF(Main[[#This Row],[Class]]="C",WORKDAY(Main[[#This Row],[Tech Start Date]],28),IF(Main[[#This Row],[Class]]="B", WORKDAY(Main[[#This Row],[Tech Start Date]],19),IF(Main[[#This Row],[Class]]="A",WORKDAY(Main[[#This Row],[Tech Start Date]],9),""))))</f>
        <v/>
      </c>
      <c r="Q1129" s="89">
        <v>40953</v>
      </c>
      <c r="R1129" s="121"/>
      <c r="S1129" s="99" t="s">
        <v>6</v>
      </c>
      <c r="T1129" s="76" t="s">
        <v>4</v>
      </c>
      <c r="U1129" s="99" t="s">
        <v>7</v>
      </c>
      <c r="V1129" s="99" t="s">
        <v>1913</v>
      </c>
      <c r="W1129" s="99" t="s">
        <v>1921</v>
      </c>
      <c r="X1129" s="99" t="s">
        <v>2815</v>
      </c>
      <c r="Y1129" s="73" t="s">
        <v>2930</v>
      </c>
      <c r="Z1129" s="73" t="s">
        <v>4</v>
      </c>
      <c r="AA1129" s="99" t="s">
        <v>2815</v>
      </c>
    </row>
    <row r="1130" spans="1:27" ht="17.25" customHeight="1">
      <c r="A1130" s="65" t="str">
        <f>IF(priority(Main[[#This Row],[Comments]])&lt;&gt;0, priority(Main[[#This Row],[Comments]]),"")</f>
        <v/>
      </c>
      <c r="B1130" s="60" t="s">
        <v>1845</v>
      </c>
      <c r="C1130" s="105" t="s">
        <v>67</v>
      </c>
      <c r="D1130" s="74" t="s">
        <v>902</v>
      </c>
      <c r="E1130" s="89">
        <v>39937.597453703704</v>
      </c>
      <c r="F1130" s="89">
        <v>40533</v>
      </c>
      <c r="G1130" s="65" t="str">
        <f>IF(stdProdLT(Main[[#This Row],[Comments]])=0.1,"N/A",IF(stdProdLT(Main[[#This Row],[Comments]])=0,"",TRIM(stdProdLT(Main[[#This Row],[Comments]]))))</f>
        <v/>
      </c>
      <c r="H1130" s="98">
        <f>IF(Main[[#This Row],[Std. Prod. Lead Time]]="N/A", "",IF(AND(Main[[#This Row],[In Stock Date]]&lt;&gt;"",Main[[#This Row],[Revised Due Date]]&lt;&gt;"",Main[[#This Row],[In Stock Date]]&lt;&gt;""),Main[[#This Row],[In Stock Date]]-Main[[#This Row],[Revised Due Date]],""))</f>
        <v>-342</v>
      </c>
      <c r="I1130" s="110" t="s">
        <v>74</v>
      </c>
      <c r="J1130" s="99" t="s">
        <v>28</v>
      </c>
      <c r="K1130" s="99" t="s">
        <v>1925</v>
      </c>
      <c r="L1130" s="89"/>
      <c r="M1130" s="75" t="str">
        <f>IF(Main[[#This Row],[Tech Start Date]]&lt;1/1/1990,"",IF(Main[[#This Row],[Class]]="C",WORKDAY(Main[[#This Row],[Tech Start Date]],9),IF(Main[[#This Row],[Class]]="B", WORKDAY(Main[[#This Row],[Tech Start Date]],6),IF(Main[[#This Row],[Class]]="A",WORKDAY(Main[[#This Row],[Tech Start Date]],2),""))))</f>
        <v/>
      </c>
      <c r="N1130" s="75" t="str">
        <f>IF(Main[[#This Row],[Tech Start Date]]&lt;1/1/1990,"",IF(Main[[#This Row],[Class]]="C",WORKDAY(Main[[#This Row],[Tech Start Date]],19),IF(Main[[#This Row],[Class]]="B", WORKDAY(Main[[#This Row],[Tech Start Date]],12),IF(Main[[#This Row],[Class]]="A",WORKDAY(Main[[#This Row],[Tech Start Date]],4),""))))</f>
        <v/>
      </c>
      <c r="O1130" s="75" t="str">
        <f>IF(Main[[#This Row],[Tech Start Date]]&lt;1/1/1990,"",IF(Main[[#This Row],[Class]]="C",WORKDAY(Main[[#This Row],[Tech Start Date]],23),IF(Main[[#This Row],[Class]]="B", WORKDAY(Main[[#This Row],[Tech Start Date]],15),IF(Main[[#This Row],[Class]]="A",WORKDAY(Main[[#This Row],[Tech Start Date]],5),""))))</f>
        <v/>
      </c>
      <c r="P1130" s="75" t="str">
        <f>IF(Main[[#This Row],[Tech Start Date]]&lt;1/1/1990,"",IF(Main[[#This Row],[Class]]="C",WORKDAY(Main[[#This Row],[Tech Start Date]],28),IF(Main[[#This Row],[Class]]="B", WORKDAY(Main[[#This Row],[Tech Start Date]],19),IF(Main[[#This Row],[Class]]="A",WORKDAY(Main[[#This Row],[Tech Start Date]],9),""))))</f>
        <v/>
      </c>
      <c r="Q1130" s="89"/>
      <c r="R1130" s="121">
        <v>40875</v>
      </c>
      <c r="S1130" s="99" t="s">
        <v>17</v>
      </c>
      <c r="T1130" s="76" t="s">
        <v>4</v>
      </c>
      <c r="U1130" s="99" t="s">
        <v>29</v>
      </c>
      <c r="V1130" s="99" t="s">
        <v>1916</v>
      </c>
      <c r="W1130" s="99" t="s">
        <v>1921</v>
      </c>
      <c r="X1130" s="99" t="s">
        <v>399</v>
      </c>
      <c r="Y1130" s="73" t="s">
        <v>4</v>
      </c>
      <c r="Z1130" s="73" t="s">
        <v>415</v>
      </c>
      <c r="AA1130" s="99" t="s">
        <v>3451</v>
      </c>
    </row>
    <row r="1131" spans="1:27" ht="17.25" customHeight="1">
      <c r="A1131" s="65" t="str">
        <f>IF(priority(Main[[#This Row],[Comments]])&lt;&gt;0, priority(Main[[#This Row],[Comments]]),"")</f>
        <v/>
      </c>
      <c r="B1131" s="60" t="s">
        <v>2447</v>
      </c>
      <c r="C1131" s="105" t="s">
        <v>4</v>
      </c>
      <c r="D1131" s="74" t="s">
        <v>2448</v>
      </c>
      <c r="E1131" s="89">
        <v>40841.609861111108</v>
      </c>
      <c r="F1131" s="89"/>
      <c r="G1131" s="65" t="str">
        <f>IF(stdProdLT(Main[[#This Row],[Comments]])=0.1,"N/A",IF(stdProdLT(Main[[#This Row],[Comments]])=0,"",TRIM(stdProdLT(Main[[#This Row],[Comments]]))))</f>
        <v/>
      </c>
      <c r="H1131" s="98" t="str">
        <f>IF(Main[[#This Row],[Std. Prod. Lead Time]]="N/A", "",IF(AND(Main[[#This Row],[In Stock Date]]&lt;&gt;"",Main[[#This Row],[Revised Due Date]]&lt;&gt;"",Main[[#This Row],[In Stock Date]]&lt;&gt;""),Main[[#This Row],[In Stock Date]]-Main[[#This Row],[Revised Due Date]],""))</f>
        <v/>
      </c>
      <c r="I1131" s="110" t="s">
        <v>4</v>
      </c>
      <c r="J1131" s="99" t="s">
        <v>4</v>
      </c>
      <c r="K1131" s="100" t="s">
        <v>4</v>
      </c>
      <c r="L1131" s="89"/>
      <c r="M1131" s="75" t="str">
        <f>IF(Main[[#This Row],[Tech Start Date]]&lt;1/1/1990,"",IF(Main[[#This Row],[Class]]="C",WORKDAY(Main[[#This Row],[Tech Start Date]],9),IF(Main[[#This Row],[Class]]="B", WORKDAY(Main[[#This Row],[Tech Start Date]],6),IF(Main[[#This Row],[Class]]="A",WORKDAY(Main[[#This Row],[Tech Start Date]],2),""))))</f>
        <v/>
      </c>
      <c r="N1131" s="75" t="str">
        <f>IF(Main[[#This Row],[Tech Start Date]]&lt;1/1/1990,"",IF(Main[[#This Row],[Class]]="C",WORKDAY(Main[[#This Row],[Tech Start Date]],19),IF(Main[[#This Row],[Class]]="B", WORKDAY(Main[[#This Row],[Tech Start Date]],12),IF(Main[[#This Row],[Class]]="A",WORKDAY(Main[[#This Row],[Tech Start Date]],4),""))))</f>
        <v/>
      </c>
      <c r="O1131" s="75" t="str">
        <f>IF(Main[[#This Row],[Tech Start Date]]&lt;1/1/1990,"",IF(Main[[#This Row],[Class]]="C",WORKDAY(Main[[#This Row],[Tech Start Date]],23),IF(Main[[#This Row],[Class]]="B", WORKDAY(Main[[#This Row],[Tech Start Date]],15),IF(Main[[#This Row],[Class]]="A",WORKDAY(Main[[#This Row],[Tech Start Date]],5),""))))</f>
        <v/>
      </c>
      <c r="P1131" s="75" t="str">
        <f>IF(Main[[#This Row],[Tech Start Date]]&lt;1/1/1990,"",IF(Main[[#This Row],[Class]]="C",WORKDAY(Main[[#This Row],[Tech Start Date]],28),IF(Main[[#This Row],[Class]]="B", WORKDAY(Main[[#This Row],[Tech Start Date]],19),IF(Main[[#This Row],[Class]]="A",WORKDAY(Main[[#This Row],[Tech Start Date]],9),""))))</f>
        <v/>
      </c>
      <c r="Q1131" s="89"/>
      <c r="R1131" s="121"/>
      <c r="S1131" s="99" t="s">
        <v>6</v>
      </c>
      <c r="T1131" s="76" t="s">
        <v>4</v>
      </c>
      <c r="U1131" s="99" t="s">
        <v>7</v>
      </c>
      <c r="V1131" s="99" t="s">
        <v>1913</v>
      </c>
      <c r="W1131" s="99" t="s">
        <v>4</v>
      </c>
      <c r="X1131" s="99" t="s">
        <v>912</v>
      </c>
      <c r="Y1131" s="73" t="s">
        <v>3051</v>
      </c>
      <c r="Z1131" s="73" t="s">
        <v>4</v>
      </c>
      <c r="AA1131" s="99" t="s">
        <v>912</v>
      </c>
    </row>
    <row r="1132" spans="1:27" ht="17.25" customHeight="1">
      <c r="A1132" s="65" t="str">
        <f>IF(priority(Main[[#This Row],[Comments]])&lt;&gt;0, priority(Main[[#This Row],[Comments]]),"")</f>
        <v/>
      </c>
      <c r="B1132" s="60" t="s">
        <v>1635</v>
      </c>
      <c r="C1132" s="105" t="s">
        <v>4</v>
      </c>
      <c r="D1132" s="74" t="s">
        <v>707</v>
      </c>
      <c r="E1132" s="89">
        <v>40634.328217592592</v>
      </c>
      <c r="F1132" s="89"/>
      <c r="G1132" s="65" t="str">
        <f>IF(stdProdLT(Main[[#This Row],[Comments]])=0.1,"N/A",IF(stdProdLT(Main[[#This Row],[Comments]])=0,"",TRIM(stdProdLT(Main[[#This Row],[Comments]]))))</f>
        <v/>
      </c>
      <c r="H1132" s="98" t="str">
        <f>IF(Main[[#This Row],[Std. Prod. Lead Time]]="N/A", "",IF(AND(Main[[#This Row],[In Stock Date]]&lt;&gt;"",Main[[#This Row],[Revised Due Date]]&lt;&gt;"",Main[[#This Row],[In Stock Date]]&lt;&gt;""),Main[[#This Row],[In Stock Date]]-Main[[#This Row],[Revised Due Date]],""))</f>
        <v/>
      </c>
      <c r="I1132" s="110" t="s">
        <v>912</v>
      </c>
      <c r="J1132" s="99" t="s">
        <v>4</v>
      </c>
      <c r="K1132" s="100" t="s">
        <v>4</v>
      </c>
      <c r="L1132" s="89"/>
      <c r="M1132" s="75" t="str">
        <f>IF(Main[[#This Row],[Tech Start Date]]&lt;1/1/1990,"",IF(Main[[#This Row],[Class]]="C",WORKDAY(Main[[#This Row],[Tech Start Date]],9),IF(Main[[#This Row],[Class]]="B", WORKDAY(Main[[#This Row],[Tech Start Date]],6),IF(Main[[#This Row],[Class]]="A",WORKDAY(Main[[#This Row],[Tech Start Date]],2),""))))</f>
        <v/>
      </c>
      <c r="N1132" s="75" t="str">
        <f>IF(Main[[#This Row],[Tech Start Date]]&lt;1/1/1990,"",IF(Main[[#This Row],[Class]]="C",WORKDAY(Main[[#This Row],[Tech Start Date]],19),IF(Main[[#This Row],[Class]]="B", WORKDAY(Main[[#This Row],[Tech Start Date]],12),IF(Main[[#This Row],[Class]]="A",WORKDAY(Main[[#This Row],[Tech Start Date]],4),""))))</f>
        <v/>
      </c>
      <c r="O1132" s="75" t="str">
        <f>IF(Main[[#This Row],[Tech Start Date]]&lt;1/1/1990,"",IF(Main[[#This Row],[Class]]="C",WORKDAY(Main[[#This Row],[Tech Start Date]],23),IF(Main[[#This Row],[Class]]="B", WORKDAY(Main[[#This Row],[Tech Start Date]],15),IF(Main[[#This Row],[Class]]="A",WORKDAY(Main[[#This Row],[Tech Start Date]],5),""))))</f>
        <v/>
      </c>
      <c r="P1132" s="75" t="str">
        <f>IF(Main[[#This Row],[Tech Start Date]]&lt;1/1/1990,"",IF(Main[[#This Row],[Class]]="C",WORKDAY(Main[[#This Row],[Tech Start Date]],28),IF(Main[[#This Row],[Class]]="B", WORKDAY(Main[[#This Row],[Tech Start Date]],19),IF(Main[[#This Row],[Class]]="A",WORKDAY(Main[[#This Row],[Tech Start Date]],9),""))))</f>
        <v/>
      </c>
      <c r="Q1132" s="89"/>
      <c r="R1132" s="121"/>
      <c r="S1132" s="99" t="s">
        <v>6</v>
      </c>
      <c r="T1132" s="76" t="s">
        <v>4</v>
      </c>
      <c r="U1132" s="99" t="s">
        <v>7</v>
      </c>
      <c r="V1132" s="99" t="s">
        <v>1913</v>
      </c>
      <c r="W1132" s="99" t="s">
        <v>1917</v>
      </c>
      <c r="X1132" s="99" t="s">
        <v>399</v>
      </c>
      <c r="Y1132" s="73" t="s">
        <v>4</v>
      </c>
      <c r="Z1132" s="73" t="s">
        <v>4</v>
      </c>
      <c r="AA1132" s="99" t="s">
        <v>3448</v>
      </c>
    </row>
    <row r="1133" spans="1:27" ht="17.25" customHeight="1">
      <c r="A1133" s="65" t="str">
        <f>IF(priority(Main[[#This Row],[Comments]])&lt;&gt;0, priority(Main[[#This Row],[Comments]]),"")</f>
        <v/>
      </c>
      <c r="B1133" s="60" t="s">
        <v>1834</v>
      </c>
      <c r="C1133" s="105" t="s">
        <v>4</v>
      </c>
      <c r="D1133" s="74" t="s">
        <v>890</v>
      </c>
      <c r="E1133" s="89">
        <v>40351.730219907404</v>
      </c>
      <c r="F1133" s="89"/>
      <c r="G1133" s="65" t="str">
        <f>IF(stdProdLT(Main[[#This Row],[Comments]])=0.1,"N/A",IF(stdProdLT(Main[[#This Row],[Comments]])=0,"",TRIM(stdProdLT(Main[[#This Row],[Comments]]))))</f>
        <v/>
      </c>
      <c r="H1133" s="98" t="str">
        <f>IF(Main[[#This Row],[Std. Prod. Lead Time]]="N/A", "",IF(AND(Main[[#This Row],[In Stock Date]]&lt;&gt;"",Main[[#This Row],[Revised Due Date]]&lt;&gt;"",Main[[#This Row],[In Stock Date]]&lt;&gt;""),Main[[#This Row],[In Stock Date]]-Main[[#This Row],[Revised Due Date]],""))</f>
        <v/>
      </c>
      <c r="I1133" s="110" t="s">
        <v>2049</v>
      </c>
      <c r="J1133" s="99" t="s">
        <v>28</v>
      </c>
      <c r="K1133" s="99" t="s">
        <v>1925</v>
      </c>
      <c r="L1133" s="89"/>
      <c r="M1133" s="75" t="str">
        <f>IF(Main[[#This Row],[Tech Start Date]]&lt;1/1/1990,"",IF(Main[[#This Row],[Class]]="C",WORKDAY(Main[[#This Row],[Tech Start Date]],9),IF(Main[[#This Row],[Class]]="B", WORKDAY(Main[[#This Row],[Tech Start Date]],6),IF(Main[[#This Row],[Class]]="A",WORKDAY(Main[[#This Row],[Tech Start Date]],2),""))))</f>
        <v/>
      </c>
      <c r="N1133" s="75" t="str">
        <f>IF(Main[[#This Row],[Tech Start Date]]&lt;1/1/1990,"",IF(Main[[#This Row],[Class]]="C",WORKDAY(Main[[#This Row],[Tech Start Date]],19),IF(Main[[#This Row],[Class]]="B", WORKDAY(Main[[#This Row],[Tech Start Date]],12),IF(Main[[#This Row],[Class]]="A",WORKDAY(Main[[#This Row],[Tech Start Date]],4),""))))</f>
        <v/>
      </c>
      <c r="O1133" s="75" t="str">
        <f>IF(Main[[#This Row],[Tech Start Date]]&lt;1/1/1990,"",IF(Main[[#This Row],[Class]]="C",WORKDAY(Main[[#This Row],[Tech Start Date]],23),IF(Main[[#This Row],[Class]]="B", WORKDAY(Main[[#This Row],[Tech Start Date]],15),IF(Main[[#This Row],[Class]]="A",WORKDAY(Main[[#This Row],[Tech Start Date]],5),""))))</f>
        <v/>
      </c>
      <c r="P1133" s="75" t="str">
        <f>IF(Main[[#This Row],[Tech Start Date]]&lt;1/1/1990,"",IF(Main[[#This Row],[Class]]="C",WORKDAY(Main[[#This Row],[Tech Start Date]],28),IF(Main[[#This Row],[Class]]="B", WORKDAY(Main[[#This Row],[Tech Start Date]],19),IF(Main[[#This Row],[Class]]="A",WORKDAY(Main[[#This Row],[Tech Start Date]],9),""))))</f>
        <v/>
      </c>
      <c r="Q1133" s="89">
        <v>40906</v>
      </c>
      <c r="R1133" s="121">
        <v>40436</v>
      </c>
      <c r="S1133" s="99" t="s">
        <v>17</v>
      </c>
      <c r="T1133" s="76" t="s">
        <v>4</v>
      </c>
      <c r="U1133" s="99" t="s">
        <v>29</v>
      </c>
      <c r="V1133" s="99" t="s">
        <v>1914</v>
      </c>
      <c r="W1133" s="99" t="s">
        <v>1918</v>
      </c>
      <c r="X1133" s="99" t="s">
        <v>2856</v>
      </c>
      <c r="Y1133" s="73" t="s">
        <v>3000</v>
      </c>
      <c r="Z1133" s="73" t="s">
        <v>108</v>
      </c>
      <c r="AA1133" s="99" t="s">
        <v>2856</v>
      </c>
    </row>
    <row r="1134" spans="1:27" ht="17.25" customHeight="1">
      <c r="A1134" s="65" t="str">
        <f>IF(priority(Main[[#This Row],[Comments]])&lt;&gt;0, priority(Main[[#This Row],[Comments]]),"")</f>
        <v/>
      </c>
      <c r="B1134" s="60" t="s">
        <v>3631</v>
      </c>
      <c r="C1134" s="105" t="s">
        <v>4</v>
      </c>
      <c r="D1134" s="74" t="s">
        <v>3632</v>
      </c>
      <c r="E1134" s="89">
        <v>40956.460902777777</v>
      </c>
      <c r="F1134" s="89"/>
      <c r="G1134" s="65" t="str">
        <f>IF(stdProdLT(Main[[#This Row],[Comments]])=0.1,"N/A",IF(stdProdLT(Main[[#This Row],[Comments]])=0,"",TRIM(stdProdLT(Main[[#This Row],[Comments]]))))</f>
        <v/>
      </c>
      <c r="H1134" s="98" t="str">
        <f>IF(Main[[#This Row],[Std. Prod. Lead Time]]="N/A", "",IF(AND(Main[[#This Row],[In Stock Date]]&lt;&gt;"",Main[[#This Row],[Revised Due Date]]&lt;&gt;"",Main[[#This Row],[In Stock Date]]&lt;&gt;""),Main[[#This Row],[In Stock Date]]-Main[[#This Row],[Revised Due Date]],""))</f>
        <v/>
      </c>
      <c r="I1134" s="110" t="s">
        <v>2047</v>
      </c>
      <c r="J1134" s="99" t="s">
        <v>28</v>
      </c>
      <c r="K1134" s="100" t="s">
        <v>4</v>
      </c>
      <c r="L1134" s="89"/>
      <c r="M1134" s="75" t="str">
        <f>IF(Main[[#This Row],[Tech Start Date]]&lt;1/1/1990,"",IF(Main[[#This Row],[Class]]="C",WORKDAY(Main[[#This Row],[Tech Start Date]],9),IF(Main[[#This Row],[Class]]="B", WORKDAY(Main[[#This Row],[Tech Start Date]],6),IF(Main[[#This Row],[Class]]="A",WORKDAY(Main[[#This Row],[Tech Start Date]],2),""))))</f>
        <v/>
      </c>
      <c r="N1134" s="75" t="str">
        <f>IF(Main[[#This Row],[Tech Start Date]]&lt;1/1/1990,"",IF(Main[[#This Row],[Class]]="C",WORKDAY(Main[[#This Row],[Tech Start Date]],19),IF(Main[[#This Row],[Class]]="B", WORKDAY(Main[[#This Row],[Tech Start Date]],12),IF(Main[[#This Row],[Class]]="A",WORKDAY(Main[[#This Row],[Tech Start Date]],4),""))))</f>
        <v/>
      </c>
      <c r="O1134" s="75" t="str">
        <f>IF(Main[[#This Row],[Tech Start Date]]&lt;1/1/1990,"",IF(Main[[#This Row],[Class]]="C",WORKDAY(Main[[#This Row],[Tech Start Date]],23),IF(Main[[#This Row],[Class]]="B", WORKDAY(Main[[#This Row],[Tech Start Date]],15),IF(Main[[#This Row],[Class]]="A",WORKDAY(Main[[#This Row],[Tech Start Date]],5),""))))</f>
        <v/>
      </c>
      <c r="P1134" s="75" t="str">
        <f>IF(Main[[#This Row],[Tech Start Date]]&lt;1/1/1990,"",IF(Main[[#This Row],[Class]]="C",WORKDAY(Main[[#This Row],[Tech Start Date]],28),IF(Main[[#This Row],[Class]]="B", WORKDAY(Main[[#This Row],[Tech Start Date]],19),IF(Main[[#This Row],[Class]]="A",WORKDAY(Main[[#This Row],[Tech Start Date]],9),""))))</f>
        <v/>
      </c>
      <c r="Q1134" s="89">
        <v>40991</v>
      </c>
      <c r="R1134" s="121"/>
      <c r="S1134" s="99" t="s">
        <v>6</v>
      </c>
      <c r="T1134" s="76" t="s">
        <v>4</v>
      </c>
      <c r="U1134" s="99" t="s">
        <v>29</v>
      </c>
      <c r="V1134" s="99" t="s">
        <v>1916</v>
      </c>
      <c r="W1134" s="99" t="s">
        <v>1917</v>
      </c>
      <c r="X1134" s="99" t="s">
        <v>2812</v>
      </c>
      <c r="Y1134" s="73" t="s">
        <v>2923</v>
      </c>
      <c r="Z1134" s="73" t="s">
        <v>30</v>
      </c>
      <c r="AA1134" s="99" t="s">
        <v>2812</v>
      </c>
    </row>
    <row r="1135" spans="1:27" ht="17.25" customHeight="1">
      <c r="A1135" s="12" t="str">
        <f>IF(priority(Main[[#This Row],[Comments]])&lt;&gt;0, priority(Main[[#This Row],[Comments]]),"")</f>
        <v/>
      </c>
      <c r="B1135" s="60" t="s">
        <v>2290</v>
      </c>
      <c r="C1135" s="104" t="s">
        <v>4</v>
      </c>
      <c r="D1135" s="78" t="s">
        <v>3633</v>
      </c>
      <c r="E1135" s="90">
        <v>40814.667314814818</v>
      </c>
      <c r="F1135" s="90"/>
      <c r="G1135" s="12" t="str">
        <f>IF(stdProdLT(Main[[#This Row],[Comments]])=0.1,"N/A",IF(stdProdLT(Main[[#This Row],[Comments]])=0,"",TRIM(stdProdLT(Main[[#This Row],[Comments]]))))</f>
        <v/>
      </c>
      <c r="H1135" s="101" t="str">
        <f>IF(Main[[#This Row],[Std. Prod. Lead Time]]="N/A", "",IF(AND(Main[[#This Row],[In Stock Date]]&lt;&gt;"",Main[[#This Row],[Revised Due Date]]&lt;&gt;"",Main[[#This Row],[In Stock Date]]&lt;&gt;""),Main[[#This Row],[In Stock Date]]-Main[[#This Row],[Revised Due Date]],""))</f>
        <v/>
      </c>
      <c r="I1135" s="111" t="s">
        <v>883</v>
      </c>
      <c r="J1135" s="12" t="s">
        <v>51</v>
      </c>
      <c r="K1135" s="12" t="s">
        <v>1922</v>
      </c>
      <c r="L1135" s="90"/>
      <c r="M1135" s="75" t="str">
        <f>IF(Main[[#This Row],[Tech Start Date]]&lt;1/1/1990,"",IF(Main[[#This Row],[Class]]="C",WORKDAY(Main[[#This Row],[Tech Start Date]],9),IF(Main[[#This Row],[Class]]="B", WORKDAY(Main[[#This Row],[Tech Start Date]],6),IF(Main[[#This Row],[Class]]="A",WORKDAY(Main[[#This Row],[Tech Start Date]],2),""))))</f>
        <v/>
      </c>
      <c r="N1135" s="75" t="str">
        <f>IF(Main[[#This Row],[Tech Start Date]]&lt;1/1/1990,"",IF(Main[[#This Row],[Class]]="C",WORKDAY(Main[[#This Row],[Tech Start Date]],19),IF(Main[[#This Row],[Class]]="B", WORKDAY(Main[[#This Row],[Tech Start Date]],12),IF(Main[[#This Row],[Class]]="A",WORKDAY(Main[[#This Row],[Tech Start Date]],4),""))))</f>
        <v/>
      </c>
      <c r="O1135" s="75" t="str">
        <f>IF(Main[[#This Row],[Tech Start Date]]&lt;1/1/1990,"",IF(Main[[#This Row],[Class]]="C",WORKDAY(Main[[#This Row],[Tech Start Date]],23),IF(Main[[#This Row],[Class]]="B", WORKDAY(Main[[#This Row],[Tech Start Date]],15),IF(Main[[#This Row],[Class]]="A",WORKDAY(Main[[#This Row],[Tech Start Date]],5),""))))</f>
        <v/>
      </c>
      <c r="P1135" s="75" t="str">
        <f>IF(Main[[#This Row],[Tech Start Date]]&lt;1/1/1990,"",IF(Main[[#This Row],[Class]]="C",WORKDAY(Main[[#This Row],[Tech Start Date]],28),IF(Main[[#This Row],[Class]]="B", WORKDAY(Main[[#This Row],[Tech Start Date]],19),IF(Main[[#This Row],[Class]]="A",WORKDAY(Main[[#This Row],[Tech Start Date]],9),""))))</f>
        <v/>
      </c>
      <c r="Q1135" s="90"/>
      <c r="R1135" s="124"/>
      <c r="S1135" s="12" t="s">
        <v>6</v>
      </c>
      <c r="T1135" s="79" t="s">
        <v>4</v>
      </c>
      <c r="U1135" s="12" t="s">
        <v>29</v>
      </c>
      <c r="V1135" s="12" t="s">
        <v>1916</v>
      </c>
      <c r="W1135" s="12" t="s">
        <v>1917</v>
      </c>
      <c r="X1135" s="12" t="s">
        <v>399</v>
      </c>
      <c r="Y1135" s="77" t="s">
        <v>2957</v>
      </c>
      <c r="Z1135" s="77" t="s">
        <v>306</v>
      </c>
      <c r="AA1135" s="99" t="s">
        <v>883</v>
      </c>
    </row>
    <row r="1136" spans="1:27" ht="17.25" customHeight="1">
      <c r="A1136" s="12" t="str">
        <f>IF(priority(Main[[#This Row],[Comments]])&lt;&gt;0, priority(Main[[#This Row],[Comments]]),"")</f>
        <v/>
      </c>
      <c r="B1136" s="60" t="s">
        <v>2371</v>
      </c>
      <c r="C1136" s="104" t="s">
        <v>4</v>
      </c>
      <c r="D1136" s="78" t="s">
        <v>2372</v>
      </c>
      <c r="E1136" s="90">
        <v>40835.331365740742</v>
      </c>
      <c r="F1136" s="90"/>
      <c r="G1136" s="12" t="str">
        <f>IF(stdProdLT(Main[[#This Row],[Comments]])=0.1,"N/A",IF(stdProdLT(Main[[#This Row],[Comments]])=0,"",TRIM(stdProdLT(Main[[#This Row],[Comments]]))))</f>
        <v/>
      </c>
      <c r="H1136" s="101" t="str">
        <f>IF(Main[[#This Row],[Std. Prod. Lead Time]]="N/A", "",IF(AND(Main[[#This Row],[In Stock Date]]&lt;&gt;"",Main[[#This Row],[Revised Due Date]]&lt;&gt;"",Main[[#This Row],[In Stock Date]]&lt;&gt;""),Main[[#This Row],[In Stock Date]]-Main[[#This Row],[Revised Due Date]],""))</f>
        <v/>
      </c>
      <c r="I1136" s="111" t="s">
        <v>530</v>
      </c>
      <c r="J1136" s="12" t="s">
        <v>21</v>
      </c>
      <c r="K1136" s="12" t="s">
        <v>1922</v>
      </c>
      <c r="L1136" s="90"/>
      <c r="M1136" s="75" t="str">
        <f>IF(Main[[#This Row],[Tech Start Date]]&lt;1/1/1990,"",IF(Main[[#This Row],[Class]]="C",WORKDAY(Main[[#This Row],[Tech Start Date]],9),IF(Main[[#This Row],[Class]]="B", WORKDAY(Main[[#This Row],[Tech Start Date]],6),IF(Main[[#This Row],[Class]]="A",WORKDAY(Main[[#This Row],[Tech Start Date]],2),""))))</f>
        <v/>
      </c>
      <c r="N1136" s="75" t="str">
        <f>IF(Main[[#This Row],[Tech Start Date]]&lt;1/1/1990,"",IF(Main[[#This Row],[Class]]="C",WORKDAY(Main[[#This Row],[Tech Start Date]],19),IF(Main[[#This Row],[Class]]="B", WORKDAY(Main[[#This Row],[Tech Start Date]],12),IF(Main[[#This Row],[Class]]="A",WORKDAY(Main[[#This Row],[Tech Start Date]],4),""))))</f>
        <v/>
      </c>
      <c r="O1136" s="75" t="str">
        <f>IF(Main[[#This Row],[Tech Start Date]]&lt;1/1/1990,"",IF(Main[[#This Row],[Class]]="C",WORKDAY(Main[[#This Row],[Tech Start Date]],23),IF(Main[[#This Row],[Class]]="B", WORKDAY(Main[[#This Row],[Tech Start Date]],15),IF(Main[[#This Row],[Class]]="A",WORKDAY(Main[[#This Row],[Tech Start Date]],5),""))))</f>
        <v/>
      </c>
      <c r="P1136" s="75" t="str">
        <f>IF(Main[[#This Row],[Tech Start Date]]&lt;1/1/1990,"",IF(Main[[#This Row],[Class]]="C",WORKDAY(Main[[#This Row],[Tech Start Date]],28),IF(Main[[#This Row],[Class]]="B", WORKDAY(Main[[#This Row],[Tech Start Date]],19),IF(Main[[#This Row],[Class]]="A",WORKDAY(Main[[#This Row],[Tech Start Date]],9),""))))</f>
        <v/>
      </c>
      <c r="Q1136" s="90"/>
      <c r="R1136" s="124"/>
      <c r="S1136" s="12" t="s">
        <v>6</v>
      </c>
      <c r="T1136" s="79" t="s">
        <v>4</v>
      </c>
      <c r="U1136" s="12" t="s">
        <v>29</v>
      </c>
      <c r="V1136" s="12" t="s">
        <v>1916</v>
      </c>
      <c r="W1136" s="12" t="s">
        <v>1917</v>
      </c>
      <c r="X1136" s="12" t="s">
        <v>399</v>
      </c>
      <c r="Y1136" s="77" t="s">
        <v>4</v>
      </c>
      <c r="Z1136" s="77" t="s">
        <v>530</v>
      </c>
      <c r="AA1136" s="99" t="s">
        <v>3389</v>
      </c>
    </row>
    <row r="1137" spans="1:27" ht="17.25" customHeight="1">
      <c r="A1137" s="12" t="str">
        <f>IF(priority(Main[[#This Row],[Comments]])&lt;&gt;0, priority(Main[[#This Row],[Comments]]),"")</f>
        <v/>
      </c>
      <c r="B1137" s="60" t="s">
        <v>3634</v>
      </c>
      <c r="C1137" s="104" t="s">
        <v>122</v>
      </c>
      <c r="D1137" s="78" t="s">
        <v>3635</v>
      </c>
      <c r="E1137" s="90">
        <v>40966.422523148147</v>
      </c>
      <c r="F1137" s="90">
        <v>40998</v>
      </c>
      <c r="G1137" s="12" t="str">
        <f>IF(stdProdLT(Main[[#This Row],[Comments]])=0.1,"N/A",IF(stdProdLT(Main[[#This Row],[Comments]])=0,"",TRIM(stdProdLT(Main[[#This Row],[Comments]]))))</f>
        <v/>
      </c>
      <c r="H1137" s="101" t="str">
        <f>IF(Main[[#This Row],[Std. Prod. Lead Time]]="N/A", "",IF(AND(Main[[#This Row],[In Stock Date]]&lt;&gt;"",Main[[#This Row],[Revised Due Date]]&lt;&gt;"",Main[[#This Row],[In Stock Date]]&lt;&gt;""),Main[[#This Row],[In Stock Date]]-Main[[#This Row],[Revised Due Date]],""))</f>
        <v/>
      </c>
      <c r="I1137" s="111" t="s">
        <v>4</v>
      </c>
      <c r="J1137" s="12" t="s">
        <v>4</v>
      </c>
      <c r="K1137" s="12" t="s">
        <v>4</v>
      </c>
      <c r="L1137" s="90"/>
      <c r="M1137" s="75" t="str">
        <f>IF(Main[[#This Row],[Tech Start Date]]&lt;1/1/1990,"",IF(Main[[#This Row],[Class]]="C",WORKDAY(Main[[#This Row],[Tech Start Date]],9),IF(Main[[#This Row],[Class]]="B", WORKDAY(Main[[#This Row],[Tech Start Date]],6),IF(Main[[#This Row],[Class]]="A",WORKDAY(Main[[#This Row],[Tech Start Date]],2),""))))</f>
        <v/>
      </c>
      <c r="N1137" s="75" t="str">
        <f>IF(Main[[#This Row],[Tech Start Date]]&lt;1/1/1990,"",IF(Main[[#This Row],[Class]]="C",WORKDAY(Main[[#This Row],[Tech Start Date]],19),IF(Main[[#This Row],[Class]]="B", WORKDAY(Main[[#This Row],[Tech Start Date]],12),IF(Main[[#This Row],[Class]]="A",WORKDAY(Main[[#This Row],[Tech Start Date]],4),""))))</f>
        <v/>
      </c>
      <c r="O1137" s="75" t="str">
        <f>IF(Main[[#This Row],[Tech Start Date]]&lt;1/1/1990,"",IF(Main[[#This Row],[Class]]="C",WORKDAY(Main[[#This Row],[Tech Start Date]],23),IF(Main[[#This Row],[Class]]="B", WORKDAY(Main[[#This Row],[Tech Start Date]],15),IF(Main[[#This Row],[Class]]="A",WORKDAY(Main[[#This Row],[Tech Start Date]],5),""))))</f>
        <v/>
      </c>
      <c r="P1137" s="75" t="str">
        <f>IF(Main[[#This Row],[Tech Start Date]]&lt;1/1/1990,"",IF(Main[[#This Row],[Class]]="C",WORKDAY(Main[[#This Row],[Tech Start Date]],28),IF(Main[[#This Row],[Class]]="B", WORKDAY(Main[[#This Row],[Tech Start Date]],19),IF(Main[[#This Row],[Class]]="A",WORKDAY(Main[[#This Row],[Tech Start Date]],9),""))))</f>
        <v/>
      </c>
      <c r="Q1137" s="90"/>
      <c r="R1137" s="124"/>
      <c r="S1137" s="12" t="s">
        <v>17</v>
      </c>
      <c r="T1137" s="79" t="s">
        <v>4</v>
      </c>
      <c r="U1137" s="12" t="s">
        <v>7</v>
      </c>
      <c r="V1137" s="12" t="s">
        <v>1916</v>
      </c>
      <c r="W1137" s="12" t="s">
        <v>1921</v>
      </c>
      <c r="X1137" s="12" t="s">
        <v>50</v>
      </c>
      <c r="Y1137" s="77" t="s">
        <v>3574</v>
      </c>
      <c r="Z1137" s="77" t="s">
        <v>4</v>
      </c>
      <c r="AA1137" s="99" t="s">
        <v>65</v>
      </c>
    </row>
    <row r="1138" spans="1:27" ht="17.25" customHeight="1">
      <c r="A1138" s="12" t="str">
        <f>IF(priority(Main[[#This Row],[Comments]])&lt;&gt;0, priority(Main[[#This Row],[Comments]]),"")</f>
        <v/>
      </c>
      <c r="B1138" s="60" t="s">
        <v>2486</v>
      </c>
      <c r="C1138" s="104" t="s">
        <v>4</v>
      </c>
      <c r="D1138" s="78" t="s">
        <v>2487</v>
      </c>
      <c r="E1138" s="90"/>
      <c r="F1138" s="90"/>
      <c r="G1138" s="12" t="str">
        <f>IF(stdProdLT(Main[[#This Row],[Comments]])=0.1,"N/A",IF(stdProdLT(Main[[#This Row],[Comments]])=0,"",TRIM(stdProdLT(Main[[#This Row],[Comments]]))))</f>
        <v/>
      </c>
      <c r="H1138" s="101" t="str">
        <f>IF(Main[[#This Row],[Std. Prod. Lead Time]]="N/A", "",IF(AND(Main[[#This Row],[In Stock Date]]&lt;&gt;"",Main[[#This Row],[Revised Due Date]]&lt;&gt;"",Main[[#This Row],[In Stock Date]]&lt;&gt;""),Main[[#This Row],[In Stock Date]]-Main[[#This Row],[Revised Due Date]],""))</f>
        <v/>
      </c>
      <c r="I1138" s="111" t="s">
        <v>530</v>
      </c>
      <c r="J1138" s="12" t="s">
        <v>21</v>
      </c>
      <c r="K1138" s="12" t="s">
        <v>1922</v>
      </c>
      <c r="L1138" s="90"/>
      <c r="M1138" s="75" t="str">
        <f>IF(Main[[#This Row],[Tech Start Date]]&lt;1/1/1990,"",IF(Main[[#This Row],[Class]]="C",WORKDAY(Main[[#This Row],[Tech Start Date]],9),IF(Main[[#This Row],[Class]]="B", WORKDAY(Main[[#This Row],[Tech Start Date]],6),IF(Main[[#This Row],[Class]]="A",WORKDAY(Main[[#This Row],[Tech Start Date]],2),""))))</f>
        <v/>
      </c>
      <c r="N1138" s="75" t="str">
        <f>IF(Main[[#This Row],[Tech Start Date]]&lt;1/1/1990,"",IF(Main[[#This Row],[Class]]="C",WORKDAY(Main[[#This Row],[Tech Start Date]],19),IF(Main[[#This Row],[Class]]="B", WORKDAY(Main[[#This Row],[Tech Start Date]],12),IF(Main[[#This Row],[Class]]="A",WORKDAY(Main[[#This Row],[Tech Start Date]],4),""))))</f>
        <v/>
      </c>
      <c r="O1138" s="75" t="str">
        <f>IF(Main[[#This Row],[Tech Start Date]]&lt;1/1/1990,"",IF(Main[[#This Row],[Class]]="C",WORKDAY(Main[[#This Row],[Tech Start Date]],23),IF(Main[[#This Row],[Class]]="B", WORKDAY(Main[[#This Row],[Tech Start Date]],15),IF(Main[[#This Row],[Class]]="A",WORKDAY(Main[[#This Row],[Tech Start Date]],5),""))))</f>
        <v/>
      </c>
      <c r="P1138" s="75" t="str">
        <f>IF(Main[[#This Row],[Tech Start Date]]&lt;1/1/1990,"",IF(Main[[#This Row],[Class]]="C",WORKDAY(Main[[#This Row],[Tech Start Date]],28),IF(Main[[#This Row],[Class]]="B", WORKDAY(Main[[#This Row],[Tech Start Date]],19),IF(Main[[#This Row],[Class]]="A",WORKDAY(Main[[#This Row],[Tech Start Date]],9),""))))</f>
        <v/>
      </c>
      <c r="Q1138" s="90">
        <v>40939</v>
      </c>
      <c r="R1138" s="124"/>
      <c r="S1138" s="12" t="s">
        <v>6</v>
      </c>
      <c r="T1138" s="79" t="s">
        <v>4</v>
      </c>
      <c r="U1138" s="12" t="s">
        <v>14</v>
      </c>
      <c r="V1138" s="12" t="s">
        <v>1916</v>
      </c>
      <c r="W1138" s="12" t="s">
        <v>1917</v>
      </c>
      <c r="X1138" s="12" t="s">
        <v>553</v>
      </c>
      <c r="Y1138" s="77" t="s">
        <v>2946</v>
      </c>
      <c r="Z1138" s="77" t="s">
        <v>30</v>
      </c>
      <c r="AA1138" s="99" t="s">
        <v>553</v>
      </c>
    </row>
    <row r="1139" spans="1:27" ht="17.25" customHeight="1">
      <c r="A1139" s="65" t="str">
        <f>IF(priority(Main[[#This Row],[Comments]])&lt;&gt;0, priority(Main[[#This Row],[Comments]]),"")</f>
        <v/>
      </c>
      <c r="B1139" s="60" t="s">
        <v>2455</v>
      </c>
      <c r="C1139" s="105" t="s">
        <v>4</v>
      </c>
      <c r="D1139" s="74" t="s">
        <v>2668</v>
      </c>
      <c r="E1139" s="89">
        <v>40865.334965277776</v>
      </c>
      <c r="F1139" s="89"/>
      <c r="G1139" s="65" t="str">
        <f>IF(stdProdLT(Main[[#This Row],[Comments]])=0.1,"N/A",IF(stdProdLT(Main[[#This Row],[Comments]])=0,"",TRIM(stdProdLT(Main[[#This Row],[Comments]]))))</f>
        <v/>
      </c>
      <c r="H1139" s="98" t="str">
        <f>IF(Main[[#This Row],[Std. Prod. Lead Time]]="N/A", "",IF(AND(Main[[#This Row],[In Stock Date]]&lt;&gt;"",Main[[#This Row],[Revised Due Date]]&lt;&gt;"",Main[[#This Row],[In Stock Date]]&lt;&gt;""),Main[[#This Row],[In Stock Date]]-Main[[#This Row],[Revised Due Date]],""))</f>
        <v/>
      </c>
      <c r="I1139" s="110" t="s">
        <v>4</v>
      </c>
      <c r="J1139" s="99" t="s">
        <v>4</v>
      </c>
      <c r="K1139" s="99" t="s">
        <v>4</v>
      </c>
      <c r="L1139" s="89"/>
      <c r="M1139" s="75" t="str">
        <f>IF(Main[[#This Row],[Tech Start Date]]&lt;1/1/1990,"",IF(Main[[#This Row],[Class]]="C",WORKDAY(Main[[#This Row],[Tech Start Date]],9),IF(Main[[#This Row],[Class]]="B", WORKDAY(Main[[#This Row],[Tech Start Date]],6),IF(Main[[#This Row],[Class]]="A",WORKDAY(Main[[#This Row],[Tech Start Date]],2),""))))</f>
        <v/>
      </c>
      <c r="N1139" s="75" t="str">
        <f>IF(Main[[#This Row],[Tech Start Date]]&lt;1/1/1990,"",IF(Main[[#This Row],[Class]]="C",WORKDAY(Main[[#This Row],[Tech Start Date]],19),IF(Main[[#This Row],[Class]]="B", WORKDAY(Main[[#This Row],[Tech Start Date]],12),IF(Main[[#This Row],[Class]]="A",WORKDAY(Main[[#This Row],[Tech Start Date]],4),""))))</f>
        <v/>
      </c>
      <c r="O1139" s="75" t="str">
        <f>IF(Main[[#This Row],[Tech Start Date]]&lt;1/1/1990,"",IF(Main[[#This Row],[Class]]="C",WORKDAY(Main[[#This Row],[Tech Start Date]],23),IF(Main[[#This Row],[Class]]="B", WORKDAY(Main[[#This Row],[Tech Start Date]],15),IF(Main[[#This Row],[Class]]="A",WORKDAY(Main[[#This Row],[Tech Start Date]],5),""))))</f>
        <v/>
      </c>
      <c r="P1139" s="75" t="str">
        <f>IF(Main[[#This Row],[Tech Start Date]]&lt;1/1/1990,"",IF(Main[[#This Row],[Class]]="C",WORKDAY(Main[[#This Row],[Tech Start Date]],28),IF(Main[[#This Row],[Class]]="B", WORKDAY(Main[[#This Row],[Tech Start Date]],19),IF(Main[[#This Row],[Class]]="A",WORKDAY(Main[[#This Row],[Tech Start Date]],9),""))))</f>
        <v/>
      </c>
      <c r="Q1139" s="89"/>
      <c r="R1139" s="121"/>
      <c r="S1139" s="99" t="s">
        <v>6</v>
      </c>
      <c r="T1139" s="76" t="s">
        <v>4</v>
      </c>
      <c r="U1139" s="99" t="s">
        <v>7</v>
      </c>
      <c r="V1139" s="99" t="s">
        <v>1913</v>
      </c>
      <c r="W1139" s="99" t="s">
        <v>1917</v>
      </c>
      <c r="X1139" s="99" t="s">
        <v>102</v>
      </c>
      <c r="Y1139" s="73" t="s">
        <v>3074</v>
      </c>
      <c r="Z1139" s="73" t="s">
        <v>4</v>
      </c>
      <c r="AA1139" s="99" t="s">
        <v>3378</v>
      </c>
    </row>
    <row r="1140" spans="1:27" ht="17.25" customHeight="1">
      <c r="A1140" s="65" t="str">
        <f>IF(priority(Main[[#This Row],[Comments]])&lt;&gt;0, priority(Main[[#This Row],[Comments]]),"")</f>
        <v/>
      </c>
      <c r="B1140" s="60" t="s">
        <v>3891</v>
      </c>
      <c r="C1140" s="105" t="s">
        <v>4</v>
      </c>
      <c r="D1140" s="74" t="s">
        <v>3892</v>
      </c>
      <c r="E1140" s="89">
        <v>40968.434988425928</v>
      </c>
      <c r="F1140" s="89"/>
      <c r="G1140" s="65" t="str">
        <f>IF(stdProdLT(Main[[#This Row],[Comments]])=0.1,"N/A",IF(stdProdLT(Main[[#This Row],[Comments]])=0,"",TRIM(stdProdLT(Main[[#This Row],[Comments]]))))</f>
        <v/>
      </c>
      <c r="H1140" s="98" t="str">
        <f>IF(Main[[#This Row],[Std. Prod. Lead Time]]="N/A", "",IF(AND(Main[[#This Row],[In Stock Date]]&lt;&gt;"",Main[[#This Row],[Revised Due Date]]&lt;&gt;"",Main[[#This Row],[In Stock Date]]&lt;&gt;""),Main[[#This Row],[In Stock Date]]-Main[[#This Row],[Revised Due Date]],""))</f>
        <v/>
      </c>
      <c r="I1140" s="110" t="s">
        <v>4</v>
      </c>
      <c r="J1140" s="99" t="s">
        <v>4</v>
      </c>
      <c r="K1140" s="99" t="s">
        <v>4</v>
      </c>
      <c r="L1140" s="89"/>
      <c r="M1140" s="75" t="str">
        <f>IF(Main[[#This Row],[Tech Start Date]]&lt;1/1/1990,"",IF(Main[[#This Row],[Class]]="C",WORKDAY(Main[[#This Row],[Tech Start Date]],9),IF(Main[[#This Row],[Class]]="B", WORKDAY(Main[[#This Row],[Tech Start Date]],6),IF(Main[[#This Row],[Class]]="A",WORKDAY(Main[[#This Row],[Tech Start Date]],2),""))))</f>
        <v/>
      </c>
      <c r="N1140" s="75" t="str">
        <f>IF(Main[[#This Row],[Tech Start Date]]&lt;1/1/1990,"",IF(Main[[#This Row],[Class]]="C",WORKDAY(Main[[#This Row],[Tech Start Date]],19),IF(Main[[#This Row],[Class]]="B", WORKDAY(Main[[#This Row],[Tech Start Date]],12),IF(Main[[#This Row],[Class]]="A",WORKDAY(Main[[#This Row],[Tech Start Date]],4),""))))</f>
        <v/>
      </c>
      <c r="O1140" s="75" t="str">
        <f>IF(Main[[#This Row],[Tech Start Date]]&lt;1/1/1990,"",IF(Main[[#This Row],[Class]]="C",WORKDAY(Main[[#This Row],[Tech Start Date]],23),IF(Main[[#This Row],[Class]]="B", WORKDAY(Main[[#This Row],[Tech Start Date]],15),IF(Main[[#This Row],[Class]]="A",WORKDAY(Main[[#This Row],[Tech Start Date]],5),""))))</f>
        <v/>
      </c>
      <c r="P1140" s="75" t="str">
        <f>IF(Main[[#This Row],[Tech Start Date]]&lt;1/1/1990,"",IF(Main[[#This Row],[Class]]="C",WORKDAY(Main[[#This Row],[Tech Start Date]],28),IF(Main[[#This Row],[Class]]="B", WORKDAY(Main[[#This Row],[Tech Start Date]],19),IF(Main[[#This Row],[Class]]="A",WORKDAY(Main[[#This Row],[Tech Start Date]],9),""))))</f>
        <v/>
      </c>
      <c r="Q1140" s="89"/>
      <c r="R1140" s="121"/>
      <c r="S1140" s="99" t="s">
        <v>6</v>
      </c>
      <c r="T1140" s="76" t="s">
        <v>4</v>
      </c>
      <c r="U1140" s="99" t="s">
        <v>7</v>
      </c>
      <c r="V1140" s="99" t="s">
        <v>1916</v>
      </c>
      <c r="W1140" s="99" t="s">
        <v>1917</v>
      </c>
      <c r="X1140" s="99" t="s">
        <v>2835</v>
      </c>
      <c r="Y1140" s="73" t="s">
        <v>2965</v>
      </c>
      <c r="Z1140" s="73" t="s">
        <v>4</v>
      </c>
      <c r="AA1140" s="99" t="s">
        <v>2835</v>
      </c>
    </row>
    <row r="1141" spans="1:27" ht="17.25" customHeight="1">
      <c r="A1141" s="65" t="str">
        <f>IF(priority(Main[[#This Row],[Comments]])&lt;&gt;0, priority(Main[[#This Row],[Comments]]),"")</f>
        <v/>
      </c>
      <c r="B1141" s="60" t="s">
        <v>2427</v>
      </c>
      <c r="C1141" s="105" t="s">
        <v>4</v>
      </c>
      <c r="D1141" s="74" t="s">
        <v>2428</v>
      </c>
      <c r="E1141" s="89">
        <v>40861.647233796299</v>
      </c>
      <c r="F1141" s="89"/>
      <c r="G1141" s="65" t="str">
        <f>IF(stdProdLT(Main[[#This Row],[Comments]])=0.1,"N/A",IF(stdProdLT(Main[[#This Row],[Comments]])=0,"",TRIM(stdProdLT(Main[[#This Row],[Comments]]))))</f>
        <v/>
      </c>
      <c r="H1141" s="98" t="str">
        <f>IF(Main[[#This Row],[Std. Prod. Lead Time]]="N/A", "",IF(AND(Main[[#This Row],[In Stock Date]]&lt;&gt;"",Main[[#This Row],[Revised Due Date]]&lt;&gt;"",Main[[#This Row],[In Stock Date]]&lt;&gt;""),Main[[#This Row],[In Stock Date]]-Main[[#This Row],[Revised Due Date]],""))</f>
        <v/>
      </c>
      <c r="I1141" s="110" t="s">
        <v>306</v>
      </c>
      <c r="J1141" s="99" t="s">
        <v>75</v>
      </c>
      <c r="K1141" s="99" t="s">
        <v>1922</v>
      </c>
      <c r="L1141" s="89"/>
      <c r="M1141" s="75" t="str">
        <f>IF(Main[[#This Row],[Tech Start Date]]&lt;1/1/1990,"",IF(Main[[#This Row],[Class]]="C",WORKDAY(Main[[#This Row],[Tech Start Date]],9),IF(Main[[#This Row],[Class]]="B", WORKDAY(Main[[#This Row],[Tech Start Date]],6),IF(Main[[#This Row],[Class]]="A",WORKDAY(Main[[#This Row],[Tech Start Date]],2),""))))</f>
        <v/>
      </c>
      <c r="N1141" s="75" t="str">
        <f>IF(Main[[#This Row],[Tech Start Date]]&lt;1/1/1990,"",IF(Main[[#This Row],[Class]]="C",WORKDAY(Main[[#This Row],[Tech Start Date]],19),IF(Main[[#This Row],[Class]]="B", WORKDAY(Main[[#This Row],[Tech Start Date]],12),IF(Main[[#This Row],[Class]]="A",WORKDAY(Main[[#This Row],[Tech Start Date]],4),""))))</f>
        <v/>
      </c>
      <c r="O1141" s="75" t="str">
        <f>IF(Main[[#This Row],[Tech Start Date]]&lt;1/1/1990,"",IF(Main[[#This Row],[Class]]="C",WORKDAY(Main[[#This Row],[Tech Start Date]],23),IF(Main[[#This Row],[Class]]="B", WORKDAY(Main[[#This Row],[Tech Start Date]],15),IF(Main[[#This Row],[Class]]="A",WORKDAY(Main[[#This Row],[Tech Start Date]],5),""))))</f>
        <v/>
      </c>
      <c r="P1141" s="75" t="str">
        <f>IF(Main[[#This Row],[Tech Start Date]]&lt;1/1/1990,"",IF(Main[[#This Row],[Class]]="C",WORKDAY(Main[[#This Row],[Tech Start Date]],28),IF(Main[[#This Row],[Class]]="B", WORKDAY(Main[[#This Row],[Tech Start Date]],19),IF(Main[[#This Row],[Class]]="A",WORKDAY(Main[[#This Row],[Tech Start Date]],9),""))))</f>
        <v/>
      </c>
      <c r="Q1141" s="89">
        <v>40897</v>
      </c>
      <c r="R1141" s="121"/>
      <c r="S1141" s="99" t="s">
        <v>6</v>
      </c>
      <c r="T1141" s="76" t="s">
        <v>4</v>
      </c>
      <c r="U1141" s="99" t="s">
        <v>29</v>
      </c>
      <c r="V1141" s="99" t="s">
        <v>1916</v>
      </c>
      <c r="W1141" s="99" t="s">
        <v>1917</v>
      </c>
      <c r="X1141" s="99" t="s">
        <v>30</v>
      </c>
      <c r="Y1141" s="73" t="s">
        <v>2934</v>
      </c>
      <c r="Z1141" s="73" t="s">
        <v>30</v>
      </c>
      <c r="AA1141" s="99" t="s">
        <v>30</v>
      </c>
    </row>
    <row r="1142" spans="1:27" ht="17.25" customHeight="1">
      <c r="A1142" s="65" t="str">
        <f>IF(priority(Main[[#This Row],[Comments]])&lt;&gt;0, priority(Main[[#This Row],[Comments]]),"")</f>
        <v/>
      </c>
      <c r="B1142" s="60" t="s">
        <v>1438</v>
      </c>
      <c r="C1142" s="105" t="s">
        <v>4</v>
      </c>
      <c r="D1142" s="74" t="s">
        <v>516</v>
      </c>
      <c r="E1142" s="89">
        <v>40584.460439814815</v>
      </c>
      <c r="F1142" s="89">
        <v>40599</v>
      </c>
      <c r="G1142" s="65" t="str">
        <f>IF(stdProdLT(Main[[#This Row],[Comments]])=0.1,"N/A",IF(stdProdLT(Main[[#This Row],[Comments]])=0,"",TRIM(stdProdLT(Main[[#This Row],[Comments]]))))</f>
        <v/>
      </c>
      <c r="H1142" s="98" t="str">
        <f>IF(Main[[#This Row],[Std. Prod. Lead Time]]="N/A", "",IF(AND(Main[[#This Row],[In Stock Date]]&lt;&gt;"",Main[[#This Row],[Revised Due Date]]&lt;&gt;"",Main[[#This Row],[In Stock Date]]&lt;&gt;""),Main[[#This Row],[In Stock Date]]-Main[[#This Row],[Revised Due Date]],""))</f>
        <v/>
      </c>
      <c r="I1142" s="110" t="s">
        <v>415</v>
      </c>
      <c r="J1142" s="99" t="s">
        <v>21</v>
      </c>
      <c r="K1142" s="99" t="s">
        <v>1922</v>
      </c>
      <c r="L1142" s="89"/>
      <c r="M1142" s="75" t="str">
        <f>IF(Main[[#This Row],[Tech Start Date]]&lt;1/1/1990,"",IF(Main[[#This Row],[Class]]="C",WORKDAY(Main[[#This Row],[Tech Start Date]],9),IF(Main[[#This Row],[Class]]="B", WORKDAY(Main[[#This Row],[Tech Start Date]],6),IF(Main[[#This Row],[Class]]="A",WORKDAY(Main[[#This Row],[Tech Start Date]],2),""))))</f>
        <v/>
      </c>
      <c r="N1142" s="75" t="str">
        <f>IF(Main[[#This Row],[Tech Start Date]]&lt;1/1/1990,"",IF(Main[[#This Row],[Class]]="C",WORKDAY(Main[[#This Row],[Tech Start Date]],19),IF(Main[[#This Row],[Class]]="B", WORKDAY(Main[[#This Row],[Tech Start Date]],12),IF(Main[[#This Row],[Class]]="A",WORKDAY(Main[[#This Row],[Tech Start Date]],4),""))))</f>
        <v/>
      </c>
      <c r="O1142" s="75" t="str">
        <f>IF(Main[[#This Row],[Tech Start Date]]&lt;1/1/1990,"",IF(Main[[#This Row],[Class]]="C",WORKDAY(Main[[#This Row],[Tech Start Date]],23),IF(Main[[#This Row],[Class]]="B", WORKDAY(Main[[#This Row],[Tech Start Date]],15),IF(Main[[#This Row],[Class]]="A",WORKDAY(Main[[#This Row],[Tech Start Date]],5),""))))</f>
        <v/>
      </c>
      <c r="P1142" s="75" t="str">
        <f>IF(Main[[#This Row],[Tech Start Date]]&lt;1/1/1990,"",IF(Main[[#This Row],[Class]]="C",WORKDAY(Main[[#This Row],[Tech Start Date]],28),IF(Main[[#This Row],[Class]]="B", WORKDAY(Main[[#This Row],[Tech Start Date]],19),IF(Main[[#This Row],[Class]]="A",WORKDAY(Main[[#This Row],[Tech Start Date]],9),""))))</f>
        <v/>
      </c>
      <c r="Q1142" s="89">
        <v>40599</v>
      </c>
      <c r="R1142" s="121"/>
      <c r="S1142" s="99" t="s">
        <v>6</v>
      </c>
      <c r="T1142" s="76" t="s">
        <v>4</v>
      </c>
      <c r="U1142" s="99" t="s">
        <v>29</v>
      </c>
      <c r="V1142" s="99" t="s">
        <v>1923</v>
      </c>
      <c r="W1142" s="99" t="s">
        <v>1915</v>
      </c>
      <c r="X1142" s="99" t="s">
        <v>415</v>
      </c>
      <c r="Y1142" s="73" t="s">
        <v>2969</v>
      </c>
      <c r="Z1142" s="73" t="s">
        <v>415</v>
      </c>
      <c r="AA1142" s="99" t="s">
        <v>415</v>
      </c>
    </row>
    <row r="1143" spans="1:27" ht="17.25" customHeight="1">
      <c r="A1143" s="65" t="str">
        <f>IF(priority(Main[[#This Row],[Comments]])&lt;&gt;0, priority(Main[[#This Row],[Comments]]),"")</f>
        <v/>
      </c>
      <c r="B1143" s="60" t="s">
        <v>2464</v>
      </c>
      <c r="C1143" s="105" t="s">
        <v>4</v>
      </c>
      <c r="D1143" s="74" t="s">
        <v>2465</v>
      </c>
      <c r="E1143" s="89"/>
      <c r="F1143" s="89"/>
      <c r="G1143" s="65" t="str">
        <f>IF(stdProdLT(Main[[#This Row],[Comments]])=0.1,"N/A",IF(stdProdLT(Main[[#This Row],[Comments]])=0,"",TRIM(stdProdLT(Main[[#This Row],[Comments]]))))</f>
        <v/>
      </c>
      <c r="H1143" s="98" t="str">
        <f>IF(Main[[#This Row],[Std. Prod. Lead Time]]="N/A", "",IF(AND(Main[[#This Row],[In Stock Date]]&lt;&gt;"",Main[[#This Row],[Revised Due Date]]&lt;&gt;"",Main[[#This Row],[In Stock Date]]&lt;&gt;""),Main[[#This Row],[In Stock Date]]-Main[[#This Row],[Revised Due Date]],""))</f>
        <v/>
      </c>
      <c r="I1143" s="110" t="s">
        <v>4</v>
      </c>
      <c r="J1143" s="99" t="s">
        <v>4</v>
      </c>
      <c r="K1143" s="99" t="s">
        <v>4</v>
      </c>
      <c r="L1143" s="89"/>
      <c r="M1143" s="75" t="str">
        <f>IF(Main[[#This Row],[Tech Start Date]]&lt;1/1/1990,"",IF(Main[[#This Row],[Class]]="C",WORKDAY(Main[[#This Row],[Tech Start Date]],9),IF(Main[[#This Row],[Class]]="B", WORKDAY(Main[[#This Row],[Tech Start Date]],6),IF(Main[[#This Row],[Class]]="A",WORKDAY(Main[[#This Row],[Tech Start Date]],2),""))))</f>
        <v/>
      </c>
      <c r="N1143" s="75" t="str">
        <f>IF(Main[[#This Row],[Tech Start Date]]&lt;1/1/1990,"",IF(Main[[#This Row],[Class]]="C",WORKDAY(Main[[#This Row],[Tech Start Date]],19),IF(Main[[#This Row],[Class]]="B", WORKDAY(Main[[#This Row],[Tech Start Date]],12),IF(Main[[#This Row],[Class]]="A",WORKDAY(Main[[#This Row],[Tech Start Date]],4),""))))</f>
        <v/>
      </c>
      <c r="O1143" s="75" t="str">
        <f>IF(Main[[#This Row],[Tech Start Date]]&lt;1/1/1990,"",IF(Main[[#This Row],[Class]]="C",WORKDAY(Main[[#This Row],[Tech Start Date]],23),IF(Main[[#This Row],[Class]]="B", WORKDAY(Main[[#This Row],[Tech Start Date]],15),IF(Main[[#This Row],[Class]]="A",WORKDAY(Main[[#This Row],[Tech Start Date]],5),""))))</f>
        <v/>
      </c>
      <c r="P1143" s="75" t="str">
        <f>IF(Main[[#This Row],[Tech Start Date]]&lt;1/1/1990,"",IF(Main[[#This Row],[Class]]="C",WORKDAY(Main[[#This Row],[Tech Start Date]],28),IF(Main[[#This Row],[Class]]="B", WORKDAY(Main[[#This Row],[Tech Start Date]],19),IF(Main[[#This Row],[Class]]="A",WORKDAY(Main[[#This Row],[Tech Start Date]],9),""))))</f>
        <v/>
      </c>
      <c r="Q1143" s="89"/>
      <c r="R1143" s="121"/>
      <c r="S1143" s="99" t="s">
        <v>11</v>
      </c>
      <c r="T1143" s="76" t="s">
        <v>4</v>
      </c>
      <c r="U1143" s="99" t="s">
        <v>14</v>
      </c>
      <c r="V1143" s="99" t="s">
        <v>1914</v>
      </c>
      <c r="W1143" s="99" t="s">
        <v>4</v>
      </c>
      <c r="X1143" s="99" t="s">
        <v>2245</v>
      </c>
      <c r="Y1143" s="73" t="s">
        <v>4</v>
      </c>
      <c r="Z1143" s="73" t="s">
        <v>4</v>
      </c>
      <c r="AA1143" s="99" t="s">
        <v>4</v>
      </c>
    </row>
    <row r="1144" spans="1:27" ht="17.25" customHeight="1">
      <c r="A1144" s="65" t="str">
        <f>IF(priority(Main[[#This Row],[Comments]])&lt;&gt;0, priority(Main[[#This Row],[Comments]]),"")</f>
        <v/>
      </c>
      <c r="B1144" s="60" t="s">
        <v>2466</v>
      </c>
      <c r="C1144" s="105" t="s">
        <v>2414</v>
      </c>
      <c r="D1144" s="74" t="s">
        <v>2467</v>
      </c>
      <c r="E1144" s="89"/>
      <c r="F1144" s="89">
        <v>40969</v>
      </c>
      <c r="G1144" s="65" t="str">
        <f>IF(stdProdLT(Main[[#This Row],[Comments]])=0.1,"N/A",IF(stdProdLT(Main[[#This Row],[Comments]])=0,"",TRIM(stdProdLT(Main[[#This Row],[Comments]]))))</f>
        <v/>
      </c>
      <c r="H1144" s="98" t="str">
        <f>IF(Main[[#This Row],[Std. Prod. Lead Time]]="N/A", "",IF(AND(Main[[#This Row],[In Stock Date]]&lt;&gt;"",Main[[#This Row],[Revised Due Date]]&lt;&gt;"",Main[[#This Row],[In Stock Date]]&lt;&gt;""),Main[[#This Row],[In Stock Date]]-Main[[#This Row],[Revised Due Date]],""))</f>
        <v/>
      </c>
      <c r="I1144" s="110" t="s">
        <v>4</v>
      </c>
      <c r="J1144" s="99" t="s">
        <v>4</v>
      </c>
      <c r="K1144" s="99" t="s">
        <v>4</v>
      </c>
      <c r="L1144" s="89"/>
      <c r="M1144" s="75" t="str">
        <f>IF(Main[[#This Row],[Tech Start Date]]&lt;1/1/1990,"",IF(Main[[#This Row],[Class]]="C",WORKDAY(Main[[#This Row],[Tech Start Date]],9),IF(Main[[#This Row],[Class]]="B", WORKDAY(Main[[#This Row],[Tech Start Date]],6),IF(Main[[#This Row],[Class]]="A",WORKDAY(Main[[#This Row],[Tech Start Date]],2),""))))</f>
        <v/>
      </c>
      <c r="N1144" s="75" t="str">
        <f>IF(Main[[#This Row],[Tech Start Date]]&lt;1/1/1990,"",IF(Main[[#This Row],[Class]]="C",WORKDAY(Main[[#This Row],[Tech Start Date]],19),IF(Main[[#This Row],[Class]]="B", WORKDAY(Main[[#This Row],[Tech Start Date]],12),IF(Main[[#This Row],[Class]]="A",WORKDAY(Main[[#This Row],[Tech Start Date]],4),""))))</f>
        <v/>
      </c>
      <c r="O1144" s="75" t="str">
        <f>IF(Main[[#This Row],[Tech Start Date]]&lt;1/1/1990,"",IF(Main[[#This Row],[Class]]="C",WORKDAY(Main[[#This Row],[Tech Start Date]],23),IF(Main[[#This Row],[Class]]="B", WORKDAY(Main[[#This Row],[Tech Start Date]],15),IF(Main[[#This Row],[Class]]="A",WORKDAY(Main[[#This Row],[Tech Start Date]],5),""))))</f>
        <v/>
      </c>
      <c r="P1144" s="75" t="str">
        <f>IF(Main[[#This Row],[Tech Start Date]]&lt;1/1/1990,"",IF(Main[[#This Row],[Class]]="C",WORKDAY(Main[[#This Row],[Tech Start Date]],28),IF(Main[[#This Row],[Class]]="B", WORKDAY(Main[[#This Row],[Tech Start Date]],19),IF(Main[[#This Row],[Class]]="A",WORKDAY(Main[[#This Row],[Tech Start Date]],9),""))))</f>
        <v/>
      </c>
      <c r="Q1144" s="89"/>
      <c r="R1144" s="121"/>
      <c r="S1144" s="99" t="s">
        <v>4</v>
      </c>
      <c r="T1144" s="76" t="s">
        <v>2468</v>
      </c>
      <c r="U1144" s="99" t="s">
        <v>14</v>
      </c>
      <c r="V1144" s="99" t="s">
        <v>1916</v>
      </c>
      <c r="W1144" s="99" t="s">
        <v>4</v>
      </c>
      <c r="X1144" s="99" t="s">
        <v>2850</v>
      </c>
      <c r="Y1144" s="73" t="s">
        <v>4</v>
      </c>
      <c r="Z1144" s="73" t="s">
        <v>4</v>
      </c>
      <c r="AA1144" s="99" t="s">
        <v>4</v>
      </c>
    </row>
    <row r="1145" spans="1:27" ht="17.25" customHeight="1">
      <c r="A1145" s="65" t="str">
        <f>IF(priority(Main[[#This Row],[Comments]])&lt;&gt;0, priority(Main[[#This Row],[Comments]]),"")</f>
        <v/>
      </c>
      <c r="B1145" s="60" t="s">
        <v>2471</v>
      </c>
      <c r="C1145" s="105" t="s">
        <v>4</v>
      </c>
      <c r="D1145" s="74" t="s">
        <v>2472</v>
      </c>
      <c r="E1145" s="89">
        <v>40834.323900462965</v>
      </c>
      <c r="F1145" s="89"/>
      <c r="G1145" s="65" t="str">
        <f>IF(stdProdLT(Main[[#This Row],[Comments]])=0.1,"N/A",IF(stdProdLT(Main[[#This Row],[Comments]])=0,"",TRIM(stdProdLT(Main[[#This Row],[Comments]]))))</f>
        <v/>
      </c>
      <c r="H1145" s="98" t="str">
        <f>IF(Main[[#This Row],[Std. Prod. Lead Time]]="N/A", "",IF(AND(Main[[#This Row],[In Stock Date]]&lt;&gt;"",Main[[#This Row],[Revised Due Date]]&lt;&gt;"",Main[[#This Row],[In Stock Date]]&lt;&gt;""),Main[[#This Row],[In Stock Date]]-Main[[#This Row],[Revised Due Date]],""))</f>
        <v/>
      </c>
      <c r="I1145" s="110" t="s">
        <v>4</v>
      </c>
      <c r="J1145" s="99" t="s">
        <v>4</v>
      </c>
      <c r="K1145" s="100" t="s">
        <v>4</v>
      </c>
      <c r="L1145" s="89"/>
      <c r="M1145" s="75" t="str">
        <f>IF(Main[[#This Row],[Tech Start Date]]&lt;1/1/1990,"",IF(Main[[#This Row],[Class]]="C",WORKDAY(Main[[#This Row],[Tech Start Date]],9),IF(Main[[#This Row],[Class]]="B", WORKDAY(Main[[#This Row],[Tech Start Date]],6),IF(Main[[#This Row],[Class]]="A",WORKDAY(Main[[#This Row],[Tech Start Date]],2),""))))</f>
        <v/>
      </c>
      <c r="N1145" s="75" t="str">
        <f>IF(Main[[#This Row],[Tech Start Date]]&lt;1/1/1990,"",IF(Main[[#This Row],[Class]]="C",WORKDAY(Main[[#This Row],[Tech Start Date]],19),IF(Main[[#This Row],[Class]]="B", WORKDAY(Main[[#This Row],[Tech Start Date]],12),IF(Main[[#This Row],[Class]]="A",WORKDAY(Main[[#This Row],[Tech Start Date]],4),""))))</f>
        <v/>
      </c>
      <c r="O1145" s="75" t="str">
        <f>IF(Main[[#This Row],[Tech Start Date]]&lt;1/1/1990,"",IF(Main[[#This Row],[Class]]="C",WORKDAY(Main[[#This Row],[Tech Start Date]],23),IF(Main[[#This Row],[Class]]="B", WORKDAY(Main[[#This Row],[Tech Start Date]],15),IF(Main[[#This Row],[Class]]="A",WORKDAY(Main[[#This Row],[Tech Start Date]],5),""))))</f>
        <v/>
      </c>
      <c r="P1145" s="75" t="str">
        <f>IF(Main[[#This Row],[Tech Start Date]]&lt;1/1/1990,"",IF(Main[[#This Row],[Class]]="C",WORKDAY(Main[[#This Row],[Tech Start Date]],28),IF(Main[[#This Row],[Class]]="B", WORKDAY(Main[[#This Row],[Tech Start Date]],19),IF(Main[[#This Row],[Class]]="A",WORKDAY(Main[[#This Row],[Tech Start Date]],9),""))))</f>
        <v/>
      </c>
      <c r="Q1145" s="89"/>
      <c r="R1145" s="121"/>
      <c r="S1145" s="99" t="s">
        <v>6</v>
      </c>
      <c r="T1145" s="76" t="s">
        <v>4</v>
      </c>
      <c r="U1145" s="99" t="s">
        <v>7</v>
      </c>
      <c r="V1145" s="99" t="s">
        <v>1913</v>
      </c>
      <c r="W1145" s="99" t="s">
        <v>1917</v>
      </c>
      <c r="X1145" s="99" t="s">
        <v>399</v>
      </c>
      <c r="Y1145" s="73" t="s">
        <v>4</v>
      </c>
      <c r="Z1145" s="73" t="s">
        <v>4</v>
      </c>
      <c r="AA1145" s="99" t="s">
        <v>3378</v>
      </c>
    </row>
    <row r="1146" spans="1:27" ht="17.25" customHeight="1">
      <c r="A1146" s="65" t="str">
        <f>IF(priority(Main[[#This Row],[Comments]])&lt;&gt;0, priority(Main[[#This Row],[Comments]]),"")</f>
        <v/>
      </c>
      <c r="B1146" s="60" t="s">
        <v>2473</v>
      </c>
      <c r="C1146" s="105" t="s">
        <v>347</v>
      </c>
      <c r="D1146" s="74" t="s">
        <v>2332</v>
      </c>
      <c r="E1146" s="89">
        <v>40827.600601851853</v>
      </c>
      <c r="F1146" s="89"/>
      <c r="G1146" s="65" t="str">
        <f>IF(stdProdLT(Main[[#This Row],[Comments]])=0.1,"N/A",IF(stdProdLT(Main[[#This Row],[Comments]])=0,"",TRIM(stdProdLT(Main[[#This Row],[Comments]]))))</f>
        <v/>
      </c>
      <c r="H1146" s="98" t="str">
        <f>IF(Main[[#This Row],[Std. Prod. Lead Time]]="N/A", "",IF(AND(Main[[#This Row],[In Stock Date]]&lt;&gt;"",Main[[#This Row],[Revised Due Date]]&lt;&gt;"",Main[[#This Row],[In Stock Date]]&lt;&gt;""),Main[[#This Row],[In Stock Date]]-Main[[#This Row],[Revised Due Date]],""))</f>
        <v/>
      </c>
      <c r="I1146" s="110" t="s">
        <v>4</v>
      </c>
      <c r="J1146" s="99" t="s">
        <v>4</v>
      </c>
      <c r="K1146" s="99" t="s">
        <v>4</v>
      </c>
      <c r="L1146" s="89"/>
      <c r="M1146" s="75" t="str">
        <f>IF(Main[[#This Row],[Tech Start Date]]&lt;1/1/1990,"",IF(Main[[#This Row],[Class]]="C",WORKDAY(Main[[#This Row],[Tech Start Date]],9),IF(Main[[#This Row],[Class]]="B", WORKDAY(Main[[#This Row],[Tech Start Date]],6),IF(Main[[#This Row],[Class]]="A",WORKDAY(Main[[#This Row],[Tech Start Date]],2),""))))</f>
        <v/>
      </c>
      <c r="N1146" s="75" t="str">
        <f>IF(Main[[#This Row],[Tech Start Date]]&lt;1/1/1990,"",IF(Main[[#This Row],[Class]]="C",WORKDAY(Main[[#This Row],[Tech Start Date]],19),IF(Main[[#This Row],[Class]]="B", WORKDAY(Main[[#This Row],[Tech Start Date]],12),IF(Main[[#This Row],[Class]]="A",WORKDAY(Main[[#This Row],[Tech Start Date]],4),""))))</f>
        <v/>
      </c>
      <c r="O1146" s="75" t="str">
        <f>IF(Main[[#This Row],[Tech Start Date]]&lt;1/1/1990,"",IF(Main[[#This Row],[Class]]="C",WORKDAY(Main[[#This Row],[Tech Start Date]],23),IF(Main[[#This Row],[Class]]="B", WORKDAY(Main[[#This Row],[Tech Start Date]],15),IF(Main[[#This Row],[Class]]="A",WORKDAY(Main[[#This Row],[Tech Start Date]],5),""))))</f>
        <v/>
      </c>
      <c r="P1146" s="75" t="str">
        <f>IF(Main[[#This Row],[Tech Start Date]]&lt;1/1/1990,"",IF(Main[[#This Row],[Class]]="C",WORKDAY(Main[[#This Row],[Tech Start Date]],28),IF(Main[[#This Row],[Class]]="B", WORKDAY(Main[[#This Row],[Tech Start Date]],19),IF(Main[[#This Row],[Class]]="A",WORKDAY(Main[[#This Row],[Tech Start Date]],9),""))))</f>
        <v/>
      </c>
      <c r="Q1146" s="89">
        <v>40847</v>
      </c>
      <c r="R1146" s="121"/>
      <c r="S1146" s="99" t="s">
        <v>4</v>
      </c>
      <c r="T1146" s="76" t="s">
        <v>4</v>
      </c>
      <c r="U1146" s="99" t="s">
        <v>7</v>
      </c>
      <c r="V1146" s="99" t="s">
        <v>1913</v>
      </c>
      <c r="W1146" s="99" t="s">
        <v>4</v>
      </c>
      <c r="X1146" s="99" t="s">
        <v>2843</v>
      </c>
      <c r="Y1146" s="73" t="s">
        <v>2977</v>
      </c>
      <c r="Z1146" s="73" t="s">
        <v>4</v>
      </c>
      <c r="AA1146" s="99" t="s">
        <v>2843</v>
      </c>
    </row>
    <row r="1147" spans="1:27" ht="17.25" customHeight="1">
      <c r="A1147" s="65" t="str">
        <f>IF(priority(Main[[#This Row],[Comments]])&lt;&gt;0, priority(Main[[#This Row],[Comments]]),"")</f>
        <v/>
      </c>
      <c r="B1147" s="60" t="s">
        <v>2474</v>
      </c>
      <c r="C1147" s="105" t="s">
        <v>347</v>
      </c>
      <c r="D1147" s="74" t="s">
        <v>2475</v>
      </c>
      <c r="E1147" s="89">
        <v>40827.603530092594</v>
      </c>
      <c r="F1147" s="89"/>
      <c r="G1147" s="65" t="str">
        <f>IF(stdProdLT(Main[[#This Row],[Comments]])=0.1,"N/A",IF(stdProdLT(Main[[#This Row],[Comments]])=0,"",TRIM(stdProdLT(Main[[#This Row],[Comments]]))))</f>
        <v/>
      </c>
      <c r="H1147" s="98" t="str">
        <f>IF(Main[[#This Row],[Std. Prod. Lead Time]]="N/A", "",IF(AND(Main[[#This Row],[In Stock Date]]&lt;&gt;"",Main[[#This Row],[Revised Due Date]]&lt;&gt;"",Main[[#This Row],[In Stock Date]]&lt;&gt;""),Main[[#This Row],[In Stock Date]]-Main[[#This Row],[Revised Due Date]],""))</f>
        <v/>
      </c>
      <c r="I1147" s="110" t="s">
        <v>4</v>
      </c>
      <c r="J1147" s="99" t="s">
        <v>4</v>
      </c>
      <c r="K1147" s="99" t="s">
        <v>4</v>
      </c>
      <c r="L1147" s="89"/>
      <c r="M1147" s="75" t="str">
        <f>IF(Main[[#This Row],[Tech Start Date]]&lt;1/1/1990,"",IF(Main[[#This Row],[Class]]="C",WORKDAY(Main[[#This Row],[Tech Start Date]],9),IF(Main[[#This Row],[Class]]="B", WORKDAY(Main[[#This Row],[Tech Start Date]],6),IF(Main[[#This Row],[Class]]="A",WORKDAY(Main[[#This Row],[Tech Start Date]],2),""))))</f>
        <v/>
      </c>
      <c r="N1147" s="75" t="str">
        <f>IF(Main[[#This Row],[Tech Start Date]]&lt;1/1/1990,"",IF(Main[[#This Row],[Class]]="C",WORKDAY(Main[[#This Row],[Tech Start Date]],19),IF(Main[[#This Row],[Class]]="B", WORKDAY(Main[[#This Row],[Tech Start Date]],12),IF(Main[[#This Row],[Class]]="A",WORKDAY(Main[[#This Row],[Tech Start Date]],4),""))))</f>
        <v/>
      </c>
      <c r="O1147" s="75" t="str">
        <f>IF(Main[[#This Row],[Tech Start Date]]&lt;1/1/1990,"",IF(Main[[#This Row],[Class]]="C",WORKDAY(Main[[#This Row],[Tech Start Date]],23),IF(Main[[#This Row],[Class]]="B", WORKDAY(Main[[#This Row],[Tech Start Date]],15),IF(Main[[#This Row],[Class]]="A",WORKDAY(Main[[#This Row],[Tech Start Date]],5),""))))</f>
        <v/>
      </c>
      <c r="P1147" s="75" t="str">
        <f>IF(Main[[#This Row],[Tech Start Date]]&lt;1/1/1990,"",IF(Main[[#This Row],[Class]]="C",WORKDAY(Main[[#This Row],[Tech Start Date]],28),IF(Main[[#This Row],[Class]]="B", WORKDAY(Main[[#This Row],[Tech Start Date]],19),IF(Main[[#This Row],[Class]]="A",WORKDAY(Main[[#This Row],[Tech Start Date]],9),""))))</f>
        <v/>
      </c>
      <c r="Q1147" s="89">
        <v>40847</v>
      </c>
      <c r="R1147" s="121"/>
      <c r="S1147" s="99" t="s">
        <v>11</v>
      </c>
      <c r="T1147" s="76" t="s">
        <v>4</v>
      </c>
      <c r="U1147" s="99" t="s">
        <v>7</v>
      </c>
      <c r="V1147" s="99" t="s">
        <v>1913</v>
      </c>
      <c r="W1147" s="99" t="s">
        <v>4</v>
      </c>
      <c r="X1147" s="99" t="s">
        <v>2843</v>
      </c>
      <c r="Y1147" s="73" t="s">
        <v>2977</v>
      </c>
      <c r="Z1147" s="73" t="s">
        <v>4</v>
      </c>
      <c r="AA1147" s="99" t="s">
        <v>2843</v>
      </c>
    </row>
    <row r="1148" spans="1:27" ht="17.25" customHeight="1">
      <c r="A1148" s="65" t="str">
        <f>IF(priority(Main[[#This Row],[Comments]])&lt;&gt;0, priority(Main[[#This Row],[Comments]]),"")</f>
        <v/>
      </c>
      <c r="B1148" s="60" t="s">
        <v>2476</v>
      </c>
      <c r="C1148" s="105" t="s">
        <v>4</v>
      </c>
      <c r="D1148" s="74" t="s">
        <v>2477</v>
      </c>
      <c r="E1148" s="89"/>
      <c r="F1148" s="89"/>
      <c r="G1148" s="65" t="str">
        <f>IF(stdProdLT(Main[[#This Row],[Comments]])=0.1,"N/A",IF(stdProdLT(Main[[#This Row],[Comments]])=0,"",TRIM(stdProdLT(Main[[#This Row],[Comments]]))))</f>
        <v/>
      </c>
      <c r="H1148" s="98" t="str">
        <f>IF(Main[[#This Row],[Std. Prod. Lead Time]]="N/A", "",IF(AND(Main[[#This Row],[In Stock Date]]&lt;&gt;"",Main[[#This Row],[Revised Due Date]]&lt;&gt;"",Main[[#This Row],[In Stock Date]]&lt;&gt;""),Main[[#This Row],[In Stock Date]]-Main[[#This Row],[Revised Due Date]],""))</f>
        <v/>
      </c>
      <c r="I1148" s="110" t="s">
        <v>4</v>
      </c>
      <c r="J1148" s="99" t="s">
        <v>4</v>
      </c>
      <c r="K1148" s="99" t="s">
        <v>4</v>
      </c>
      <c r="L1148" s="89"/>
      <c r="M1148" s="75" t="str">
        <f>IF(Main[[#This Row],[Tech Start Date]]&lt;1/1/1990,"",IF(Main[[#This Row],[Class]]="C",WORKDAY(Main[[#This Row],[Tech Start Date]],9),IF(Main[[#This Row],[Class]]="B", WORKDAY(Main[[#This Row],[Tech Start Date]],6),IF(Main[[#This Row],[Class]]="A",WORKDAY(Main[[#This Row],[Tech Start Date]],2),""))))</f>
        <v/>
      </c>
      <c r="N1148" s="75" t="str">
        <f>IF(Main[[#This Row],[Tech Start Date]]&lt;1/1/1990,"",IF(Main[[#This Row],[Class]]="C",WORKDAY(Main[[#This Row],[Tech Start Date]],19),IF(Main[[#This Row],[Class]]="B", WORKDAY(Main[[#This Row],[Tech Start Date]],12),IF(Main[[#This Row],[Class]]="A",WORKDAY(Main[[#This Row],[Tech Start Date]],4),""))))</f>
        <v/>
      </c>
      <c r="O1148" s="75" t="str">
        <f>IF(Main[[#This Row],[Tech Start Date]]&lt;1/1/1990,"",IF(Main[[#This Row],[Class]]="C",WORKDAY(Main[[#This Row],[Tech Start Date]],23),IF(Main[[#This Row],[Class]]="B", WORKDAY(Main[[#This Row],[Tech Start Date]],15),IF(Main[[#This Row],[Class]]="A",WORKDAY(Main[[#This Row],[Tech Start Date]],5),""))))</f>
        <v/>
      </c>
      <c r="P1148" s="75" t="str">
        <f>IF(Main[[#This Row],[Tech Start Date]]&lt;1/1/1990,"",IF(Main[[#This Row],[Class]]="C",WORKDAY(Main[[#This Row],[Tech Start Date]],28),IF(Main[[#This Row],[Class]]="B", WORKDAY(Main[[#This Row],[Tech Start Date]],19),IF(Main[[#This Row],[Class]]="A",WORKDAY(Main[[#This Row],[Tech Start Date]],9),""))))</f>
        <v/>
      </c>
      <c r="Q1148" s="89"/>
      <c r="R1148" s="121"/>
      <c r="S1148" s="99" t="s">
        <v>11</v>
      </c>
      <c r="T1148" s="76" t="s">
        <v>4</v>
      </c>
      <c r="U1148" s="99" t="s">
        <v>14</v>
      </c>
      <c r="V1148" s="99" t="s">
        <v>1914</v>
      </c>
      <c r="W1148" s="99" t="s">
        <v>4</v>
      </c>
      <c r="X1148" s="99" t="s">
        <v>2245</v>
      </c>
      <c r="Y1148" s="73" t="s">
        <v>4</v>
      </c>
      <c r="Z1148" s="73" t="s">
        <v>4</v>
      </c>
      <c r="AA1148" s="99" t="s">
        <v>4</v>
      </c>
    </row>
    <row r="1149" spans="1:27" ht="17.25" customHeight="1">
      <c r="A1149" s="65" t="str">
        <f>IF(priority(Main[[#This Row],[Comments]])&lt;&gt;0, priority(Main[[#This Row],[Comments]]),"")</f>
        <v/>
      </c>
      <c r="B1149" s="60" t="s">
        <v>1283</v>
      </c>
      <c r="C1149" s="105" t="s">
        <v>37</v>
      </c>
      <c r="D1149" s="74" t="s">
        <v>2478</v>
      </c>
      <c r="E1149" s="89">
        <v>40767.457106481481</v>
      </c>
      <c r="F1149" s="89"/>
      <c r="G1149" s="65" t="str">
        <f>IF(stdProdLT(Main[[#This Row],[Comments]])=0.1,"N/A",IF(stdProdLT(Main[[#This Row],[Comments]])=0,"",TRIM(stdProdLT(Main[[#This Row],[Comments]]))))</f>
        <v/>
      </c>
      <c r="H1149" s="98" t="str">
        <f>IF(Main[[#This Row],[Std. Prod. Lead Time]]="N/A", "",IF(AND(Main[[#This Row],[In Stock Date]]&lt;&gt;"",Main[[#This Row],[Revised Due Date]]&lt;&gt;"",Main[[#This Row],[In Stock Date]]&lt;&gt;""),Main[[#This Row],[In Stock Date]]-Main[[#This Row],[Revised Due Date]],""))</f>
        <v/>
      </c>
      <c r="I1149" s="110" t="s">
        <v>4</v>
      </c>
      <c r="J1149" s="99" t="s">
        <v>4</v>
      </c>
      <c r="K1149" s="99" t="s">
        <v>4</v>
      </c>
      <c r="L1149" s="89"/>
      <c r="M1149" s="75" t="str">
        <f>IF(Main[[#This Row],[Tech Start Date]]&lt;1/1/1990,"",IF(Main[[#This Row],[Class]]="C",WORKDAY(Main[[#This Row],[Tech Start Date]],9),IF(Main[[#This Row],[Class]]="B", WORKDAY(Main[[#This Row],[Tech Start Date]],6),IF(Main[[#This Row],[Class]]="A",WORKDAY(Main[[#This Row],[Tech Start Date]],2),""))))</f>
        <v/>
      </c>
      <c r="N1149" s="75" t="str">
        <f>IF(Main[[#This Row],[Tech Start Date]]&lt;1/1/1990,"",IF(Main[[#This Row],[Class]]="C",WORKDAY(Main[[#This Row],[Tech Start Date]],19),IF(Main[[#This Row],[Class]]="B", WORKDAY(Main[[#This Row],[Tech Start Date]],12),IF(Main[[#This Row],[Class]]="A",WORKDAY(Main[[#This Row],[Tech Start Date]],4),""))))</f>
        <v/>
      </c>
      <c r="O1149" s="75" t="str">
        <f>IF(Main[[#This Row],[Tech Start Date]]&lt;1/1/1990,"",IF(Main[[#This Row],[Class]]="C",WORKDAY(Main[[#This Row],[Tech Start Date]],23),IF(Main[[#This Row],[Class]]="B", WORKDAY(Main[[#This Row],[Tech Start Date]],15),IF(Main[[#This Row],[Class]]="A",WORKDAY(Main[[#This Row],[Tech Start Date]],5),""))))</f>
        <v/>
      </c>
      <c r="P1149" s="75" t="str">
        <f>IF(Main[[#This Row],[Tech Start Date]]&lt;1/1/1990,"",IF(Main[[#This Row],[Class]]="C",WORKDAY(Main[[#This Row],[Tech Start Date]],28),IF(Main[[#This Row],[Class]]="B", WORKDAY(Main[[#This Row],[Tech Start Date]],19),IF(Main[[#This Row],[Class]]="A",WORKDAY(Main[[#This Row],[Tech Start Date]],9),""))))</f>
        <v/>
      </c>
      <c r="Q1149" s="89">
        <v>40715</v>
      </c>
      <c r="R1149" s="121"/>
      <c r="S1149" s="99" t="s">
        <v>6</v>
      </c>
      <c r="T1149" s="76" t="s">
        <v>4</v>
      </c>
      <c r="U1149" s="99" t="s">
        <v>7</v>
      </c>
      <c r="V1149" s="99" t="s">
        <v>1913</v>
      </c>
      <c r="W1149" s="99" t="s">
        <v>1924</v>
      </c>
      <c r="X1149" s="99" t="s">
        <v>970</v>
      </c>
      <c r="Y1149" s="73" t="s">
        <v>3091</v>
      </c>
      <c r="Z1149" s="73" t="s">
        <v>4</v>
      </c>
      <c r="AA1149" s="99" t="s">
        <v>970</v>
      </c>
    </row>
    <row r="1150" spans="1:27" ht="17.25" customHeight="1">
      <c r="A1150" s="65" t="str">
        <f>IF(priority(Main[[#This Row],[Comments]])&lt;&gt;0, priority(Main[[#This Row],[Comments]]),"")</f>
        <v/>
      </c>
      <c r="B1150" s="60" t="s">
        <v>1113</v>
      </c>
      <c r="C1150" s="105" t="s">
        <v>37</v>
      </c>
      <c r="D1150" s="74" t="s">
        <v>2479</v>
      </c>
      <c r="E1150" s="89">
        <v>40767.459861111114</v>
      </c>
      <c r="F1150" s="89"/>
      <c r="G1150" s="65" t="str">
        <f>IF(stdProdLT(Main[[#This Row],[Comments]])=0.1,"N/A",IF(stdProdLT(Main[[#This Row],[Comments]])=0,"",TRIM(stdProdLT(Main[[#This Row],[Comments]]))))</f>
        <v/>
      </c>
      <c r="H1150" s="98" t="str">
        <f>IF(Main[[#This Row],[Std. Prod. Lead Time]]="N/A", "",IF(AND(Main[[#This Row],[In Stock Date]]&lt;&gt;"",Main[[#This Row],[Revised Due Date]]&lt;&gt;"",Main[[#This Row],[In Stock Date]]&lt;&gt;""),Main[[#This Row],[In Stock Date]]-Main[[#This Row],[Revised Due Date]],""))</f>
        <v/>
      </c>
      <c r="I1150" s="110" t="s">
        <v>4</v>
      </c>
      <c r="J1150" s="99" t="s">
        <v>4</v>
      </c>
      <c r="K1150" s="99" t="s">
        <v>4</v>
      </c>
      <c r="L1150" s="89"/>
      <c r="M1150" s="75" t="str">
        <f>IF(Main[[#This Row],[Tech Start Date]]&lt;1/1/1990,"",IF(Main[[#This Row],[Class]]="C",WORKDAY(Main[[#This Row],[Tech Start Date]],9),IF(Main[[#This Row],[Class]]="B", WORKDAY(Main[[#This Row],[Tech Start Date]],6),IF(Main[[#This Row],[Class]]="A",WORKDAY(Main[[#This Row],[Tech Start Date]],2),""))))</f>
        <v/>
      </c>
      <c r="N1150" s="75" t="str">
        <f>IF(Main[[#This Row],[Tech Start Date]]&lt;1/1/1990,"",IF(Main[[#This Row],[Class]]="C",WORKDAY(Main[[#This Row],[Tech Start Date]],19),IF(Main[[#This Row],[Class]]="B", WORKDAY(Main[[#This Row],[Tech Start Date]],12),IF(Main[[#This Row],[Class]]="A",WORKDAY(Main[[#This Row],[Tech Start Date]],4),""))))</f>
        <v/>
      </c>
      <c r="O1150" s="75" t="str">
        <f>IF(Main[[#This Row],[Tech Start Date]]&lt;1/1/1990,"",IF(Main[[#This Row],[Class]]="C",WORKDAY(Main[[#This Row],[Tech Start Date]],23),IF(Main[[#This Row],[Class]]="B", WORKDAY(Main[[#This Row],[Tech Start Date]],15),IF(Main[[#This Row],[Class]]="A",WORKDAY(Main[[#This Row],[Tech Start Date]],5),""))))</f>
        <v/>
      </c>
      <c r="P1150" s="75" t="str">
        <f>IF(Main[[#This Row],[Tech Start Date]]&lt;1/1/1990,"",IF(Main[[#This Row],[Class]]="C",WORKDAY(Main[[#This Row],[Tech Start Date]],28),IF(Main[[#This Row],[Class]]="B", WORKDAY(Main[[#This Row],[Tech Start Date]],19),IF(Main[[#This Row],[Class]]="A",WORKDAY(Main[[#This Row],[Tech Start Date]],9),""))))</f>
        <v/>
      </c>
      <c r="Q1150" s="89">
        <v>40716</v>
      </c>
      <c r="R1150" s="121"/>
      <c r="S1150" s="99" t="s">
        <v>6</v>
      </c>
      <c r="T1150" s="76" t="s">
        <v>4</v>
      </c>
      <c r="U1150" s="99" t="s">
        <v>7</v>
      </c>
      <c r="V1150" s="99" t="s">
        <v>1913</v>
      </c>
      <c r="W1150" s="99" t="s">
        <v>1924</v>
      </c>
      <c r="X1150" s="99" t="s">
        <v>970</v>
      </c>
      <c r="Y1150" s="73" t="s">
        <v>3091</v>
      </c>
      <c r="Z1150" s="73" t="s">
        <v>4</v>
      </c>
      <c r="AA1150" s="99" t="s">
        <v>970</v>
      </c>
    </row>
    <row r="1151" spans="1:27" ht="17.25" customHeight="1">
      <c r="A1151" s="65" t="str">
        <f>IF(priority(Main[[#This Row],[Comments]])&lt;&gt;0, priority(Main[[#This Row],[Comments]]),"")</f>
        <v/>
      </c>
      <c r="B1151" s="60" t="s">
        <v>2482</v>
      </c>
      <c r="C1151" s="105" t="s">
        <v>4</v>
      </c>
      <c r="D1151" s="74" t="s">
        <v>2483</v>
      </c>
      <c r="E1151" s="89">
        <v>40857.542858796296</v>
      </c>
      <c r="F1151" s="89"/>
      <c r="G1151" s="65" t="str">
        <f>IF(stdProdLT(Main[[#This Row],[Comments]])=0.1,"N/A",IF(stdProdLT(Main[[#This Row],[Comments]])=0,"",TRIM(stdProdLT(Main[[#This Row],[Comments]]))))</f>
        <v/>
      </c>
      <c r="H1151" s="98" t="str">
        <f>IF(Main[[#This Row],[Std. Prod. Lead Time]]="N/A", "",IF(AND(Main[[#This Row],[In Stock Date]]&lt;&gt;"",Main[[#This Row],[Revised Due Date]]&lt;&gt;"",Main[[#This Row],[In Stock Date]]&lt;&gt;""),Main[[#This Row],[In Stock Date]]-Main[[#This Row],[Revised Due Date]],""))</f>
        <v/>
      </c>
      <c r="I1151" s="110" t="s">
        <v>4</v>
      </c>
      <c r="J1151" s="99" t="s">
        <v>4</v>
      </c>
      <c r="K1151" s="99" t="s">
        <v>4</v>
      </c>
      <c r="L1151" s="89"/>
      <c r="M1151" s="75" t="str">
        <f>IF(Main[[#This Row],[Tech Start Date]]&lt;1/1/1990,"",IF(Main[[#This Row],[Class]]="C",WORKDAY(Main[[#This Row],[Tech Start Date]],9),IF(Main[[#This Row],[Class]]="B", WORKDAY(Main[[#This Row],[Tech Start Date]],6),IF(Main[[#This Row],[Class]]="A",WORKDAY(Main[[#This Row],[Tech Start Date]],2),""))))</f>
        <v/>
      </c>
      <c r="N1151" s="75" t="str">
        <f>IF(Main[[#This Row],[Tech Start Date]]&lt;1/1/1990,"",IF(Main[[#This Row],[Class]]="C",WORKDAY(Main[[#This Row],[Tech Start Date]],19),IF(Main[[#This Row],[Class]]="B", WORKDAY(Main[[#This Row],[Tech Start Date]],12),IF(Main[[#This Row],[Class]]="A",WORKDAY(Main[[#This Row],[Tech Start Date]],4),""))))</f>
        <v/>
      </c>
      <c r="O1151" s="75" t="str">
        <f>IF(Main[[#This Row],[Tech Start Date]]&lt;1/1/1990,"",IF(Main[[#This Row],[Class]]="C",WORKDAY(Main[[#This Row],[Tech Start Date]],23),IF(Main[[#This Row],[Class]]="B", WORKDAY(Main[[#This Row],[Tech Start Date]],15),IF(Main[[#This Row],[Class]]="A",WORKDAY(Main[[#This Row],[Tech Start Date]],5),""))))</f>
        <v/>
      </c>
      <c r="P1151" s="75" t="str">
        <f>IF(Main[[#This Row],[Tech Start Date]]&lt;1/1/1990,"",IF(Main[[#This Row],[Class]]="C",WORKDAY(Main[[#This Row],[Tech Start Date]],28),IF(Main[[#This Row],[Class]]="B", WORKDAY(Main[[#This Row],[Tech Start Date]],19),IF(Main[[#This Row],[Class]]="A",WORKDAY(Main[[#This Row],[Tech Start Date]],9),""))))</f>
        <v/>
      </c>
      <c r="Q1151" s="89"/>
      <c r="R1151" s="121"/>
      <c r="S1151" s="99" t="s">
        <v>11</v>
      </c>
      <c r="T1151" s="76" t="s">
        <v>4</v>
      </c>
      <c r="U1151" s="99" t="s">
        <v>29</v>
      </c>
      <c r="V1151" s="99" t="s">
        <v>1914</v>
      </c>
      <c r="W1151" s="99" t="s">
        <v>4</v>
      </c>
      <c r="X1151" s="99" t="s">
        <v>2245</v>
      </c>
      <c r="Y1151" s="73" t="s">
        <v>4</v>
      </c>
      <c r="Z1151" s="73" t="s">
        <v>4</v>
      </c>
      <c r="AA1151" s="99" t="s">
        <v>4</v>
      </c>
    </row>
    <row r="1152" spans="1:27" ht="17.25" customHeight="1">
      <c r="A1152" s="65" t="str">
        <f>IF(priority(Main[[#This Row],[Comments]])&lt;&gt;0, priority(Main[[#This Row],[Comments]]),"")</f>
        <v/>
      </c>
      <c r="B1152" s="60" t="s">
        <v>2484</v>
      </c>
      <c r="C1152" s="105" t="s">
        <v>4</v>
      </c>
      <c r="D1152" s="74" t="s">
        <v>2485</v>
      </c>
      <c r="E1152" s="89">
        <v>40820.695763888885</v>
      </c>
      <c r="F1152" s="89"/>
      <c r="G1152" s="65" t="str">
        <f>IF(stdProdLT(Main[[#This Row],[Comments]])=0.1,"N/A",IF(stdProdLT(Main[[#This Row],[Comments]])=0,"",TRIM(stdProdLT(Main[[#This Row],[Comments]]))))</f>
        <v/>
      </c>
      <c r="H1152" s="98" t="str">
        <f>IF(Main[[#This Row],[Std. Prod. Lead Time]]="N/A", "",IF(AND(Main[[#This Row],[In Stock Date]]&lt;&gt;"",Main[[#This Row],[Revised Due Date]]&lt;&gt;"",Main[[#This Row],[In Stock Date]]&lt;&gt;""),Main[[#This Row],[In Stock Date]]-Main[[#This Row],[Revised Due Date]],""))</f>
        <v/>
      </c>
      <c r="I1152" s="110" t="s">
        <v>4</v>
      </c>
      <c r="J1152" s="99" t="s">
        <v>4</v>
      </c>
      <c r="K1152" s="99" t="s">
        <v>4</v>
      </c>
      <c r="L1152" s="89"/>
      <c r="M1152" s="75" t="str">
        <f>IF(Main[[#This Row],[Tech Start Date]]&lt;1/1/1990,"",IF(Main[[#This Row],[Class]]="C",WORKDAY(Main[[#This Row],[Tech Start Date]],9),IF(Main[[#This Row],[Class]]="B", WORKDAY(Main[[#This Row],[Tech Start Date]],6),IF(Main[[#This Row],[Class]]="A",WORKDAY(Main[[#This Row],[Tech Start Date]],2),""))))</f>
        <v/>
      </c>
      <c r="N1152" s="75" t="str">
        <f>IF(Main[[#This Row],[Tech Start Date]]&lt;1/1/1990,"",IF(Main[[#This Row],[Class]]="C",WORKDAY(Main[[#This Row],[Tech Start Date]],19),IF(Main[[#This Row],[Class]]="B", WORKDAY(Main[[#This Row],[Tech Start Date]],12),IF(Main[[#This Row],[Class]]="A",WORKDAY(Main[[#This Row],[Tech Start Date]],4),""))))</f>
        <v/>
      </c>
      <c r="O1152" s="75" t="str">
        <f>IF(Main[[#This Row],[Tech Start Date]]&lt;1/1/1990,"",IF(Main[[#This Row],[Class]]="C",WORKDAY(Main[[#This Row],[Tech Start Date]],23),IF(Main[[#This Row],[Class]]="B", WORKDAY(Main[[#This Row],[Tech Start Date]],15),IF(Main[[#This Row],[Class]]="A",WORKDAY(Main[[#This Row],[Tech Start Date]],5),""))))</f>
        <v/>
      </c>
      <c r="P1152" s="75" t="str">
        <f>IF(Main[[#This Row],[Tech Start Date]]&lt;1/1/1990,"",IF(Main[[#This Row],[Class]]="C",WORKDAY(Main[[#This Row],[Tech Start Date]],28),IF(Main[[#This Row],[Class]]="B", WORKDAY(Main[[#This Row],[Tech Start Date]],19),IF(Main[[#This Row],[Class]]="A",WORKDAY(Main[[#This Row],[Tech Start Date]],9),""))))</f>
        <v/>
      </c>
      <c r="Q1152" s="89"/>
      <c r="R1152" s="121"/>
      <c r="S1152" s="99" t="s">
        <v>6</v>
      </c>
      <c r="T1152" s="76" t="s">
        <v>4</v>
      </c>
      <c r="U1152" s="99" t="s">
        <v>29</v>
      </c>
      <c r="V1152" s="99" t="s">
        <v>1916</v>
      </c>
      <c r="W1152" s="99" t="s">
        <v>1917</v>
      </c>
      <c r="X1152" s="99" t="s">
        <v>102</v>
      </c>
      <c r="Y1152" s="73" t="s">
        <v>3108</v>
      </c>
      <c r="Z1152" s="73" t="s">
        <v>4</v>
      </c>
      <c r="AA1152" s="99" t="s">
        <v>883</v>
      </c>
    </row>
    <row r="1153" spans="1:27" ht="17.25" customHeight="1">
      <c r="A1153" s="65" t="str">
        <f>IF(priority(Main[[#This Row],[Comments]])&lt;&gt;0, priority(Main[[#This Row],[Comments]]),"")</f>
        <v/>
      </c>
      <c r="B1153" s="60" t="s">
        <v>3525</v>
      </c>
      <c r="C1153" s="105" t="s">
        <v>4</v>
      </c>
      <c r="D1153" s="74" t="s">
        <v>3526</v>
      </c>
      <c r="E1153" s="89">
        <v>40949.644756944443</v>
      </c>
      <c r="F1153" s="89"/>
      <c r="G1153" s="65" t="str">
        <f>IF(stdProdLT(Main[[#This Row],[Comments]])=0.1,"N/A",IF(stdProdLT(Main[[#This Row],[Comments]])=0,"",TRIM(stdProdLT(Main[[#This Row],[Comments]]))))</f>
        <v/>
      </c>
      <c r="H1153" s="98" t="str">
        <f>IF(Main[[#This Row],[Std. Prod. Lead Time]]="N/A", "",IF(AND(Main[[#This Row],[In Stock Date]]&lt;&gt;"",Main[[#This Row],[Revised Due Date]]&lt;&gt;"",Main[[#This Row],[In Stock Date]]&lt;&gt;""),Main[[#This Row],[In Stock Date]]-Main[[#This Row],[Revised Due Date]],""))</f>
        <v/>
      </c>
      <c r="I1153" s="110" t="s">
        <v>4</v>
      </c>
      <c r="J1153" s="99" t="s">
        <v>4</v>
      </c>
      <c r="K1153" s="99" t="s">
        <v>4</v>
      </c>
      <c r="L1153" s="89"/>
      <c r="M1153" s="75" t="str">
        <f>IF(Main[[#This Row],[Tech Start Date]]&lt;1/1/1990,"",IF(Main[[#This Row],[Class]]="C",WORKDAY(Main[[#This Row],[Tech Start Date]],9),IF(Main[[#This Row],[Class]]="B", WORKDAY(Main[[#This Row],[Tech Start Date]],6),IF(Main[[#This Row],[Class]]="A",WORKDAY(Main[[#This Row],[Tech Start Date]],2),""))))</f>
        <v/>
      </c>
      <c r="N1153" s="75" t="str">
        <f>IF(Main[[#This Row],[Tech Start Date]]&lt;1/1/1990,"",IF(Main[[#This Row],[Class]]="C",WORKDAY(Main[[#This Row],[Tech Start Date]],19),IF(Main[[#This Row],[Class]]="B", WORKDAY(Main[[#This Row],[Tech Start Date]],12),IF(Main[[#This Row],[Class]]="A",WORKDAY(Main[[#This Row],[Tech Start Date]],4),""))))</f>
        <v/>
      </c>
      <c r="O1153" s="75" t="str">
        <f>IF(Main[[#This Row],[Tech Start Date]]&lt;1/1/1990,"",IF(Main[[#This Row],[Class]]="C",WORKDAY(Main[[#This Row],[Tech Start Date]],23),IF(Main[[#This Row],[Class]]="B", WORKDAY(Main[[#This Row],[Tech Start Date]],15),IF(Main[[#This Row],[Class]]="A",WORKDAY(Main[[#This Row],[Tech Start Date]],5),""))))</f>
        <v/>
      </c>
      <c r="P1153" s="75" t="str">
        <f>IF(Main[[#This Row],[Tech Start Date]]&lt;1/1/1990,"",IF(Main[[#This Row],[Class]]="C",WORKDAY(Main[[#This Row],[Tech Start Date]],28),IF(Main[[#This Row],[Class]]="B", WORKDAY(Main[[#This Row],[Tech Start Date]],19),IF(Main[[#This Row],[Class]]="A",WORKDAY(Main[[#This Row],[Tech Start Date]],9),""))))</f>
        <v/>
      </c>
      <c r="Q1153" s="89">
        <v>40959</v>
      </c>
      <c r="R1153" s="121"/>
      <c r="S1153" s="99" t="s">
        <v>4</v>
      </c>
      <c r="T1153" s="76" t="s">
        <v>4</v>
      </c>
      <c r="U1153" s="99" t="s">
        <v>7</v>
      </c>
      <c r="V1153" s="99" t="s">
        <v>1913</v>
      </c>
      <c r="W1153" s="99" t="s">
        <v>4</v>
      </c>
      <c r="X1153" s="99" t="s">
        <v>956</v>
      </c>
      <c r="Y1153" s="73" t="s">
        <v>4</v>
      </c>
      <c r="Z1153" s="73" t="s">
        <v>4</v>
      </c>
      <c r="AA1153" s="99" t="s">
        <v>4</v>
      </c>
    </row>
    <row r="1154" spans="1:27" ht="17.25" customHeight="1">
      <c r="A1154" s="65" t="str">
        <f>IF(priority(Main[[#This Row],[Comments]])&lt;&gt;0, priority(Main[[#This Row],[Comments]]),"")</f>
        <v/>
      </c>
      <c r="B1154" s="60" t="s">
        <v>2488</v>
      </c>
      <c r="C1154" s="105" t="s">
        <v>4</v>
      </c>
      <c r="D1154" s="74" t="s">
        <v>2489</v>
      </c>
      <c r="E1154" s="89">
        <v>40855.647002314814</v>
      </c>
      <c r="F1154" s="89"/>
      <c r="G1154" s="65" t="str">
        <f>IF(stdProdLT(Main[[#This Row],[Comments]])=0.1,"N/A",IF(stdProdLT(Main[[#This Row],[Comments]])=0,"",TRIM(stdProdLT(Main[[#This Row],[Comments]]))))</f>
        <v/>
      </c>
      <c r="H1154" s="98" t="str">
        <f>IF(Main[[#This Row],[Std. Prod. Lead Time]]="N/A", "",IF(AND(Main[[#This Row],[In Stock Date]]&lt;&gt;"",Main[[#This Row],[Revised Due Date]]&lt;&gt;"",Main[[#This Row],[In Stock Date]]&lt;&gt;""),Main[[#This Row],[In Stock Date]]-Main[[#This Row],[Revised Due Date]],""))</f>
        <v/>
      </c>
      <c r="I1154" s="110" t="s">
        <v>4</v>
      </c>
      <c r="J1154" s="99" t="s">
        <v>4</v>
      </c>
      <c r="K1154" s="99" t="s">
        <v>4</v>
      </c>
      <c r="L1154" s="89"/>
      <c r="M1154" s="75" t="str">
        <f>IF(Main[[#This Row],[Tech Start Date]]&lt;1/1/1990,"",IF(Main[[#This Row],[Class]]="C",WORKDAY(Main[[#This Row],[Tech Start Date]],9),IF(Main[[#This Row],[Class]]="B", WORKDAY(Main[[#This Row],[Tech Start Date]],6),IF(Main[[#This Row],[Class]]="A",WORKDAY(Main[[#This Row],[Tech Start Date]],2),""))))</f>
        <v/>
      </c>
      <c r="N1154" s="75" t="str">
        <f>IF(Main[[#This Row],[Tech Start Date]]&lt;1/1/1990,"",IF(Main[[#This Row],[Class]]="C",WORKDAY(Main[[#This Row],[Tech Start Date]],19),IF(Main[[#This Row],[Class]]="B", WORKDAY(Main[[#This Row],[Tech Start Date]],12),IF(Main[[#This Row],[Class]]="A",WORKDAY(Main[[#This Row],[Tech Start Date]],4),""))))</f>
        <v/>
      </c>
      <c r="O1154" s="75" t="str">
        <f>IF(Main[[#This Row],[Tech Start Date]]&lt;1/1/1990,"",IF(Main[[#This Row],[Class]]="C",WORKDAY(Main[[#This Row],[Tech Start Date]],23),IF(Main[[#This Row],[Class]]="B", WORKDAY(Main[[#This Row],[Tech Start Date]],15),IF(Main[[#This Row],[Class]]="A",WORKDAY(Main[[#This Row],[Tech Start Date]],5),""))))</f>
        <v/>
      </c>
      <c r="P1154" s="75" t="str">
        <f>IF(Main[[#This Row],[Tech Start Date]]&lt;1/1/1990,"",IF(Main[[#This Row],[Class]]="C",WORKDAY(Main[[#This Row],[Tech Start Date]],28),IF(Main[[#This Row],[Class]]="B", WORKDAY(Main[[#This Row],[Tech Start Date]],19),IF(Main[[#This Row],[Class]]="A",WORKDAY(Main[[#This Row],[Tech Start Date]],9),""))))</f>
        <v/>
      </c>
      <c r="Q1154" s="89">
        <v>40892</v>
      </c>
      <c r="R1154" s="121"/>
      <c r="S1154" s="99" t="s">
        <v>6</v>
      </c>
      <c r="T1154" s="76" t="s">
        <v>4</v>
      </c>
      <c r="U1154" s="99" t="s">
        <v>7</v>
      </c>
      <c r="V1154" s="99" t="s">
        <v>1913</v>
      </c>
      <c r="W1154" s="99" t="s">
        <v>1921</v>
      </c>
      <c r="X1154" s="99" t="s">
        <v>2815</v>
      </c>
      <c r="Y1154" s="73" t="s">
        <v>2930</v>
      </c>
      <c r="Z1154" s="73" t="s">
        <v>4</v>
      </c>
      <c r="AA1154" s="99" t="s">
        <v>2815</v>
      </c>
    </row>
    <row r="1155" spans="1:27" ht="17.25" customHeight="1">
      <c r="A1155" s="65" t="str">
        <f>IF(priority(Main[[#This Row],[Comments]])&lt;&gt;0, priority(Main[[#This Row],[Comments]]),"")</f>
        <v/>
      </c>
      <c r="B1155" s="60" t="s">
        <v>3295</v>
      </c>
      <c r="C1155" s="105" t="s">
        <v>4</v>
      </c>
      <c r="D1155" s="74" t="s">
        <v>3642</v>
      </c>
      <c r="E1155" s="89">
        <v>40934.445497685185</v>
      </c>
      <c r="F1155" s="89"/>
      <c r="G1155" s="65" t="str">
        <f>IF(stdProdLT(Main[[#This Row],[Comments]])=0.1,"N/A",IF(stdProdLT(Main[[#This Row],[Comments]])=0,"",TRIM(stdProdLT(Main[[#This Row],[Comments]]))))</f>
        <v/>
      </c>
      <c r="H1155" s="98" t="str">
        <f>IF(Main[[#This Row],[Std. Prod. Lead Time]]="N/A", "",IF(AND(Main[[#This Row],[In Stock Date]]&lt;&gt;"",Main[[#This Row],[Revised Due Date]]&lt;&gt;"",Main[[#This Row],[In Stock Date]]&lt;&gt;""),Main[[#This Row],[In Stock Date]]-Main[[#This Row],[Revised Due Date]],""))</f>
        <v/>
      </c>
      <c r="I1155" s="110" t="s">
        <v>69</v>
      </c>
      <c r="J1155" s="99" t="s">
        <v>70</v>
      </c>
      <c r="K1155" s="99" t="s">
        <v>4</v>
      </c>
      <c r="L1155" s="89"/>
      <c r="M1155" s="75" t="str">
        <f>IF(Main[[#This Row],[Tech Start Date]]&lt;1/1/1990,"",IF(Main[[#This Row],[Class]]="C",WORKDAY(Main[[#This Row],[Tech Start Date]],9),IF(Main[[#This Row],[Class]]="B", WORKDAY(Main[[#This Row],[Tech Start Date]],6),IF(Main[[#This Row],[Class]]="A",WORKDAY(Main[[#This Row],[Tech Start Date]],2),""))))</f>
        <v/>
      </c>
      <c r="N1155" s="75" t="str">
        <f>IF(Main[[#This Row],[Tech Start Date]]&lt;1/1/1990,"",IF(Main[[#This Row],[Class]]="C",WORKDAY(Main[[#This Row],[Tech Start Date]],19),IF(Main[[#This Row],[Class]]="B", WORKDAY(Main[[#This Row],[Tech Start Date]],12),IF(Main[[#This Row],[Class]]="A",WORKDAY(Main[[#This Row],[Tech Start Date]],4),""))))</f>
        <v/>
      </c>
      <c r="O1155" s="75" t="str">
        <f>IF(Main[[#This Row],[Tech Start Date]]&lt;1/1/1990,"",IF(Main[[#This Row],[Class]]="C",WORKDAY(Main[[#This Row],[Tech Start Date]],23),IF(Main[[#This Row],[Class]]="B", WORKDAY(Main[[#This Row],[Tech Start Date]],15),IF(Main[[#This Row],[Class]]="A",WORKDAY(Main[[#This Row],[Tech Start Date]],5),""))))</f>
        <v/>
      </c>
      <c r="P1155" s="75" t="str">
        <f>IF(Main[[#This Row],[Tech Start Date]]&lt;1/1/1990,"",IF(Main[[#This Row],[Class]]="C",WORKDAY(Main[[#This Row],[Tech Start Date]],28),IF(Main[[#This Row],[Class]]="B", WORKDAY(Main[[#This Row],[Tech Start Date]],19),IF(Main[[#This Row],[Class]]="A",WORKDAY(Main[[#This Row],[Tech Start Date]],9),""))))</f>
        <v/>
      </c>
      <c r="Q1155" s="89">
        <v>40968</v>
      </c>
      <c r="R1155" s="121"/>
      <c r="S1155" s="99" t="s">
        <v>6</v>
      </c>
      <c r="T1155" s="76" t="s">
        <v>4</v>
      </c>
      <c r="U1155" s="99" t="s">
        <v>29</v>
      </c>
      <c r="V1155" s="99" t="s">
        <v>1916</v>
      </c>
      <c r="W1155" s="99" t="s">
        <v>4</v>
      </c>
      <c r="X1155" s="99" t="s">
        <v>2813</v>
      </c>
      <c r="Y1155" s="73" t="s">
        <v>2926</v>
      </c>
      <c r="Z1155" s="73" t="s">
        <v>4</v>
      </c>
      <c r="AA1155" s="99" t="s">
        <v>2813</v>
      </c>
    </row>
    <row r="1156" spans="1:27" ht="17.25" customHeight="1">
      <c r="A1156" s="65" t="str">
        <f>IF(priority(Main[[#This Row],[Comments]])&lt;&gt;0, priority(Main[[#This Row],[Comments]]),"")</f>
        <v/>
      </c>
      <c r="B1156" s="60" t="s">
        <v>2357</v>
      </c>
      <c r="C1156" s="105" t="s">
        <v>4</v>
      </c>
      <c r="D1156" s="74" t="s">
        <v>3493</v>
      </c>
      <c r="E1156" s="89">
        <v>40854.718263888892</v>
      </c>
      <c r="F1156" s="89"/>
      <c r="G1156" s="65" t="str">
        <f>IF(stdProdLT(Main[[#This Row],[Comments]])=0.1,"N/A",IF(stdProdLT(Main[[#This Row],[Comments]])=0,"",TRIM(stdProdLT(Main[[#This Row],[Comments]]))))</f>
        <v/>
      </c>
      <c r="H1156" s="98" t="str">
        <f>IF(Main[[#This Row],[Std. Prod. Lead Time]]="N/A", "",IF(AND(Main[[#This Row],[In Stock Date]]&lt;&gt;"",Main[[#This Row],[Revised Due Date]]&lt;&gt;"",Main[[#This Row],[In Stock Date]]&lt;&gt;""),Main[[#This Row],[In Stock Date]]-Main[[#This Row],[Revised Due Date]],""))</f>
        <v/>
      </c>
      <c r="I1156" s="110" t="s">
        <v>4</v>
      </c>
      <c r="J1156" s="99" t="s">
        <v>4</v>
      </c>
      <c r="K1156" s="99" t="s">
        <v>4</v>
      </c>
      <c r="L1156" s="89"/>
      <c r="M1156" s="75" t="str">
        <f>IF(Main[[#This Row],[Tech Start Date]]&lt;1/1/1990,"",IF(Main[[#This Row],[Class]]="C",WORKDAY(Main[[#This Row],[Tech Start Date]],9),IF(Main[[#This Row],[Class]]="B", WORKDAY(Main[[#This Row],[Tech Start Date]],6),IF(Main[[#This Row],[Class]]="A",WORKDAY(Main[[#This Row],[Tech Start Date]],2),""))))</f>
        <v/>
      </c>
      <c r="N1156" s="75" t="str">
        <f>IF(Main[[#This Row],[Tech Start Date]]&lt;1/1/1990,"",IF(Main[[#This Row],[Class]]="C",WORKDAY(Main[[#This Row],[Tech Start Date]],19),IF(Main[[#This Row],[Class]]="B", WORKDAY(Main[[#This Row],[Tech Start Date]],12),IF(Main[[#This Row],[Class]]="A",WORKDAY(Main[[#This Row],[Tech Start Date]],4),""))))</f>
        <v/>
      </c>
      <c r="O1156" s="75" t="str">
        <f>IF(Main[[#This Row],[Tech Start Date]]&lt;1/1/1990,"",IF(Main[[#This Row],[Class]]="C",WORKDAY(Main[[#This Row],[Tech Start Date]],23),IF(Main[[#This Row],[Class]]="B", WORKDAY(Main[[#This Row],[Tech Start Date]],15),IF(Main[[#This Row],[Class]]="A",WORKDAY(Main[[#This Row],[Tech Start Date]],5),""))))</f>
        <v/>
      </c>
      <c r="P1156" s="75" t="str">
        <f>IF(Main[[#This Row],[Tech Start Date]]&lt;1/1/1990,"",IF(Main[[#This Row],[Class]]="C",WORKDAY(Main[[#This Row],[Tech Start Date]],28),IF(Main[[#This Row],[Class]]="B", WORKDAY(Main[[#This Row],[Tech Start Date]],19),IF(Main[[#This Row],[Class]]="A",WORKDAY(Main[[#This Row],[Tech Start Date]],9),""))))</f>
        <v/>
      </c>
      <c r="Q1156" s="89">
        <v>40884</v>
      </c>
      <c r="R1156" s="121"/>
      <c r="S1156" s="99" t="s">
        <v>6</v>
      </c>
      <c r="T1156" s="76" t="s">
        <v>4</v>
      </c>
      <c r="U1156" s="99" t="s">
        <v>7</v>
      </c>
      <c r="V1156" s="99" t="s">
        <v>2279</v>
      </c>
      <c r="W1156" s="99" t="s">
        <v>4</v>
      </c>
      <c r="X1156" s="99" t="s">
        <v>2859</v>
      </c>
      <c r="Y1156" s="73" t="s">
        <v>3004</v>
      </c>
      <c r="Z1156" s="73" t="s">
        <v>4</v>
      </c>
      <c r="AA1156" s="99" t="s">
        <v>2859</v>
      </c>
    </row>
    <row r="1157" spans="1:27" ht="17.25" customHeight="1">
      <c r="A1157" s="65" t="str">
        <f>IF(priority(Main[[#This Row],[Comments]])&lt;&gt;0, priority(Main[[#This Row],[Comments]]),"")</f>
        <v/>
      </c>
      <c r="B1157" s="60" t="s">
        <v>2495</v>
      </c>
      <c r="C1157" s="105" t="s">
        <v>4</v>
      </c>
      <c r="D1157" s="74" t="s">
        <v>2496</v>
      </c>
      <c r="E1157" s="89"/>
      <c r="F1157" s="89"/>
      <c r="G1157" s="65" t="str">
        <f>IF(stdProdLT(Main[[#This Row],[Comments]])=0.1,"N/A",IF(stdProdLT(Main[[#This Row],[Comments]])=0,"",TRIM(stdProdLT(Main[[#This Row],[Comments]]))))</f>
        <v/>
      </c>
      <c r="H1157" s="98" t="str">
        <f>IF(Main[[#This Row],[Std. Prod. Lead Time]]="N/A", "",IF(AND(Main[[#This Row],[In Stock Date]]&lt;&gt;"",Main[[#This Row],[Revised Due Date]]&lt;&gt;"",Main[[#This Row],[In Stock Date]]&lt;&gt;""),Main[[#This Row],[In Stock Date]]-Main[[#This Row],[Revised Due Date]],""))</f>
        <v/>
      </c>
      <c r="I1157" s="110" t="s">
        <v>4</v>
      </c>
      <c r="J1157" s="99" t="s">
        <v>4</v>
      </c>
      <c r="K1157" s="99" t="s">
        <v>4</v>
      </c>
      <c r="L1157" s="89"/>
      <c r="M1157" s="75" t="str">
        <f>IF(Main[[#This Row],[Tech Start Date]]&lt;1/1/1990,"",IF(Main[[#This Row],[Class]]="C",WORKDAY(Main[[#This Row],[Tech Start Date]],9),IF(Main[[#This Row],[Class]]="B", WORKDAY(Main[[#This Row],[Tech Start Date]],6),IF(Main[[#This Row],[Class]]="A",WORKDAY(Main[[#This Row],[Tech Start Date]],2),""))))</f>
        <v/>
      </c>
      <c r="N1157" s="75" t="str">
        <f>IF(Main[[#This Row],[Tech Start Date]]&lt;1/1/1990,"",IF(Main[[#This Row],[Class]]="C",WORKDAY(Main[[#This Row],[Tech Start Date]],19),IF(Main[[#This Row],[Class]]="B", WORKDAY(Main[[#This Row],[Tech Start Date]],12),IF(Main[[#This Row],[Class]]="A",WORKDAY(Main[[#This Row],[Tech Start Date]],4),""))))</f>
        <v/>
      </c>
      <c r="O1157" s="75" t="str">
        <f>IF(Main[[#This Row],[Tech Start Date]]&lt;1/1/1990,"",IF(Main[[#This Row],[Class]]="C",WORKDAY(Main[[#This Row],[Tech Start Date]],23),IF(Main[[#This Row],[Class]]="B", WORKDAY(Main[[#This Row],[Tech Start Date]],15),IF(Main[[#This Row],[Class]]="A",WORKDAY(Main[[#This Row],[Tech Start Date]],5),""))))</f>
        <v/>
      </c>
      <c r="P1157" s="75" t="str">
        <f>IF(Main[[#This Row],[Tech Start Date]]&lt;1/1/1990,"",IF(Main[[#This Row],[Class]]="C",WORKDAY(Main[[#This Row],[Tech Start Date]],28),IF(Main[[#This Row],[Class]]="B", WORKDAY(Main[[#This Row],[Tech Start Date]],19),IF(Main[[#This Row],[Class]]="A",WORKDAY(Main[[#This Row],[Tech Start Date]],9),""))))</f>
        <v/>
      </c>
      <c r="Q1157" s="89"/>
      <c r="R1157" s="121"/>
      <c r="S1157" s="99" t="s">
        <v>11</v>
      </c>
      <c r="T1157" s="76" t="s">
        <v>4</v>
      </c>
      <c r="U1157" s="99" t="s">
        <v>14</v>
      </c>
      <c r="V1157" s="99" t="s">
        <v>1913</v>
      </c>
      <c r="W1157" s="99" t="s">
        <v>1921</v>
      </c>
      <c r="X1157" s="99" t="s">
        <v>2900</v>
      </c>
      <c r="Y1157" s="73" t="s">
        <v>3090</v>
      </c>
      <c r="Z1157" s="73" t="s">
        <v>877</v>
      </c>
      <c r="AA1157" s="99" t="s">
        <v>2900</v>
      </c>
    </row>
    <row r="1158" spans="1:27" ht="17.25" customHeight="1">
      <c r="A1158" s="65" t="str">
        <f>IF(priority(Main[[#This Row],[Comments]])&lt;&gt;0, priority(Main[[#This Row],[Comments]]),"")</f>
        <v/>
      </c>
      <c r="B1158" s="60" t="s">
        <v>3313</v>
      </c>
      <c r="C1158" s="105" t="s">
        <v>4</v>
      </c>
      <c r="D1158" s="74" t="s">
        <v>3643</v>
      </c>
      <c r="E1158" s="89">
        <v>40939.635509259257</v>
      </c>
      <c r="F1158" s="89"/>
      <c r="G1158" s="65" t="str">
        <f>IF(stdProdLT(Main[[#This Row],[Comments]])=0.1,"N/A",IF(stdProdLT(Main[[#This Row],[Comments]])=0,"",TRIM(stdProdLT(Main[[#This Row],[Comments]]))))</f>
        <v/>
      </c>
      <c r="H1158" s="98" t="str">
        <f>IF(Main[[#This Row],[Std. Prod. Lead Time]]="N/A", "",IF(AND(Main[[#This Row],[In Stock Date]]&lt;&gt;"",Main[[#This Row],[Revised Due Date]]&lt;&gt;"",Main[[#This Row],[In Stock Date]]&lt;&gt;""),Main[[#This Row],[In Stock Date]]-Main[[#This Row],[Revised Due Date]],""))</f>
        <v/>
      </c>
      <c r="I1158" s="110" t="s">
        <v>2207</v>
      </c>
      <c r="J1158" s="99" t="s">
        <v>28</v>
      </c>
      <c r="K1158" s="99" t="s">
        <v>1925</v>
      </c>
      <c r="L1158" s="89"/>
      <c r="M1158" s="75" t="str">
        <f>IF(Main[[#This Row],[Tech Start Date]]&lt;1/1/1990,"",IF(Main[[#This Row],[Class]]="C",WORKDAY(Main[[#This Row],[Tech Start Date]],9),IF(Main[[#This Row],[Class]]="B", WORKDAY(Main[[#This Row],[Tech Start Date]],6),IF(Main[[#This Row],[Class]]="A",WORKDAY(Main[[#This Row],[Tech Start Date]],2),""))))</f>
        <v/>
      </c>
      <c r="N1158" s="75" t="str">
        <f>IF(Main[[#This Row],[Tech Start Date]]&lt;1/1/1990,"",IF(Main[[#This Row],[Class]]="C",WORKDAY(Main[[#This Row],[Tech Start Date]],19),IF(Main[[#This Row],[Class]]="B", WORKDAY(Main[[#This Row],[Tech Start Date]],12),IF(Main[[#This Row],[Class]]="A",WORKDAY(Main[[#This Row],[Tech Start Date]],4),""))))</f>
        <v/>
      </c>
      <c r="O1158" s="75" t="str">
        <f>IF(Main[[#This Row],[Tech Start Date]]&lt;1/1/1990,"",IF(Main[[#This Row],[Class]]="C",WORKDAY(Main[[#This Row],[Tech Start Date]],23),IF(Main[[#This Row],[Class]]="B", WORKDAY(Main[[#This Row],[Tech Start Date]],15),IF(Main[[#This Row],[Class]]="A",WORKDAY(Main[[#This Row],[Tech Start Date]],5),""))))</f>
        <v/>
      </c>
      <c r="P1158" s="75" t="str">
        <f>IF(Main[[#This Row],[Tech Start Date]]&lt;1/1/1990,"",IF(Main[[#This Row],[Class]]="C",WORKDAY(Main[[#This Row],[Tech Start Date]],28),IF(Main[[#This Row],[Class]]="B", WORKDAY(Main[[#This Row],[Tech Start Date]],19),IF(Main[[#This Row],[Class]]="A",WORKDAY(Main[[#This Row],[Tech Start Date]],9),""))))</f>
        <v/>
      </c>
      <c r="Q1158" s="89"/>
      <c r="R1158" s="121"/>
      <c r="S1158" s="99" t="s">
        <v>6</v>
      </c>
      <c r="T1158" s="76" t="s">
        <v>4</v>
      </c>
      <c r="U1158" s="99" t="s">
        <v>7</v>
      </c>
      <c r="V1158" s="99" t="s">
        <v>1928</v>
      </c>
      <c r="W1158" s="99" t="s">
        <v>1917</v>
      </c>
      <c r="X1158" s="99" t="s">
        <v>306</v>
      </c>
      <c r="Y1158" s="73" t="s">
        <v>4</v>
      </c>
      <c r="Z1158" s="73" t="s">
        <v>2207</v>
      </c>
      <c r="AA1158" s="99" t="s">
        <v>4</v>
      </c>
    </row>
    <row r="1159" spans="1:27" ht="17.25" customHeight="1">
      <c r="A1159" s="65" t="str">
        <f>IF(priority(Main[[#This Row],[Comments]])&lt;&gt;0, priority(Main[[#This Row],[Comments]]),"")</f>
        <v/>
      </c>
      <c r="B1159" s="60" t="s">
        <v>2502</v>
      </c>
      <c r="C1159" s="105" t="s">
        <v>4</v>
      </c>
      <c r="D1159" s="74" t="s">
        <v>2503</v>
      </c>
      <c r="E1159" s="89"/>
      <c r="F1159" s="89"/>
      <c r="G1159" s="65" t="str">
        <f>IF(stdProdLT(Main[[#This Row],[Comments]])=0.1,"N/A",IF(stdProdLT(Main[[#This Row],[Comments]])=0,"",TRIM(stdProdLT(Main[[#This Row],[Comments]]))))</f>
        <v/>
      </c>
      <c r="H1159" s="98" t="str">
        <f>IF(Main[[#This Row],[Std. Prod. Lead Time]]="N/A", "",IF(AND(Main[[#This Row],[In Stock Date]]&lt;&gt;"",Main[[#This Row],[Revised Due Date]]&lt;&gt;"",Main[[#This Row],[In Stock Date]]&lt;&gt;""),Main[[#This Row],[In Stock Date]]-Main[[#This Row],[Revised Due Date]],""))</f>
        <v/>
      </c>
      <c r="I1159" s="110" t="s">
        <v>4</v>
      </c>
      <c r="J1159" s="99" t="s">
        <v>4</v>
      </c>
      <c r="K1159" s="99" t="s">
        <v>4</v>
      </c>
      <c r="L1159" s="89"/>
      <c r="M1159" s="75" t="str">
        <f>IF(Main[[#This Row],[Tech Start Date]]&lt;1/1/1990,"",IF(Main[[#This Row],[Class]]="C",WORKDAY(Main[[#This Row],[Tech Start Date]],9),IF(Main[[#This Row],[Class]]="B", WORKDAY(Main[[#This Row],[Tech Start Date]],6),IF(Main[[#This Row],[Class]]="A",WORKDAY(Main[[#This Row],[Tech Start Date]],2),""))))</f>
        <v/>
      </c>
      <c r="N1159" s="75" t="str">
        <f>IF(Main[[#This Row],[Tech Start Date]]&lt;1/1/1990,"",IF(Main[[#This Row],[Class]]="C",WORKDAY(Main[[#This Row],[Tech Start Date]],19),IF(Main[[#This Row],[Class]]="B", WORKDAY(Main[[#This Row],[Tech Start Date]],12),IF(Main[[#This Row],[Class]]="A",WORKDAY(Main[[#This Row],[Tech Start Date]],4),""))))</f>
        <v/>
      </c>
      <c r="O1159" s="75" t="str">
        <f>IF(Main[[#This Row],[Tech Start Date]]&lt;1/1/1990,"",IF(Main[[#This Row],[Class]]="C",WORKDAY(Main[[#This Row],[Tech Start Date]],23),IF(Main[[#This Row],[Class]]="B", WORKDAY(Main[[#This Row],[Tech Start Date]],15),IF(Main[[#This Row],[Class]]="A",WORKDAY(Main[[#This Row],[Tech Start Date]],5),""))))</f>
        <v/>
      </c>
      <c r="P1159" s="75" t="str">
        <f>IF(Main[[#This Row],[Tech Start Date]]&lt;1/1/1990,"",IF(Main[[#This Row],[Class]]="C",WORKDAY(Main[[#This Row],[Tech Start Date]],28),IF(Main[[#This Row],[Class]]="B", WORKDAY(Main[[#This Row],[Tech Start Date]],19),IF(Main[[#This Row],[Class]]="A",WORKDAY(Main[[#This Row],[Tech Start Date]],9),""))))</f>
        <v/>
      </c>
      <c r="Q1159" s="89">
        <v>40837</v>
      </c>
      <c r="R1159" s="121"/>
      <c r="S1159" s="99" t="s">
        <v>11</v>
      </c>
      <c r="T1159" s="76" t="s">
        <v>4</v>
      </c>
      <c r="U1159" s="99" t="s">
        <v>14</v>
      </c>
      <c r="V1159" s="99" t="s">
        <v>1914</v>
      </c>
      <c r="W1159" s="99" t="s">
        <v>1921</v>
      </c>
      <c r="X1159" s="99" t="s">
        <v>2900</v>
      </c>
      <c r="Y1159" s="73" t="s">
        <v>3090</v>
      </c>
      <c r="Z1159" s="73" t="s">
        <v>4</v>
      </c>
      <c r="AA1159" s="99" t="s">
        <v>2900</v>
      </c>
    </row>
    <row r="1160" spans="1:27" ht="17.25" customHeight="1">
      <c r="A1160" s="65" t="str">
        <f>IF(priority(Main[[#This Row],[Comments]])&lt;&gt;0, priority(Main[[#This Row],[Comments]]),"")</f>
        <v/>
      </c>
      <c r="B1160" s="60" t="s">
        <v>1381</v>
      </c>
      <c r="C1160" s="105" t="s">
        <v>4</v>
      </c>
      <c r="D1160" s="74" t="s">
        <v>2011</v>
      </c>
      <c r="E1160" s="89"/>
      <c r="F1160" s="89"/>
      <c r="G1160" s="65" t="str">
        <f>IF(stdProdLT(Main[[#This Row],[Comments]])=0.1,"N/A",IF(stdProdLT(Main[[#This Row],[Comments]])=0,"",TRIM(stdProdLT(Main[[#This Row],[Comments]]))))</f>
        <v/>
      </c>
      <c r="H1160" s="98" t="str">
        <f>IF(Main[[#This Row],[Std. Prod. Lead Time]]="N/A", "",IF(AND(Main[[#This Row],[In Stock Date]]&lt;&gt;"",Main[[#This Row],[Revised Due Date]]&lt;&gt;"",Main[[#This Row],[In Stock Date]]&lt;&gt;""),Main[[#This Row],[In Stock Date]]-Main[[#This Row],[Revised Due Date]],""))</f>
        <v/>
      </c>
      <c r="I1160" s="110" t="s">
        <v>4</v>
      </c>
      <c r="J1160" s="99" t="s">
        <v>4</v>
      </c>
      <c r="K1160" s="99" t="s">
        <v>4</v>
      </c>
      <c r="L1160" s="89"/>
      <c r="M1160" s="75" t="str">
        <f>IF(Main[[#This Row],[Tech Start Date]]&lt;1/1/1990,"",IF(Main[[#This Row],[Class]]="C",WORKDAY(Main[[#This Row],[Tech Start Date]],9),IF(Main[[#This Row],[Class]]="B", WORKDAY(Main[[#This Row],[Tech Start Date]],6),IF(Main[[#This Row],[Class]]="A",WORKDAY(Main[[#This Row],[Tech Start Date]],2),""))))</f>
        <v/>
      </c>
      <c r="N1160" s="75" t="str">
        <f>IF(Main[[#This Row],[Tech Start Date]]&lt;1/1/1990,"",IF(Main[[#This Row],[Class]]="C",WORKDAY(Main[[#This Row],[Tech Start Date]],19),IF(Main[[#This Row],[Class]]="B", WORKDAY(Main[[#This Row],[Tech Start Date]],12),IF(Main[[#This Row],[Class]]="A",WORKDAY(Main[[#This Row],[Tech Start Date]],4),""))))</f>
        <v/>
      </c>
      <c r="O1160" s="75" t="str">
        <f>IF(Main[[#This Row],[Tech Start Date]]&lt;1/1/1990,"",IF(Main[[#This Row],[Class]]="C",WORKDAY(Main[[#This Row],[Tech Start Date]],23),IF(Main[[#This Row],[Class]]="B", WORKDAY(Main[[#This Row],[Tech Start Date]],15),IF(Main[[#This Row],[Class]]="A",WORKDAY(Main[[#This Row],[Tech Start Date]],5),""))))</f>
        <v/>
      </c>
      <c r="P1160" s="75" t="str">
        <f>IF(Main[[#This Row],[Tech Start Date]]&lt;1/1/1990,"",IF(Main[[#This Row],[Class]]="C",WORKDAY(Main[[#This Row],[Tech Start Date]],28),IF(Main[[#This Row],[Class]]="B", WORKDAY(Main[[#This Row],[Tech Start Date]],19),IF(Main[[#This Row],[Class]]="A",WORKDAY(Main[[#This Row],[Tech Start Date]],9),""))))</f>
        <v/>
      </c>
      <c r="Q1160" s="89">
        <v>40310</v>
      </c>
      <c r="R1160" s="121"/>
      <c r="S1160" s="99" t="s">
        <v>6</v>
      </c>
      <c r="T1160" s="76" t="s">
        <v>4</v>
      </c>
      <c r="U1160" s="99" t="s">
        <v>14</v>
      </c>
      <c r="V1160" s="99" t="s">
        <v>1913</v>
      </c>
      <c r="W1160" s="99" t="s">
        <v>1918</v>
      </c>
      <c r="X1160" s="99" t="s">
        <v>883</v>
      </c>
      <c r="Y1160" s="73" t="s">
        <v>2957</v>
      </c>
      <c r="Z1160" s="73" t="s">
        <v>4</v>
      </c>
      <c r="AA1160" s="99" t="s">
        <v>883</v>
      </c>
    </row>
    <row r="1161" spans="1:27" ht="17.25" customHeight="1">
      <c r="A1161" s="65" t="str">
        <f>IF(priority(Main[[#This Row],[Comments]])&lt;&gt;0, priority(Main[[#This Row],[Comments]]),"")</f>
        <v/>
      </c>
      <c r="B1161" s="60" t="s">
        <v>2579</v>
      </c>
      <c r="C1161" s="105" t="s">
        <v>4</v>
      </c>
      <c r="D1161" s="74" t="s">
        <v>2758</v>
      </c>
      <c r="E1161" s="89"/>
      <c r="F1161" s="89"/>
      <c r="G1161" s="65" t="str">
        <f>IF(stdProdLT(Main[[#This Row],[Comments]])=0.1,"N/A",IF(stdProdLT(Main[[#This Row],[Comments]])=0,"",TRIM(stdProdLT(Main[[#This Row],[Comments]]))))</f>
        <v/>
      </c>
      <c r="H1161" s="98" t="str">
        <f>IF(Main[[#This Row],[Std. Prod. Lead Time]]="N/A", "",IF(AND(Main[[#This Row],[In Stock Date]]&lt;&gt;"",Main[[#This Row],[Revised Due Date]]&lt;&gt;"",Main[[#This Row],[In Stock Date]]&lt;&gt;""),Main[[#This Row],[In Stock Date]]-Main[[#This Row],[Revised Due Date]],""))</f>
        <v/>
      </c>
      <c r="I1161" s="110" t="s">
        <v>239</v>
      </c>
      <c r="J1161" s="99" t="s">
        <v>28</v>
      </c>
      <c r="K1161" s="99" t="s">
        <v>1922</v>
      </c>
      <c r="L1161" s="89"/>
      <c r="M1161" s="75" t="str">
        <f>IF(Main[[#This Row],[Tech Start Date]]&lt;1/1/1990,"",IF(Main[[#This Row],[Class]]="C",WORKDAY(Main[[#This Row],[Tech Start Date]],9),IF(Main[[#This Row],[Class]]="B", WORKDAY(Main[[#This Row],[Tech Start Date]],6),IF(Main[[#This Row],[Class]]="A",WORKDAY(Main[[#This Row],[Tech Start Date]],2),""))))</f>
        <v/>
      </c>
      <c r="N1161" s="75" t="str">
        <f>IF(Main[[#This Row],[Tech Start Date]]&lt;1/1/1990,"",IF(Main[[#This Row],[Class]]="C",WORKDAY(Main[[#This Row],[Tech Start Date]],19),IF(Main[[#This Row],[Class]]="B", WORKDAY(Main[[#This Row],[Tech Start Date]],12),IF(Main[[#This Row],[Class]]="A",WORKDAY(Main[[#This Row],[Tech Start Date]],4),""))))</f>
        <v/>
      </c>
      <c r="O1161" s="75" t="str">
        <f>IF(Main[[#This Row],[Tech Start Date]]&lt;1/1/1990,"",IF(Main[[#This Row],[Class]]="C",WORKDAY(Main[[#This Row],[Tech Start Date]],23),IF(Main[[#This Row],[Class]]="B", WORKDAY(Main[[#This Row],[Tech Start Date]],15),IF(Main[[#This Row],[Class]]="A",WORKDAY(Main[[#This Row],[Tech Start Date]],5),""))))</f>
        <v/>
      </c>
      <c r="P1161" s="75" t="str">
        <f>IF(Main[[#This Row],[Tech Start Date]]&lt;1/1/1990,"",IF(Main[[#This Row],[Class]]="C",WORKDAY(Main[[#This Row],[Tech Start Date]],28),IF(Main[[#This Row],[Class]]="B", WORKDAY(Main[[#This Row],[Tech Start Date]],19),IF(Main[[#This Row],[Class]]="A",WORKDAY(Main[[#This Row],[Tech Start Date]],9),""))))</f>
        <v/>
      </c>
      <c r="Q1161" s="89">
        <v>40907</v>
      </c>
      <c r="R1161" s="121"/>
      <c r="S1161" s="99" t="s">
        <v>6</v>
      </c>
      <c r="T1161" s="76" t="s">
        <v>4</v>
      </c>
      <c r="U1161" s="99" t="s">
        <v>14</v>
      </c>
      <c r="V1161" s="99" t="s">
        <v>1916</v>
      </c>
      <c r="W1161" s="99" t="s">
        <v>1917</v>
      </c>
      <c r="X1161" s="99" t="s">
        <v>2813</v>
      </c>
      <c r="Y1161" s="73" t="s">
        <v>2926</v>
      </c>
      <c r="Z1161" s="73" t="s">
        <v>30</v>
      </c>
      <c r="AA1161" s="99" t="s">
        <v>2813</v>
      </c>
    </row>
    <row r="1162" spans="1:27" ht="17.25" customHeight="1">
      <c r="A1162" s="65" t="str">
        <f>IF(priority(Main[[#This Row],[Comments]])&lt;&gt;0, priority(Main[[#This Row],[Comments]]),"")</f>
        <v/>
      </c>
      <c r="B1162" s="60" t="s">
        <v>2504</v>
      </c>
      <c r="C1162" s="105" t="s">
        <v>2505</v>
      </c>
      <c r="D1162" s="74" t="s">
        <v>2506</v>
      </c>
      <c r="E1162" s="89"/>
      <c r="F1162" s="89"/>
      <c r="G1162" s="65" t="str">
        <f>IF(stdProdLT(Main[[#This Row],[Comments]])=0.1,"N/A",IF(stdProdLT(Main[[#This Row],[Comments]])=0,"",TRIM(stdProdLT(Main[[#This Row],[Comments]]))))</f>
        <v/>
      </c>
      <c r="H1162" s="98" t="str">
        <f>IF(Main[[#This Row],[Std. Prod. Lead Time]]="N/A", "",IF(AND(Main[[#This Row],[In Stock Date]]&lt;&gt;"",Main[[#This Row],[Revised Due Date]]&lt;&gt;"",Main[[#This Row],[In Stock Date]]&lt;&gt;""),Main[[#This Row],[In Stock Date]]-Main[[#This Row],[Revised Due Date]],""))</f>
        <v/>
      </c>
      <c r="I1162" s="110" t="s">
        <v>4</v>
      </c>
      <c r="J1162" s="99" t="s">
        <v>4</v>
      </c>
      <c r="K1162" s="99" t="s">
        <v>4</v>
      </c>
      <c r="L1162" s="89"/>
      <c r="M1162" s="75" t="str">
        <f>IF(Main[[#This Row],[Tech Start Date]]&lt;1/1/1990,"",IF(Main[[#This Row],[Class]]="C",WORKDAY(Main[[#This Row],[Tech Start Date]],9),IF(Main[[#This Row],[Class]]="B", WORKDAY(Main[[#This Row],[Tech Start Date]],6),IF(Main[[#This Row],[Class]]="A",WORKDAY(Main[[#This Row],[Tech Start Date]],2),""))))</f>
        <v/>
      </c>
      <c r="N1162" s="75" t="str">
        <f>IF(Main[[#This Row],[Tech Start Date]]&lt;1/1/1990,"",IF(Main[[#This Row],[Class]]="C",WORKDAY(Main[[#This Row],[Tech Start Date]],19),IF(Main[[#This Row],[Class]]="B", WORKDAY(Main[[#This Row],[Tech Start Date]],12),IF(Main[[#This Row],[Class]]="A",WORKDAY(Main[[#This Row],[Tech Start Date]],4),""))))</f>
        <v/>
      </c>
      <c r="O1162" s="75" t="str">
        <f>IF(Main[[#This Row],[Tech Start Date]]&lt;1/1/1990,"",IF(Main[[#This Row],[Class]]="C",WORKDAY(Main[[#This Row],[Tech Start Date]],23),IF(Main[[#This Row],[Class]]="B", WORKDAY(Main[[#This Row],[Tech Start Date]],15),IF(Main[[#This Row],[Class]]="A",WORKDAY(Main[[#This Row],[Tech Start Date]],5),""))))</f>
        <v/>
      </c>
      <c r="P1162" s="75" t="str">
        <f>IF(Main[[#This Row],[Tech Start Date]]&lt;1/1/1990,"",IF(Main[[#This Row],[Class]]="C",WORKDAY(Main[[#This Row],[Tech Start Date]],28),IF(Main[[#This Row],[Class]]="B", WORKDAY(Main[[#This Row],[Tech Start Date]],19),IF(Main[[#This Row],[Class]]="A",WORKDAY(Main[[#This Row],[Tech Start Date]],9),""))))</f>
        <v/>
      </c>
      <c r="Q1162" s="89"/>
      <c r="R1162" s="121"/>
      <c r="S1162" s="99" t="s">
        <v>11</v>
      </c>
      <c r="T1162" s="76" t="s">
        <v>4</v>
      </c>
      <c r="U1162" s="99" t="s">
        <v>14</v>
      </c>
      <c r="V1162" s="99" t="s">
        <v>1914</v>
      </c>
      <c r="W1162" s="99" t="s">
        <v>1921</v>
      </c>
      <c r="X1162" s="99" t="s">
        <v>2245</v>
      </c>
      <c r="Y1162" s="73" t="s">
        <v>4</v>
      </c>
      <c r="Z1162" s="73" t="s">
        <v>4</v>
      </c>
      <c r="AA1162" s="99" t="s">
        <v>3452</v>
      </c>
    </row>
    <row r="1163" spans="1:27" ht="17.25" customHeight="1">
      <c r="A1163" s="65" t="str">
        <f>IF(priority(Main[[#This Row],[Comments]])&lt;&gt;0, priority(Main[[#This Row],[Comments]]),"")</f>
        <v/>
      </c>
      <c r="B1163" s="60" t="s">
        <v>2508</v>
      </c>
      <c r="C1163" s="105" t="s">
        <v>4</v>
      </c>
      <c r="D1163" s="74" t="s">
        <v>2509</v>
      </c>
      <c r="E1163" s="89"/>
      <c r="F1163" s="89"/>
      <c r="G1163" s="65" t="str">
        <f>IF(stdProdLT(Main[[#This Row],[Comments]])=0.1,"N/A",IF(stdProdLT(Main[[#This Row],[Comments]])=0,"",TRIM(stdProdLT(Main[[#This Row],[Comments]]))))</f>
        <v/>
      </c>
      <c r="H1163" s="98" t="str">
        <f>IF(Main[[#This Row],[Std. Prod. Lead Time]]="N/A", "",IF(AND(Main[[#This Row],[In Stock Date]]&lt;&gt;"",Main[[#This Row],[Revised Due Date]]&lt;&gt;"",Main[[#This Row],[In Stock Date]]&lt;&gt;""),Main[[#This Row],[In Stock Date]]-Main[[#This Row],[Revised Due Date]],""))</f>
        <v/>
      </c>
      <c r="I1163" s="110" t="s">
        <v>4</v>
      </c>
      <c r="J1163" s="99" t="s">
        <v>4</v>
      </c>
      <c r="K1163" s="99" t="s">
        <v>4</v>
      </c>
      <c r="L1163" s="89"/>
      <c r="M1163" s="75" t="str">
        <f>IF(Main[[#This Row],[Tech Start Date]]&lt;1/1/1990,"",IF(Main[[#This Row],[Class]]="C",WORKDAY(Main[[#This Row],[Tech Start Date]],9),IF(Main[[#This Row],[Class]]="B", WORKDAY(Main[[#This Row],[Tech Start Date]],6),IF(Main[[#This Row],[Class]]="A",WORKDAY(Main[[#This Row],[Tech Start Date]],2),""))))</f>
        <v/>
      </c>
      <c r="N1163" s="75" t="str">
        <f>IF(Main[[#This Row],[Tech Start Date]]&lt;1/1/1990,"",IF(Main[[#This Row],[Class]]="C",WORKDAY(Main[[#This Row],[Tech Start Date]],19),IF(Main[[#This Row],[Class]]="B", WORKDAY(Main[[#This Row],[Tech Start Date]],12),IF(Main[[#This Row],[Class]]="A",WORKDAY(Main[[#This Row],[Tech Start Date]],4),""))))</f>
        <v/>
      </c>
      <c r="O1163" s="75" t="str">
        <f>IF(Main[[#This Row],[Tech Start Date]]&lt;1/1/1990,"",IF(Main[[#This Row],[Class]]="C",WORKDAY(Main[[#This Row],[Tech Start Date]],23),IF(Main[[#This Row],[Class]]="B", WORKDAY(Main[[#This Row],[Tech Start Date]],15),IF(Main[[#This Row],[Class]]="A",WORKDAY(Main[[#This Row],[Tech Start Date]],5),""))))</f>
        <v/>
      </c>
      <c r="P1163" s="75" t="str">
        <f>IF(Main[[#This Row],[Tech Start Date]]&lt;1/1/1990,"",IF(Main[[#This Row],[Class]]="C",WORKDAY(Main[[#This Row],[Tech Start Date]],28),IF(Main[[#This Row],[Class]]="B", WORKDAY(Main[[#This Row],[Tech Start Date]],19),IF(Main[[#This Row],[Class]]="A",WORKDAY(Main[[#This Row],[Tech Start Date]],9),""))))</f>
        <v/>
      </c>
      <c r="Q1163" s="89">
        <v>40878</v>
      </c>
      <c r="R1163" s="121"/>
      <c r="S1163" s="99" t="s">
        <v>6</v>
      </c>
      <c r="T1163" s="76" t="s">
        <v>4</v>
      </c>
      <c r="U1163" s="99" t="s">
        <v>12</v>
      </c>
      <c r="V1163" s="99" t="s">
        <v>2279</v>
      </c>
      <c r="W1163" s="99" t="s">
        <v>4</v>
      </c>
      <c r="X1163" s="99" t="s">
        <v>2830</v>
      </c>
      <c r="Y1163" s="73" t="s">
        <v>2959</v>
      </c>
      <c r="Z1163" s="73" t="s">
        <v>4</v>
      </c>
      <c r="AA1163" s="99" t="s">
        <v>2830</v>
      </c>
    </row>
    <row r="1164" spans="1:27" ht="17.25" customHeight="1">
      <c r="A1164" s="65" t="str">
        <f>IF(priority(Main[[#This Row],[Comments]])&lt;&gt;0, priority(Main[[#This Row],[Comments]]),"")</f>
        <v/>
      </c>
      <c r="B1164" s="60" t="s">
        <v>3329</v>
      </c>
      <c r="C1164" s="105" t="s">
        <v>3330</v>
      </c>
      <c r="D1164" s="74" t="s">
        <v>3331</v>
      </c>
      <c r="E1164" s="89"/>
      <c r="F1164" s="89"/>
      <c r="G1164" s="65" t="str">
        <f>IF(stdProdLT(Main[[#This Row],[Comments]])=0.1,"N/A",IF(stdProdLT(Main[[#This Row],[Comments]])=0,"",TRIM(stdProdLT(Main[[#This Row],[Comments]]))))</f>
        <v/>
      </c>
      <c r="H1164" s="98" t="str">
        <f>IF(Main[[#This Row],[Std. Prod. Lead Time]]="N/A", "",IF(AND(Main[[#This Row],[In Stock Date]]&lt;&gt;"",Main[[#This Row],[Revised Due Date]]&lt;&gt;"",Main[[#This Row],[In Stock Date]]&lt;&gt;""),Main[[#This Row],[In Stock Date]]-Main[[#This Row],[Revised Due Date]],""))</f>
        <v/>
      </c>
      <c r="I1164" s="110" t="s">
        <v>2204</v>
      </c>
      <c r="J1164" s="99" t="s">
        <v>75</v>
      </c>
      <c r="K1164" s="99" t="s">
        <v>1922</v>
      </c>
      <c r="L1164" s="89"/>
      <c r="M1164" s="75" t="str">
        <f>IF(Main[[#This Row],[Tech Start Date]]&lt;1/1/1990,"",IF(Main[[#This Row],[Class]]="C",WORKDAY(Main[[#This Row],[Tech Start Date]],9),IF(Main[[#This Row],[Class]]="B", WORKDAY(Main[[#This Row],[Tech Start Date]],6),IF(Main[[#This Row],[Class]]="A",WORKDAY(Main[[#This Row],[Tech Start Date]],2),""))))</f>
        <v/>
      </c>
      <c r="N1164" s="75" t="str">
        <f>IF(Main[[#This Row],[Tech Start Date]]&lt;1/1/1990,"",IF(Main[[#This Row],[Class]]="C",WORKDAY(Main[[#This Row],[Tech Start Date]],19),IF(Main[[#This Row],[Class]]="B", WORKDAY(Main[[#This Row],[Tech Start Date]],12),IF(Main[[#This Row],[Class]]="A",WORKDAY(Main[[#This Row],[Tech Start Date]],4),""))))</f>
        <v/>
      </c>
      <c r="O1164" s="75" t="str">
        <f>IF(Main[[#This Row],[Tech Start Date]]&lt;1/1/1990,"",IF(Main[[#This Row],[Class]]="C",WORKDAY(Main[[#This Row],[Tech Start Date]],23),IF(Main[[#This Row],[Class]]="B", WORKDAY(Main[[#This Row],[Tech Start Date]],15),IF(Main[[#This Row],[Class]]="A",WORKDAY(Main[[#This Row],[Tech Start Date]],5),""))))</f>
        <v/>
      </c>
      <c r="P1164" s="75" t="str">
        <f>IF(Main[[#This Row],[Tech Start Date]]&lt;1/1/1990,"",IF(Main[[#This Row],[Class]]="C",WORKDAY(Main[[#This Row],[Tech Start Date]],28),IF(Main[[#This Row],[Class]]="B", WORKDAY(Main[[#This Row],[Tech Start Date]],19),IF(Main[[#This Row],[Class]]="A",WORKDAY(Main[[#This Row],[Tech Start Date]],9),""))))</f>
        <v/>
      </c>
      <c r="Q1164" s="89"/>
      <c r="R1164" s="121"/>
      <c r="S1164" s="99" t="s">
        <v>6</v>
      </c>
      <c r="T1164" s="76" t="s">
        <v>4</v>
      </c>
      <c r="U1164" s="99" t="s">
        <v>14</v>
      </c>
      <c r="V1164" s="99" t="s">
        <v>1913</v>
      </c>
      <c r="W1164" s="99" t="s">
        <v>1917</v>
      </c>
      <c r="X1164" s="99" t="s">
        <v>2204</v>
      </c>
      <c r="Y1164" s="73" t="s">
        <v>3332</v>
      </c>
      <c r="Z1164" s="73" t="s">
        <v>306</v>
      </c>
      <c r="AA1164" s="99" t="s">
        <v>3453</v>
      </c>
    </row>
    <row r="1165" spans="1:27" ht="17.25" customHeight="1">
      <c r="A1165" s="65" t="str">
        <f>IF(priority(Main[[#This Row],[Comments]])&lt;&gt;0, priority(Main[[#This Row],[Comments]]),"")</f>
        <v/>
      </c>
      <c r="B1165" s="60" t="s">
        <v>2754</v>
      </c>
      <c r="C1165" s="105" t="s">
        <v>4</v>
      </c>
      <c r="D1165" s="74" t="s">
        <v>2755</v>
      </c>
      <c r="E1165" s="89">
        <v>40911.566932870373</v>
      </c>
      <c r="F1165" s="89"/>
      <c r="G1165" s="65" t="str">
        <f>IF(stdProdLT(Main[[#This Row],[Comments]])=0.1,"N/A",IF(stdProdLT(Main[[#This Row],[Comments]])=0,"",TRIM(stdProdLT(Main[[#This Row],[Comments]]))))</f>
        <v/>
      </c>
      <c r="H1165" s="98" t="str">
        <f>IF(Main[[#This Row],[Std. Prod. Lead Time]]="N/A", "",IF(AND(Main[[#This Row],[In Stock Date]]&lt;&gt;"",Main[[#This Row],[Revised Due Date]]&lt;&gt;"",Main[[#This Row],[In Stock Date]]&lt;&gt;""),Main[[#This Row],[In Stock Date]]-Main[[#This Row],[Revised Due Date]],""))</f>
        <v/>
      </c>
      <c r="I1165" s="110" t="s">
        <v>530</v>
      </c>
      <c r="J1165" s="99" t="s">
        <v>28</v>
      </c>
      <c r="K1165" s="99" t="s">
        <v>1922</v>
      </c>
      <c r="L1165" s="89"/>
      <c r="M1165" s="75" t="str">
        <f>IF(Main[[#This Row],[Tech Start Date]]&lt;1/1/1990,"",IF(Main[[#This Row],[Class]]="C",WORKDAY(Main[[#This Row],[Tech Start Date]],9),IF(Main[[#This Row],[Class]]="B", WORKDAY(Main[[#This Row],[Tech Start Date]],6),IF(Main[[#This Row],[Class]]="A",WORKDAY(Main[[#This Row],[Tech Start Date]],2),""))))</f>
        <v/>
      </c>
      <c r="N1165" s="75" t="str">
        <f>IF(Main[[#This Row],[Tech Start Date]]&lt;1/1/1990,"",IF(Main[[#This Row],[Class]]="C",WORKDAY(Main[[#This Row],[Tech Start Date]],19),IF(Main[[#This Row],[Class]]="B", WORKDAY(Main[[#This Row],[Tech Start Date]],12),IF(Main[[#This Row],[Class]]="A",WORKDAY(Main[[#This Row],[Tech Start Date]],4),""))))</f>
        <v/>
      </c>
      <c r="O1165" s="75" t="str">
        <f>IF(Main[[#This Row],[Tech Start Date]]&lt;1/1/1990,"",IF(Main[[#This Row],[Class]]="C",WORKDAY(Main[[#This Row],[Tech Start Date]],23),IF(Main[[#This Row],[Class]]="B", WORKDAY(Main[[#This Row],[Tech Start Date]],15),IF(Main[[#This Row],[Class]]="A",WORKDAY(Main[[#This Row],[Tech Start Date]],5),""))))</f>
        <v/>
      </c>
      <c r="P1165" s="75" t="str">
        <f>IF(Main[[#This Row],[Tech Start Date]]&lt;1/1/1990,"",IF(Main[[#This Row],[Class]]="C",WORKDAY(Main[[#This Row],[Tech Start Date]],28),IF(Main[[#This Row],[Class]]="B", WORKDAY(Main[[#This Row],[Tech Start Date]],19),IF(Main[[#This Row],[Class]]="A",WORKDAY(Main[[#This Row],[Tech Start Date]],9),""))))</f>
        <v/>
      </c>
      <c r="Q1165" s="89">
        <v>40963</v>
      </c>
      <c r="R1165" s="121"/>
      <c r="S1165" s="99" t="s">
        <v>6</v>
      </c>
      <c r="T1165" s="76" t="s">
        <v>4</v>
      </c>
      <c r="U1165" s="99" t="s">
        <v>29</v>
      </c>
      <c r="V1165" s="99" t="s">
        <v>1916</v>
      </c>
      <c r="W1165" s="99" t="s">
        <v>1917</v>
      </c>
      <c r="X1165" s="99" t="s">
        <v>765</v>
      </c>
      <c r="Y1165" s="73" t="s">
        <v>2929</v>
      </c>
      <c r="Z1165" s="73" t="s">
        <v>30</v>
      </c>
      <c r="AA1165" s="99" t="s">
        <v>765</v>
      </c>
    </row>
    <row r="1166" spans="1:27" ht="17.25" customHeight="1">
      <c r="A1166" s="65" t="str">
        <f>IF(priority(Main[[#This Row],[Comments]])&lt;&gt;0, priority(Main[[#This Row],[Comments]]),"")</f>
        <v/>
      </c>
      <c r="B1166" s="60" t="s">
        <v>3490</v>
      </c>
      <c r="C1166" s="105" t="s">
        <v>47</v>
      </c>
      <c r="D1166" s="74" t="s">
        <v>3492</v>
      </c>
      <c r="E1166" s="89">
        <v>40941.662106481483</v>
      </c>
      <c r="F1166" s="89"/>
      <c r="G1166" s="65" t="str">
        <f>IF(stdProdLT(Main[[#This Row],[Comments]])=0.1,"N/A",IF(stdProdLT(Main[[#This Row],[Comments]])=0,"",TRIM(stdProdLT(Main[[#This Row],[Comments]]))))</f>
        <v/>
      </c>
      <c r="H1166" s="98" t="str">
        <f>IF(Main[[#This Row],[Std. Prod. Lead Time]]="N/A", "",IF(AND(Main[[#This Row],[In Stock Date]]&lt;&gt;"",Main[[#This Row],[Revised Due Date]]&lt;&gt;"",Main[[#This Row],[In Stock Date]]&lt;&gt;""),Main[[#This Row],[In Stock Date]]-Main[[#This Row],[Revised Due Date]],""))</f>
        <v/>
      </c>
      <c r="I1166" s="110" t="s">
        <v>4</v>
      </c>
      <c r="J1166" s="99" t="s">
        <v>4</v>
      </c>
      <c r="K1166" s="99" t="s">
        <v>4</v>
      </c>
      <c r="L1166" s="89"/>
      <c r="M1166" s="75" t="str">
        <f>IF(Main[[#This Row],[Tech Start Date]]&lt;1/1/1990,"",IF(Main[[#This Row],[Class]]="C",WORKDAY(Main[[#This Row],[Tech Start Date]],9),IF(Main[[#This Row],[Class]]="B", WORKDAY(Main[[#This Row],[Tech Start Date]],6),IF(Main[[#This Row],[Class]]="A",WORKDAY(Main[[#This Row],[Tech Start Date]],2),""))))</f>
        <v/>
      </c>
      <c r="N1166" s="75" t="str">
        <f>IF(Main[[#This Row],[Tech Start Date]]&lt;1/1/1990,"",IF(Main[[#This Row],[Class]]="C",WORKDAY(Main[[#This Row],[Tech Start Date]],19),IF(Main[[#This Row],[Class]]="B", WORKDAY(Main[[#This Row],[Tech Start Date]],12),IF(Main[[#This Row],[Class]]="A",WORKDAY(Main[[#This Row],[Tech Start Date]],4),""))))</f>
        <v/>
      </c>
      <c r="O1166" s="75" t="str">
        <f>IF(Main[[#This Row],[Tech Start Date]]&lt;1/1/1990,"",IF(Main[[#This Row],[Class]]="C",WORKDAY(Main[[#This Row],[Tech Start Date]],23),IF(Main[[#This Row],[Class]]="B", WORKDAY(Main[[#This Row],[Tech Start Date]],15),IF(Main[[#This Row],[Class]]="A",WORKDAY(Main[[#This Row],[Tech Start Date]],5),""))))</f>
        <v/>
      </c>
      <c r="P1166" s="75" t="str">
        <f>IF(Main[[#This Row],[Tech Start Date]]&lt;1/1/1990,"",IF(Main[[#This Row],[Class]]="C",WORKDAY(Main[[#This Row],[Tech Start Date]],28),IF(Main[[#This Row],[Class]]="B", WORKDAY(Main[[#This Row],[Tech Start Date]],19),IF(Main[[#This Row],[Class]]="A",WORKDAY(Main[[#This Row],[Tech Start Date]],9),""))))</f>
        <v/>
      </c>
      <c r="Q1166" s="89">
        <v>40968</v>
      </c>
      <c r="R1166" s="121"/>
      <c r="S1166" s="99" t="s">
        <v>6</v>
      </c>
      <c r="T1166" s="76" t="s">
        <v>4</v>
      </c>
      <c r="U1166" s="99" t="s">
        <v>29</v>
      </c>
      <c r="V1166" s="99" t="s">
        <v>2279</v>
      </c>
      <c r="W1166" s="99" t="s">
        <v>4</v>
      </c>
      <c r="X1166" s="99" t="s">
        <v>2859</v>
      </c>
      <c r="Y1166" s="73" t="s">
        <v>3004</v>
      </c>
      <c r="Z1166" s="73" t="s">
        <v>4</v>
      </c>
      <c r="AA1166" s="99" t="s">
        <v>2859</v>
      </c>
    </row>
    <row r="1167" spans="1:27" ht="17.25" customHeight="1">
      <c r="A1167" s="65" t="str">
        <f>IF(priority(Main[[#This Row],[Comments]])&lt;&gt;0, priority(Main[[#This Row],[Comments]]),"")</f>
        <v/>
      </c>
      <c r="B1167" s="60" t="s">
        <v>3286</v>
      </c>
      <c r="C1167" s="105" t="s">
        <v>4</v>
      </c>
      <c r="D1167" s="74" t="s">
        <v>3650</v>
      </c>
      <c r="E1167" s="89">
        <v>40932.426516203705</v>
      </c>
      <c r="F1167" s="89"/>
      <c r="G1167" s="65" t="str">
        <f>IF(stdProdLT(Main[[#This Row],[Comments]])=0.1,"N/A",IF(stdProdLT(Main[[#This Row],[Comments]])=0,"",TRIM(stdProdLT(Main[[#This Row],[Comments]]))))</f>
        <v/>
      </c>
      <c r="H1167" s="98" t="str">
        <f>IF(Main[[#This Row],[Std. Prod. Lead Time]]="N/A", "",IF(AND(Main[[#This Row],[In Stock Date]]&lt;&gt;"",Main[[#This Row],[Revised Due Date]]&lt;&gt;"",Main[[#This Row],[In Stock Date]]&lt;&gt;""),Main[[#This Row],[In Stock Date]]-Main[[#This Row],[Revised Due Date]],""))</f>
        <v/>
      </c>
      <c r="I1167" s="110" t="s">
        <v>530</v>
      </c>
      <c r="J1167" s="99" t="s">
        <v>28</v>
      </c>
      <c r="K1167" s="99" t="s">
        <v>1922</v>
      </c>
      <c r="L1167" s="89"/>
      <c r="M1167" s="75" t="str">
        <f>IF(Main[[#This Row],[Tech Start Date]]&lt;1/1/1990,"",IF(Main[[#This Row],[Class]]="C",WORKDAY(Main[[#This Row],[Tech Start Date]],9),IF(Main[[#This Row],[Class]]="B", WORKDAY(Main[[#This Row],[Tech Start Date]],6),IF(Main[[#This Row],[Class]]="A",WORKDAY(Main[[#This Row],[Tech Start Date]],2),""))))</f>
        <v/>
      </c>
      <c r="N1167" s="75" t="str">
        <f>IF(Main[[#This Row],[Tech Start Date]]&lt;1/1/1990,"",IF(Main[[#This Row],[Class]]="C",WORKDAY(Main[[#This Row],[Tech Start Date]],19),IF(Main[[#This Row],[Class]]="B", WORKDAY(Main[[#This Row],[Tech Start Date]],12),IF(Main[[#This Row],[Class]]="A",WORKDAY(Main[[#This Row],[Tech Start Date]],4),""))))</f>
        <v/>
      </c>
      <c r="O1167" s="75" t="str">
        <f>IF(Main[[#This Row],[Tech Start Date]]&lt;1/1/1990,"",IF(Main[[#This Row],[Class]]="C",WORKDAY(Main[[#This Row],[Tech Start Date]],23),IF(Main[[#This Row],[Class]]="B", WORKDAY(Main[[#This Row],[Tech Start Date]],15),IF(Main[[#This Row],[Class]]="A",WORKDAY(Main[[#This Row],[Tech Start Date]],5),""))))</f>
        <v/>
      </c>
      <c r="P1167" s="75" t="str">
        <f>IF(Main[[#This Row],[Tech Start Date]]&lt;1/1/1990,"",IF(Main[[#This Row],[Class]]="C",WORKDAY(Main[[#This Row],[Tech Start Date]],28),IF(Main[[#This Row],[Class]]="B", WORKDAY(Main[[#This Row],[Tech Start Date]],19),IF(Main[[#This Row],[Class]]="A",WORKDAY(Main[[#This Row],[Tech Start Date]],9),""))))</f>
        <v/>
      </c>
      <c r="Q1167" s="89">
        <v>41019</v>
      </c>
      <c r="R1167" s="121"/>
      <c r="S1167" s="99" t="s">
        <v>6</v>
      </c>
      <c r="T1167" s="76" t="s">
        <v>4</v>
      </c>
      <c r="U1167" s="99" t="s">
        <v>29</v>
      </c>
      <c r="V1167" s="99" t="s">
        <v>1916</v>
      </c>
      <c r="W1167" s="99" t="s">
        <v>1917</v>
      </c>
      <c r="X1167" s="99" t="s">
        <v>2860</v>
      </c>
      <c r="Y1167" s="73" t="s">
        <v>2994</v>
      </c>
      <c r="Z1167" s="73" t="s">
        <v>30</v>
      </c>
      <c r="AA1167" s="99" t="s">
        <v>2860</v>
      </c>
    </row>
    <row r="1168" spans="1:27" ht="17.25" customHeight="1">
      <c r="A1168" s="65" t="str">
        <f>IF(priority(Main[[#This Row],[Comments]])&lt;&gt;0, priority(Main[[#This Row],[Comments]]),"")</f>
        <v/>
      </c>
      <c r="B1168" s="60" t="s">
        <v>2511</v>
      </c>
      <c r="C1168" s="105" t="s">
        <v>4</v>
      </c>
      <c r="D1168" s="74" t="s">
        <v>2512</v>
      </c>
      <c r="E1168" s="89">
        <v>40840.652592592596</v>
      </c>
      <c r="F1168" s="89"/>
      <c r="G1168" s="65" t="str">
        <f>IF(stdProdLT(Main[[#This Row],[Comments]])=0.1,"N/A",IF(stdProdLT(Main[[#This Row],[Comments]])=0,"",TRIM(stdProdLT(Main[[#This Row],[Comments]]))))</f>
        <v/>
      </c>
      <c r="H1168" s="98" t="str">
        <f>IF(Main[[#This Row],[Std. Prod. Lead Time]]="N/A", "",IF(AND(Main[[#This Row],[In Stock Date]]&lt;&gt;"",Main[[#This Row],[Revised Due Date]]&lt;&gt;"",Main[[#This Row],[In Stock Date]]&lt;&gt;""),Main[[#This Row],[In Stock Date]]-Main[[#This Row],[Revised Due Date]],""))</f>
        <v/>
      </c>
      <c r="I1168" s="110" t="s">
        <v>4</v>
      </c>
      <c r="J1168" s="99" t="s">
        <v>4</v>
      </c>
      <c r="K1168" s="99" t="s">
        <v>4</v>
      </c>
      <c r="L1168" s="89"/>
      <c r="M1168" s="75" t="str">
        <f>IF(Main[[#This Row],[Tech Start Date]]&lt;1/1/1990,"",IF(Main[[#This Row],[Class]]="C",WORKDAY(Main[[#This Row],[Tech Start Date]],9),IF(Main[[#This Row],[Class]]="B", WORKDAY(Main[[#This Row],[Tech Start Date]],6),IF(Main[[#This Row],[Class]]="A",WORKDAY(Main[[#This Row],[Tech Start Date]],2),""))))</f>
        <v/>
      </c>
      <c r="N1168" s="75" t="str">
        <f>IF(Main[[#This Row],[Tech Start Date]]&lt;1/1/1990,"",IF(Main[[#This Row],[Class]]="C",WORKDAY(Main[[#This Row],[Tech Start Date]],19),IF(Main[[#This Row],[Class]]="B", WORKDAY(Main[[#This Row],[Tech Start Date]],12),IF(Main[[#This Row],[Class]]="A",WORKDAY(Main[[#This Row],[Tech Start Date]],4),""))))</f>
        <v/>
      </c>
      <c r="O1168" s="75" t="str">
        <f>IF(Main[[#This Row],[Tech Start Date]]&lt;1/1/1990,"",IF(Main[[#This Row],[Class]]="C",WORKDAY(Main[[#This Row],[Tech Start Date]],23),IF(Main[[#This Row],[Class]]="B", WORKDAY(Main[[#This Row],[Tech Start Date]],15),IF(Main[[#This Row],[Class]]="A",WORKDAY(Main[[#This Row],[Tech Start Date]],5),""))))</f>
        <v/>
      </c>
      <c r="P1168" s="75" t="str">
        <f>IF(Main[[#This Row],[Tech Start Date]]&lt;1/1/1990,"",IF(Main[[#This Row],[Class]]="C",WORKDAY(Main[[#This Row],[Tech Start Date]],28),IF(Main[[#This Row],[Class]]="B", WORKDAY(Main[[#This Row],[Tech Start Date]],19),IF(Main[[#This Row],[Class]]="A",WORKDAY(Main[[#This Row],[Tech Start Date]],9),""))))</f>
        <v/>
      </c>
      <c r="Q1168" s="89"/>
      <c r="R1168" s="121"/>
      <c r="S1168" s="99" t="s">
        <v>6</v>
      </c>
      <c r="T1168" s="76" t="s">
        <v>4</v>
      </c>
      <c r="U1168" s="99" t="s">
        <v>29</v>
      </c>
      <c r="V1168" s="99" t="s">
        <v>1913</v>
      </c>
      <c r="W1168" s="99" t="s">
        <v>4</v>
      </c>
      <c r="X1168" s="99" t="s">
        <v>937</v>
      </c>
      <c r="Y1168" s="73" t="s">
        <v>2978</v>
      </c>
      <c r="Z1168" s="73" t="s">
        <v>4</v>
      </c>
      <c r="AA1168" s="99" t="s">
        <v>937</v>
      </c>
    </row>
    <row r="1169" spans="1:27" ht="17.25" customHeight="1">
      <c r="A1169" s="65" t="str">
        <f>IF(priority(Main[[#This Row],[Comments]])&lt;&gt;0, priority(Main[[#This Row],[Comments]]),"")</f>
        <v/>
      </c>
      <c r="B1169" s="60" t="s">
        <v>3893</v>
      </c>
      <c r="C1169" s="105" t="s">
        <v>31</v>
      </c>
      <c r="D1169" s="74" t="s">
        <v>3894</v>
      </c>
      <c r="E1169" s="89">
        <v>40968.135138888887</v>
      </c>
      <c r="F1169" s="89">
        <v>41000</v>
      </c>
      <c r="G1169" s="65" t="str">
        <f>IF(stdProdLT(Main[[#This Row],[Comments]])=0.1,"N/A",IF(stdProdLT(Main[[#This Row],[Comments]])=0,"",TRIM(stdProdLT(Main[[#This Row],[Comments]]))))</f>
        <v/>
      </c>
      <c r="H1169" s="98" t="str">
        <f>IF(Main[[#This Row],[Std. Prod. Lead Time]]="N/A", "",IF(AND(Main[[#This Row],[In Stock Date]]&lt;&gt;"",Main[[#This Row],[Revised Due Date]]&lt;&gt;"",Main[[#This Row],[In Stock Date]]&lt;&gt;""),Main[[#This Row],[In Stock Date]]-Main[[#This Row],[Revised Due Date]],""))</f>
        <v/>
      </c>
      <c r="I1169" s="110" t="s">
        <v>4</v>
      </c>
      <c r="J1169" s="99" t="s">
        <v>4</v>
      </c>
      <c r="K1169" s="99" t="s">
        <v>4</v>
      </c>
      <c r="L1169" s="89"/>
      <c r="M1169" s="75" t="str">
        <f>IF(Main[[#This Row],[Tech Start Date]]&lt;1/1/1990,"",IF(Main[[#This Row],[Class]]="C",WORKDAY(Main[[#This Row],[Tech Start Date]],9),IF(Main[[#This Row],[Class]]="B", WORKDAY(Main[[#This Row],[Tech Start Date]],6),IF(Main[[#This Row],[Class]]="A",WORKDAY(Main[[#This Row],[Tech Start Date]],2),""))))</f>
        <v/>
      </c>
      <c r="N1169" s="75" t="str">
        <f>IF(Main[[#This Row],[Tech Start Date]]&lt;1/1/1990,"",IF(Main[[#This Row],[Class]]="C",WORKDAY(Main[[#This Row],[Tech Start Date]],19),IF(Main[[#This Row],[Class]]="B", WORKDAY(Main[[#This Row],[Tech Start Date]],12),IF(Main[[#This Row],[Class]]="A",WORKDAY(Main[[#This Row],[Tech Start Date]],4),""))))</f>
        <v/>
      </c>
      <c r="O1169" s="75" t="str">
        <f>IF(Main[[#This Row],[Tech Start Date]]&lt;1/1/1990,"",IF(Main[[#This Row],[Class]]="C",WORKDAY(Main[[#This Row],[Tech Start Date]],23),IF(Main[[#This Row],[Class]]="B", WORKDAY(Main[[#This Row],[Tech Start Date]],15),IF(Main[[#This Row],[Class]]="A",WORKDAY(Main[[#This Row],[Tech Start Date]],5),""))))</f>
        <v/>
      </c>
      <c r="P1169" s="75" t="str">
        <f>IF(Main[[#This Row],[Tech Start Date]]&lt;1/1/1990,"",IF(Main[[#This Row],[Class]]="C",WORKDAY(Main[[#This Row],[Tech Start Date]],28),IF(Main[[#This Row],[Class]]="B", WORKDAY(Main[[#This Row],[Tech Start Date]],19),IF(Main[[#This Row],[Class]]="A",WORKDAY(Main[[#This Row],[Tech Start Date]],9),""))))</f>
        <v/>
      </c>
      <c r="Q1169" s="89">
        <v>41000</v>
      </c>
      <c r="R1169" s="121"/>
      <c r="S1169" s="99" t="s">
        <v>11</v>
      </c>
      <c r="T1169" s="76" t="s">
        <v>4010</v>
      </c>
      <c r="U1169" s="99" t="s">
        <v>7</v>
      </c>
      <c r="V1169" s="99" t="s">
        <v>1923</v>
      </c>
      <c r="W1169" s="99" t="s">
        <v>1924</v>
      </c>
      <c r="X1169" s="99" t="s">
        <v>3895</v>
      </c>
      <c r="Y1169" s="73" t="s">
        <v>3896</v>
      </c>
      <c r="Z1169" s="73" t="s">
        <v>4</v>
      </c>
      <c r="AA1169" s="99" t="s">
        <v>3895</v>
      </c>
    </row>
    <row r="1170" spans="1:27" ht="17.25" customHeight="1">
      <c r="A1170" s="65" t="str">
        <f>IF(priority(Main[[#This Row],[Comments]])&lt;&gt;0, priority(Main[[#This Row],[Comments]]),"")</f>
        <v/>
      </c>
      <c r="B1170" s="60" t="s">
        <v>2311</v>
      </c>
      <c r="C1170" s="105" t="s">
        <v>4</v>
      </c>
      <c r="D1170" s="74" t="s">
        <v>2312</v>
      </c>
      <c r="E1170" s="89">
        <v>40819.669872685183</v>
      </c>
      <c r="F1170" s="89"/>
      <c r="G1170" s="65" t="str">
        <f>IF(stdProdLT(Main[[#This Row],[Comments]])=0.1,"N/A",IF(stdProdLT(Main[[#This Row],[Comments]])=0,"",TRIM(stdProdLT(Main[[#This Row],[Comments]]))))</f>
        <v/>
      </c>
      <c r="H1170" s="98" t="str">
        <f>IF(Main[[#This Row],[Std. Prod. Lead Time]]="N/A", "",IF(AND(Main[[#This Row],[In Stock Date]]&lt;&gt;"",Main[[#This Row],[Revised Due Date]]&lt;&gt;"",Main[[#This Row],[In Stock Date]]&lt;&gt;""),Main[[#This Row],[In Stock Date]]-Main[[#This Row],[Revised Due Date]],""))</f>
        <v/>
      </c>
      <c r="I1170" s="110" t="s">
        <v>239</v>
      </c>
      <c r="J1170" s="99" t="s">
        <v>28</v>
      </c>
      <c r="K1170" s="99" t="s">
        <v>1922</v>
      </c>
      <c r="L1170" s="89"/>
      <c r="M1170" s="75" t="str">
        <f>IF(Main[[#This Row],[Tech Start Date]]&lt;1/1/1990,"",IF(Main[[#This Row],[Class]]="C",WORKDAY(Main[[#This Row],[Tech Start Date]],9),IF(Main[[#This Row],[Class]]="B", WORKDAY(Main[[#This Row],[Tech Start Date]],6),IF(Main[[#This Row],[Class]]="A",WORKDAY(Main[[#This Row],[Tech Start Date]],2),""))))</f>
        <v/>
      </c>
      <c r="N1170" s="75" t="str">
        <f>IF(Main[[#This Row],[Tech Start Date]]&lt;1/1/1990,"",IF(Main[[#This Row],[Class]]="C",WORKDAY(Main[[#This Row],[Tech Start Date]],19),IF(Main[[#This Row],[Class]]="B", WORKDAY(Main[[#This Row],[Tech Start Date]],12),IF(Main[[#This Row],[Class]]="A",WORKDAY(Main[[#This Row],[Tech Start Date]],4),""))))</f>
        <v/>
      </c>
      <c r="O1170" s="75" t="str">
        <f>IF(Main[[#This Row],[Tech Start Date]]&lt;1/1/1990,"",IF(Main[[#This Row],[Class]]="C",WORKDAY(Main[[#This Row],[Tech Start Date]],23),IF(Main[[#This Row],[Class]]="B", WORKDAY(Main[[#This Row],[Tech Start Date]],15),IF(Main[[#This Row],[Class]]="A",WORKDAY(Main[[#This Row],[Tech Start Date]],5),""))))</f>
        <v/>
      </c>
      <c r="P1170" s="75" t="str">
        <f>IF(Main[[#This Row],[Tech Start Date]]&lt;1/1/1990,"",IF(Main[[#This Row],[Class]]="C",WORKDAY(Main[[#This Row],[Tech Start Date]],28),IF(Main[[#This Row],[Class]]="B", WORKDAY(Main[[#This Row],[Tech Start Date]],19),IF(Main[[#This Row],[Class]]="A",WORKDAY(Main[[#This Row],[Tech Start Date]],9),""))))</f>
        <v/>
      </c>
      <c r="Q1170" s="89">
        <v>40847</v>
      </c>
      <c r="R1170" s="121"/>
      <c r="S1170" s="99" t="s">
        <v>6</v>
      </c>
      <c r="T1170" s="76" t="s">
        <v>4</v>
      </c>
      <c r="U1170" s="99" t="s">
        <v>29</v>
      </c>
      <c r="V1170" s="99" t="s">
        <v>1916</v>
      </c>
      <c r="W1170" s="99" t="s">
        <v>1917</v>
      </c>
      <c r="X1170" s="99" t="s">
        <v>30</v>
      </c>
      <c r="Y1170" s="73" t="s">
        <v>2934</v>
      </c>
      <c r="Z1170" s="73" t="s">
        <v>30</v>
      </c>
      <c r="AA1170" s="99" t="s">
        <v>30</v>
      </c>
    </row>
    <row r="1171" spans="1:27" ht="17.25" customHeight="1">
      <c r="A1171" s="65" t="str">
        <f>IF(priority(Main[[#This Row],[Comments]])&lt;&gt;0, priority(Main[[#This Row],[Comments]]),"")</f>
        <v/>
      </c>
      <c r="B1171" s="60" t="s">
        <v>2514</v>
      </c>
      <c r="C1171" s="105" t="s">
        <v>2505</v>
      </c>
      <c r="D1171" s="74" t="s">
        <v>2515</v>
      </c>
      <c r="E1171" s="89"/>
      <c r="F1171" s="89"/>
      <c r="G1171" s="65" t="str">
        <f>IF(stdProdLT(Main[[#This Row],[Comments]])=0.1,"N/A",IF(stdProdLT(Main[[#This Row],[Comments]])=0,"",TRIM(stdProdLT(Main[[#This Row],[Comments]]))))</f>
        <v/>
      </c>
      <c r="H1171" s="98" t="str">
        <f>IF(Main[[#This Row],[Std. Prod. Lead Time]]="N/A", "",IF(AND(Main[[#This Row],[In Stock Date]]&lt;&gt;"",Main[[#This Row],[Revised Due Date]]&lt;&gt;"",Main[[#This Row],[In Stock Date]]&lt;&gt;""),Main[[#This Row],[In Stock Date]]-Main[[#This Row],[Revised Due Date]],""))</f>
        <v/>
      </c>
      <c r="I1171" s="110" t="s">
        <v>4</v>
      </c>
      <c r="J1171" s="99" t="s">
        <v>4</v>
      </c>
      <c r="K1171" s="99" t="s">
        <v>4</v>
      </c>
      <c r="L1171" s="89"/>
      <c r="M1171" s="75" t="str">
        <f>IF(Main[[#This Row],[Tech Start Date]]&lt;1/1/1990,"",IF(Main[[#This Row],[Class]]="C",WORKDAY(Main[[#This Row],[Tech Start Date]],9),IF(Main[[#This Row],[Class]]="B", WORKDAY(Main[[#This Row],[Tech Start Date]],6),IF(Main[[#This Row],[Class]]="A",WORKDAY(Main[[#This Row],[Tech Start Date]],2),""))))</f>
        <v/>
      </c>
      <c r="N1171" s="75" t="str">
        <f>IF(Main[[#This Row],[Tech Start Date]]&lt;1/1/1990,"",IF(Main[[#This Row],[Class]]="C",WORKDAY(Main[[#This Row],[Tech Start Date]],19),IF(Main[[#This Row],[Class]]="B", WORKDAY(Main[[#This Row],[Tech Start Date]],12),IF(Main[[#This Row],[Class]]="A",WORKDAY(Main[[#This Row],[Tech Start Date]],4),""))))</f>
        <v/>
      </c>
      <c r="O1171" s="75" t="str">
        <f>IF(Main[[#This Row],[Tech Start Date]]&lt;1/1/1990,"",IF(Main[[#This Row],[Class]]="C",WORKDAY(Main[[#This Row],[Tech Start Date]],23),IF(Main[[#This Row],[Class]]="B", WORKDAY(Main[[#This Row],[Tech Start Date]],15),IF(Main[[#This Row],[Class]]="A",WORKDAY(Main[[#This Row],[Tech Start Date]],5),""))))</f>
        <v/>
      </c>
      <c r="P1171" s="75" t="str">
        <f>IF(Main[[#This Row],[Tech Start Date]]&lt;1/1/1990,"",IF(Main[[#This Row],[Class]]="C",WORKDAY(Main[[#This Row],[Tech Start Date]],28),IF(Main[[#This Row],[Class]]="B", WORKDAY(Main[[#This Row],[Tech Start Date]],19),IF(Main[[#This Row],[Class]]="A",WORKDAY(Main[[#This Row],[Tech Start Date]],9),""))))</f>
        <v/>
      </c>
      <c r="Q1171" s="89"/>
      <c r="R1171" s="121"/>
      <c r="S1171" s="99" t="s">
        <v>11</v>
      </c>
      <c r="T1171" s="76" t="s">
        <v>4</v>
      </c>
      <c r="U1171" s="99" t="s">
        <v>14</v>
      </c>
      <c r="V1171" s="99" t="s">
        <v>1914</v>
      </c>
      <c r="W1171" s="99" t="s">
        <v>1921</v>
      </c>
      <c r="X1171" s="99" t="s">
        <v>306</v>
      </c>
      <c r="Y1171" s="73" t="s">
        <v>4</v>
      </c>
      <c r="Z1171" s="73" t="s">
        <v>4</v>
      </c>
      <c r="AA1171" s="99" t="s">
        <v>3452</v>
      </c>
    </row>
    <row r="1172" spans="1:27" ht="17.25" customHeight="1">
      <c r="A1172" s="65" t="str">
        <f>IF(priority(Main[[#This Row],[Comments]])&lt;&gt;0, priority(Main[[#This Row],[Comments]]),"")</f>
        <v/>
      </c>
      <c r="B1172" s="60" t="s">
        <v>2516</v>
      </c>
      <c r="C1172" s="105" t="s">
        <v>2323</v>
      </c>
      <c r="D1172" s="74" t="s">
        <v>2517</v>
      </c>
      <c r="E1172" s="89">
        <v>40843.623680555553</v>
      </c>
      <c r="F1172" s="89"/>
      <c r="G1172" s="65" t="str">
        <f>IF(stdProdLT(Main[[#This Row],[Comments]])=0.1,"N/A",IF(stdProdLT(Main[[#This Row],[Comments]])=0,"",TRIM(stdProdLT(Main[[#This Row],[Comments]]))))</f>
        <v/>
      </c>
      <c r="H1172" s="98" t="str">
        <f>IF(Main[[#This Row],[Std. Prod. Lead Time]]="N/A", "",IF(AND(Main[[#This Row],[In Stock Date]]&lt;&gt;"",Main[[#This Row],[Revised Due Date]]&lt;&gt;"",Main[[#This Row],[In Stock Date]]&lt;&gt;""),Main[[#This Row],[In Stock Date]]-Main[[#This Row],[Revised Due Date]],""))</f>
        <v/>
      </c>
      <c r="I1172" s="110" t="s">
        <v>4</v>
      </c>
      <c r="J1172" s="99" t="s">
        <v>4</v>
      </c>
      <c r="K1172" s="99" t="s">
        <v>4</v>
      </c>
      <c r="L1172" s="89"/>
      <c r="M1172" s="75" t="str">
        <f>IF(Main[[#This Row],[Tech Start Date]]&lt;1/1/1990,"",IF(Main[[#This Row],[Class]]="C",WORKDAY(Main[[#This Row],[Tech Start Date]],9),IF(Main[[#This Row],[Class]]="B", WORKDAY(Main[[#This Row],[Tech Start Date]],6),IF(Main[[#This Row],[Class]]="A",WORKDAY(Main[[#This Row],[Tech Start Date]],2),""))))</f>
        <v/>
      </c>
      <c r="N1172" s="75" t="str">
        <f>IF(Main[[#This Row],[Tech Start Date]]&lt;1/1/1990,"",IF(Main[[#This Row],[Class]]="C",WORKDAY(Main[[#This Row],[Tech Start Date]],19),IF(Main[[#This Row],[Class]]="B", WORKDAY(Main[[#This Row],[Tech Start Date]],12),IF(Main[[#This Row],[Class]]="A",WORKDAY(Main[[#This Row],[Tech Start Date]],4),""))))</f>
        <v/>
      </c>
      <c r="O1172" s="75" t="str">
        <f>IF(Main[[#This Row],[Tech Start Date]]&lt;1/1/1990,"",IF(Main[[#This Row],[Class]]="C",WORKDAY(Main[[#This Row],[Tech Start Date]],23),IF(Main[[#This Row],[Class]]="B", WORKDAY(Main[[#This Row],[Tech Start Date]],15),IF(Main[[#This Row],[Class]]="A",WORKDAY(Main[[#This Row],[Tech Start Date]],5),""))))</f>
        <v/>
      </c>
      <c r="P1172" s="75" t="str">
        <f>IF(Main[[#This Row],[Tech Start Date]]&lt;1/1/1990,"",IF(Main[[#This Row],[Class]]="C",WORKDAY(Main[[#This Row],[Tech Start Date]],28),IF(Main[[#This Row],[Class]]="B", WORKDAY(Main[[#This Row],[Tech Start Date]],19),IF(Main[[#This Row],[Class]]="A",WORKDAY(Main[[#This Row],[Tech Start Date]],9),""))))</f>
        <v/>
      </c>
      <c r="Q1172" s="89"/>
      <c r="R1172" s="121"/>
      <c r="S1172" s="99" t="s">
        <v>6</v>
      </c>
      <c r="T1172" s="76" t="s">
        <v>4</v>
      </c>
      <c r="U1172" s="99" t="s">
        <v>7</v>
      </c>
      <c r="V1172" s="99" t="s">
        <v>1913</v>
      </c>
      <c r="W1172" s="99" t="s">
        <v>1917</v>
      </c>
      <c r="X1172" s="99" t="s">
        <v>2873</v>
      </c>
      <c r="Y1172" s="73" t="s">
        <v>3021</v>
      </c>
      <c r="Z1172" s="73" t="s">
        <v>4</v>
      </c>
      <c r="AA1172" s="99" t="s">
        <v>2873</v>
      </c>
    </row>
    <row r="1173" spans="1:27" ht="17.25" customHeight="1">
      <c r="A1173" s="65" t="str">
        <f>IF(priority(Main[[#This Row],[Comments]])&lt;&gt;0, priority(Main[[#This Row],[Comments]]),"")</f>
        <v/>
      </c>
      <c r="B1173" s="60" t="s">
        <v>2733</v>
      </c>
      <c r="C1173" s="105" t="s">
        <v>4</v>
      </c>
      <c r="D1173" s="74" t="s">
        <v>3228</v>
      </c>
      <c r="E1173" s="89"/>
      <c r="F1173" s="89"/>
      <c r="G1173" s="65" t="str">
        <f>IF(stdProdLT(Main[[#This Row],[Comments]])=0.1,"N/A",IF(stdProdLT(Main[[#This Row],[Comments]])=0,"",TRIM(stdProdLT(Main[[#This Row],[Comments]]))))</f>
        <v/>
      </c>
      <c r="H1173" s="98" t="str">
        <f>IF(Main[[#This Row],[Std. Prod. Lead Time]]="N/A", "",IF(AND(Main[[#This Row],[In Stock Date]]&lt;&gt;"",Main[[#This Row],[Revised Due Date]]&lt;&gt;"",Main[[#This Row],[In Stock Date]]&lt;&gt;""),Main[[#This Row],[In Stock Date]]-Main[[#This Row],[Revised Due Date]],""))</f>
        <v/>
      </c>
      <c r="I1173" s="110" t="s">
        <v>2204</v>
      </c>
      <c r="J1173" s="99" t="s">
        <v>75</v>
      </c>
      <c r="K1173" s="99" t="s">
        <v>1922</v>
      </c>
      <c r="L1173" s="89"/>
      <c r="M1173" s="75" t="str">
        <f>IF(Main[[#This Row],[Tech Start Date]]&lt;1/1/1990,"",IF(Main[[#This Row],[Class]]="C",WORKDAY(Main[[#This Row],[Tech Start Date]],9),IF(Main[[#This Row],[Class]]="B", WORKDAY(Main[[#This Row],[Tech Start Date]],6),IF(Main[[#This Row],[Class]]="A",WORKDAY(Main[[#This Row],[Tech Start Date]],2),""))))</f>
        <v/>
      </c>
      <c r="N1173" s="75" t="str">
        <f>IF(Main[[#This Row],[Tech Start Date]]&lt;1/1/1990,"",IF(Main[[#This Row],[Class]]="C",WORKDAY(Main[[#This Row],[Tech Start Date]],19),IF(Main[[#This Row],[Class]]="B", WORKDAY(Main[[#This Row],[Tech Start Date]],12),IF(Main[[#This Row],[Class]]="A",WORKDAY(Main[[#This Row],[Tech Start Date]],4),""))))</f>
        <v/>
      </c>
      <c r="O1173" s="75" t="str">
        <f>IF(Main[[#This Row],[Tech Start Date]]&lt;1/1/1990,"",IF(Main[[#This Row],[Class]]="C",WORKDAY(Main[[#This Row],[Tech Start Date]],23),IF(Main[[#This Row],[Class]]="B", WORKDAY(Main[[#This Row],[Tech Start Date]],15),IF(Main[[#This Row],[Class]]="A",WORKDAY(Main[[#This Row],[Tech Start Date]],5),""))))</f>
        <v/>
      </c>
      <c r="P1173" s="75" t="str">
        <f>IF(Main[[#This Row],[Tech Start Date]]&lt;1/1/1990,"",IF(Main[[#This Row],[Class]]="C",WORKDAY(Main[[#This Row],[Tech Start Date]],28),IF(Main[[#This Row],[Class]]="B", WORKDAY(Main[[#This Row],[Tech Start Date]],19),IF(Main[[#This Row],[Class]]="A",WORKDAY(Main[[#This Row],[Tech Start Date]],9),""))))</f>
        <v/>
      </c>
      <c r="Q1173" s="89">
        <v>40935</v>
      </c>
      <c r="R1173" s="121"/>
      <c r="S1173" s="99" t="s">
        <v>6</v>
      </c>
      <c r="T1173" s="76" t="s">
        <v>4</v>
      </c>
      <c r="U1173" s="99" t="s">
        <v>14</v>
      </c>
      <c r="V1173" s="99" t="s">
        <v>1916</v>
      </c>
      <c r="W1173" s="99" t="s">
        <v>1917</v>
      </c>
      <c r="X1173" s="99" t="s">
        <v>2813</v>
      </c>
      <c r="Y1173" s="73" t="s">
        <v>2926</v>
      </c>
      <c r="Z1173" s="73" t="s">
        <v>30</v>
      </c>
      <c r="AA1173" s="99" t="s">
        <v>2813</v>
      </c>
    </row>
    <row r="1174" spans="1:27" ht="17.25" customHeight="1">
      <c r="A1174" s="65" t="str">
        <f>IF(priority(Main[[#This Row],[Comments]])&lt;&gt;0, priority(Main[[#This Row],[Comments]]),"")</f>
        <v/>
      </c>
      <c r="B1174" s="60" t="s">
        <v>4011</v>
      </c>
      <c r="C1174" s="105" t="s">
        <v>4012</v>
      </c>
      <c r="D1174" s="74" t="s">
        <v>4013</v>
      </c>
      <c r="E1174" s="89">
        <v>40969.652303240742</v>
      </c>
      <c r="F1174" s="89">
        <v>40976</v>
      </c>
      <c r="G1174" s="65" t="str">
        <f>IF(stdProdLT(Main[[#This Row],[Comments]])=0.1,"N/A",IF(stdProdLT(Main[[#This Row],[Comments]])=0,"",TRIM(stdProdLT(Main[[#This Row],[Comments]]))))</f>
        <v/>
      </c>
      <c r="H1174" s="98" t="str">
        <f>IF(Main[[#This Row],[Std. Prod. Lead Time]]="N/A", "",IF(AND(Main[[#This Row],[In Stock Date]]&lt;&gt;"",Main[[#This Row],[Revised Due Date]]&lt;&gt;"",Main[[#This Row],[In Stock Date]]&lt;&gt;""),Main[[#This Row],[In Stock Date]]-Main[[#This Row],[Revised Due Date]],""))</f>
        <v/>
      </c>
      <c r="I1174" s="110" t="s">
        <v>4</v>
      </c>
      <c r="J1174" s="99" t="s">
        <v>4</v>
      </c>
      <c r="K1174" s="99" t="s">
        <v>4</v>
      </c>
      <c r="L1174" s="89"/>
      <c r="M1174" s="75" t="str">
        <f>IF(Main[[#This Row],[Tech Start Date]]&lt;1/1/1990,"",IF(Main[[#This Row],[Class]]="C",WORKDAY(Main[[#This Row],[Tech Start Date]],9),IF(Main[[#This Row],[Class]]="B", WORKDAY(Main[[#This Row],[Tech Start Date]],6),IF(Main[[#This Row],[Class]]="A",WORKDAY(Main[[#This Row],[Tech Start Date]],2),""))))</f>
        <v/>
      </c>
      <c r="N1174" s="75" t="str">
        <f>IF(Main[[#This Row],[Tech Start Date]]&lt;1/1/1990,"",IF(Main[[#This Row],[Class]]="C",WORKDAY(Main[[#This Row],[Tech Start Date]],19),IF(Main[[#This Row],[Class]]="B", WORKDAY(Main[[#This Row],[Tech Start Date]],12),IF(Main[[#This Row],[Class]]="A",WORKDAY(Main[[#This Row],[Tech Start Date]],4),""))))</f>
        <v/>
      </c>
      <c r="O1174" s="75" t="str">
        <f>IF(Main[[#This Row],[Tech Start Date]]&lt;1/1/1990,"",IF(Main[[#This Row],[Class]]="C",WORKDAY(Main[[#This Row],[Tech Start Date]],23),IF(Main[[#This Row],[Class]]="B", WORKDAY(Main[[#This Row],[Tech Start Date]],15),IF(Main[[#This Row],[Class]]="A",WORKDAY(Main[[#This Row],[Tech Start Date]],5),""))))</f>
        <v/>
      </c>
      <c r="P1174" s="75" t="str">
        <f>IF(Main[[#This Row],[Tech Start Date]]&lt;1/1/1990,"",IF(Main[[#This Row],[Class]]="C",WORKDAY(Main[[#This Row],[Tech Start Date]],28),IF(Main[[#This Row],[Class]]="B", WORKDAY(Main[[#This Row],[Tech Start Date]],19),IF(Main[[#This Row],[Class]]="A",WORKDAY(Main[[#This Row],[Tech Start Date]],9),""))))</f>
        <v/>
      </c>
      <c r="Q1174" s="89"/>
      <c r="R1174" s="121"/>
      <c r="S1174" s="99" t="s">
        <v>11</v>
      </c>
      <c r="T1174" s="76" t="s">
        <v>4</v>
      </c>
      <c r="U1174" s="99" t="s">
        <v>7</v>
      </c>
      <c r="V1174" s="99" t="s">
        <v>1923</v>
      </c>
      <c r="W1174" s="99" t="s">
        <v>1921</v>
      </c>
      <c r="X1174" s="99" t="s">
        <v>2879</v>
      </c>
      <c r="Y1174" s="73" t="s">
        <v>3035</v>
      </c>
      <c r="Z1174" s="73" t="s">
        <v>4</v>
      </c>
      <c r="AA1174" s="99" t="s">
        <v>2879</v>
      </c>
    </row>
    <row r="1175" spans="1:27" ht="17.25" customHeight="1">
      <c r="A1175" s="65" t="str">
        <f>IF(priority(Main[[#This Row],[Comments]])&lt;&gt;0, priority(Main[[#This Row],[Comments]]),"")</f>
        <v/>
      </c>
      <c r="B1175" s="60" t="s">
        <v>2377</v>
      </c>
      <c r="C1175" s="105" t="s">
        <v>72</v>
      </c>
      <c r="D1175" s="74" t="s">
        <v>2378</v>
      </c>
      <c r="E1175" s="89">
        <v>40856.064849537041</v>
      </c>
      <c r="F1175" s="89"/>
      <c r="G1175" s="65" t="str">
        <f>IF(stdProdLT(Main[[#This Row],[Comments]])=0.1,"N/A",IF(stdProdLT(Main[[#This Row],[Comments]])=0,"",TRIM(stdProdLT(Main[[#This Row],[Comments]]))))</f>
        <v/>
      </c>
      <c r="H1175" s="98" t="str">
        <f>IF(Main[[#This Row],[Std. Prod. Lead Time]]="N/A", "",IF(AND(Main[[#This Row],[In Stock Date]]&lt;&gt;"",Main[[#This Row],[Revised Due Date]]&lt;&gt;"",Main[[#This Row],[In Stock Date]]&lt;&gt;""),Main[[#This Row],[In Stock Date]]-Main[[#This Row],[Revised Due Date]],""))</f>
        <v/>
      </c>
      <c r="I1175" s="110" t="s">
        <v>4</v>
      </c>
      <c r="J1175" s="99" t="s">
        <v>4</v>
      </c>
      <c r="K1175" s="99" t="s">
        <v>4</v>
      </c>
      <c r="L1175" s="89"/>
      <c r="M1175" s="75" t="str">
        <f>IF(Main[[#This Row],[Tech Start Date]]&lt;1/1/1990,"",IF(Main[[#This Row],[Class]]="C",WORKDAY(Main[[#This Row],[Tech Start Date]],9),IF(Main[[#This Row],[Class]]="B", WORKDAY(Main[[#This Row],[Tech Start Date]],6),IF(Main[[#This Row],[Class]]="A",WORKDAY(Main[[#This Row],[Tech Start Date]],2),""))))</f>
        <v/>
      </c>
      <c r="N1175" s="75" t="str">
        <f>IF(Main[[#This Row],[Tech Start Date]]&lt;1/1/1990,"",IF(Main[[#This Row],[Class]]="C",WORKDAY(Main[[#This Row],[Tech Start Date]],19),IF(Main[[#This Row],[Class]]="B", WORKDAY(Main[[#This Row],[Tech Start Date]],12),IF(Main[[#This Row],[Class]]="A",WORKDAY(Main[[#This Row],[Tech Start Date]],4),""))))</f>
        <v/>
      </c>
      <c r="O1175" s="75" t="str">
        <f>IF(Main[[#This Row],[Tech Start Date]]&lt;1/1/1990,"",IF(Main[[#This Row],[Class]]="C",WORKDAY(Main[[#This Row],[Tech Start Date]],23),IF(Main[[#This Row],[Class]]="B", WORKDAY(Main[[#This Row],[Tech Start Date]],15),IF(Main[[#This Row],[Class]]="A",WORKDAY(Main[[#This Row],[Tech Start Date]],5),""))))</f>
        <v/>
      </c>
      <c r="P1175" s="75" t="str">
        <f>IF(Main[[#This Row],[Tech Start Date]]&lt;1/1/1990,"",IF(Main[[#This Row],[Class]]="C",WORKDAY(Main[[#This Row],[Tech Start Date]],28),IF(Main[[#This Row],[Class]]="B", WORKDAY(Main[[#This Row],[Tech Start Date]],19),IF(Main[[#This Row],[Class]]="A",WORKDAY(Main[[#This Row],[Tech Start Date]],9),""))))</f>
        <v/>
      </c>
      <c r="Q1175" s="89"/>
      <c r="R1175" s="121"/>
      <c r="S1175" s="99" t="s">
        <v>17</v>
      </c>
      <c r="T1175" s="76" t="s">
        <v>4</v>
      </c>
      <c r="U1175" s="99" t="s">
        <v>7</v>
      </c>
      <c r="V1175" s="99" t="s">
        <v>1914</v>
      </c>
      <c r="W1175" s="99" t="s">
        <v>1915</v>
      </c>
      <c r="X1175" s="99" t="s">
        <v>2884</v>
      </c>
      <c r="Y1175" s="73" t="s">
        <v>3041</v>
      </c>
      <c r="Z1175" s="73" t="s">
        <v>4</v>
      </c>
      <c r="AA1175" s="99" t="s">
        <v>2884</v>
      </c>
    </row>
    <row r="1176" spans="1:27" ht="17.25" customHeight="1">
      <c r="A1176" s="125" t="str">
        <f>IF(priority(Main[[#This Row],[Comments]])&lt;&gt;0, priority(Main[[#This Row],[Comments]]),"")</f>
        <v/>
      </c>
      <c r="B1176" s="126" t="s">
        <v>2462</v>
      </c>
      <c r="C1176" s="127" t="s">
        <v>47</v>
      </c>
      <c r="D1176" s="128" t="s">
        <v>2463</v>
      </c>
      <c r="E1176" s="129">
        <v>40847.703182870369</v>
      </c>
      <c r="F1176" s="129"/>
      <c r="G1176" s="125" t="str">
        <f>IF(stdProdLT(Main[[#This Row],[Comments]])=0.1,"N/A",IF(stdProdLT(Main[[#This Row],[Comments]])=0,"",TRIM(stdProdLT(Main[[#This Row],[Comments]]))))</f>
        <v/>
      </c>
      <c r="H1176" s="130" t="str">
        <f>IF(Main[[#This Row],[Std. Prod. Lead Time]]="N/A", "",IF(AND(Main[[#This Row],[In Stock Date]]&lt;&gt;"",Main[[#This Row],[Revised Due Date]]&lt;&gt;"",Main[[#This Row],[In Stock Date]]&lt;&gt;""),Main[[#This Row],[In Stock Date]]-Main[[#This Row],[Revised Due Date]],""))</f>
        <v/>
      </c>
      <c r="I1176" s="131" t="s">
        <v>69</v>
      </c>
      <c r="J1176" s="132" t="s">
        <v>28</v>
      </c>
      <c r="K1176" s="132" t="s">
        <v>1922</v>
      </c>
      <c r="L1176" s="129"/>
      <c r="M1176" s="133" t="str">
        <f>IF(Main[[#This Row],[Tech Start Date]]&lt;1/1/1990,"",IF(Main[[#This Row],[Class]]="C",WORKDAY(Main[[#This Row],[Tech Start Date]],9),IF(Main[[#This Row],[Class]]="B", WORKDAY(Main[[#This Row],[Tech Start Date]],6),IF(Main[[#This Row],[Class]]="A",WORKDAY(Main[[#This Row],[Tech Start Date]],2),""))))</f>
        <v/>
      </c>
      <c r="N1176" s="133" t="str">
        <f>IF(Main[[#This Row],[Tech Start Date]]&lt;1/1/1990,"",IF(Main[[#This Row],[Class]]="C",WORKDAY(Main[[#This Row],[Tech Start Date]],19),IF(Main[[#This Row],[Class]]="B", WORKDAY(Main[[#This Row],[Tech Start Date]],12),IF(Main[[#This Row],[Class]]="A",WORKDAY(Main[[#This Row],[Tech Start Date]],4),""))))</f>
        <v/>
      </c>
      <c r="O1176" s="133" t="str">
        <f>IF(Main[[#This Row],[Tech Start Date]]&lt;1/1/1990,"",IF(Main[[#This Row],[Class]]="C",WORKDAY(Main[[#This Row],[Tech Start Date]],23),IF(Main[[#This Row],[Class]]="B", WORKDAY(Main[[#This Row],[Tech Start Date]],15),IF(Main[[#This Row],[Class]]="A",WORKDAY(Main[[#This Row],[Tech Start Date]],5),""))))</f>
        <v/>
      </c>
      <c r="P1176" s="133" t="str">
        <f>IF(Main[[#This Row],[Tech Start Date]]&lt;1/1/1990,"",IF(Main[[#This Row],[Class]]="C",WORKDAY(Main[[#This Row],[Tech Start Date]],28),IF(Main[[#This Row],[Class]]="B", WORKDAY(Main[[#This Row],[Tech Start Date]],19),IF(Main[[#This Row],[Class]]="A",WORKDAY(Main[[#This Row],[Tech Start Date]],9),""))))</f>
        <v/>
      </c>
      <c r="Q1176" s="129">
        <v>40862</v>
      </c>
      <c r="R1176" s="134"/>
      <c r="S1176" s="132" t="s">
        <v>6</v>
      </c>
      <c r="T1176" s="135" t="s">
        <v>4</v>
      </c>
      <c r="U1176" s="132" t="s">
        <v>29</v>
      </c>
      <c r="V1176" s="132" t="s">
        <v>1916</v>
      </c>
      <c r="W1176" s="132" t="s">
        <v>1917</v>
      </c>
      <c r="X1176" s="132" t="s">
        <v>2859</v>
      </c>
      <c r="Y1176" s="136" t="s">
        <v>3004</v>
      </c>
      <c r="Z1176" s="136" t="s">
        <v>30</v>
      </c>
      <c r="AA1176" s="132" t="s">
        <v>2859</v>
      </c>
    </row>
    <row r="1177" spans="1:27" ht="17.25" customHeight="1">
      <c r="A1177" s="65" t="str">
        <f>IF(priority(Main[[#This Row],[Comments]])&lt;&gt;0, priority(Main[[#This Row],[Comments]]),"")</f>
        <v/>
      </c>
      <c r="B1177" s="60" t="s">
        <v>3644</v>
      </c>
      <c r="C1177" s="105" t="s">
        <v>3645</v>
      </c>
      <c r="D1177" s="74" t="s">
        <v>3646</v>
      </c>
      <c r="E1177" s="89">
        <v>40954.604432870372</v>
      </c>
      <c r="F1177" s="89"/>
      <c r="G1177" s="65" t="str">
        <f>IF(stdProdLT(Main[[#This Row],[Comments]])=0.1,"N/A",IF(stdProdLT(Main[[#This Row],[Comments]])=0,"",TRIM(stdProdLT(Main[[#This Row],[Comments]]))))</f>
        <v/>
      </c>
      <c r="H1177" s="98" t="str">
        <f>IF(Main[[#This Row],[Std. Prod. Lead Time]]="N/A", "",IF(AND(Main[[#This Row],[In Stock Date]]&lt;&gt;"",Main[[#This Row],[Revised Due Date]]&lt;&gt;"",Main[[#This Row],[In Stock Date]]&lt;&gt;""),Main[[#This Row],[In Stock Date]]-Main[[#This Row],[Revised Due Date]],""))</f>
        <v/>
      </c>
      <c r="I1177" s="110" t="s">
        <v>940</v>
      </c>
      <c r="J1177" s="99" t="s">
        <v>28</v>
      </c>
      <c r="K1177" s="99" t="s">
        <v>1926</v>
      </c>
      <c r="L1177" s="89"/>
      <c r="M1177" s="75" t="str">
        <f>IF(Main[[#This Row],[Tech Start Date]]&lt;1/1/1990,"",IF(Main[[#This Row],[Class]]="C",WORKDAY(Main[[#This Row],[Tech Start Date]],9),IF(Main[[#This Row],[Class]]="B", WORKDAY(Main[[#This Row],[Tech Start Date]],6),IF(Main[[#This Row],[Class]]="A",WORKDAY(Main[[#This Row],[Tech Start Date]],2),""))))</f>
        <v/>
      </c>
      <c r="N1177" s="75" t="str">
        <f>IF(Main[[#This Row],[Tech Start Date]]&lt;1/1/1990,"",IF(Main[[#This Row],[Class]]="C",WORKDAY(Main[[#This Row],[Tech Start Date]],19),IF(Main[[#This Row],[Class]]="B", WORKDAY(Main[[#This Row],[Tech Start Date]],12),IF(Main[[#This Row],[Class]]="A",WORKDAY(Main[[#This Row],[Tech Start Date]],4),""))))</f>
        <v/>
      </c>
      <c r="O1177" s="75" t="str">
        <f>IF(Main[[#This Row],[Tech Start Date]]&lt;1/1/1990,"",IF(Main[[#This Row],[Class]]="C",WORKDAY(Main[[#This Row],[Tech Start Date]],23),IF(Main[[#This Row],[Class]]="B", WORKDAY(Main[[#This Row],[Tech Start Date]],15),IF(Main[[#This Row],[Class]]="A",WORKDAY(Main[[#This Row],[Tech Start Date]],5),""))))</f>
        <v/>
      </c>
      <c r="P1177" s="75" t="str">
        <f>IF(Main[[#This Row],[Tech Start Date]]&lt;1/1/1990,"",IF(Main[[#This Row],[Class]]="C",WORKDAY(Main[[#This Row],[Tech Start Date]],28),IF(Main[[#This Row],[Class]]="B", WORKDAY(Main[[#This Row],[Tech Start Date]],19),IF(Main[[#This Row],[Class]]="A",WORKDAY(Main[[#This Row],[Tech Start Date]],9),""))))</f>
        <v/>
      </c>
      <c r="Q1177" s="89">
        <v>40968</v>
      </c>
      <c r="R1177" s="121"/>
      <c r="S1177" s="99" t="s">
        <v>11</v>
      </c>
      <c r="T1177" s="76" t="s">
        <v>4</v>
      </c>
      <c r="U1177" s="99" t="s">
        <v>7</v>
      </c>
      <c r="V1177" s="99" t="s">
        <v>1914</v>
      </c>
      <c r="W1177" s="99" t="s">
        <v>1915</v>
      </c>
      <c r="X1177" s="99" t="s">
        <v>2856</v>
      </c>
      <c r="Y1177" s="73" t="s">
        <v>4</v>
      </c>
      <c r="Z1177" s="73" t="s">
        <v>2049</v>
      </c>
      <c r="AA1177" s="99" t="s">
        <v>4</v>
      </c>
    </row>
    <row r="1178" spans="1:27" ht="17.25" customHeight="1">
      <c r="A1178" s="65" t="str">
        <f>IF(priority(Main[[#This Row],[Comments]])&lt;&gt;0, priority(Main[[#This Row],[Comments]]),"")</f>
        <v/>
      </c>
      <c r="B1178" s="60" t="s">
        <v>1874</v>
      </c>
      <c r="C1178" s="105" t="s">
        <v>99</v>
      </c>
      <c r="D1178" s="74" t="s">
        <v>928</v>
      </c>
      <c r="E1178" s="89"/>
      <c r="F1178" s="89">
        <v>40644</v>
      </c>
      <c r="G1178" s="65" t="str">
        <f>IF(stdProdLT(Main[[#This Row],[Comments]])=0.1,"N/A",IF(stdProdLT(Main[[#This Row],[Comments]])=0,"",TRIM(stdProdLT(Main[[#This Row],[Comments]]))))</f>
        <v/>
      </c>
      <c r="H1178" s="98">
        <f>IF(Main[[#This Row],[Std. Prod. Lead Time]]="N/A", "",IF(AND(Main[[#This Row],[In Stock Date]]&lt;&gt;"",Main[[#This Row],[Revised Due Date]]&lt;&gt;"",Main[[#This Row],[In Stock Date]]&lt;&gt;""),Main[[#This Row],[In Stock Date]]-Main[[#This Row],[Revised Due Date]],""))</f>
        <v>-19</v>
      </c>
      <c r="I1178" s="110" t="s">
        <v>4</v>
      </c>
      <c r="J1178" s="99" t="s">
        <v>21</v>
      </c>
      <c r="K1178" s="100" t="s">
        <v>1925</v>
      </c>
      <c r="L1178" s="89"/>
      <c r="M1178" s="75" t="str">
        <f>IF(Main[[#This Row],[Tech Start Date]]&lt;1/1/1990,"",IF(Main[[#This Row],[Class]]="C",WORKDAY(Main[[#This Row],[Tech Start Date]],9),IF(Main[[#This Row],[Class]]="B", WORKDAY(Main[[#This Row],[Tech Start Date]],6),IF(Main[[#This Row],[Class]]="A",WORKDAY(Main[[#This Row],[Tech Start Date]],2),""))))</f>
        <v/>
      </c>
      <c r="N1178" s="75" t="str">
        <f>IF(Main[[#This Row],[Tech Start Date]]&lt;1/1/1990,"",IF(Main[[#This Row],[Class]]="C",WORKDAY(Main[[#This Row],[Tech Start Date]],19),IF(Main[[#This Row],[Class]]="B", WORKDAY(Main[[#This Row],[Tech Start Date]],12),IF(Main[[#This Row],[Class]]="A",WORKDAY(Main[[#This Row],[Tech Start Date]],4),""))))</f>
        <v/>
      </c>
      <c r="O1178" s="75" t="str">
        <f>IF(Main[[#This Row],[Tech Start Date]]&lt;1/1/1990,"",IF(Main[[#This Row],[Class]]="C",WORKDAY(Main[[#This Row],[Tech Start Date]],23),IF(Main[[#This Row],[Class]]="B", WORKDAY(Main[[#This Row],[Tech Start Date]],15),IF(Main[[#This Row],[Class]]="A",WORKDAY(Main[[#This Row],[Tech Start Date]],5),""))))</f>
        <v/>
      </c>
      <c r="P1178" s="75" t="str">
        <f>IF(Main[[#This Row],[Tech Start Date]]&lt;1/1/1990,"",IF(Main[[#This Row],[Class]]="C",WORKDAY(Main[[#This Row],[Tech Start Date]],28),IF(Main[[#This Row],[Class]]="B", WORKDAY(Main[[#This Row],[Tech Start Date]],19),IF(Main[[#This Row],[Class]]="A",WORKDAY(Main[[#This Row],[Tech Start Date]],9),""))))</f>
        <v/>
      </c>
      <c r="Q1178" s="89">
        <v>40663</v>
      </c>
      <c r="R1178" s="121">
        <v>40663</v>
      </c>
      <c r="S1178" s="99" t="s">
        <v>11</v>
      </c>
      <c r="T1178" s="76" t="s">
        <v>4</v>
      </c>
      <c r="U1178" s="99" t="s">
        <v>14</v>
      </c>
      <c r="V1178" s="99" t="s">
        <v>1913</v>
      </c>
      <c r="W1178" s="99" t="s">
        <v>1918</v>
      </c>
      <c r="X1178" s="99" t="s">
        <v>2831</v>
      </c>
      <c r="Y1178" s="73" t="s">
        <v>2960</v>
      </c>
      <c r="Z1178" s="73" t="s">
        <v>129</v>
      </c>
      <c r="AA1178" s="99" t="s">
        <v>2828</v>
      </c>
    </row>
    <row r="1179" spans="1:27" ht="17.25" customHeight="1">
      <c r="A1179" s="65" t="str">
        <f>IF(priority(Main[[#This Row],[Comments]])&lt;&gt;0, priority(Main[[#This Row],[Comments]]),"")</f>
        <v/>
      </c>
      <c r="B1179" s="60" t="s">
        <v>1869</v>
      </c>
      <c r="C1179" s="105" t="s">
        <v>4</v>
      </c>
      <c r="D1179" s="74" t="s">
        <v>3647</v>
      </c>
      <c r="E1179" s="89">
        <v>40352.443437499998</v>
      </c>
      <c r="F1179" s="89"/>
      <c r="G1179" s="65" t="str">
        <f>IF(stdProdLT(Main[[#This Row],[Comments]])=0.1,"N/A",IF(stdProdLT(Main[[#This Row],[Comments]])=0,"",TRIM(stdProdLT(Main[[#This Row],[Comments]]))))</f>
        <v/>
      </c>
      <c r="H1179" s="98" t="str">
        <f>IF(Main[[#This Row],[Std. Prod. Lead Time]]="N/A", "",IF(AND(Main[[#This Row],[In Stock Date]]&lt;&gt;"",Main[[#This Row],[Revised Due Date]]&lt;&gt;"",Main[[#This Row],[In Stock Date]]&lt;&gt;""),Main[[#This Row],[In Stock Date]]-Main[[#This Row],[Revised Due Date]],""))</f>
        <v/>
      </c>
      <c r="I1179" s="110" t="s">
        <v>2622</v>
      </c>
      <c r="J1179" s="99" t="s">
        <v>28</v>
      </c>
      <c r="K1179" s="100" t="s">
        <v>1925</v>
      </c>
      <c r="L1179" s="89"/>
      <c r="M1179" s="75" t="str">
        <f>IF(Main[[#This Row],[Tech Start Date]]&lt;1/1/1990,"",IF(Main[[#This Row],[Class]]="C",WORKDAY(Main[[#This Row],[Tech Start Date]],9),IF(Main[[#This Row],[Class]]="B", WORKDAY(Main[[#This Row],[Tech Start Date]],6),IF(Main[[#This Row],[Class]]="A",WORKDAY(Main[[#This Row],[Tech Start Date]],2),""))))</f>
        <v/>
      </c>
      <c r="N1179" s="75" t="str">
        <f>IF(Main[[#This Row],[Tech Start Date]]&lt;1/1/1990,"",IF(Main[[#This Row],[Class]]="C",WORKDAY(Main[[#This Row],[Tech Start Date]],19),IF(Main[[#This Row],[Class]]="B", WORKDAY(Main[[#This Row],[Tech Start Date]],12),IF(Main[[#This Row],[Class]]="A",WORKDAY(Main[[#This Row],[Tech Start Date]],4),""))))</f>
        <v/>
      </c>
      <c r="O1179" s="75" t="str">
        <f>IF(Main[[#This Row],[Tech Start Date]]&lt;1/1/1990,"",IF(Main[[#This Row],[Class]]="C",WORKDAY(Main[[#This Row],[Tech Start Date]],23),IF(Main[[#This Row],[Class]]="B", WORKDAY(Main[[#This Row],[Tech Start Date]],15),IF(Main[[#This Row],[Class]]="A",WORKDAY(Main[[#This Row],[Tech Start Date]],5),""))))</f>
        <v/>
      </c>
      <c r="P1179" s="75" t="str">
        <f>IF(Main[[#This Row],[Tech Start Date]]&lt;1/1/1990,"",IF(Main[[#This Row],[Class]]="C",WORKDAY(Main[[#This Row],[Tech Start Date]],28),IF(Main[[#This Row],[Class]]="B", WORKDAY(Main[[#This Row],[Tech Start Date]],19),IF(Main[[#This Row],[Class]]="A",WORKDAY(Main[[#This Row],[Tech Start Date]],9),""))))</f>
        <v/>
      </c>
      <c r="Q1179" s="89">
        <v>40633</v>
      </c>
      <c r="R1179" s="121">
        <v>41060</v>
      </c>
      <c r="S1179" s="99" t="s">
        <v>17</v>
      </c>
      <c r="T1179" s="76" t="s">
        <v>2461</v>
      </c>
      <c r="U1179" s="99" t="s">
        <v>29</v>
      </c>
      <c r="V1179" s="99" t="s">
        <v>1913</v>
      </c>
      <c r="W1179" s="99" t="s">
        <v>1918</v>
      </c>
      <c r="X1179" s="99" t="s">
        <v>129</v>
      </c>
      <c r="Y1179" s="73" t="s">
        <v>2927</v>
      </c>
      <c r="Z1179" s="73" t="s">
        <v>129</v>
      </c>
      <c r="AA1179" s="99" t="s">
        <v>129</v>
      </c>
    </row>
    <row r="1180" spans="1:27" ht="17.25" customHeight="1">
      <c r="A1180" s="65" t="str">
        <f>IF(priority(Main[[#This Row],[Comments]])&lt;&gt;0, priority(Main[[#This Row],[Comments]]),"")</f>
        <v/>
      </c>
      <c r="B1180" s="60" t="s">
        <v>2518</v>
      </c>
      <c r="C1180" s="105" t="s">
        <v>4</v>
      </c>
      <c r="D1180" s="74" t="s">
        <v>2519</v>
      </c>
      <c r="E1180" s="89"/>
      <c r="F1180" s="89"/>
      <c r="G1180" s="65" t="str">
        <f>IF(stdProdLT(Main[[#This Row],[Comments]])=0.1,"N/A",IF(stdProdLT(Main[[#This Row],[Comments]])=0,"",TRIM(stdProdLT(Main[[#This Row],[Comments]]))))</f>
        <v/>
      </c>
      <c r="H1180" s="98" t="str">
        <f>IF(Main[[#This Row],[Std. Prod. Lead Time]]="N/A", "",IF(AND(Main[[#This Row],[In Stock Date]]&lt;&gt;"",Main[[#This Row],[Revised Due Date]]&lt;&gt;"",Main[[#This Row],[In Stock Date]]&lt;&gt;""),Main[[#This Row],[In Stock Date]]-Main[[#This Row],[Revised Due Date]],""))</f>
        <v/>
      </c>
      <c r="I1180" s="110" t="s">
        <v>4</v>
      </c>
      <c r="J1180" s="99" t="s">
        <v>4</v>
      </c>
      <c r="K1180" s="100" t="s">
        <v>4</v>
      </c>
      <c r="L1180" s="89"/>
      <c r="M1180" s="75" t="str">
        <f>IF(Main[[#This Row],[Tech Start Date]]&lt;1/1/1990,"",IF(Main[[#This Row],[Class]]="C",WORKDAY(Main[[#This Row],[Tech Start Date]],9),IF(Main[[#This Row],[Class]]="B", WORKDAY(Main[[#This Row],[Tech Start Date]],6),IF(Main[[#This Row],[Class]]="A",WORKDAY(Main[[#This Row],[Tech Start Date]],2),""))))</f>
        <v/>
      </c>
      <c r="N1180" s="75" t="str">
        <f>IF(Main[[#This Row],[Tech Start Date]]&lt;1/1/1990,"",IF(Main[[#This Row],[Class]]="C",WORKDAY(Main[[#This Row],[Tech Start Date]],19),IF(Main[[#This Row],[Class]]="B", WORKDAY(Main[[#This Row],[Tech Start Date]],12),IF(Main[[#This Row],[Class]]="A",WORKDAY(Main[[#This Row],[Tech Start Date]],4),""))))</f>
        <v/>
      </c>
      <c r="O1180" s="75" t="str">
        <f>IF(Main[[#This Row],[Tech Start Date]]&lt;1/1/1990,"",IF(Main[[#This Row],[Class]]="C",WORKDAY(Main[[#This Row],[Tech Start Date]],23),IF(Main[[#This Row],[Class]]="B", WORKDAY(Main[[#This Row],[Tech Start Date]],15),IF(Main[[#This Row],[Class]]="A",WORKDAY(Main[[#This Row],[Tech Start Date]],5),""))))</f>
        <v/>
      </c>
      <c r="P1180" s="75" t="str">
        <f>IF(Main[[#This Row],[Tech Start Date]]&lt;1/1/1990,"",IF(Main[[#This Row],[Class]]="C",WORKDAY(Main[[#This Row],[Tech Start Date]],28),IF(Main[[#This Row],[Class]]="B", WORKDAY(Main[[#This Row],[Tech Start Date]],19),IF(Main[[#This Row],[Class]]="A",WORKDAY(Main[[#This Row],[Tech Start Date]],9),""))))</f>
        <v/>
      </c>
      <c r="Q1180" s="89">
        <v>40858</v>
      </c>
      <c r="R1180" s="121"/>
      <c r="S1180" s="99" t="s">
        <v>6</v>
      </c>
      <c r="T1180" s="76" t="s">
        <v>4</v>
      </c>
      <c r="U1180" s="99" t="s">
        <v>14</v>
      </c>
      <c r="V1180" s="99" t="s">
        <v>1916</v>
      </c>
      <c r="W1180" s="99" t="s">
        <v>4</v>
      </c>
      <c r="X1180" s="99" t="s">
        <v>2813</v>
      </c>
      <c r="Y1180" s="73" t="s">
        <v>2926</v>
      </c>
      <c r="Z1180" s="73" t="s">
        <v>4</v>
      </c>
      <c r="AA1180" s="99" t="s">
        <v>2813</v>
      </c>
    </row>
    <row r="1181" spans="1:27" ht="17.25" customHeight="1">
      <c r="A1181" s="65" t="str">
        <f>IF(priority(Main[[#This Row],[Comments]])&lt;&gt;0, priority(Main[[#This Row],[Comments]]),"")</f>
        <v/>
      </c>
      <c r="B1181" s="60" t="s">
        <v>2522</v>
      </c>
      <c r="C1181" s="105" t="s">
        <v>4</v>
      </c>
      <c r="D1181" s="74" t="s">
        <v>2523</v>
      </c>
      <c r="E1181" s="89"/>
      <c r="F1181" s="89"/>
      <c r="G1181" s="65" t="str">
        <f>IF(stdProdLT(Main[[#This Row],[Comments]])=0.1,"N/A",IF(stdProdLT(Main[[#This Row],[Comments]])=0,"",TRIM(stdProdLT(Main[[#This Row],[Comments]]))))</f>
        <v/>
      </c>
      <c r="H1181" s="98" t="str">
        <f>IF(Main[[#This Row],[Std. Prod. Lead Time]]="N/A", "",IF(AND(Main[[#This Row],[In Stock Date]]&lt;&gt;"",Main[[#This Row],[Revised Due Date]]&lt;&gt;"",Main[[#This Row],[In Stock Date]]&lt;&gt;""),Main[[#This Row],[In Stock Date]]-Main[[#This Row],[Revised Due Date]],""))</f>
        <v/>
      </c>
      <c r="I1181" s="110" t="s">
        <v>4</v>
      </c>
      <c r="J1181" s="99" t="s">
        <v>4</v>
      </c>
      <c r="K1181" s="99" t="s">
        <v>4</v>
      </c>
      <c r="L1181" s="89"/>
      <c r="M1181" s="75" t="str">
        <f>IF(Main[[#This Row],[Tech Start Date]]&lt;1/1/1990,"",IF(Main[[#This Row],[Class]]="C",WORKDAY(Main[[#This Row],[Tech Start Date]],9),IF(Main[[#This Row],[Class]]="B", WORKDAY(Main[[#This Row],[Tech Start Date]],6),IF(Main[[#This Row],[Class]]="A",WORKDAY(Main[[#This Row],[Tech Start Date]],2),""))))</f>
        <v/>
      </c>
      <c r="N1181" s="75" t="str">
        <f>IF(Main[[#This Row],[Tech Start Date]]&lt;1/1/1990,"",IF(Main[[#This Row],[Class]]="C",WORKDAY(Main[[#This Row],[Tech Start Date]],19),IF(Main[[#This Row],[Class]]="B", WORKDAY(Main[[#This Row],[Tech Start Date]],12),IF(Main[[#This Row],[Class]]="A",WORKDAY(Main[[#This Row],[Tech Start Date]],4),""))))</f>
        <v/>
      </c>
      <c r="O1181" s="75" t="str">
        <f>IF(Main[[#This Row],[Tech Start Date]]&lt;1/1/1990,"",IF(Main[[#This Row],[Class]]="C",WORKDAY(Main[[#This Row],[Tech Start Date]],23),IF(Main[[#This Row],[Class]]="B", WORKDAY(Main[[#This Row],[Tech Start Date]],15),IF(Main[[#This Row],[Class]]="A",WORKDAY(Main[[#This Row],[Tech Start Date]],5),""))))</f>
        <v/>
      </c>
      <c r="P1181" s="75" t="str">
        <f>IF(Main[[#This Row],[Tech Start Date]]&lt;1/1/1990,"",IF(Main[[#This Row],[Class]]="C",WORKDAY(Main[[#This Row],[Tech Start Date]],28),IF(Main[[#This Row],[Class]]="B", WORKDAY(Main[[#This Row],[Tech Start Date]],19),IF(Main[[#This Row],[Class]]="A",WORKDAY(Main[[#This Row],[Tech Start Date]],9),""))))</f>
        <v/>
      </c>
      <c r="Q1181" s="89"/>
      <c r="R1181" s="121"/>
      <c r="S1181" s="99" t="s">
        <v>11</v>
      </c>
      <c r="T1181" s="76" t="s">
        <v>4</v>
      </c>
      <c r="U1181" s="99" t="s">
        <v>14</v>
      </c>
      <c r="V1181" s="99" t="s">
        <v>1914</v>
      </c>
      <c r="W1181" s="99" t="s">
        <v>4</v>
      </c>
      <c r="X1181" s="99" t="s">
        <v>2245</v>
      </c>
      <c r="Y1181" s="73" t="s">
        <v>4</v>
      </c>
      <c r="Z1181" s="73" t="s">
        <v>4</v>
      </c>
      <c r="AA1181" s="99" t="s">
        <v>4</v>
      </c>
    </row>
    <row r="1182" spans="1:27" ht="17.25" customHeight="1">
      <c r="A1182" s="65" t="str">
        <f>IF(priority(Main[[#This Row],[Comments]])&lt;&gt;0, priority(Main[[#This Row],[Comments]]),"")</f>
        <v/>
      </c>
      <c r="B1182" s="60" t="s">
        <v>3534</v>
      </c>
      <c r="C1182" s="105" t="s">
        <v>3522</v>
      </c>
      <c r="D1182" s="74" t="s">
        <v>3535</v>
      </c>
      <c r="E1182" s="89"/>
      <c r="F1182" s="89">
        <v>41026</v>
      </c>
      <c r="G1182" s="65" t="str">
        <f>IF(stdProdLT(Main[[#This Row],[Comments]])=0.1,"N/A",IF(stdProdLT(Main[[#This Row],[Comments]])=0,"",TRIM(stdProdLT(Main[[#This Row],[Comments]]))))</f>
        <v/>
      </c>
      <c r="H1182" s="98" t="str">
        <f>IF(Main[[#This Row],[Std. Prod. Lead Time]]="N/A", "",IF(AND(Main[[#This Row],[In Stock Date]]&lt;&gt;"",Main[[#This Row],[Revised Due Date]]&lt;&gt;"",Main[[#This Row],[In Stock Date]]&lt;&gt;""),Main[[#This Row],[In Stock Date]]-Main[[#This Row],[Revised Due Date]],""))</f>
        <v/>
      </c>
      <c r="I1182" s="110" t="s">
        <v>4</v>
      </c>
      <c r="J1182" s="99" t="s">
        <v>75</v>
      </c>
      <c r="K1182" s="99" t="s">
        <v>4</v>
      </c>
      <c r="L1182" s="89"/>
      <c r="M1182" s="75" t="str">
        <f>IF(Main[[#This Row],[Tech Start Date]]&lt;1/1/1990,"",IF(Main[[#This Row],[Class]]="C",WORKDAY(Main[[#This Row],[Tech Start Date]],9),IF(Main[[#This Row],[Class]]="B", WORKDAY(Main[[#This Row],[Tech Start Date]],6),IF(Main[[#This Row],[Class]]="A",WORKDAY(Main[[#This Row],[Tech Start Date]],2),""))))</f>
        <v/>
      </c>
      <c r="N1182" s="75" t="str">
        <f>IF(Main[[#This Row],[Tech Start Date]]&lt;1/1/1990,"",IF(Main[[#This Row],[Class]]="C",WORKDAY(Main[[#This Row],[Tech Start Date]],19),IF(Main[[#This Row],[Class]]="B", WORKDAY(Main[[#This Row],[Tech Start Date]],12),IF(Main[[#This Row],[Class]]="A",WORKDAY(Main[[#This Row],[Tech Start Date]],4),""))))</f>
        <v/>
      </c>
      <c r="O1182" s="75" t="str">
        <f>IF(Main[[#This Row],[Tech Start Date]]&lt;1/1/1990,"",IF(Main[[#This Row],[Class]]="C",WORKDAY(Main[[#This Row],[Tech Start Date]],23),IF(Main[[#This Row],[Class]]="B", WORKDAY(Main[[#This Row],[Tech Start Date]],15),IF(Main[[#This Row],[Class]]="A",WORKDAY(Main[[#This Row],[Tech Start Date]],5),""))))</f>
        <v/>
      </c>
      <c r="P1182" s="75" t="str">
        <f>IF(Main[[#This Row],[Tech Start Date]]&lt;1/1/1990,"",IF(Main[[#This Row],[Class]]="C",WORKDAY(Main[[#This Row],[Tech Start Date]],28),IF(Main[[#This Row],[Class]]="B", WORKDAY(Main[[#This Row],[Tech Start Date]],19),IF(Main[[#This Row],[Class]]="A",WORKDAY(Main[[#This Row],[Tech Start Date]],9),""))))</f>
        <v/>
      </c>
      <c r="Q1182" s="89">
        <v>40954</v>
      </c>
      <c r="R1182" s="121"/>
      <c r="S1182" s="99" t="s">
        <v>11</v>
      </c>
      <c r="T1182" s="76" t="s">
        <v>4</v>
      </c>
      <c r="U1182" s="99" t="s">
        <v>14</v>
      </c>
      <c r="V1182" s="99" t="s">
        <v>1923</v>
      </c>
      <c r="W1182" s="99" t="s">
        <v>1921</v>
      </c>
      <c r="X1182" s="99" t="s">
        <v>2823</v>
      </c>
      <c r="Y1182" s="73" t="s">
        <v>2945</v>
      </c>
      <c r="Z1182" s="73" t="s">
        <v>530</v>
      </c>
      <c r="AA1182" s="99" t="s">
        <v>2823</v>
      </c>
    </row>
    <row r="1183" spans="1:27" ht="17.25" customHeight="1">
      <c r="A1183" s="65" t="str">
        <f>IF(priority(Main[[#This Row],[Comments]])&lt;&gt;0, priority(Main[[#This Row],[Comments]]),"")</f>
        <v/>
      </c>
      <c r="B1183" s="60" t="s">
        <v>3536</v>
      </c>
      <c r="C1183" s="105" t="s">
        <v>4</v>
      </c>
      <c r="D1183" s="74" t="s">
        <v>3537</v>
      </c>
      <c r="E1183" s="89">
        <v>40949.904050925928</v>
      </c>
      <c r="F1183" s="89"/>
      <c r="G1183" s="65" t="str">
        <f>IF(stdProdLT(Main[[#This Row],[Comments]])=0.1,"N/A",IF(stdProdLT(Main[[#This Row],[Comments]])=0,"",TRIM(stdProdLT(Main[[#This Row],[Comments]]))))</f>
        <v/>
      </c>
      <c r="H1183" s="98" t="str">
        <f>IF(Main[[#This Row],[Std. Prod. Lead Time]]="N/A", "",IF(AND(Main[[#This Row],[In Stock Date]]&lt;&gt;"",Main[[#This Row],[Revised Due Date]]&lt;&gt;"",Main[[#This Row],[In Stock Date]]&lt;&gt;""),Main[[#This Row],[In Stock Date]]-Main[[#This Row],[Revised Due Date]],""))</f>
        <v/>
      </c>
      <c r="I1183" s="110" t="s">
        <v>530</v>
      </c>
      <c r="J1183" s="99" t="s">
        <v>28</v>
      </c>
      <c r="K1183" s="99" t="s">
        <v>1922</v>
      </c>
      <c r="L1183" s="89"/>
      <c r="M1183" s="75" t="str">
        <f>IF(Main[[#This Row],[Tech Start Date]]&lt;1/1/1990,"",IF(Main[[#This Row],[Class]]="C",WORKDAY(Main[[#This Row],[Tech Start Date]],9),IF(Main[[#This Row],[Class]]="B", WORKDAY(Main[[#This Row],[Tech Start Date]],6),IF(Main[[#This Row],[Class]]="A",WORKDAY(Main[[#This Row],[Tech Start Date]],2),""))))</f>
        <v/>
      </c>
      <c r="N1183" s="75" t="str">
        <f>IF(Main[[#This Row],[Tech Start Date]]&lt;1/1/1990,"",IF(Main[[#This Row],[Class]]="C",WORKDAY(Main[[#This Row],[Tech Start Date]],19),IF(Main[[#This Row],[Class]]="B", WORKDAY(Main[[#This Row],[Tech Start Date]],12),IF(Main[[#This Row],[Class]]="A",WORKDAY(Main[[#This Row],[Tech Start Date]],4),""))))</f>
        <v/>
      </c>
      <c r="O1183" s="75" t="str">
        <f>IF(Main[[#This Row],[Tech Start Date]]&lt;1/1/1990,"",IF(Main[[#This Row],[Class]]="C",WORKDAY(Main[[#This Row],[Tech Start Date]],23),IF(Main[[#This Row],[Class]]="B", WORKDAY(Main[[#This Row],[Tech Start Date]],15),IF(Main[[#This Row],[Class]]="A",WORKDAY(Main[[#This Row],[Tech Start Date]],5),""))))</f>
        <v/>
      </c>
      <c r="P1183" s="75" t="str">
        <f>IF(Main[[#This Row],[Tech Start Date]]&lt;1/1/1990,"",IF(Main[[#This Row],[Class]]="C",WORKDAY(Main[[#This Row],[Tech Start Date]],28),IF(Main[[#This Row],[Class]]="B", WORKDAY(Main[[#This Row],[Tech Start Date]],19),IF(Main[[#This Row],[Class]]="A",WORKDAY(Main[[#This Row],[Tech Start Date]],9),""))))</f>
        <v/>
      </c>
      <c r="Q1183" s="89">
        <v>40952</v>
      </c>
      <c r="R1183" s="121"/>
      <c r="S1183" s="99" t="s">
        <v>6</v>
      </c>
      <c r="T1183" s="76" t="s">
        <v>4</v>
      </c>
      <c r="U1183" s="99" t="s">
        <v>29</v>
      </c>
      <c r="V1183" s="99" t="s">
        <v>1916</v>
      </c>
      <c r="W1183" s="99" t="s">
        <v>1917</v>
      </c>
      <c r="X1183" s="99" t="s">
        <v>2889</v>
      </c>
      <c r="Y1183" s="73" t="s">
        <v>3054</v>
      </c>
      <c r="Z1183" s="73" t="s">
        <v>30</v>
      </c>
      <c r="AA1183" s="99" t="s">
        <v>2889</v>
      </c>
    </row>
    <row r="1184" spans="1:27" ht="17.25" customHeight="1">
      <c r="A1184" s="65" t="str">
        <f>IF(priority(Main[[#This Row],[Comments]])&lt;&gt;0, priority(Main[[#This Row],[Comments]]),"")</f>
        <v/>
      </c>
      <c r="B1184" s="60" t="s">
        <v>3651</v>
      </c>
      <c r="C1184" s="105" t="s">
        <v>3652</v>
      </c>
      <c r="D1184" s="74" t="s">
        <v>3653</v>
      </c>
      <c r="E1184" s="89">
        <v>40954.685243055559</v>
      </c>
      <c r="F1184" s="89"/>
      <c r="G1184" s="65" t="str">
        <f>IF(stdProdLT(Main[[#This Row],[Comments]])=0.1,"N/A",IF(stdProdLT(Main[[#This Row],[Comments]])=0,"",TRIM(stdProdLT(Main[[#This Row],[Comments]]))))</f>
        <v>N/A</v>
      </c>
      <c r="H1184" s="98" t="str">
        <f>IF(Main[[#This Row],[Std. Prod. Lead Time]]="N/A", "",IF(AND(Main[[#This Row],[In Stock Date]]&lt;&gt;"",Main[[#This Row],[Revised Due Date]]&lt;&gt;"",Main[[#This Row],[In Stock Date]]&lt;&gt;""),Main[[#This Row],[In Stock Date]]-Main[[#This Row],[Revised Due Date]],""))</f>
        <v/>
      </c>
      <c r="I1184" s="110" t="s">
        <v>2245</v>
      </c>
      <c r="J1184" s="99" t="s">
        <v>28</v>
      </c>
      <c r="K1184" s="100" t="s">
        <v>1922</v>
      </c>
      <c r="L1184" s="89"/>
      <c r="M1184" s="75" t="str">
        <f>IF(Main[[#This Row],[Tech Start Date]]&lt;1/1/1990,"",IF(Main[[#This Row],[Class]]="C",WORKDAY(Main[[#This Row],[Tech Start Date]],9),IF(Main[[#This Row],[Class]]="B", WORKDAY(Main[[#This Row],[Tech Start Date]],6),IF(Main[[#This Row],[Class]]="A",WORKDAY(Main[[#This Row],[Tech Start Date]],2),""))))</f>
        <v/>
      </c>
      <c r="N1184" s="75" t="str">
        <f>IF(Main[[#This Row],[Tech Start Date]]&lt;1/1/1990,"",IF(Main[[#This Row],[Class]]="C",WORKDAY(Main[[#This Row],[Tech Start Date]],19),IF(Main[[#This Row],[Class]]="B", WORKDAY(Main[[#This Row],[Tech Start Date]],12),IF(Main[[#This Row],[Class]]="A",WORKDAY(Main[[#This Row],[Tech Start Date]],4),""))))</f>
        <v/>
      </c>
      <c r="O1184" s="75" t="str">
        <f>IF(Main[[#This Row],[Tech Start Date]]&lt;1/1/1990,"",IF(Main[[#This Row],[Class]]="C",WORKDAY(Main[[#This Row],[Tech Start Date]],23),IF(Main[[#This Row],[Class]]="B", WORKDAY(Main[[#This Row],[Tech Start Date]],15),IF(Main[[#This Row],[Class]]="A",WORKDAY(Main[[#This Row],[Tech Start Date]],5),""))))</f>
        <v/>
      </c>
      <c r="P1184" s="75" t="str">
        <f>IF(Main[[#This Row],[Tech Start Date]]&lt;1/1/1990,"",IF(Main[[#This Row],[Class]]="C",WORKDAY(Main[[#This Row],[Tech Start Date]],28),IF(Main[[#This Row],[Class]]="B", WORKDAY(Main[[#This Row],[Tech Start Date]],19),IF(Main[[#This Row],[Class]]="A",WORKDAY(Main[[#This Row],[Tech Start Date]],9),""))))</f>
        <v/>
      </c>
      <c r="Q1184" s="89">
        <v>40961</v>
      </c>
      <c r="R1184" s="121"/>
      <c r="S1184" s="99" t="s">
        <v>6</v>
      </c>
      <c r="T1184" s="76" t="s">
        <v>3226</v>
      </c>
      <c r="U1184" s="99" t="s">
        <v>29</v>
      </c>
      <c r="V1184" s="99" t="s">
        <v>1914</v>
      </c>
      <c r="W1184" s="99" t="s">
        <v>1915</v>
      </c>
      <c r="X1184" s="99" t="s">
        <v>2810</v>
      </c>
      <c r="Y1184" s="73" t="s">
        <v>4</v>
      </c>
      <c r="Z1184" s="73" t="s">
        <v>2049</v>
      </c>
      <c r="AA1184" s="99" t="s">
        <v>2810</v>
      </c>
    </row>
    <row r="1185" spans="1:27" ht="17.25" customHeight="1">
      <c r="A1185" s="65" t="str">
        <f>IF(priority(Main[[#This Row],[Comments]])&lt;&gt;0, priority(Main[[#This Row],[Comments]]),"")</f>
        <v/>
      </c>
      <c r="B1185" s="60" t="s">
        <v>2362</v>
      </c>
      <c r="C1185" s="105" t="s">
        <v>4</v>
      </c>
      <c r="D1185" s="74" t="s">
        <v>3335</v>
      </c>
      <c r="E1185" s="89">
        <v>40842.639374999999</v>
      </c>
      <c r="F1185" s="89"/>
      <c r="G1185" s="65" t="str">
        <f>IF(stdProdLT(Main[[#This Row],[Comments]])=0.1,"N/A",IF(stdProdLT(Main[[#This Row],[Comments]])=0,"",TRIM(stdProdLT(Main[[#This Row],[Comments]]))))</f>
        <v/>
      </c>
      <c r="H1185" s="98" t="str">
        <f>IF(Main[[#This Row],[Std. Prod. Lead Time]]="N/A", "",IF(AND(Main[[#This Row],[In Stock Date]]&lt;&gt;"",Main[[#This Row],[Revised Due Date]]&lt;&gt;"",Main[[#This Row],[In Stock Date]]&lt;&gt;""),Main[[#This Row],[In Stock Date]]-Main[[#This Row],[Revised Due Date]],""))</f>
        <v/>
      </c>
      <c r="I1185" s="110" t="s">
        <v>69</v>
      </c>
      <c r="J1185" s="99" t="s">
        <v>70</v>
      </c>
      <c r="K1185" s="100" t="s">
        <v>1922</v>
      </c>
      <c r="L1185" s="89"/>
      <c r="M1185" s="75" t="str">
        <f>IF(Main[[#This Row],[Tech Start Date]]&lt;1/1/1990,"",IF(Main[[#This Row],[Class]]="C",WORKDAY(Main[[#This Row],[Tech Start Date]],9),IF(Main[[#This Row],[Class]]="B", WORKDAY(Main[[#This Row],[Tech Start Date]],6),IF(Main[[#This Row],[Class]]="A",WORKDAY(Main[[#This Row],[Tech Start Date]],2),""))))</f>
        <v/>
      </c>
      <c r="N1185" s="75" t="str">
        <f>IF(Main[[#This Row],[Tech Start Date]]&lt;1/1/1990,"",IF(Main[[#This Row],[Class]]="C",WORKDAY(Main[[#This Row],[Tech Start Date]],19),IF(Main[[#This Row],[Class]]="B", WORKDAY(Main[[#This Row],[Tech Start Date]],12),IF(Main[[#This Row],[Class]]="A",WORKDAY(Main[[#This Row],[Tech Start Date]],4),""))))</f>
        <v/>
      </c>
      <c r="O1185" s="75" t="str">
        <f>IF(Main[[#This Row],[Tech Start Date]]&lt;1/1/1990,"",IF(Main[[#This Row],[Class]]="C",WORKDAY(Main[[#This Row],[Tech Start Date]],23),IF(Main[[#This Row],[Class]]="B", WORKDAY(Main[[#This Row],[Tech Start Date]],15),IF(Main[[#This Row],[Class]]="A",WORKDAY(Main[[#This Row],[Tech Start Date]],5),""))))</f>
        <v/>
      </c>
      <c r="P1185" s="75" t="str">
        <f>IF(Main[[#This Row],[Tech Start Date]]&lt;1/1/1990,"",IF(Main[[#This Row],[Class]]="C",WORKDAY(Main[[#This Row],[Tech Start Date]],28),IF(Main[[#This Row],[Class]]="B", WORKDAY(Main[[#This Row],[Tech Start Date]],19),IF(Main[[#This Row],[Class]]="A",WORKDAY(Main[[#This Row],[Tech Start Date]],9),""))))</f>
        <v/>
      </c>
      <c r="Q1185" s="89">
        <v>40872</v>
      </c>
      <c r="R1185" s="121"/>
      <c r="S1185" s="99" t="s">
        <v>6</v>
      </c>
      <c r="T1185" s="76" t="s">
        <v>4</v>
      </c>
      <c r="U1185" s="99" t="s">
        <v>29</v>
      </c>
      <c r="V1185" s="99" t="s">
        <v>1916</v>
      </c>
      <c r="W1185" s="99" t="s">
        <v>1917</v>
      </c>
      <c r="X1185" s="99" t="s">
        <v>2813</v>
      </c>
      <c r="Y1185" s="73" t="s">
        <v>2926</v>
      </c>
      <c r="Z1185" s="73" t="s">
        <v>30</v>
      </c>
      <c r="AA1185" s="99" t="s">
        <v>2813</v>
      </c>
    </row>
    <row r="1186" spans="1:27" ht="17.25" customHeight="1">
      <c r="A1186" s="65" t="str">
        <f>IF(priority(Main[[#This Row],[Comments]])&lt;&gt;0, priority(Main[[#This Row],[Comments]]),"")</f>
        <v/>
      </c>
      <c r="B1186" s="60" t="s">
        <v>3336</v>
      </c>
      <c r="C1186" s="105" t="s">
        <v>4</v>
      </c>
      <c r="D1186" s="74" t="s">
        <v>3337</v>
      </c>
      <c r="E1186" s="89">
        <v>40939.631828703707</v>
      </c>
      <c r="F1186" s="89"/>
      <c r="G1186" s="65" t="str">
        <f>IF(stdProdLT(Main[[#This Row],[Comments]])=0.1,"N/A",IF(stdProdLT(Main[[#This Row],[Comments]])=0,"",TRIM(stdProdLT(Main[[#This Row],[Comments]]))))</f>
        <v/>
      </c>
      <c r="H1186" s="98" t="str">
        <f>IF(Main[[#This Row],[Std. Prod. Lead Time]]="N/A", "",IF(AND(Main[[#This Row],[In Stock Date]]&lt;&gt;"",Main[[#This Row],[Revised Due Date]]&lt;&gt;"",Main[[#This Row],[In Stock Date]]&lt;&gt;""),Main[[#This Row],[In Stock Date]]-Main[[#This Row],[Revised Due Date]],""))</f>
        <v/>
      </c>
      <c r="I1186" s="110" t="s">
        <v>4</v>
      </c>
      <c r="J1186" s="99" t="s">
        <v>4</v>
      </c>
      <c r="K1186" s="99" t="s">
        <v>4</v>
      </c>
      <c r="L1186" s="89"/>
      <c r="M1186" s="75" t="str">
        <f>IF(Main[[#This Row],[Tech Start Date]]&lt;1/1/1990,"",IF(Main[[#This Row],[Class]]="C",WORKDAY(Main[[#This Row],[Tech Start Date]],9),IF(Main[[#This Row],[Class]]="B", WORKDAY(Main[[#This Row],[Tech Start Date]],6),IF(Main[[#This Row],[Class]]="A",WORKDAY(Main[[#This Row],[Tech Start Date]],2),""))))</f>
        <v/>
      </c>
      <c r="N1186" s="75" t="str">
        <f>IF(Main[[#This Row],[Tech Start Date]]&lt;1/1/1990,"",IF(Main[[#This Row],[Class]]="C",WORKDAY(Main[[#This Row],[Tech Start Date]],19),IF(Main[[#This Row],[Class]]="B", WORKDAY(Main[[#This Row],[Tech Start Date]],12),IF(Main[[#This Row],[Class]]="A",WORKDAY(Main[[#This Row],[Tech Start Date]],4),""))))</f>
        <v/>
      </c>
      <c r="O1186" s="75" t="str">
        <f>IF(Main[[#This Row],[Tech Start Date]]&lt;1/1/1990,"",IF(Main[[#This Row],[Class]]="C",WORKDAY(Main[[#This Row],[Tech Start Date]],23),IF(Main[[#This Row],[Class]]="B", WORKDAY(Main[[#This Row],[Tech Start Date]],15),IF(Main[[#This Row],[Class]]="A",WORKDAY(Main[[#This Row],[Tech Start Date]],5),""))))</f>
        <v/>
      </c>
      <c r="P1186" s="75" t="str">
        <f>IF(Main[[#This Row],[Tech Start Date]]&lt;1/1/1990,"",IF(Main[[#This Row],[Class]]="C",WORKDAY(Main[[#This Row],[Tech Start Date]],28),IF(Main[[#This Row],[Class]]="B", WORKDAY(Main[[#This Row],[Tech Start Date]],19),IF(Main[[#This Row],[Class]]="A",WORKDAY(Main[[#This Row],[Tech Start Date]],9),""))))</f>
        <v/>
      </c>
      <c r="Q1186" s="89"/>
      <c r="R1186" s="121"/>
      <c r="S1186" s="99" t="s">
        <v>6</v>
      </c>
      <c r="T1186" s="76" t="s">
        <v>4</v>
      </c>
      <c r="U1186" s="99" t="s">
        <v>7</v>
      </c>
      <c r="V1186" s="99" t="s">
        <v>1913</v>
      </c>
      <c r="W1186" s="99" t="s">
        <v>1917</v>
      </c>
      <c r="X1186" s="99" t="s">
        <v>306</v>
      </c>
      <c r="Y1186" s="73" t="s">
        <v>4</v>
      </c>
      <c r="Z1186" s="73" t="s">
        <v>4</v>
      </c>
      <c r="AA1186" s="99" t="s">
        <v>4</v>
      </c>
    </row>
    <row r="1187" spans="1:27" ht="17.25" customHeight="1">
      <c r="A1187" s="65" t="str">
        <f>IF(priority(Main[[#This Row],[Comments]])&lt;&gt;0, priority(Main[[#This Row],[Comments]]),"")</f>
        <v/>
      </c>
      <c r="B1187" s="60" t="s">
        <v>1733</v>
      </c>
      <c r="C1187" s="105" t="s">
        <v>47</v>
      </c>
      <c r="D1187" s="74" t="s">
        <v>788</v>
      </c>
      <c r="E1187" s="89">
        <v>39937.598969907405</v>
      </c>
      <c r="F1187" s="89"/>
      <c r="G1187" s="65" t="str">
        <f>IF(stdProdLT(Main[[#This Row],[Comments]])=0.1,"N/A",IF(stdProdLT(Main[[#This Row],[Comments]])=0,"",TRIM(stdProdLT(Main[[#This Row],[Comments]]))))</f>
        <v/>
      </c>
      <c r="H1187" s="98" t="str">
        <f>IF(Main[[#This Row],[Std. Prod. Lead Time]]="N/A", "",IF(AND(Main[[#This Row],[In Stock Date]]&lt;&gt;"",Main[[#This Row],[Revised Due Date]]&lt;&gt;"",Main[[#This Row],[In Stock Date]]&lt;&gt;""),Main[[#This Row],[In Stock Date]]-Main[[#This Row],[Revised Due Date]],""))</f>
        <v/>
      </c>
      <c r="I1187" s="110" t="s">
        <v>4</v>
      </c>
      <c r="J1187" s="99" t="s">
        <v>4</v>
      </c>
      <c r="K1187" s="99" t="s">
        <v>4</v>
      </c>
      <c r="L1187" s="89"/>
      <c r="M1187" s="75" t="str">
        <f>IF(Main[[#This Row],[Tech Start Date]]&lt;1/1/1990,"",IF(Main[[#This Row],[Class]]="C",WORKDAY(Main[[#This Row],[Tech Start Date]],9),IF(Main[[#This Row],[Class]]="B", WORKDAY(Main[[#This Row],[Tech Start Date]],6),IF(Main[[#This Row],[Class]]="A",WORKDAY(Main[[#This Row],[Tech Start Date]],2),""))))</f>
        <v/>
      </c>
      <c r="N1187" s="75" t="str">
        <f>IF(Main[[#This Row],[Tech Start Date]]&lt;1/1/1990,"",IF(Main[[#This Row],[Class]]="C",WORKDAY(Main[[#This Row],[Tech Start Date]],19),IF(Main[[#This Row],[Class]]="B", WORKDAY(Main[[#This Row],[Tech Start Date]],12),IF(Main[[#This Row],[Class]]="A",WORKDAY(Main[[#This Row],[Tech Start Date]],4),""))))</f>
        <v/>
      </c>
      <c r="O1187" s="75" t="str">
        <f>IF(Main[[#This Row],[Tech Start Date]]&lt;1/1/1990,"",IF(Main[[#This Row],[Class]]="C",WORKDAY(Main[[#This Row],[Tech Start Date]],23),IF(Main[[#This Row],[Class]]="B", WORKDAY(Main[[#This Row],[Tech Start Date]],15),IF(Main[[#This Row],[Class]]="A",WORKDAY(Main[[#This Row],[Tech Start Date]],5),""))))</f>
        <v/>
      </c>
      <c r="P1187" s="75" t="str">
        <f>IF(Main[[#This Row],[Tech Start Date]]&lt;1/1/1990,"",IF(Main[[#This Row],[Class]]="C",WORKDAY(Main[[#This Row],[Tech Start Date]],28),IF(Main[[#This Row],[Class]]="B", WORKDAY(Main[[#This Row],[Tech Start Date]],19),IF(Main[[#This Row],[Class]]="A",WORKDAY(Main[[#This Row],[Tech Start Date]],9),""))))</f>
        <v/>
      </c>
      <c r="Q1187" s="89"/>
      <c r="R1187" s="121">
        <v>41172</v>
      </c>
      <c r="S1187" s="99" t="s">
        <v>17</v>
      </c>
      <c r="T1187" s="76" t="s">
        <v>4</v>
      </c>
      <c r="U1187" s="99" t="s">
        <v>29</v>
      </c>
      <c r="V1187" s="99" t="s">
        <v>1916</v>
      </c>
      <c r="W1187" s="99" t="s">
        <v>4</v>
      </c>
      <c r="X1187" s="99" t="s">
        <v>2821</v>
      </c>
      <c r="Y1187" s="73" t="s">
        <v>2942</v>
      </c>
      <c r="Z1187" s="73" t="s">
        <v>4</v>
      </c>
      <c r="AA1187" s="99" t="s">
        <v>2821</v>
      </c>
    </row>
    <row r="1188" spans="1:27" ht="17.25" customHeight="1">
      <c r="A1188" s="65" t="str">
        <f>IF(priority(Main[[#This Row],[Comments]])&lt;&gt;0, priority(Main[[#This Row],[Comments]]),"")</f>
        <v/>
      </c>
      <c r="B1188" s="60" t="s">
        <v>3963</v>
      </c>
      <c r="C1188" s="105" t="s">
        <v>31</v>
      </c>
      <c r="D1188" s="74" t="s">
        <v>3964</v>
      </c>
      <c r="E1188" s="89">
        <v>40969.357372685183</v>
      </c>
      <c r="F1188" s="89">
        <v>41000</v>
      </c>
      <c r="G1188" s="65" t="str">
        <f>IF(stdProdLT(Main[[#This Row],[Comments]])=0.1,"N/A",IF(stdProdLT(Main[[#This Row],[Comments]])=0,"",TRIM(stdProdLT(Main[[#This Row],[Comments]]))))</f>
        <v/>
      </c>
      <c r="H1188" s="98" t="str">
        <f>IF(Main[[#This Row],[Std. Prod. Lead Time]]="N/A", "",IF(AND(Main[[#This Row],[In Stock Date]]&lt;&gt;"",Main[[#This Row],[Revised Due Date]]&lt;&gt;"",Main[[#This Row],[In Stock Date]]&lt;&gt;""),Main[[#This Row],[In Stock Date]]-Main[[#This Row],[Revised Due Date]],""))</f>
        <v/>
      </c>
      <c r="I1188" s="110" t="s">
        <v>4</v>
      </c>
      <c r="J1188" s="99" t="s">
        <v>75</v>
      </c>
      <c r="K1188" s="99" t="s">
        <v>4</v>
      </c>
      <c r="L1188" s="89"/>
      <c r="M1188" s="75" t="str">
        <f>IF(Main[[#This Row],[Tech Start Date]]&lt;1/1/1990,"",IF(Main[[#This Row],[Class]]="C",WORKDAY(Main[[#This Row],[Tech Start Date]],9),IF(Main[[#This Row],[Class]]="B", WORKDAY(Main[[#This Row],[Tech Start Date]],6),IF(Main[[#This Row],[Class]]="A",WORKDAY(Main[[#This Row],[Tech Start Date]],2),""))))</f>
        <v/>
      </c>
      <c r="N1188" s="75" t="str">
        <f>IF(Main[[#This Row],[Tech Start Date]]&lt;1/1/1990,"",IF(Main[[#This Row],[Class]]="C",WORKDAY(Main[[#This Row],[Tech Start Date]],19),IF(Main[[#This Row],[Class]]="B", WORKDAY(Main[[#This Row],[Tech Start Date]],12),IF(Main[[#This Row],[Class]]="A",WORKDAY(Main[[#This Row],[Tech Start Date]],4),""))))</f>
        <v/>
      </c>
      <c r="O1188" s="75" t="str">
        <f>IF(Main[[#This Row],[Tech Start Date]]&lt;1/1/1990,"",IF(Main[[#This Row],[Class]]="C",WORKDAY(Main[[#This Row],[Tech Start Date]],23),IF(Main[[#This Row],[Class]]="B", WORKDAY(Main[[#This Row],[Tech Start Date]],15),IF(Main[[#This Row],[Class]]="A",WORKDAY(Main[[#This Row],[Tech Start Date]],5),""))))</f>
        <v/>
      </c>
      <c r="P1188" s="75" t="str">
        <f>IF(Main[[#This Row],[Tech Start Date]]&lt;1/1/1990,"",IF(Main[[#This Row],[Class]]="C",WORKDAY(Main[[#This Row],[Tech Start Date]],28),IF(Main[[#This Row],[Class]]="B", WORKDAY(Main[[#This Row],[Tech Start Date]],19),IF(Main[[#This Row],[Class]]="A",WORKDAY(Main[[#This Row],[Tech Start Date]],9),""))))</f>
        <v/>
      </c>
      <c r="Q1188" s="89">
        <v>41000</v>
      </c>
      <c r="R1188" s="121"/>
      <c r="S1188" s="99" t="s">
        <v>11</v>
      </c>
      <c r="T1188" s="76" t="s">
        <v>4</v>
      </c>
      <c r="U1188" s="99" t="s">
        <v>7</v>
      </c>
      <c r="V1188" s="99" t="s">
        <v>1923</v>
      </c>
      <c r="W1188" s="99" t="s">
        <v>1921</v>
      </c>
      <c r="X1188" s="99" t="s">
        <v>2840</v>
      </c>
      <c r="Y1188" s="73" t="s">
        <v>3234</v>
      </c>
      <c r="Z1188" s="73" t="s">
        <v>306</v>
      </c>
      <c r="AA1188" s="99" t="s">
        <v>2840</v>
      </c>
    </row>
    <row r="1189" spans="1:27" ht="17.25" customHeight="1">
      <c r="A1189" s="65" t="str">
        <f>IF(priority(Main[[#This Row],[Comments]])&lt;&gt;0, priority(Main[[#This Row],[Comments]]),"")</f>
        <v/>
      </c>
      <c r="B1189" s="60" t="s">
        <v>1400</v>
      </c>
      <c r="C1189" s="105" t="s">
        <v>483</v>
      </c>
      <c r="D1189" s="74" t="s">
        <v>2527</v>
      </c>
      <c r="E1189" s="89"/>
      <c r="F1189" s="89">
        <v>40452</v>
      </c>
      <c r="G1189" s="65" t="str">
        <f>IF(stdProdLT(Main[[#This Row],[Comments]])=0.1,"N/A",IF(stdProdLT(Main[[#This Row],[Comments]])=0,"",TRIM(stdProdLT(Main[[#This Row],[Comments]]))))</f>
        <v/>
      </c>
      <c r="H1189" s="98" t="str">
        <f>IF(Main[[#This Row],[Std. Prod. Lead Time]]="N/A", "",IF(AND(Main[[#This Row],[In Stock Date]]&lt;&gt;"",Main[[#This Row],[Revised Due Date]]&lt;&gt;"",Main[[#This Row],[In Stock Date]]&lt;&gt;""),Main[[#This Row],[In Stock Date]]-Main[[#This Row],[Revised Due Date]],""))</f>
        <v/>
      </c>
      <c r="I1189" s="110" t="s">
        <v>4</v>
      </c>
      <c r="J1189" s="99" t="s">
        <v>4</v>
      </c>
      <c r="K1189" s="99" t="s">
        <v>4</v>
      </c>
      <c r="L1189" s="89"/>
      <c r="M1189" s="75" t="str">
        <f>IF(Main[[#This Row],[Tech Start Date]]&lt;1/1/1990,"",IF(Main[[#This Row],[Class]]="C",WORKDAY(Main[[#This Row],[Tech Start Date]],9),IF(Main[[#This Row],[Class]]="B", WORKDAY(Main[[#This Row],[Tech Start Date]],6),IF(Main[[#This Row],[Class]]="A",WORKDAY(Main[[#This Row],[Tech Start Date]],2),""))))</f>
        <v/>
      </c>
      <c r="N1189" s="75" t="str">
        <f>IF(Main[[#This Row],[Tech Start Date]]&lt;1/1/1990,"",IF(Main[[#This Row],[Class]]="C",WORKDAY(Main[[#This Row],[Tech Start Date]],19),IF(Main[[#This Row],[Class]]="B", WORKDAY(Main[[#This Row],[Tech Start Date]],12),IF(Main[[#This Row],[Class]]="A",WORKDAY(Main[[#This Row],[Tech Start Date]],4),""))))</f>
        <v/>
      </c>
      <c r="O1189" s="75" t="str">
        <f>IF(Main[[#This Row],[Tech Start Date]]&lt;1/1/1990,"",IF(Main[[#This Row],[Class]]="C",WORKDAY(Main[[#This Row],[Tech Start Date]],23),IF(Main[[#This Row],[Class]]="B", WORKDAY(Main[[#This Row],[Tech Start Date]],15),IF(Main[[#This Row],[Class]]="A",WORKDAY(Main[[#This Row],[Tech Start Date]],5),""))))</f>
        <v/>
      </c>
      <c r="P1189" s="75" t="str">
        <f>IF(Main[[#This Row],[Tech Start Date]]&lt;1/1/1990,"",IF(Main[[#This Row],[Class]]="C",WORKDAY(Main[[#This Row],[Tech Start Date]],28),IF(Main[[#This Row],[Class]]="B", WORKDAY(Main[[#This Row],[Tech Start Date]],19),IF(Main[[#This Row],[Class]]="A",WORKDAY(Main[[#This Row],[Tech Start Date]],9),""))))</f>
        <v/>
      </c>
      <c r="Q1189" s="89">
        <v>40391</v>
      </c>
      <c r="R1189" s="121"/>
      <c r="S1189" s="99" t="s">
        <v>6</v>
      </c>
      <c r="T1189" s="76" t="s">
        <v>4</v>
      </c>
      <c r="U1189" s="99" t="s">
        <v>14</v>
      </c>
      <c r="V1189" s="99" t="s">
        <v>1913</v>
      </c>
      <c r="W1189" s="99" t="s">
        <v>1918</v>
      </c>
      <c r="X1189" s="99" t="s">
        <v>2818</v>
      </c>
      <c r="Y1189" s="73" t="s">
        <v>2937</v>
      </c>
      <c r="Z1189" s="73" t="s">
        <v>4</v>
      </c>
      <c r="AA1189" s="99" t="s">
        <v>2818</v>
      </c>
    </row>
    <row r="1190" spans="1:27" ht="17.25" customHeight="1">
      <c r="A1190" s="65" t="str">
        <f>IF(priority(Main[[#This Row],[Comments]])&lt;&gt;0, priority(Main[[#This Row],[Comments]]),"")</f>
        <v/>
      </c>
      <c r="B1190" s="60" t="s">
        <v>2740</v>
      </c>
      <c r="C1190" s="105" t="s">
        <v>4</v>
      </c>
      <c r="D1190" s="74" t="s">
        <v>2741</v>
      </c>
      <c r="E1190" s="89">
        <v>40911.721898148149</v>
      </c>
      <c r="F1190" s="89"/>
      <c r="G1190" s="65" t="str">
        <f>IF(stdProdLT(Main[[#This Row],[Comments]])=0.1,"N/A",IF(stdProdLT(Main[[#This Row],[Comments]])=0,"",TRIM(stdProdLT(Main[[#This Row],[Comments]]))))</f>
        <v/>
      </c>
      <c r="H1190" s="98" t="str">
        <f>IF(Main[[#This Row],[Std. Prod. Lead Time]]="N/A", "",IF(AND(Main[[#This Row],[In Stock Date]]&lt;&gt;"",Main[[#This Row],[Revised Due Date]]&lt;&gt;"",Main[[#This Row],[In Stock Date]]&lt;&gt;""),Main[[#This Row],[In Stock Date]]-Main[[#This Row],[Revised Due Date]],""))</f>
        <v/>
      </c>
      <c r="I1190" s="110" t="s">
        <v>4</v>
      </c>
      <c r="J1190" s="99" t="s">
        <v>4</v>
      </c>
      <c r="K1190" s="99" t="s">
        <v>4</v>
      </c>
      <c r="L1190" s="89"/>
      <c r="M1190" s="75" t="str">
        <f>IF(Main[[#This Row],[Tech Start Date]]&lt;1/1/1990,"",IF(Main[[#This Row],[Class]]="C",WORKDAY(Main[[#This Row],[Tech Start Date]],9),IF(Main[[#This Row],[Class]]="B", WORKDAY(Main[[#This Row],[Tech Start Date]],6),IF(Main[[#This Row],[Class]]="A",WORKDAY(Main[[#This Row],[Tech Start Date]],2),""))))</f>
        <v/>
      </c>
      <c r="N1190" s="75" t="str">
        <f>IF(Main[[#This Row],[Tech Start Date]]&lt;1/1/1990,"",IF(Main[[#This Row],[Class]]="C",WORKDAY(Main[[#This Row],[Tech Start Date]],19),IF(Main[[#This Row],[Class]]="B", WORKDAY(Main[[#This Row],[Tech Start Date]],12),IF(Main[[#This Row],[Class]]="A",WORKDAY(Main[[#This Row],[Tech Start Date]],4),""))))</f>
        <v/>
      </c>
      <c r="O1190" s="75" t="str">
        <f>IF(Main[[#This Row],[Tech Start Date]]&lt;1/1/1990,"",IF(Main[[#This Row],[Class]]="C",WORKDAY(Main[[#This Row],[Tech Start Date]],23),IF(Main[[#This Row],[Class]]="B", WORKDAY(Main[[#This Row],[Tech Start Date]],15),IF(Main[[#This Row],[Class]]="A",WORKDAY(Main[[#This Row],[Tech Start Date]],5),""))))</f>
        <v/>
      </c>
      <c r="P1190" s="75" t="str">
        <f>IF(Main[[#This Row],[Tech Start Date]]&lt;1/1/1990,"",IF(Main[[#This Row],[Class]]="C",WORKDAY(Main[[#This Row],[Tech Start Date]],28),IF(Main[[#This Row],[Class]]="B", WORKDAY(Main[[#This Row],[Tech Start Date]],19),IF(Main[[#This Row],[Class]]="A",WORKDAY(Main[[#This Row],[Tech Start Date]],9),""))))</f>
        <v/>
      </c>
      <c r="Q1190" s="89">
        <v>41015</v>
      </c>
      <c r="R1190" s="121"/>
      <c r="S1190" s="99" t="s">
        <v>6</v>
      </c>
      <c r="T1190" s="76" t="s">
        <v>3654</v>
      </c>
      <c r="U1190" s="99" t="s">
        <v>7</v>
      </c>
      <c r="V1190" s="99" t="s">
        <v>1913</v>
      </c>
      <c r="W1190" s="99" t="s">
        <v>1917</v>
      </c>
      <c r="X1190" s="99" t="s">
        <v>877</v>
      </c>
      <c r="Y1190" s="73" t="s">
        <v>3003</v>
      </c>
      <c r="Z1190" s="73" t="s">
        <v>4</v>
      </c>
      <c r="AA1190" s="99" t="s">
        <v>877</v>
      </c>
    </row>
    <row r="1191" spans="1:27" ht="17.25" customHeight="1">
      <c r="A1191" s="65" t="str">
        <f>IF(priority(Main[[#This Row],[Comments]])&lt;&gt;0, priority(Main[[#This Row],[Comments]]),"")</f>
        <v/>
      </c>
      <c r="B1191" s="60" t="s">
        <v>2520</v>
      </c>
      <c r="C1191" s="105" t="s">
        <v>4</v>
      </c>
      <c r="D1191" s="74" t="s">
        <v>2521</v>
      </c>
      <c r="E1191" s="89"/>
      <c r="F1191" s="89"/>
      <c r="G1191" s="65" t="str">
        <f>IF(stdProdLT(Main[[#This Row],[Comments]])=0.1,"N/A",IF(stdProdLT(Main[[#This Row],[Comments]])=0,"",TRIM(stdProdLT(Main[[#This Row],[Comments]]))))</f>
        <v/>
      </c>
      <c r="H1191" s="98" t="str">
        <f>IF(Main[[#This Row],[Std. Prod. Lead Time]]="N/A", "",IF(AND(Main[[#This Row],[In Stock Date]]&lt;&gt;"",Main[[#This Row],[Revised Due Date]]&lt;&gt;"",Main[[#This Row],[In Stock Date]]&lt;&gt;""),Main[[#This Row],[In Stock Date]]-Main[[#This Row],[Revised Due Date]],""))</f>
        <v/>
      </c>
      <c r="I1191" s="110" t="s">
        <v>4</v>
      </c>
      <c r="J1191" s="99" t="s">
        <v>4</v>
      </c>
      <c r="K1191" s="99" t="s">
        <v>4</v>
      </c>
      <c r="L1191" s="89"/>
      <c r="M1191" s="75" t="str">
        <f>IF(Main[[#This Row],[Tech Start Date]]&lt;1/1/1990,"",IF(Main[[#This Row],[Class]]="C",WORKDAY(Main[[#This Row],[Tech Start Date]],9),IF(Main[[#This Row],[Class]]="B", WORKDAY(Main[[#This Row],[Tech Start Date]],6),IF(Main[[#This Row],[Class]]="A",WORKDAY(Main[[#This Row],[Tech Start Date]],2),""))))</f>
        <v/>
      </c>
      <c r="N1191" s="75" t="str">
        <f>IF(Main[[#This Row],[Tech Start Date]]&lt;1/1/1990,"",IF(Main[[#This Row],[Class]]="C",WORKDAY(Main[[#This Row],[Tech Start Date]],19),IF(Main[[#This Row],[Class]]="B", WORKDAY(Main[[#This Row],[Tech Start Date]],12),IF(Main[[#This Row],[Class]]="A",WORKDAY(Main[[#This Row],[Tech Start Date]],4),""))))</f>
        <v/>
      </c>
      <c r="O1191" s="75" t="str">
        <f>IF(Main[[#This Row],[Tech Start Date]]&lt;1/1/1990,"",IF(Main[[#This Row],[Class]]="C",WORKDAY(Main[[#This Row],[Tech Start Date]],23),IF(Main[[#This Row],[Class]]="B", WORKDAY(Main[[#This Row],[Tech Start Date]],15),IF(Main[[#This Row],[Class]]="A",WORKDAY(Main[[#This Row],[Tech Start Date]],5),""))))</f>
        <v/>
      </c>
      <c r="P1191" s="75" t="str">
        <f>IF(Main[[#This Row],[Tech Start Date]]&lt;1/1/1990,"",IF(Main[[#This Row],[Class]]="C",WORKDAY(Main[[#This Row],[Tech Start Date]],28),IF(Main[[#This Row],[Class]]="B", WORKDAY(Main[[#This Row],[Tech Start Date]],19),IF(Main[[#This Row],[Class]]="A",WORKDAY(Main[[#This Row],[Tech Start Date]],9),""))))</f>
        <v/>
      </c>
      <c r="Q1191" s="89"/>
      <c r="R1191" s="121"/>
      <c r="S1191" s="99" t="s">
        <v>23</v>
      </c>
      <c r="T1191" s="76" t="s">
        <v>4</v>
      </c>
      <c r="U1191" s="99" t="s">
        <v>14</v>
      </c>
      <c r="V1191" s="99" t="s">
        <v>1913</v>
      </c>
      <c r="W1191" s="99" t="s">
        <v>1919</v>
      </c>
      <c r="X1191" s="99" t="s">
        <v>399</v>
      </c>
      <c r="Y1191" s="73" t="s">
        <v>4</v>
      </c>
      <c r="Z1191" s="73" t="s">
        <v>4</v>
      </c>
      <c r="AA1191" s="99" t="s">
        <v>3416</v>
      </c>
    </row>
    <row r="1192" spans="1:27" ht="17.25" customHeight="1">
      <c r="A1192" s="65" t="str">
        <f>IF(priority(Main[[#This Row],[Comments]])&lt;&gt;0, priority(Main[[#This Row],[Comments]]),"")</f>
        <v/>
      </c>
      <c r="B1192" s="60" t="s">
        <v>3538</v>
      </c>
      <c r="C1192" s="105" t="s">
        <v>4</v>
      </c>
      <c r="D1192" s="74" t="s">
        <v>3657</v>
      </c>
      <c r="E1192" s="89">
        <v>40949.264513888891</v>
      </c>
      <c r="F1192" s="89"/>
      <c r="G1192" s="65" t="str">
        <f>IF(stdProdLT(Main[[#This Row],[Comments]])=0.1,"N/A",IF(stdProdLT(Main[[#This Row],[Comments]])=0,"",TRIM(stdProdLT(Main[[#This Row],[Comments]]))))</f>
        <v/>
      </c>
      <c r="H1192" s="98" t="str">
        <f>IF(Main[[#This Row],[Std. Prod. Lead Time]]="N/A", "",IF(AND(Main[[#This Row],[In Stock Date]]&lt;&gt;"",Main[[#This Row],[Revised Due Date]]&lt;&gt;"",Main[[#This Row],[In Stock Date]]&lt;&gt;""),Main[[#This Row],[In Stock Date]]-Main[[#This Row],[Revised Due Date]],""))</f>
        <v/>
      </c>
      <c r="I1192" s="110" t="s">
        <v>69</v>
      </c>
      <c r="J1192" s="99" t="s">
        <v>70</v>
      </c>
      <c r="K1192" s="99" t="s">
        <v>1922</v>
      </c>
      <c r="L1192" s="89"/>
      <c r="M1192" s="75" t="str">
        <f>IF(Main[[#This Row],[Tech Start Date]]&lt;1/1/1990,"",IF(Main[[#This Row],[Class]]="C",WORKDAY(Main[[#This Row],[Tech Start Date]],9),IF(Main[[#This Row],[Class]]="B", WORKDAY(Main[[#This Row],[Tech Start Date]],6),IF(Main[[#This Row],[Class]]="A",WORKDAY(Main[[#This Row],[Tech Start Date]],2),""))))</f>
        <v/>
      </c>
      <c r="N1192" s="75" t="str">
        <f>IF(Main[[#This Row],[Tech Start Date]]&lt;1/1/1990,"",IF(Main[[#This Row],[Class]]="C",WORKDAY(Main[[#This Row],[Tech Start Date]],19),IF(Main[[#This Row],[Class]]="B", WORKDAY(Main[[#This Row],[Tech Start Date]],12),IF(Main[[#This Row],[Class]]="A",WORKDAY(Main[[#This Row],[Tech Start Date]],4),""))))</f>
        <v/>
      </c>
      <c r="O1192" s="75" t="str">
        <f>IF(Main[[#This Row],[Tech Start Date]]&lt;1/1/1990,"",IF(Main[[#This Row],[Class]]="C",WORKDAY(Main[[#This Row],[Tech Start Date]],23),IF(Main[[#This Row],[Class]]="B", WORKDAY(Main[[#This Row],[Tech Start Date]],15),IF(Main[[#This Row],[Class]]="A",WORKDAY(Main[[#This Row],[Tech Start Date]],5),""))))</f>
        <v/>
      </c>
      <c r="P1192" s="75" t="str">
        <f>IF(Main[[#This Row],[Tech Start Date]]&lt;1/1/1990,"",IF(Main[[#This Row],[Class]]="C",WORKDAY(Main[[#This Row],[Tech Start Date]],28),IF(Main[[#This Row],[Class]]="B", WORKDAY(Main[[#This Row],[Tech Start Date]],19),IF(Main[[#This Row],[Class]]="A",WORKDAY(Main[[#This Row],[Tech Start Date]],9),""))))</f>
        <v/>
      </c>
      <c r="Q1192" s="89">
        <v>40998</v>
      </c>
      <c r="R1192" s="121"/>
      <c r="S1192" s="99" t="s">
        <v>6</v>
      </c>
      <c r="T1192" s="76" t="s">
        <v>4</v>
      </c>
      <c r="U1192" s="99" t="s">
        <v>29</v>
      </c>
      <c r="V1192" s="99" t="s">
        <v>1916</v>
      </c>
      <c r="W1192" s="99" t="s">
        <v>1917</v>
      </c>
      <c r="X1192" s="99" t="s">
        <v>2816</v>
      </c>
      <c r="Y1192" s="73" t="s">
        <v>2932</v>
      </c>
      <c r="Z1192" s="73" t="s">
        <v>30</v>
      </c>
      <c r="AA1192" s="99" t="s">
        <v>2816</v>
      </c>
    </row>
    <row r="1193" spans="1:27" ht="17.25" customHeight="1">
      <c r="A1193" s="65" t="str">
        <f>IF(priority(Main[[#This Row],[Comments]])&lt;&gt;0, priority(Main[[#This Row],[Comments]]),"")</f>
        <v/>
      </c>
      <c r="B1193" s="60" t="s">
        <v>2051</v>
      </c>
      <c r="C1193" s="105" t="s">
        <v>4</v>
      </c>
      <c r="D1193" s="74" t="s">
        <v>2052</v>
      </c>
      <c r="E1193" s="89">
        <v>40757.464699074073</v>
      </c>
      <c r="F1193" s="89"/>
      <c r="G1193" s="65" t="str">
        <f>IF(stdProdLT(Main[[#This Row],[Comments]])=0.1,"N/A",IF(stdProdLT(Main[[#This Row],[Comments]])=0,"",TRIM(stdProdLT(Main[[#This Row],[Comments]]))))</f>
        <v/>
      </c>
      <c r="H1193" s="98" t="str">
        <f>IF(Main[[#This Row],[Std. Prod. Lead Time]]="N/A", "",IF(AND(Main[[#This Row],[In Stock Date]]&lt;&gt;"",Main[[#This Row],[Revised Due Date]]&lt;&gt;"",Main[[#This Row],[In Stock Date]]&lt;&gt;""),Main[[#This Row],[In Stock Date]]-Main[[#This Row],[Revised Due Date]],""))</f>
        <v/>
      </c>
      <c r="I1193" s="110" t="s">
        <v>4</v>
      </c>
      <c r="J1193" s="99" t="s">
        <v>4</v>
      </c>
      <c r="K1193" s="100" t="s">
        <v>4</v>
      </c>
      <c r="L1193" s="89"/>
      <c r="M1193" s="75" t="str">
        <f>IF(Main[[#This Row],[Tech Start Date]]&lt;1/1/1990,"",IF(Main[[#This Row],[Class]]="C",WORKDAY(Main[[#This Row],[Tech Start Date]],9),IF(Main[[#This Row],[Class]]="B", WORKDAY(Main[[#This Row],[Tech Start Date]],6),IF(Main[[#This Row],[Class]]="A",WORKDAY(Main[[#This Row],[Tech Start Date]],2),""))))</f>
        <v/>
      </c>
      <c r="N1193" s="75" t="str">
        <f>IF(Main[[#This Row],[Tech Start Date]]&lt;1/1/1990,"",IF(Main[[#This Row],[Class]]="C",WORKDAY(Main[[#This Row],[Tech Start Date]],19),IF(Main[[#This Row],[Class]]="B", WORKDAY(Main[[#This Row],[Tech Start Date]],12),IF(Main[[#This Row],[Class]]="A",WORKDAY(Main[[#This Row],[Tech Start Date]],4),""))))</f>
        <v/>
      </c>
      <c r="O1193" s="75" t="str">
        <f>IF(Main[[#This Row],[Tech Start Date]]&lt;1/1/1990,"",IF(Main[[#This Row],[Class]]="C",WORKDAY(Main[[#This Row],[Tech Start Date]],23),IF(Main[[#This Row],[Class]]="B", WORKDAY(Main[[#This Row],[Tech Start Date]],15),IF(Main[[#This Row],[Class]]="A",WORKDAY(Main[[#This Row],[Tech Start Date]],5),""))))</f>
        <v/>
      </c>
      <c r="P1193" s="75" t="str">
        <f>IF(Main[[#This Row],[Tech Start Date]]&lt;1/1/1990,"",IF(Main[[#This Row],[Class]]="C",WORKDAY(Main[[#This Row],[Tech Start Date]],28),IF(Main[[#This Row],[Class]]="B", WORKDAY(Main[[#This Row],[Tech Start Date]],19),IF(Main[[#This Row],[Class]]="A",WORKDAY(Main[[#This Row],[Tech Start Date]],9),""))))</f>
        <v/>
      </c>
      <c r="Q1193" s="89"/>
      <c r="R1193" s="121"/>
      <c r="S1193" s="99" t="s">
        <v>17</v>
      </c>
      <c r="T1193" s="76" t="s">
        <v>4</v>
      </c>
      <c r="U1193" s="99" t="s">
        <v>29</v>
      </c>
      <c r="V1193" s="99" t="s">
        <v>1916</v>
      </c>
      <c r="W1193" s="99" t="s">
        <v>4</v>
      </c>
      <c r="X1193" s="99" t="s">
        <v>652</v>
      </c>
      <c r="Y1193" s="73" t="s">
        <v>3120</v>
      </c>
      <c r="Z1193" s="73" t="s">
        <v>4</v>
      </c>
      <c r="AA1193" s="99" t="s">
        <v>652</v>
      </c>
    </row>
    <row r="1194" spans="1:27" ht="17.25" customHeight="1">
      <c r="A1194" s="65" t="str">
        <f>IF(priority(Main[[#This Row],[Comments]])&lt;&gt;0, priority(Main[[#This Row],[Comments]]),"")</f>
        <v/>
      </c>
      <c r="B1194" s="60" t="s">
        <v>2534</v>
      </c>
      <c r="C1194" s="105" t="s">
        <v>4</v>
      </c>
      <c r="D1194" s="74" t="s">
        <v>2535</v>
      </c>
      <c r="E1194" s="89"/>
      <c r="F1194" s="89"/>
      <c r="G1194" s="65" t="str">
        <f>IF(stdProdLT(Main[[#This Row],[Comments]])=0.1,"N/A",IF(stdProdLT(Main[[#This Row],[Comments]])=0,"",TRIM(stdProdLT(Main[[#This Row],[Comments]]))))</f>
        <v/>
      </c>
      <c r="H1194" s="98" t="str">
        <f>IF(Main[[#This Row],[Std. Prod. Lead Time]]="N/A", "",IF(AND(Main[[#This Row],[In Stock Date]]&lt;&gt;"",Main[[#This Row],[Revised Due Date]]&lt;&gt;"",Main[[#This Row],[In Stock Date]]&lt;&gt;""),Main[[#This Row],[In Stock Date]]-Main[[#This Row],[Revised Due Date]],""))</f>
        <v/>
      </c>
      <c r="I1194" s="110" t="s">
        <v>4</v>
      </c>
      <c r="J1194" s="99" t="s">
        <v>4</v>
      </c>
      <c r="K1194" s="99" t="s">
        <v>4</v>
      </c>
      <c r="L1194" s="89"/>
      <c r="M1194" s="75" t="str">
        <f>IF(Main[[#This Row],[Tech Start Date]]&lt;1/1/1990,"",IF(Main[[#This Row],[Class]]="C",WORKDAY(Main[[#This Row],[Tech Start Date]],9),IF(Main[[#This Row],[Class]]="B", WORKDAY(Main[[#This Row],[Tech Start Date]],6),IF(Main[[#This Row],[Class]]="A",WORKDAY(Main[[#This Row],[Tech Start Date]],2),""))))</f>
        <v/>
      </c>
      <c r="N1194" s="75" t="str">
        <f>IF(Main[[#This Row],[Tech Start Date]]&lt;1/1/1990,"",IF(Main[[#This Row],[Class]]="C",WORKDAY(Main[[#This Row],[Tech Start Date]],19),IF(Main[[#This Row],[Class]]="B", WORKDAY(Main[[#This Row],[Tech Start Date]],12),IF(Main[[#This Row],[Class]]="A",WORKDAY(Main[[#This Row],[Tech Start Date]],4),""))))</f>
        <v/>
      </c>
      <c r="O1194" s="75" t="str">
        <f>IF(Main[[#This Row],[Tech Start Date]]&lt;1/1/1990,"",IF(Main[[#This Row],[Class]]="C",WORKDAY(Main[[#This Row],[Tech Start Date]],23),IF(Main[[#This Row],[Class]]="B", WORKDAY(Main[[#This Row],[Tech Start Date]],15),IF(Main[[#This Row],[Class]]="A",WORKDAY(Main[[#This Row],[Tech Start Date]],5),""))))</f>
        <v/>
      </c>
      <c r="P1194" s="75" t="str">
        <f>IF(Main[[#This Row],[Tech Start Date]]&lt;1/1/1990,"",IF(Main[[#This Row],[Class]]="C",WORKDAY(Main[[#This Row],[Tech Start Date]],28),IF(Main[[#This Row],[Class]]="B", WORKDAY(Main[[#This Row],[Tech Start Date]],19),IF(Main[[#This Row],[Class]]="A",WORKDAY(Main[[#This Row],[Tech Start Date]],9),""))))</f>
        <v/>
      </c>
      <c r="Q1194" s="89"/>
      <c r="R1194" s="121"/>
      <c r="S1194" s="99" t="s">
        <v>6</v>
      </c>
      <c r="T1194" s="76" t="s">
        <v>4</v>
      </c>
      <c r="U1194" s="99" t="s">
        <v>14</v>
      </c>
      <c r="V1194" s="99" t="s">
        <v>1923</v>
      </c>
      <c r="W1194" s="99" t="s">
        <v>1917</v>
      </c>
      <c r="X1194" s="99" t="s">
        <v>102</v>
      </c>
      <c r="Y1194" s="73" t="s">
        <v>3123</v>
      </c>
      <c r="Z1194" s="73" t="s">
        <v>4</v>
      </c>
      <c r="AA1194" s="99" t="s">
        <v>3416</v>
      </c>
    </row>
    <row r="1195" spans="1:27" ht="17.25" customHeight="1">
      <c r="A1195" s="65" t="str">
        <f>IF(priority(Main[[#This Row],[Comments]])&lt;&gt;0, priority(Main[[#This Row],[Comments]]),"")</f>
        <v/>
      </c>
      <c r="B1195" s="60" t="s">
        <v>1734</v>
      </c>
      <c r="C1195" s="105" t="s">
        <v>4</v>
      </c>
      <c r="D1195" s="74" t="s">
        <v>3268</v>
      </c>
      <c r="E1195" s="89">
        <v>40540.606365740743</v>
      </c>
      <c r="F1195" s="89"/>
      <c r="G1195" s="65" t="str">
        <f>IF(stdProdLT(Main[[#This Row],[Comments]])=0.1,"N/A",IF(stdProdLT(Main[[#This Row],[Comments]])=0,"",TRIM(stdProdLT(Main[[#This Row],[Comments]]))))</f>
        <v/>
      </c>
      <c r="H1195" s="98" t="str">
        <f>IF(Main[[#This Row],[Std. Prod. Lead Time]]="N/A", "",IF(AND(Main[[#This Row],[In Stock Date]]&lt;&gt;"",Main[[#This Row],[Revised Due Date]]&lt;&gt;"",Main[[#This Row],[In Stock Date]]&lt;&gt;""),Main[[#This Row],[In Stock Date]]-Main[[#This Row],[Revised Due Date]],""))</f>
        <v/>
      </c>
      <c r="I1195" s="110" t="s">
        <v>1972</v>
      </c>
      <c r="J1195" s="99" t="s">
        <v>28</v>
      </c>
      <c r="K1195" s="99" t="s">
        <v>1925</v>
      </c>
      <c r="L1195" s="89"/>
      <c r="M1195" s="75" t="str">
        <f>IF(Main[[#This Row],[Tech Start Date]]&lt;1/1/1990,"",IF(Main[[#This Row],[Class]]="C",WORKDAY(Main[[#This Row],[Tech Start Date]],9),IF(Main[[#This Row],[Class]]="B", WORKDAY(Main[[#This Row],[Tech Start Date]],6),IF(Main[[#This Row],[Class]]="A",WORKDAY(Main[[#This Row],[Tech Start Date]],2),""))))</f>
        <v/>
      </c>
      <c r="N1195" s="75" t="str">
        <f>IF(Main[[#This Row],[Tech Start Date]]&lt;1/1/1990,"",IF(Main[[#This Row],[Class]]="C",WORKDAY(Main[[#This Row],[Tech Start Date]],19),IF(Main[[#This Row],[Class]]="B", WORKDAY(Main[[#This Row],[Tech Start Date]],12),IF(Main[[#This Row],[Class]]="A",WORKDAY(Main[[#This Row],[Tech Start Date]],4),""))))</f>
        <v/>
      </c>
      <c r="O1195" s="75" t="str">
        <f>IF(Main[[#This Row],[Tech Start Date]]&lt;1/1/1990,"",IF(Main[[#This Row],[Class]]="C",WORKDAY(Main[[#This Row],[Tech Start Date]],23),IF(Main[[#This Row],[Class]]="B", WORKDAY(Main[[#This Row],[Tech Start Date]],15),IF(Main[[#This Row],[Class]]="A",WORKDAY(Main[[#This Row],[Tech Start Date]],5),""))))</f>
        <v/>
      </c>
      <c r="P1195" s="75" t="str">
        <f>IF(Main[[#This Row],[Tech Start Date]]&lt;1/1/1990,"",IF(Main[[#This Row],[Class]]="C",WORKDAY(Main[[#This Row],[Tech Start Date]],28),IF(Main[[#This Row],[Class]]="B", WORKDAY(Main[[#This Row],[Tech Start Date]],19),IF(Main[[#This Row],[Class]]="A",WORKDAY(Main[[#This Row],[Tech Start Date]],9),""))))</f>
        <v/>
      </c>
      <c r="Q1195" s="89"/>
      <c r="R1195" s="121">
        <v>40875</v>
      </c>
      <c r="S1195" s="99" t="s">
        <v>17</v>
      </c>
      <c r="T1195" s="76" t="s">
        <v>4</v>
      </c>
      <c r="U1195" s="99" t="s">
        <v>29</v>
      </c>
      <c r="V1195" s="99" t="s">
        <v>1916</v>
      </c>
      <c r="W1195" s="99" t="s">
        <v>1918</v>
      </c>
      <c r="X1195" s="99" t="s">
        <v>553</v>
      </c>
      <c r="Y1195" s="73" t="s">
        <v>2946</v>
      </c>
      <c r="Z1195" s="73" t="s">
        <v>652</v>
      </c>
      <c r="AA1195" s="99" t="s">
        <v>553</v>
      </c>
    </row>
    <row r="1196" spans="1:27" ht="17.25" customHeight="1">
      <c r="A1196" s="65" t="str">
        <f>IF(priority(Main[[#This Row],[Comments]])&lt;&gt;0, priority(Main[[#This Row],[Comments]]),"")</f>
        <v/>
      </c>
      <c r="B1196" s="60" t="s">
        <v>1296</v>
      </c>
      <c r="C1196" s="105" t="s">
        <v>4</v>
      </c>
      <c r="D1196" s="74" t="s">
        <v>369</v>
      </c>
      <c r="E1196" s="89">
        <v>40610.689421296294</v>
      </c>
      <c r="F1196" s="89"/>
      <c r="G1196" s="65" t="str">
        <f>IF(stdProdLT(Main[[#This Row],[Comments]])=0.1,"N/A",IF(stdProdLT(Main[[#This Row],[Comments]])=0,"",TRIM(stdProdLT(Main[[#This Row],[Comments]]))))</f>
        <v/>
      </c>
      <c r="H1196" s="98" t="str">
        <f>IF(Main[[#This Row],[Std. Prod. Lead Time]]="N/A", "",IF(AND(Main[[#This Row],[In Stock Date]]&lt;&gt;"",Main[[#This Row],[Revised Due Date]]&lt;&gt;"",Main[[#This Row],[In Stock Date]]&lt;&gt;""),Main[[#This Row],[In Stock Date]]-Main[[#This Row],[Revised Due Date]],""))</f>
        <v/>
      </c>
      <c r="I1196" s="110" t="s">
        <v>239</v>
      </c>
      <c r="J1196" s="99" t="s">
        <v>28</v>
      </c>
      <c r="K1196" s="99" t="s">
        <v>1922</v>
      </c>
      <c r="L1196" s="89"/>
      <c r="M1196" s="75" t="str">
        <f>IF(Main[[#This Row],[Tech Start Date]]&lt;1/1/1990,"",IF(Main[[#This Row],[Class]]="C",WORKDAY(Main[[#This Row],[Tech Start Date]],9),IF(Main[[#This Row],[Class]]="B", WORKDAY(Main[[#This Row],[Tech Start Date]],6),IF(Main[[#This Row],[Class]]="A",WORKDAY(Main[[#This Row],[Tech Start Date]],2),""))))</f>
        <v/>
      </c>
      <c r="N1196" s="75" t="str">
        <f>IF(Main[[#This Row],[Tech Start Date]]&lt;1/1/1990,"",IF(Main[[#This Row],[Class]]="C",WORKDAY(Main[[#This Row],[Tech Start Date]],19),IF(Main[[#This Row],[Class]]="B", WORKDAY(Main[[#This Row],[Tech Start Date]],12),IF(Main[[#This Row],[Class]]="A",WORKDAY(Main[[#This Row],[Tech Start Date]],4),""))))</f>
        <v/>
      </c>
      <c r="O1196" s="75" t="str">
        <f>IF(Main[[#This Row],[Tech Start Date]]&lt;1/1/1990,"",IF(Main[[#This Row],[Class]]="C",WORKDAY(Main[[#This Row],[Tech Start Date]],23),IF(Main[[#This Row],[Class]]="B", WORKDAY(Main[[#This Row],[Tech Start Date]],15),IF(Main[[#This Row],[Class]]="A",WORKDAY(Main[[#This Row],[Tech Start Date]],5),""))))</f>
        <v/>
      </c>
      <c r="P1196" s="75" t="str">
        <f>IF(Main[[#This Row],[Tech Start Date]]&lt;1/1/1990,"",IF(Main[[#This Row],[Class]]="C",WORKDAY(Main[[#This Row],[Tech Start Date]],28),IF(Main[[#This Row],[Class]]="B", WORKDAY(Main[[#This Row],[Tech Start Date]],19),IF(Main[[#This Row],[Class]]="A",WORKDAY(Main[[#This Row],[Tech Start Date]],9),""))))</f>
        <v/>
      </c>
      <c r="Q1196" s="89">
        <v>40695</v>
      </c>
      <c r="R1196" s="121"/>
      <c r="S1196" s="99" t="s">
        <v>6</v>
      </c>
      <c r="T1196" s="76" t="s">
        <v>4</v>
      </c>
      <c r="U1196" s="99" t="s">
        <v>29</v>
      </c>
      <c r="V1196" s="99" t="s">
        <v>1916</v>
      </c>
      <c r="W1196" s="99" t="s">
        <v>1915</v>
      </c>
      <c r="X1196" s="99" t="s">
        <v>553</v>
      </c>
      <c r="Y1196" s="73" t="s">
        <v>2946</v>
      </c>
      <c r="Z1196" s="73" t="s">
        <v>306</v>
      </c>
      <c r="AA1196" s="99" t="s">
        <v>553</v>
      </c>
    </row>
    <row r="1197" spans="1:27" ht="17.25" customHeight="1">
      <c r="A1197" s="65" t="str">
        <f>IF(priority(Main[[#This Row],[Comments]])&lt;&gt;0, priority(Main[[#This Row],[Comments]]),"")</f>
        <v/>
      </c>
      <c r="B1197" s="60" t="s">
        <v>2541</v>
      </c>
      <c r="C1197" s="105" t="s">
        <v>2542</v>
      </c>
      <c r="D1197" s="74" t="s">
        <v>2543</v>
      </c>
      <c r="E1197" s="89"/>
      <c r="F1197" s="89"/>
      <c r="G1197" s="65" t="str">
        <f>IF(stdProdLT(Main[[#This Row],[Comments]])=0.1,"N/A",IF(stdProdLT(Main[[#This Row],[Comments]])=0,"",TRIM(stdProdLT(Main[[#This Row],[Comments]]))))</f>
        <v/>
      </c>
      <c r="H1197" s="98" t="str">
        <f>IF(Main[[#This Row],[Std. Prod. Lead Time]]="N/A", "",IF(AND(Main[[#This Row],[In Stock Date]]&lt;&gt;"",Main[[#This Row],[Revised Due Date]]&lt;&gt;"",Main[[#This Row],[In Stock Date]]&lt;&gt;""),Main[[#This Row],[In Stock Date]]-Main[[#This Row],[Revised Due Date]],""))</f>
        <v/>
      </c>
      <c r="I1197" s="110" t="s">
        <v>4</v>
      </c>
      <c r="J1197" s="99" t="s">
        <v>4</v>
      </c>
      <c r="K1197" s="99" t="s">
        <v>4</v>
      </c>
      <c r="L1197" s="89"/>
      <c r="M1197" s="75" t="str">
        <f>IF(Main[[#This Row],[Tech Start Date]]&lt;1/1/1990,"",IF(Main[[#This Row],[Class]]="C",WORKDAY(Main[[#This Row],[Tech Start Date]],9),IF(Main[[#This Row],[Class]]="B", WORKDAY(Main[[#This Row],[Tech Start Date]],6),IF(Main[[#This Row],[Class]]="A",WORKDAY(Main[[#This Row],[Tech Start Date]],2),""))))</f>
        <v/>
      </c>
      <c r="N1197" s="75" t="str">
        <f>IF(Main[[#This Row],[Tech Start Date]]&lt;1/1/1990,"",IF(Main[[#This Row],[Class]]="C",WORKDAY(Main[[#This Row],[Tech Start Date]],19),IF(Main[[#This Row],[Class]]="B", WORKDAY(Main[[#This Row],[Tech Start Date]],12),IF(Main[[#This Row],[Class]]="A",WORKDAY(Main[[#This Row],[Tech Start Date]],4),""))))</f>
        <v/>
      </c>
      <c r="O1197" s="75" t="str">
        <f>IF(Main[[#This Row],[Tech Start Date]]&lt;1/1/1990,"",IF(Main[[#This Row],[Class]]="C",WORKDAY(Main[[#This Row],[Tech Start Date]],23),IF(Main[[#This Row],[Class]]="B", WORKDAY(Main[[#This Row],[Tech Start Date]],15),IF(Main[[#This Row],[Class]]="A",WORKDAY(Main[[#This Row],[Tech Start Date]],5),""))))</f>
        <v/>
      </c>
      <c r="P1197" s="75" t="str">
        <f>IF(Main[[#This Row],[Tech Start Date]]&lt;1/1/1990,"",IF(Main[[#This Row],[Class]]="C",WORKDAY(Main[[#This Row],[Tech Start Date]],28),IF(Main[[#This Row],[Class]]="B", WORKDAY(Main[[#This Row],[Tech Start Date]],19),IF(Main[[#This Row],[Class]]="A",WORKDAY(Main[[#This Row],[Tech Start Date]],9),""))))</f>
        <v/>
      </c>
      <c r="Q1197" s="89"/>
      <c r="R1197" s="121"/>
      <c r="S1197" s="99" t="s">
        <v>11</v>
      </c>
      <c r="T1197" s="76" t="s">
        <v>4</v>
      </c>
      <c r="U1197" s="99" t="s">
        <v>14</v>
      </c>
      <c r="V1197" s="99" t="s">
        <v>1914</v>
      </c>
      <c r="W1197" s="99" t="s">
        <v>1915</v>
      </c>
      <c r="X1197" s="99" t="s">
        <v>2810</v>
      </c>
      <c r="Y1197" s="73" t="s">
        <v>2987</v>
      </c>
      <c r="Z1197" s="73" t="s">
        <v>4</v>
      </c>
      <c r="AA1197" s="99" t="s">
        <v>3455</v>
      </c>
    </row>
    <row r="1198" spans="1:27" ht="17.25" customHeight="1">
      <c r="A1198" s="65" t="str">
        <f>IF(priority(Main[[#This Row],[Comments]])&lt;&gt;0, priority(Main[[#This Row],[Comments]]),"")</f>
        <v/>
      </c>
      <c r="B1198" s="60" t="s">
        <v>1321</v>
      </c>
      <c r="C1198" s="105" t="s">
        <v>4</v>
      </c>
      <c r="D1198" s="74" t="s">
        <v>3658</v>
      </c>
      <c r="E1198" s="89">
        <v>40585.595960648148</v>
      </c>
      <c r="F1198" s="89"/>
      <c r="G1198" s="65" t="str">
        <f>IF(stdProdLT(Main[[#This Row],[Comments]])=0.1,"N/A",IF(stdProdLT(Main[[#This Row],[Comments]])=0,"",TRIM(stdProdLT(Main[[#This Row],[Comments]]))))</f>
        <v/>
      </c>
      <c r="H1198" s="98" t="str">
        <f>IF(Main[[#This Row],[Std. Prod. Lead Time]]="N/A", "",IF(AND(Main[[#This Row],[In Stock Date]]&lt;&gt;"",Main[[#This Row],[Revised Due Date]]&lt;&gt;"",Main[[#This Row],[In Stock Date]]&lt;&gt;""),Main[[#This Row],[In Stock Date]]-Main[[#This Row],[Revised Due Date]],""))</f>
        <v/>
      </c>
      <c r="I1198" s="110" t="s">
        <v>74</v>
      </c>
      <c r="J1198" s="99" t="s">
        <v>4</v>
      </c>
      <c r="K1198" s="99" t="s">
        <v>4</v>
      </c>
      <c r="L1198" s="89"/>
      <c r="M1198" s="75" t="str">
        <f>IF(Main[[#This Row],[Tech Start Date]]&lt;1/1/1990,"",IF(Main[[#This Row],[Class]]="C",WORKDAY(Main[[#This Row],[Tech Start Date]],9),IF(Main[[#This Row],[Class]]="B", WORKDAY(Main[[#This Row],[Tech Start Date]],6),IF(Main[[#This Row],[Class]]="A",WORKDAY(Main[[#This Row],[Tech Start Date]],2),""))))</f>
        <v/>
      </c>
      <c r="N1198" s="75" t="str">
        <f>IF(Main[[#This Row],[Tech Start Date]]&lt;1/1/1990,"",IF(Main[[#This Row],[Class]]="C",WORKDAY(Main[[#This Row],[Tech Start Date]],19),IF(Main[[#This Row],[Class]]="B", WORKDAY(Main[[#This Row],[Tech Start Date]],12),IF(Main[[#This Row],[Class]]="A",WORKDAY(Main[[#This Row],[Tech Start Date]],4),""))))</f>
        <v/>
      </c>
      <c r="O1198" s="75" t="str">
        <f>IF(Main[[#This Row],[Tech Start Date]]&lt;1/1/1990,"",IF(Main[[#This Row],[Class]]="C",WORKDAY(Main[[#This Row],[Tech Start Date]],23),IF(Main[[#This Row],[Class]]="B", WORKDAY(Main[[#This Row],[Tech Start Date]],15),IF(Main[[#This Row],[Class]]="A",WORKDAY(Main[[#This Row],[Tech Start Date]],5),""))))</f>
        <v/>
      </c>
      <c r="P1198" s="75" t="str">
        <f>IF(Main[[#This Row],[Tech Start Date]]&lt;1/1/1990,"",IF(Main[[#This Row],[Class]]="C",WORKDAY(Main[[#This Row],[Tech Start Date]],28),IF(Main[[#This Row],[Class]]="B", WORKDAY(Main[[#This Row],[Tech Start Date]],19),IF(Main[[#This Row],[Class]]="A",WORKDAY(Main[[#This Row],[Tech Start Date]],9),""))))</f>
        <v/>
      </c>
      <c r="Q1198" s="89">
        <v>40592</v>
      </c>
      <c r="R1198" s="121"/>
      <c r="S1198" s="99" t="s">
        <v>6</v>
      </c>
      <c r="T1198" s="76" t="s">
        <v>4</v>
      </c>
      <c r="U1198" s="99" t="s">
        <v>29</v>
      </c>
      <c r="V1198" s="99" t="s">
        <v>1916</v>
      </c>
      <c r="W1198" s="99" t="s">
        <v>1917</v>
      </c>
      <c r="X1198" s="99" t="s">
        <v>74</v>
      </c>
      <c r="Y1198" s="73" t="s">
        <v>3025</v>
      </c>
      <c r="Z1198" s="73" t="s">
        <v>415</v>
      </c>
      <c r="AA1198" s="99" t="s">
        <v>74</v>
      </c>
    </row>
    <row r="1199" spans="1:27" ht="17.25" customHeight="1">
      <c r="A1199" s="65" t="str">
        <f>IF(priority(Main[[#This Row],[Comments]])&lt;&gt;0, priority(Main[[#This Row],[Comments]]),"")</f>
        <v/>
      </c>
      <c r="B1199" s="60" t="s">
        <v>2329</v>
      </c>
      <c r="C1199" s="105" t="s">
        <v>4</v>
      </c>
      <c r="D1199" s="74" t="s">
        <v>2330</v>
      </c>
      <c r="E1199" s="89"/>
      <c r="F1199" s="89"/>
      <c r="G1199" s="65" t="str">
        <f>IF(stdProdLT(Main[[#This Row],[Comments]])=0.1,"N/A",IF(stdProdLT(Main[[#This Row],[Comments]])=0,"",TRIM(stdProdLT(Main[[#This Row],[Comments]]))))</f>
        <v/>
      </c>
      <c r="H1199" s="98" t="str">
        <f>IF(Main[[#This Row],[Std. Prod. Lead Time]]="N/A", "",IF(AND(Main[[#This Row],[In Stock Date]]&lt;&gt;"",Main[[#This Row],[Revised Due Date]]&lt;&gt;"",Main[[#This Row],[In Stock Date]]&lt;&gt;""),Main[[#This Row],[In Stock Date]]-Main[[#This Row],[Revised Due Date]],""))</f>
        <v/>
      </c>
      <c r="I1199" s="110" t="s">
        <v>4</v>
      </c>
      <c r="J1199" s="99" t="s">
        <v>4</v>
      </c>
      <c r="K1199" s="100" t="s">
        <v>4</v>
      </c>
      <c r="L1199" s="89"/>
      <c r="M1199" s="75" t="str">
        <f>IF(Main[[#This Row],[Tech Start Date]]&lt;1/1/1990,"",IF(Main[[#This Row],[Class]]="C",WORKDAY(Main[[#This Row],[Tech Start Date]],9),IF(Main[[#This Row],[Class]]="B", WORKDAY(Main[[#This Row],[Tech Start Date]],6),IF(Main[[#This Row],[Class]]="A",WORKDAY(Main[[#This Row],[Tech Start Date]],2),""))))</f>
        <v/>
      </c>
      <c r="N1199" s="75" t="str">
        <f>IF(Main[[#This Row],[Tech Start Date]]&lt;1/1/1990,"",IF(Main[[#This Row],[Class]]="C",WORKDAY(Main[[#This Row],[Tech Start Date]],19),IF(Main[[#This Row],[Class]]="B", WORKDAY(Main[[#This Row],[Tech Start Date]],12),IF(Main[[#This Row],[Class]]="A",WORKDAY(Main[[#This Row],[Tech Start Date]],4),""))))</f>
        <v/>
      </c>
      <c r="O1199" s="75" t="str">
        <f>IF(Main[[#This Row],[Tech Start Date]]&lt;1/1/1990,"",IF(Main[[#This Row],[Class]]="C",WORKDAY(Main[[#This Row],[Tech Start Date]],23),IF(Main[[#This Row],[Class]]="B", WORKDAY(Main[[#This Row],[Tech Start Date]],15),IF(Main[[#This Row],[Class]]="A",WORKDAY(Main[[#This Row],[Tech Start Date]],5),""))))</f>
        <v/>
      </c>
      <c r="P1199" s="75" t="str">
        <f>IF(Main[[#This Row],[Tech Start Date]]&lt;1/1/1990,"",IF(Main[[#This Row],[Class]]="C",WORKDAY(Main[[#This Row],[Tech Start Date]],28),IF(Main[[#This Row],[Class]]="B", WORKDAY(Main[[#This Row],[Tech Start Date]],19),IF(Main[[#This Row],[Class]]="A",WORKDAY(Main[[#This Row],[Tech Start Date]],9),""))))</f>
        <v/>
      </c>
      <c r="Q1199" s="89"/>
      <c r="R1199" s="121"/>
      <c r="S1199" s="99" t="s">
        <v>11</v>
      </c>
      <c r="T1199" s="76" t="s">
        <v>4</v>
      </c>
      <c r="U1199" s="99" t="s">
        <v>14</v>
      </c>
      <c r="V1199" s="99" t="s">
        <v>1913</v>
      </c>
      <c r="W1199" s="99" t="s">
        <v>1921</v>
      </c>
      <c r="X1199" s="99" t="s">
        <v>306</v>
      </c>
      <c r="Y1199" s="73" t="s">
        <v>2935</v>
      </c>
      <c r="Z1199" s="73" t="s">
        <v>4</v>
      </c>
      <c r="AA1199" s="99" t="s">
        <v>306</v>
      </c>
    </row>
    <row r="1200" spans="1:27" ht="17.25" customHeight="1">
      <c r="A1200" s="65" t="str">
        <f>IF(priority(Main[[#This Row],[Comments]])&lt;&gt;0, priority(Main[[#This Row],[Comments]]),"")</f>
        <v/>
      </c>
      <c r="B1200" s="60" t="s">
        <v>2544</v>
      </c>
      <c r="C1200" s="105" t="s">
        <v>4</v>
      </c>
      <c r="D1200" s="74" t="s">
        <v>2763</v>
      </c>
      <c r="E1200" s="89">
        <v>40870.465879629628</v>
      </c>
      <c r="F1200" s="89"/>
      <c r="G1200" s="65" t="str">
        <f>IF(stdProdLT(Main[[#This Row],[Comments]])=0.1,"N/A",IF(stdProdLT(Main[[#This Row],[Comments]])=0,"",TRIM(stdProdLT(Main[[#This Row],[Comments]]))))</f>
        <v/>
      </c>
      <c r="H1200" s="98" t="str">
        <f>IF(Main[[#This Row],[Std. Prod. Lead Time]]="N/A", "",IF(AND(Main[[#This Row],[In Stock Date]]&lt;&gt;"",Main[[#This Row],[Revised Due Date]]&lt;&gt;"",Main[[#This Row],[In Stock Date]]&lt;&gt;""),Main[[#This Row],[In Stock Date]]-Main[[#This Row],[Revised Due Date]],""))</f>
        <v/>
      </c>
      <c r="I1200" s="110" t="s">
        <v>429</v>
      </c>
      <c r="J1200" s="99" t="s">
        <v>28</v>
      </c>
      <c r="K1200" s="99" t="s">
        <v>1922</v>
      </c>
      <c r="L1200" s="89"/>
      <c r="M1200" s="75" t="str">
        <f>IF(Main[[#This Row],[Tech Start Date]]&lt;1/1/1990,"",IF(Main[[#This Row],[Class]]="C",WORKDAY(Main[[#This Row],[Tech Start Date]],9),IF(Main[[#This Row],[Class]]="B", WORKDAY(Main[[#This Row],[Tech Start Date]],6),IF(Main[[#This Row],[Class]]="A",WORKDAY(Main[[#This Row],[Tech Start Date]],2),""))))</f>
        <v/>
      </c>
      <c r="N1200" s="75" t="str">
        <f>IF(Main[[#This Row],[Tech Start Date]]&lt;1/1/1990,"",IF(Main[[#This Row],[Class]]="C",WORKDAY(Main[[#This Row],[Tech Start Date]],19),IF(Main[[#This Row],[Class]]="B", WORKDAY(Main[[#This Row],[Tech Start Date]],12),IF(Main[[#This Row],[Class]]="A",WORKDAY(Main[[#This Row],[Tech Start Date]],4),""))))</f>
        <v/>
      </c>
      <c r="O1200" s="75" t="str">
        <f>IF(Main[[#This Row],[Tech Start Date]]&lt;1/1/1990,"",IF(Main[[#This Row],[Class]]="C",WORKDAY(Main[[#This Row],[Tech Start Date]],23),IF(Main[[#This Row],[Class]]="B", WORKDAY(Main[[#This Row],[Tech Start Date]],15),IF(Main[[#This Row],[Class]]="A",WORKDAY(Main[[#This Row],[Tech Start Date]],5),""))))</f>
        <v/>
      </c>
      <c r="P1200" s="75" t="str">
        <f>IF(Main[[#This Row],[Tech Start Date]]&lt;1/1/1990,"",IF(Main[[#This Row],[Class]]="C",WORKDAY(Main[[#This Row],[Tech Start Date]],28),IF(Main[[#This Row],[Class]]="B", WORKDAY(Main[[#This Row],[Tech Start Date]],19),IF(Main[[#This Row],[Class]]="A",WORKDAY(Main[[#This Row],[Tech Start Date]],9),""))))</f>
        <v/>
      </c>
      <c r="Q1200" s="89">
        <v>40905</v>
      </c>
      <c r="R1200" s="121"/>
      <c r="S1200" s="99" t="s">
        <v>6</v>
      </c>
      <c r="T1200" s="76" t="s">
        <v>4</v>
      </c>
      <c r="U1200" s="99" t="s">
        <v>29</v>
      </c>
      <c r="V1200" s="99" t="s">
        <v>1916</v>
      </c>
      <c r="W1200" s="99" t="s">
        <v>1917</v>
      </c>
      <c r="X1200" s="99" t="s">
        <v>2047</v>
      </c>
      <c r="Y1200" s="73" t="s">
        <v>3054</v>
      </c>
      <c r="Z1200" s="73" t="s">
        <v>30</v>
      </c>
      <c r="AA1200" s="99" t="s">
        <v>2889</v>
      </c>
    </row>
    <row r="1201" spans="1:27" ht="17.25" customHeight="1">
      <c r="A1201" s="65" t="str">
        <f>IF(priority(Main[[#This Row],[Comments]])&lt;&gt;0, priority(Main[[#This Row],[Comments]]),"")</f>
        <v/>
      </c>
      <c r="B1201" s="60" t="s">
        <v>2510</v>
      </c>
      <c r="C1201" s="105" t="s">
        <v>4</v>
      </c>
      <c r="D1201" s="74" t="s">
        <v>2764</v>
      </c>
      <c r="E1201" s="89">
        <v>40870.466527777775</v>
      </c>
      <c r="F1201" s="89"/>
      <c r="G1201" s="65" t="str">
        <f>IF(stdProdLT(Main[[#This Row],[Comments]])=0.1,"N/A",IF(stdProdLT(Main[[#This Row],[Comments]])=0,"",TRIM(stdProdLT(Main[[#This Row],[Comments]]))))</f>
        <v/>
      </c>
      <c r="H1201" s="98" t="str">
        <f>IF(Main[[#This Row],[Std. Prod. Lead Time]]="N/A", "",IF(AND(Main[[#This Row],[In Stock Date]]&lt;&gt;"",Main[[#This Row],[Revised Due Date]]&lt;&gt;"",Main[[#This Row],[In Stock Date]]&lt;&gt;""),Main[[#This Row],[In Stock Date]]-Main[[#This Row],[Revised Due Date]],""))</f>
        <v/>
      </c>
      <c r="I1201" s="110" t="s">
        <v>429</v>
      </c>
      <c r="J1201" s="99" t="s">
        <v>28</v>
      </c>
      <c r="K1201" s="99" t="s">
        <v>1922</v>
      </c>
      <c r="L1201" s="89"/>
      <c r="M1201" s="75" t="str">
        <f>IF(Main[[#This Row],[Tech Start Date]]&lt;1/1/1990,"",IF(Main[[#This Row],[Class]]="C",WORKDAY(Main[[#This Row],[Tech Start Date]],9),IF(Main[[#This Row],[Class]]="B", WORKDAY(Main[[#This Row],[Tech Start Date]],6),IF(Main[[#This Row],[Class]]="A",WORKDAY(Main[[#This Row],[Tech Start Date]],2),""))))</f>
        <v/>
      </c>
      <c r="N1201" s="75" t="str">
        <f>IF(Main[[#This Row],[Tech Start Date]]&lt;1/1/1990,"",IF(Main[[#This Row],[Class]]="C",WORKDAY(Main[[#This Row],[Tech Start Date]],19),IF(Main[[#This Row],[Class]]="B", WORKDAY(Main[[#This Row],[Tech Start Date]],12),IF(Main[[#This Row],[Class]]="A",WORKDAY(Main[[#This Row],[Tech Start Date]],4),""))))</f>
        <v/>
      </c>
      <c r="O1201" s="75" t="str">
        <f>IF(Main[[#This Row],[Tech Start Date]]&lt;1/1/1990,"",IF(Main[[#This Row],[Class]]="C",WORKDAY(Main[[#This Row],[Tech Start Date]],23),IF(Main[[#This Row],[Class]]="B", WORKDAY(Main[[#This Row],[Tech Start Date]],15),IF(Main[[#This Row],[Class]]="A",WORKDAY(Main[[#This Row],[Tech Start Date]],5),""))))</f>
        <v/>
      </c>
      <c r="P1201" s="75" t="str">
        <f>IF(Main[[#This Row],[Tech Start Date]]&lt;1/1/1990,"",IF(Main[[#This Row],[Class]]="C",WORKDAY(Main[[#This Row],[Tech Start Date]],28),IF(Main[[#This Row],[Class]]="B", WORKDAY(Main[[#This Row],[Tech Start Date]],19),IF(Main[[#This Row],[Class]]="A",WORKDAY(Main[[#This Row],[Tech Start Date]],9),""))))</f>
        <v/>
      </c>
      <c r="Q1201" s="89">
        <v>40905</v>
      </c>
      <c r="R1201" s="121"/>
      <c r="S1201" s="99" t="s">
        <v>6</v>
      </c>
      <c r="T1201" s="76" t="s">
        <v>4</v>
      </c>
      <c r="U1201" s="99" t="s">
        <v>29</v>
      </c>
      <c r="V1201" s="99" t="s">
        <v>1916</v>
      </c>
      <c r="W1201" s="99" t="s">
        <v>1917</v>
      </c>
      <c r="X1201" s="99" t="s">
        <v>2047</v>
      </c>
      <c r="Y1201" s="73" t="s">
        <v>3054</v>
      </c>
      <c r="Z1201" s="73" t="s">
        <v>30</v>
      </c>
      <c r="AA1201" s="99" t="s">
        <v>2889</v>
      </c>
    </row>
    <row r="1202" spans="1:27" ht="17.25" customHeight="1">
      <c r="A1202" s="65" t="str">
        <f>IF(priority(Main[[#This Row],[Comments]])&lt;&gt;0, priority(Main[[#This Row],[Comments]]),"")</f>
        <v/>
      </c>
      <c r="B1202" s="60" t="s">
        <v>3656</v>
      </c>
      <c r="C1202" s="105" t="s">
        <v>4</v>
      </c>
      <c r="D1202" s="74" t="s">
        <v>3897</v>
      </c>
      <c r="E1202" s="89">
        <v>40967.682060185187</v>
      </c>
      <c r="F1202" s="89"/>
      <c r="G1202" s="65" t="str">
        <f>IF(stdProdLT(Main[[#This Row],[Comments]])=0.1,"N/A",IF(stdProdLT(Main[[#This Row],[Comments]])=0,"",TRIM(stdProdLT(Main[[#This Row],[Comments]]))))</f>
        <v/>
      </c>
      <c r="H1202" s="98" t="str">
        <f>IF(Main[[#This Row],[Std. Prod. Lead Time]]="N/A", "",IF(AND(Main[[#This Row],[In Stock Date]]&lt;&gt;"",Main[[#This Row],[Revised Due Date]]&lt;&gt;"",Main[[#This Row],[In Stock Date]]&lt;&gt;""),Main[[#This Row],[In Stock Date]]-Main[[#This Row],[Revised Due Date]],""))</f>
        <v/>
      </c>
      <c r="I1202" s="110" t="s">
        <v>4</v>
      </c>
      <c r="J1202" s="99" t="s">
        <v>21</v>
      </c>
      <c r="K1202" s="99" t="s">
        <v>4</v>
      </c>
      <c r="L1202" s="89"/>
      <c r="M1202" s="75" t="str">
        <f>IF(Main[[#This Row],[Tech Start Date]]&lt;1/1/1990,"",IF(Main[[#This Row],[Class]]="C",WORKDAY(Main[[#This Row],[Tech Start Date]],9),IF(Main[[#This Row],[Class]]="B", WORKDAY(Main[[#This Row],[Tech Start Date]],6),IF(Main[[#This Row],[Class]]="A",WORKDAY(Main[[#This Row],[Tech Start Date]],2),""))))</f>
        <v/>
      </c>
      <c r="N1202" s="75" t="str">
        <f>IF(Main[[#This Row],[Tech Start Date]]&lt;1/1/1990,"",IF(Main[[#This Row],[Class]]="C",WORKDAY(Main[[#This Row],[Tech Start Date]],19),IF(Main[[#This Row],[Class]]="B", WORKDAY(Main[[#This Row],[Tech Start Date]],12),IF(Main[[#This Row],[Class]]="A",WORKDAY(Main[[#This Row],[Tech Start Date]],4),""))))</f>
        <v/>
      </c>
      <c r="O1202" s="75" t="str">
        <f>IF(Main[[#This Row],[Tech Start Date]]&lt;1/1/1990,"",IF(Main[[#This Row],[Class]]="C",WORKDAY(Main[[#This Row],[Tech Start Date]],23),IF(Main[[#This Row],[Class]]="B", WORKDAY(Main[[#This Row],[Tech Start Date]],15),IF(Main[[#This Row],[Class]]="A",WORKDAY(Main[[#This Row],[Tech Start Date]],5),""))))</f>
        <v/>
      </c>
      <c r="P1202" s="75" t="str">
        <f>IF(Main[[#This Row],[Tech Start Date]]&lt;1/1/1990,"",IF(Main[[#This Row],[Class]]="C",WORKDAY(Main[[#This Row],[Tech Start Date]],28),IF(Main[[#This Row],[Class]]="B", WORKDAY(Main[[#This Row],[Tech Start Date]],19),IF(Main[[#This Row],[Class]]="A",WORKDAY(Main[[#This Row],[Tech Start Date]],9),""))))</f>
        <v/>
      </c>
      <c r="Q1202" s="89">
        <v>40732</v>
      </c>
      <c r="R1202" s="121"/>
      <c r="S1202" s="99" t="s">
        <v>6</v>
      </c>
      <c r="T1202" s="76" t="s">
        <v>4</v>
      </c>
      <c r="U1202" s="99" t="s">
        <v>29</v>
      </c>
      <c r="V1202" s="99" t="s">
        <v>1914</v>
      </c>
      <c r="W1202" s="99" t="s">
        <v>1917</v>
      </c>
      <c r="X1202" s="99" t="s">
        <v>399</v>
      </c>
      <c r="Y1202" s="73" t="s">
        <v>3110</v>
      </c>
      <c r="Z1202" s="73" t="s">
        <v>2049</v>
      </c>
      <c r="AA1202" s="99" t="s">
        <v>3383</v>
      </c>
    </row>
    <row r="1203" spans="1:27" ht="17.25" customHeight="1">
      <c r="A1203" s="65" t="str">
        <f>IF(priority(Main[[#This Row],[Comments]])&lt;&gt;0, priority(Main[[#This Row],[Comments]]),"")</f>
        <v/>
      </c>
      <c r="B1203" s="60" t="s">
        <v>3659</v>
      </c>
      <c r="C1203" s="105" t="s">
        <v>4</v>
      </c>
      <c r="D1203" s="74" t="s">
        <v>3660</v>
      </c>
      <c r="E1203" s="89">
        <v>40962.337222222224</v>
      </c>
      <c r="F1203" s="89"/>
      <c r="G1203" s="65" t="str">
        <f>IF(stdProdLT(Main[[#This Row],[Comments]])=0.1,"N/A",IF(stdProdLT(Main[[#This Row],[Comments]])=0,"",TRIM(stdProdLT(Main[[#This Row],[Comments]]))))</f>
        <v/>
      </c>
      <c r="H1203" s="98" t="str">
        <f>IF(Main[[#This Row],[Std. Prod. Lead Time]]="N/A", "",IF(AND(Main[[#This Row],[In Stock Date]]&lt;&gt;"",Main[[#This Row],[Revised Due Date]]&lt;&gt;"",Main[[#This Row],[In Stock Date]]&lt;&gt;""),Main[[#This Row],[In Stock Date]]-Main[[#This Row],[Revised Due Date]],""))</f>
        <v/>
      </c>
      <c r="I1203" s="110" t="s">
        <v>4</v>
      </c>
      <c r="J1203" s="99" t="s">
        <v>4</v>
      </c>
      <c r="K1203" s="99" t="s">
        <v>4</v>
      </c>
      <c r="L1203" s="89"/>
      <c r="M1203" s="75" t="str">
        <f>IF(Main[[#This Row],[Tech Start Date]]&lt;1/1/1990,"",IF(Main[[#This Row],[Class]]="C",WORKDAY(Main[[#This Row],[Tech Start Date]],9),IF(Main[[#This Row],[Class]]="B", WORKDAY(Main[[#This Row],[Tech Start Date]],6),IF(Main[[#This Row],[Class]]="A",WORKDAY(Main[[#This Row],[Tech Start Date]],2),""))))</f>
        <v/>
      </c>
      <c r="N1203" s="75" t="str">
        <f>IF(Main[[#This Row],[Tech Start Date]]&lt;1/1/1990,"",IF(Main[[#This Row],[Class]]="C",WORKDAY(Main[[#This Row],[Tech Start Date]],19),IF(Main[[#This Row],[Class]]="B", WORKDAY(Main[[#This Row],[Tech Start Date]],12),IF(Main[[#This Row],[Class]]="A",WORKDAY(Main[[#This Row],[Tech Start Date]],4),""))))</f>
        <v/>
      </c>
      <c r="O1203" s="75" t="str">
        <f>IF(Main[[#This Row],[Tech Start Date]]&lt;1/1/1990,"",IF(Main[[#This Row],[Class]]="C",WORKDAY(Main[[#This Row],[Tech Start Date]],23),IF(Main[[#This Row],[Class]]="B", WORKDAY(Main[[#This Row],[Tech Start Date]],15),IF(Main[[#This Row],[Class]]="A",WORKDAY(Main[[#This Row],[Tech Start Date]],5),""))))</f>
        <v/>
      </c>
      <c r="P1203" s="75" t="str">
        <f>IF(Main[[#This Row],[Tech Start Date]]&lt;1/1/1990,"",IF(Main[[#This Row],[Class]]="C",WORKDAY(Main[[#This Row],[Tech Start Date]],28),IF(Main[[#This Row],[Class]]="B", WORKDAY(Main[[#This Row],[Tech Start Date]],19),IF(Main[[#This Row],[Class]]="A",WORKDAY(Main[[#This Row],[Tech Start Date]],9),""))))</f>
        <v/>
      </c>
      <c r="Q1203" s="89">
        <v>40991</v>
      </c>
      <c r="R1203" s="121"/>
      <c r="S1203" s="99" t="s">
        <v>6</v>
      </c>
      <c r="T1203" s="76" t="s">
        <v>4</v>
      </c>
      <c r="U1203" s="99" t="s">
        <v>7</v>
      </c>
      <c r="V1203" s="99" t="s">
        <v>1913</v>
      </c>
      <c r="W1203" s="99" t="s">
        <v>4</v>
      </c>
      <c r="X1203" s="99" t="s">
        <v>2816</v>
      </c>
      <c r="Y1203" s="73" t="s">
        <v>2932</v>
      </c>
      <c r="Z1203" s="73" t="s">
        <v>4</v>
      </c>
      <c r="AA1203" s="99" t="s">
        <v>2816</v>
      </c>
    </row>
    <row r="1204" spans="1:27" ht="17.25" customHeight="1">
      <c r="A1204" s="65" t="str">
        <f>IF(priority(Main[[#This Row],[Comments]])&lt;&gt;0, priority(Main[[#This Row],[Comments]]),"")</f>
        <v/>
      </c>
      <c r="B1204" s="60" t="s">
        <v>3661</v>
      </c>
      <c r="C1204" s="105" t="s">
        <v>4</v>
      </c>
      <c r="D1204" s="74" t="s">
        <v>3662</v>
      </c>
      <c r="E1204" s="89">
        <v>40963.259918981479</v>
      </c>
      <c r="F1204" s="89"/>
      <c r="G1204" s="65" t="str">
        <f>IF(stdProdLT(Main[[#This Row],[Comments]])=0.1,"N/A",IF(stdProdLT(Main[[#This Row],[Comments]])=0,"",TRIM(stdProdLT(Main[[#This Row],[Comments]]))))</f>
        <v/>
      </c>
      <c r="H1204" s="98" t="str">
        <f>IF(Main[[#This Row],[Std. Prod. Lead Time]]="N/A", "",IF(AND(Main[[#This Row],[In Stock Date]]&lt;&gt;"",Main[[#This Row],[Revised Due Date]]&lt;&gt;"",Main[[#This Row],[In Stock Date]]&lt;&gt;""),Main[[#This Row],[In Stock Date]]-Main[[#This Row],[Revised Due Date]],""))</f>
        <v/>
      </c>
      <c r="I1204" s="110" t="s">
        <v>4</v>
      </c>
      <c r="J1204" s="99" t="s">
        <v>4</v>
      </c>
      <c r="K1204" s="99" t="s">
        <v>4</v>
      </c>
      <c r="L1204" s="89"/>
      <c r="M1204" s="75" t="str">
        <f>IF(Main[[#This Row],[Tech Start Date]]&lt;1/1/1990,"",IF(Main[[#This Row],[Class]]="C",WORKDAY(Main[[#This Row],[Tech Start Date]],9),IF(Main[[#This Row],[Class]]="B", WORKDAY(Main[[#This Row],[Tech Start Date]],6),IF(Main[[#This Row],[Class]]="A",WORKDAY(Main[[#This Row],[Tech Start Date]],2),""))))</f>
        <v/>
      </c>
      <c r="N1204" s="75" t="str">
        <f>IF(Main[[#This Row],[Tech Start Date]]&lt;1/1/1990,"",IF(Main[[#This Row],[Class]]="C",WORKDAY(Main[[#This Row],[Tech Start Date]],19),IF(Main[[#This Row],[Class]]="B", WORKDAY(Main[[#This Row],[Tech Start Date]],12),IF(Main[[#This Row],[Class]]="A",WORKDAY(Main[[#This Row],[Tech Start Date]],4),""))))</f>
        <v/>
      </c>
      <c r="O1204" s="75" t="str">
        <f>IF(Main[[#This Row],[Tech Start Date]]&lt;1/1/1990,"",IF(Main[[#This Row],[Class]]="C",WORKDAY(Main[[#This Row],[Tech Start Date]],23),IF(Main[[#This Row],[Class]]="B", WORKDAY(Main[[#This Row],[Tech Start Date]],15),IF(Main[[#This Row],[Class]]="A",WORKDAY(Main[[#This Row],[Tech Start Date]],5),""))))</f>
        <v/>
      </c>
      <c r="P1204" s="75" t="str">
        <f>IF(Main[[#This Row],[Tech Start Date]]&lt;1/1/1990,"",IF(Main[[#This Row],[Class]]="C",WORKDAY(Main[[#This Row],[Tech Start Date]],28),IF(Main[[#This Row],[Class]]="B", WORKDAY(Main[[#This Row],[Tech Start Date]],19),IF(Main[[#This Row],[Class]]="A",WORKDAY(Main[[#This Row],[Tech Start Date]],9),""))))</f>
        <v/>
      </c>
      <c r="Q1204" s="89">
        <v>40977</v>
      </c>
      <c r="R1204" s="121"/>
      <c r="S1204" s="99" t="s">
        <v>6</v>
      </c>
      <c r="T1204" s="76" t="s">
        <v>4</v>
      </c>
      <c r="U1204" s="99" t="s">
        <v>7</v>
      </c>
      <c r="V1204" s="99" t="s">
        <v>1913</v>
      </c>
      <c r="W1204" s="99" t="s">
        <v>4</v>
      </c>
      <c r="X1204" s="99" t="s">
        <v>2845</v>
      </c>
      <c r="Y1204" s="73" t="s">
        <v>2980</v>
      </c>
      <c r="Z1204" s="73" t="s">
        <v>4</v>
      </c>
      <c r="AA1204" s="99" t="s">
        <v>2845</v>
      </c>
    </row>
    <row r="1205" spans="1:27" ht="17.25" customHeight="1">
      <c r="A1205" s="65" t="str">
        <f>IF(priority(Main[[#This Row],[Comments]])&lt;&gt;0, priority(Main[[#This Row],[Comments]]),"")</f>
        <v/>
      </c>
      <c r="B1205" s="60" t="s">
        <v>1182</v>
      </c>
      <c r="C1205" s="105" t="s">
        <v>42</v>
      </c>
      <c r="D1205" s="74" t="s">
        <v>242</v>
      </c>
      <c r="E1205" s="89">
        <v>39937.598217592589</v>
      </c>
      <c r="F1205" s="89"/>
      <c r="G1205" s="65" t="str">
        <f>IF(stdProdLT(Main[[#This Row],[Comments]])=0.1,"N/A",IF(stdProdLT(Main[[#This Row],[Comments]])=0,"",TRIM(stdProdLT(Main[[#This Row],[Comments]]))))</f>
        <v/>
      </c>
      <c r="H1205" s="98" t="str">
        <f>IF(Main[[#This Row],[Std. Prod. Lead Time]]="N/A", "",IF(AND(Main[[#This Row],[In Stock Date]]&lt;&gt;"",Main[[#This Row],[Revised Due Date]]&lt;&gt;"",Main[[#This Row],[In Stock Date]]&lt;&gt;""),Main[[#This Row],[In Stock Date]]-Main[[#This Row],[Revised Due Date]],""))</f>
        <v/>
      </c>
      <c r="I1205" s="110" t="s">
        <v>4</v>
      </c>
      <c r="J1205" s="99" t="s">
        <v>4</v>
      </c>
      <c r="K1205" s="99" t="s">
        <v>4</v>
      </c>
      <c r="L1205" s="89"/>
      <c r="M1205" s="75" t="str">
        <f>IF(Main[[#This Row],[Tech Start Date]]&lt;1/1/1990,"",IF(Main[[#This Row],[Class]]="C",WORKDAY(Main[[#This Row],[Tech Start Date]],9),IF(Main[[#This Row],[Class]]="B", WORKDAY(Main[[#This Row],[Tech Start Date]],6),IF(Main[[#This Row],[Class]]="A",WORKDAY(Main[[#This Row],[Tech Start Date]],2),""))))</f>
        <v/>
      </c>
      <c r="N1205" s="75" t="str">
        <f>IF(Main[[#This Row],[Tech Start Date]]&lt;1/1/1990,"",IF(Main[[#This Row],[Class]]="C",WORKDAY(Main[[#This Row],[Tech Start Date]],19),IF(Main[[#This Row],[Class]]="B", WORKDAY(Main[[#This Row],[Tech Start Date]],12),IF(Main[[#This Row],[Class]]="A",WORKDAY(Main[[#This Row],[Tech Start Date]],4),""))))</f>
        <v/>
      </c>
      <c r="O1205" s="75" t="str">
        <f>IF(Main[[#This Row],[Tech Start Date]]&lt;1/1/1990,"",IF(Main[[#This Row],[Class]]="C",WORKDAY(Main[[#This Row],[Tech Start Date]],23),IF(Main[[#This Row],[Class]]="B", WORKDAY(Main[[#This Row],[Tech Start Date]],15),IF(Main[[#This Row],[Class]]="A",WORKDAY(Main[[#This Row],[Tech Start Date]],5),""))))</f>
        <v/>
      </c>
      <c r="P1205" s="75" t="str">
        <f>IF(Main[[#This Row],[Tech Start Date]]&lt;1/1/1990,"",IF(Main[[#This Row],[Class]]="C",WORKDAY(Main[[#This Row],[Tech Start Date]],28),IF(Main[[#This Row],[Class]]="B", WORKDAY(Main[[#This Row],[Tech Start Date]],19),IF(Main[[#This Row],[Class]]="A",WORKDAY(Main[[#This Row],[Tech Start Date]],9),""))))</f>
        <v/>
      </c>
      <c r="Q1205" s="89"/>
      <c r="R1205" s="121">
        <v>41289</v>
      </c>
      <c r="S1205" s="99" t="s">
        <v>17</v>
      </c>
      <c r="T1205" s="76" t="s">
        <v>4</v>
      </c>
      <c r="U1205" s="99" t="s">
        <v>29</v>
      </c>
      <c r="V1205" s="99" t="s">
        <v>1916</v>
      </c>
      <c r="W1205" s="99" t="s">
        <v>4</v>
      </c>
      <c r="X1205" s="99" t="s">
        <v>399</v>
      </c>
      <c r="Y1205" s="73" t="s">
        <v>4</v>
      </c>
      <c r="Z1205" s="73" t="s">
        <v>652</v>
      </c>
      <c r="AA1205" s="99" t="s">
        <v>4</v>
      </c>
    </row>
    <row r="1206" spans="1:27" ht="17.25" customHeight="1">
      <c r="A1206" s="65" t="str">
        <f>IF(priority(Main[[#This Row],[Comments]])&lt;&gt;0, priority(Main[[#This Row],[Comments]]),"")</f>
        <v/>
      </c>
      <c r="B1206" s="60" t="s">
        <v>2163</v>
      </c>
      <c r="C1206" s="105" t="s">
        <v>2156</v>
      </c>
      <c r="D1206" s="74" t="s">
        <v>2157</v>
      </c>
      <c r="E1206" s="89">
        <v>40781.399756944447</v>
      </c>
      <c r="F1206" s="89"/>
      <c r="G1206" s="65" t="str">
        <f>IF(stdProdLT(Main[[#This Row],[Comments]])=0.1,"N/A",IF(stdProdLT(Main[[#This Row],[Comments]])=0,"",TRIM(stdProdLT(Main[[#This Row],[Comments]]))))</f>
        <v/>
      </c>
      <c r="H1206" s="98" t="str">
        <f>IF(Main[[#This Row],[Std. Prod. Lead Time]]="N/A", "",IF(AND(Main[[#This Row],[In Stock Date]]&lt;&gt;"",Main[[#This Row],[Revised Due Date]]&lt;&gt;"",Main[[#This Row],[In Stock Date]]&lt;&gt;""),Main[[#This Row],[In Stock Date]]-Main[[#This Row],[Revised Due Date]],""))</f>
        <v/>
      </c>
      <c r="I1206" s="110" t="s">
        <v>530</v>
      </c>
      <c r="J1206" s="99" t="s">
        <v>21</v>
      </c>
      <c r="K1206" s="99" t="s">
        <v>1922</v>
      </c>
      <c r="L1206" s="89"/>
      <c r="M1206" s="75" t="str">
        <f>IF(Main[[#This Row],[Tech Start Date]]&lt;1/1/1990,"",IF(Main[[#This Row],[Class]]="C",WORKDAY(Main[[#This Row],[Tech Start Date]],9),IF(Main[[#This Row],[Class]]="B", WORKDAY(Main[[#This Row],[Tech Start Date]],6),IF(Main[[#This Row],[Class]]="A",WORKDAY(Main[[#This Row],[Tech Start Date]],2),""))))</f>
        <v/>
      </c>
      <c r="N1206" s="75" t="str">
        <f>IF(Main[[#This Row],[Tech Start Date]]&lt;1/1/1990,"",IF(Main[[#This Row],[Class]]="C",WORKDAY(Main[[#This Row],[Tech Start Date]],19),IF(Main[[#This Row],[Class]]="B", WORKDAY(Main[[#This Row],[Tech Start Date]],12),IF(Main[[#This Row],[Class]]="A",WORKDAY(Main[[#This Row],[Tech Start Date]],4),""))))</f>
        <v/>
      </c>
      <c r="O1206" s="75" t="str">
        <f>IF(Main[[#This Row],[Tech Start Date]]&lt;1/1/1990,"",IF(Main[[#This Row],[Class]]="C",WORKDAY(Main[[#This Row],[Tech Start Date]],23),IF(Main[[#This Row],[Class]]="B", WORKDAY(Main[[#This Row],[Tech Start Date]],15),IF(Main[[#This Row],[Class]]="A",WORKDAY(Main[[#This Row],[Tech Start Date]],5),""))))</f>
        <v/>
      </c>
      <c r="P1206" s="75" t="str">
        <f>IF(Main[[#This Row],[Tech Start Date]]&lt;1/1/1990,"",IF(Main[[#This Row],[Class]]="C",WORKDAY(Main[[#This Row],[Tech Start Date]],28),IF(Main[[#This Row],[Class]]="B", WORKDAY(Main[[#This Row],[Tech Start Date]],19),IF(Main[[#This Row],[Class]]="A",WORKDAY(Main[[#This Row],[Tech Start Date]],9),""))))</f>
        <v/>
      </c>
      <c r="Q1206" s="89">
        <v>40836</v>
      </c>
      <c r="R1206" s="121"/>
      <c r="S1206" s="99" t="s">
        <v>6</v>
      </c>
      <c r="T1206" s="76" t="s">
        <v>4</v>
      </c>
      <c r="U1206" s="99" t="s">
        <v>29</v>
      </c>
      <c r="V1206" s="99" t="s">
        <v>1916</v>
      </c>
      <c r="W1206" s="99" t="s">
        <v>1917</v>
      </c>
      <c r="X1206" s="99" t="s">
        <v>2830</v>
      </c>
      <c r="Y1206" s="73" t="s">
        <v>2959</v>
      </c>
      <c r="Z1206" s="73" t="s">
        <v>30</v>
      </c>
      <c r="AA1206" s="99" t="s">
        <v>2830</v>
      </c>
    </row>
    <row r="1207" spans="1:27" ht="17.25" customHeight="1">
      <c r="A1207" s="65" t="str">
        <f>IF(priority(Main[[#This Row],[Comments]])&lt;&gt;0, priority(Main[[#This Row],[Comments]]),"")</f>
        <v/>
      </c>
      <c r="B1207" s="60" t="s">
        <v>3663</v>
      </c>
      <c r="C1207" s="105" t="s">
        <v>4</v>
      </c>
      <c r="D1207" s="74" t="s">
        <v>3917</v>
      </c>
      <c r="E1207" s="89">
        <v>40966.715914351851</v>
      </c>
      <c r="F1207" s="89"/>
      <c r="G1207" s="65" t="str">
        <f>IF(stdProdLT(Main[[#This Row],[Comments]])=0.1,"N/A",IF(stdProdLT(Main[[#This Row],[Comments]])=0,"",TRIM(stdProdLT(Main[[#This Row],[Comments]]))))</f>
        <v/>
      </c>
      <c r="H1207" s="98" t="str">
        <f>IF(Main[[#This Row],[Std. Prod. Lead Time]]="N/A", "",IF(AND(Main[[#This Row],[In Stock Date]]&lt;&gt;"",Main[[#This Row],[Revised Due Date]]&lt;&gt;"",Main[[#This Row],[In Stock Date]]&lt;&gt;""),Main[[#This Row],[In Stock Date]]-Main[[#This Row],[Revised Due Date]],""))</f>
        <v/>
      </c>
      <c r="I1207" s="110" t="s">
        <v>4</v>
      </c>
      <c r="J1207" s="99" t="s">
        <v>4</v>
      </c>
      <c r="K1207" s="99" t="s">
        <v>1920</v>
      </c>
      <c r="L1207" s="89"/>
      <c r="M1207" s="75" t="str">
        <f>IF(Main[[#This Row],[Tech Start Date]]&lt;1/1/1990,"",IF(Main[[#This Row],[Class]]="C",WORKDAY(Main[[#This Row],[Tech Start Date]],9),IF(Main[[#This Row],[Class]]="B", WORKDAY(Main[[#This Row],[Tech Start Date]],6),IF(Main[[#This Row],[Class]]="A",WORKDAY(Main[[#This Row],[Tech Start Date]],2),""))))</f>
        <v/>
      </c>
      <c r="N1207" s="75" t="str">
        <f>IF(Main[[#This Row],[Tech Start Date]]&lt;1/1/1990,"",IF(Main[[#This Row],[Class]]="C",WORKDAY(Main[[#This Row],[Tech Start Date]],19),IF(Main[[#This Row],[Class]]="B", WORKDAY(Main[[#This Row],[Tech Start Date]],12),IF(Main[[#This Row],[Class]]="A",WORKDAY(Main[[#This Row],[Tech Start Date]],4),""))))</f>
        <v/>
      </c>
      <c r="O1207" s="75" t="str">
        <f>IF(Main[[#This Row],[Tech Start Date]]&lt;1/1/1990,"",IF(Main[[#This Row],[Class]]="C",WORKDAY(Main[[#This Row],[Tech Start Date]],23),IF(Main[[#This Row],[Class]]="B", WORKDAY(Main[[#This Row],[Tech Start Date]],15),IF(Main[[#This Row],[Class]]="A",WORKDAY(Main[[#This Row],[Tech Start Date]],5),""))))</f>
        <v/>
      </c>
      <c r="P1207" s="75" t="str">
        <f>IF(Main[[#This Row],[Tech Start Date]]&lt;1/1/1990,"",IF(Main[[#This Row],[Class]]="C",WORKDAY(Main[[#This Row],[Tech Start Date]],28),IF(Main[[#This Row],[Class]]="B", WORKDAY(Main[[#This Row],[Tech Start Date]],19),IF(Main[[#This Row],[Class]]="A",WORKDAY(Main[[#This Row],[Tech Start Date]],9),""))))</f>
        <v/>
      </c>
      <c r="Q1207" s="89"/>
      <c r="R1207" s="121"/>
      <c r="S1207" s="99" t="s">
        <v>6</v>
      </c>
      <c r="T1207" s="76" t="s">
        <v>4</v>
      </c>
      <c r="U1207" s="99" t="s">
        <v>29</v>
      </c>
      <c r="V1207" s="99" t="s">
        <v>1916</v>
      </c>
      <c r="W1207" s="99" t="s">
        <v>1917</v>
      </c>
      <c r="X1207" s="99" t="s">
        <v>415</v>
      </c>
      <c r="Y1207" s="73" t="s">
        <v>2969</v>
      </c>
      <c r="Z1207" s="73" t="s">
        <v>4</v>
      </c>
      <c r="AA1207" s="99" t="s">
        <v>415</v>
      </c>
    </row>
    <row r="1208" spans="1:27" ht="17.25" customHeight="1">
      <c r="A1208" s="65" t="str">
        <f>IF(priority(Main[[#This Row],[Comments]])&lt;&gt;0, priority(Main[[#This Row],[Comments]]),"")</f>
        <v/>
      </c>
      <c r="B1208" s="60" t="s">
        <v>3664</v>
      </c>
      <c r="C1208" s="105" t="s">
        <v>4</v>
      </c>
      <c r="D1208" s="74" t="s">
        <v>3665</v>
      </c>
      <c r="E1208" s="89">
        <v>40966.546724537038</v>
      </c>
      <c r="F1208" s="89"/>
      <c r="G1208" s="65" t="str">
        <f>IF(stdProdLT(Main[[#This Row],[Comments]])=0.1,"N/A",IF(stdProdLT(Main[[#This Row],[Comments]])=0,"",TRIM(stdProdLT(Main[[#This Row],[Comments]]))))</f>
        <v/>
      </c>
      <c r="H1208" s="98" t="str">
        <f>IF(Main[[#This Row],[Std. Prod. Lead Time]]="N/A", "",IF(AND(Main[[#This Row],[In Stock Date]]&lt;&gt;"",Main[[#This Row],[Revised Due Date]]&lt;&gt;"",Main[[#This Row],[In Stock Date]]&lt;&gt;""),Main[[#This Row],[In Stock Date]]-Main[[#This Row],[Revised Due Date]],""))</f>
        <v/>
      </c>
      <c r="I1208" s="110" t="s">
        <v>4</v>
      </c>
      <c r="J1208" s="99" t="s">
        <v>4</v>
      </c>
      <c r="K1208" s="99" t="s">
        <v>4</v>
      </c>
      <c r="L1208" s="89"/>
      <c r="M1208" s="75" t="str">
        <f>IF(Main[[#This Row],[Tech Start Date]]&lt;1/1/1990,"",IF(Main[[#This Row],[Class]]="C",WORKDAY(Main[[#This Row],[Tech Start Date]],9),IF(Main[[#This Row],[Class]]="B", WORKDAY(Main[[#This Row],[Tech Start Date]],6),IF(Main[[#This Row],[Class]]="A",WORKDAY(Main[[#This Row],[Tech Start Date]],2),""))))</f>
        <v/>
      </c>
      <c r="N1208" s="75" t="str">
        <f>IF(Main[[#This Row],[Tech Start Date]]&lt;1/1/1990,"",IF(Main[[#This Row],[Class]]="C",WORKDAY(Main[[#This Row],[Tech Start Date]],19),IF(Main[[#This Row],[Class]]="B", WORKDAY(Main[[#This Row],[Tech Start Date]],12),IF(Main[[#This Row],[Class]]="A",WORKDAY(Main[[#This Row],[Tech Start Date]],4),""))))</f>
        <v/>
      </c>
      <c r="O1208" s="75" t="str">
        <f>IF(Main[[#This Row],[Tech Start Date]]&lt;1/1/1990,"",IF(Main[[#This Row],[Class]]="C",WORKDAY(Main[[#This Row],[Tech Start Date]],23),IF(Main[[#This Row],[Class]]="B", WORKDAY(Main[[#This Row],[Tech Start Date]],15),IF(Main[[#This Row],[Class]]="A",WORKDAY(Main[[#This Row],[Tech Start Date]],5),""))))</f>
        <v/>
      </c>
      <c r="P1208" s="75" t="str">
        <f>IF(Main[[#This Row],[Tech Start Date]]&lt;1/1/1990,"",IF(Main[[#This Row],[Class]]="C",WORKDAY(Main[[#This Row],[Tech Start Date]],28),IF(Main[[#This Row],[Class]]="B", WORKDAY(Main[[#This Row],[Tech Start Date]],19),IF(Main[[#This Row],[Class]]="A",WORKDAY(Main[[#This Row],[Tech Start Date]],9),""))))</f>
        <v/>
      </c>
      <c r="Q1208" s="89"/>
      <c r="R1208" s="121"/>
      <c r="S1208" s="99" t="s">
        <v>6</v>
      </c>
      <c r="T1208" s="76" t="s">
        <v>4</v>
      </c>
      <c r="U1208" s="99" t="s">
        <v>29</v>
      </c>
      <c r="V1208" s="99" t="s">
        <v>1916</v>
      </c>
      <c r="W1208" s="99" t="s">
        <v>1917</v>
      </c>
      <c r="X1208" s="99" t="s">
        <v>102</v>
      </c>
      <c r="Y1208" s="73" t="s">
        <v>3666</v>
      </c>
      <c r="Z1208" s="73" t="s">
        <v>4</v>
      </c>
      <c r="AA1208" s="99" t="s">
        <v>81</v>
      </c>
    </row>
    <row r="1209" spans="1:27" ht="17.25" customHeight="1">
      <c r="A1209" s="65" t="str">
        <f>IF(priority(Main[[#This Row],[Comments]])&lt;&gt;0, priority(Main[[#This Row],[Comments]]),"")</f>
        <v/>
      </c>
      <c r="B1209" s="60" t="s">
        <v>3929</v>
      </c>
      <c r="C1209" s="105" t="s">
        <v>58</v>
      </c>
      <c r="D1209" s="74" t="s">
        <v>3930</v>
      </c>
      <c r="E1209" s="89">
        <v>40968.615104166667</v>
      </c>
      <c r="F1209" s="89">
        <v>41108</v>
      </c>
      <c r="G1209" s="65" t="str">
        <f>IF(stdProdLT(Main[[#This Row],[Comments]])=0.1,"N/A",IF(stdProdLT(Main[[#This Row],[Comments]])=0,"",TRIM(stdProdLT(Main[[#This Row],[Comments]]))))</f>
        <v/>
      </c>
      <c r="H1209" s="98" t="str">
        <f>IF(Main[[#This Row],[Std. Prod. Lead Time]]="N/A", "",IF(AND(Main[[#This Row],[In Stock Date]]&lt;&gt;"",Main[[#This Row],[Revised Due Date]]&lt;&gt;"",Main[[#This Row],[In Stock Date]]&lt;&gt;""),Main[[#This Row],[In Stock Date]]-Main[[#This Row],[Revised Due Date]],""))</f>
        <v/>
      </c>
      <c r="I1209" s="110" t="s">
        <v>4</v>
      </c>
      <c r="J1209" s="99" t="s">
        <v>75</v>
      </c>
      <c r="K1209" s="99" t="s">
        <v>4</v>
      </c>
      <c r="L1209" s="89"/>
      <c r="M1209" s="75" t="str">
        <f>IF(Main[[#This Row],[Tech Start Date]]&lt;1/1/1990,"",IF(Main[[#This Row],[Class]]="C",WORKDAY(Main[[#This Row],[Tech Start Date]],9),IF(Main[[#This Row],[Class]]="B", WORKDAY(Main[[#This Row],[Tech Start Date]],6),IF(Main[[#This Row],[Class]]="A",WORKDAY(Main[[#This Row],[Tech Start Date]],2),""))))</f>
        <v/>
      </c>
      <c r="N1209" s="75" t="str">
        <f>IF(Main[[#This Row],[Tech Start Date]]&lt;1/1/1990,"",IF(Main[[#This Row],[Class]]="C",WORKDAY(Main[[#This Row],[Tech Start Date]],19),IF(Main[[#This Row],[Class]]="B", WORKDAY(Main[[#This Row],[Tech Start Date]],12),IF(Main[[#This Row],[Class]]="A",WORKDAY(Main[[#This Row],[Tech Start Date]],4),""))))</f>
        <v/>
      </c>
      <c r="O1209" s="75" t="str">
        <f>IF(Main[[#This Row],[Tech Start Date]]&lt;1/1/1990,"",IF(Main[[#This Row],[Class]]="C",WORKDAY(Main[[#This Row],[Tech Start Date]],23),IF(Main[[#This Row],[Class]]="B", WORKDAY(Main[[#This Row],[Tech Start Date]],15),IF(Main[[#This Row],[Class]]="A",WORKDAY(Main[[#This Row],[Tech Start Date]],5),""))))</f>
        <v/>
      </c>
      <c r="P1209" s="75" t="str">
        <f>IF(Main[[#This Row],[Tech Start Date]]&lt;1/1/1990,"",IF(Main[[#This Row],[Class]]="C",WORKDAY(Main[[#This Row],[Tech Start Date]],28),IF(Main[[#This Row],[Class]]="B", WORKDAY(Main[[#This Row],[Tech Start Date]],19),IF(Main[[#This Row],[Class]]="A",WORKDAY(Main[[#This Row],[Tech Start Date]],9),""))))</f>
        <v/>
      </c>
      <c r="Q1209" s="89">
        <v>40996</v>
      </c>
      <c r="R1209" s="121"/>
      <c r="S1209" s="99" t="s">
        <v>11</v>
      </c>
      <c r="T1209" s="76" t="s">
        <v>4</v>
      </c>
      <c r="U1209" s="99" t="s">
        <v>7</v>
      </c>
      <c r="V1209" s="99" t="s">
        <v>1913</v>
      </c>
      <c r="W1209" s="99" t="s">
        <v>1924</v>
      </c>
      <c r="X1209" s="99" t="s">
        <v>2823</v>
      </c>
      <c r="Y1209" s="73" t="s">
        <v>3926</v>
      </c>
      <c r="Z1209" s="73" t="s">
        <v>306</v>
      </c>
      <c r="AA1209" s="99" t="s">
        <v>2823</v>
      </c>
    </row>
    <row r="1210" spans="1:27" ht="17.25" customHeight="1">
      <c r="A1210" s="65" t="str">
        <f>IF(priority(Main[[#This Row],[Comments]])&lt;&gt;0, priority(Main[[#This Row],[Comments]]),"")</f>
        <v/>
      </c>
      <c r="B1210" s="60" t="s">
        <v>3499</v>
      </c>
      <c r="C1210" s="105" t="s">
        <v>4</v>
      </c>
      <c r="D1210" s="74" t="s">
        <v>3500</v>
      </c>
      <c r="E1210" s="89">
        <v>40942.135775462964</v>
      </c>
      <c r="F1210" s="89"/>
      <c r="G1210" s="65" t="str">
        <f>IF(stdProdLT(Main[[#This Row],[Comments]])=0.1,"N/A",IF(stdProdLT(Main[[#This Row],[Comments]])=0,"",TRIM(stdProdLT(Main[[#This Row],[Comments]]))))</f>
        <v/>
      </c>
      <c r="H1210" s="98" t="str">
        <f>IF(Main[[#This Row],[Std. Prod. Lead Time]]="N/A", "",IF(AND(Main[[#This Row],[In Stock Date]]&lt;&gt;"",Main[[#This Row],[Revised Due Date]]&lt;&gt;"",Main[[#This Row],[In Stock Date]]&lt;&gt;""),Main[[#This Row],[In Stock Date]]-Main[[#This Row],[Revised Due Date]],""))</f>
        <v/>
      </c>
      <c r="I1210" s="110" t="s">
        <v>4</v>
      </c>
      <c r="J1210" s="99" t="s">
        <v>4</v>
      </c>
      <c r="K1210" s="99" t="s">
        <v>4</v>
      </c>
      <c r="L1210" s="89"/>
      <c r="M1210" s="75" t="str">
        <f>IF(Main[[#This Row],[Tech Start Date]]&lt;1/1/1990,"",IF(Main[[#This Row],[Class]]="C",WORKDAY(Main[[#This Row],[Tech Start Date]],9),IF(Main[[#This Row],[Class]]="B", WORKDAY(Main[[#This Row],[Tech Start Date]],6),IF(Main[[#This Row],[Class]]="A",WORKDAY(Main[[#This Row],[Tech Start Date]],2),""))))</f>
        <v/>
      </c>
      <c r="N1210" s="75" t="str">
        <f>IF(Main[[#This Row],[Tech Start Date]]&lt;1/1/1990,"",IF(Main[[#This Row],[Class]]="C",WORKDAY(Main[[#This Row],[Tech Start Date]],19),IF(Main[[#This Row],[Class]]="B", WORKDAY(Main[[#This Row],[Tech Start Date]],12),IF(Main[[#This Row],[Class]]="A",WORKDAY(Main[[#This Row],[Tech Start Date]],4),""))))</f>
        <v/>
      </c>
      <c r="O1210" s="75" t="str">
        <f>IF(Main[[#This Row],[Tech Start Date]]&lt;1/1/1990,"",IF(Main[[#This Row],[Class]]="C",WORKDAY(Main[[#This Row],[Tech Start Date]],23),IF(Main[[#This Row],[Class]]="B", WORKDAY(Main[[#This Row],[Tech Start Date]],15),IF(Main[[#This Row],[Class]]="A",WORKDAY(Main[[#This Row],[Tech Start Date]],5),""))))</f>
        <v/>
      </c>
      <c r="P1210" s="75" t="str">
        <f>IF(Main[[#This Row],[Tech Start Date]]&lt;1/1/1990,"",IF(Main[[#This Row],[Class]]="C",WORKDAY(Main[[#This Row],[Tech Start Date]],28),IF(Main[[#This Row],[Class]]="B", WORKDAY(Main[[#This Row],[Tech Start Date]],19),IF(Main[[#This Row],[Class]]="A",WORKDAY(Main[[#This Row],[Tech Start Date]],9),""))))</f>
        <v/>
      </c>
      <c r="Q1210" s="89">
        <v>41001</v>
      </c>
      <c r="R1210" s="121"/>
      <c r="S1210" s="99" t="s">
        <v>6</v>
      </c>
      <c r="T1210" s="76" t="s">
        <v>4</v>
      </c>
      <c r="U1210" s="99" t="s">
        <v>29</v>
      </c>
      <c r="V1210" s="99" t="s">
        <v>1916</v>
      </c>
      <c r="W1210" s="99" t="s">
        <v>4</v>
      </c>
      <c r="X1210" s="99" t="s">
        <v>2816</v>
      </c>
      <c r="Y1210" s="73" t="s">
        <v>2932</v>
      </c>
      <c r="Z1210" s="73" t="s">
        <v>4</v>
      </c>
      <c r="AA1210" s="99" t="s">
        <v>2816</v>
      </c>
    </row>
    <row r="1211" spans="1:27" ht="17.25" customHeight="1">
      <c r="A1211" s="65" t="str">
        <f>IF(priority(Main[[#This Row],[Comments]])&lt;&gt;0, priority(Main[[#This Row],[Comments]]),"")</f>
        <v/>
      </c>
      <c r="B1211" s="60" t="s">
        <v>3968</v>
      </c>
      <c r="C1211" s="105" t="s">
        <v>3905</v>
      </c>
      <c r="D1211" s="74" t="s">
        <v>3969</v>
      </c>
      <c r="E1211" s="89">
        <v>40969.193483796298</v>
      </c>
      <c r="F1211" s="89"/>
      <c r="G1211" s="65" t="str">
        <f>IF(stdProdLT(Main[[#This Row],[Comments]])=0.1,"N/A",IF(stdProdLT(Main[[#This Row],[Comments]])=0,"",TRIM(stdProdLT(Main[[#This Row],[Comments]]))))</f>
        <v/>
      </c>
      <c r="H1211" s="98" t="str">
        <f>IF(Main[[#This Row],[Std. Prod. Lead Time]]="N/A", "",IF(AND(Main[[#This Row],[In Stock Date]]&lt;&gt;"",Main[[#This Row],[Revised Due Date]]&lt;&gt;"",Main[[#This Row],[In Stock Date]]&lt;&gt;""),Main[[#This Row],[In Stock Date]]-Main[[#This Row],[Revised Due Date]],""))</f>
        <v/>
      </c>
      <c r="I1211" s="110" t="s">
        <v>4</v>
      </c>
      <c r="J1211" s="99" t="s">
        <v>4</v>
      </c>
      <c r="K1211" s="99" t="s">
        <v>4</v>
      </c>
      <c r="L1211" s="89"/>
      <c r="M1211" s="75" t="str">
        <f>IF(Main[[#This Row],[Tech Start Date]]&lt;1/1/1990,"",IF(Main[[#This Row],[Class]]="C",WORKDAY(Main[[#This Row],[Tech Start Date]],9),IF(Main[[#This Row],[Class]]="B", WORKDAY(Main[[#This Row],[Tech Start Date]],6),IF(Main[[#This Row],[Class]]="A",WORKDAY(Main[[#This Row],[Tech Start Date]],2),""))))</f>
        <v/>
      </c>
      <c r="N1211" s="75" t="str">
        <f>IF(Main[[#This Row],[Tech Start Date]]&lt;1/1/1990,"",IF(Main[[#This Row],[Class]]="C",WORKDAY(Main[[#This Row],[Tech Start Date]],19),IF(Main[[#This Row],[Class]]="B", WORKDAY(Main[[#This Row],[Tech Start Date]],12),IF(Main[[#This Row],[Class]]="A",WORKDAY(Main[[#This Row],[Tech Start Date]],4),""))))</f>
        <v/>
      </c>
      <c r="O1211" s="75" t="str">
        <f>IF(Main[[#This Row],[Tech Start Date]]&lt;1/1/1990,"",IF(Main[[#This Row],[Class]]="C",WORKDAY(Main[[#This Row],[Tech Start Date]],23),IF(Main[[#This Row],[Class]]="B", WORKDAY(Main[[#This Row],[Tech Start Date]],15),IF(Main[[#This Row],[Class]]="A",WORKDAY(Main[[#This Row],[Tech Start Date]],5),""))))</f>
        <v/>
      </c>
      <c r="P1211" s="75" t="str">
        <f>IF(Main[[#This Row],[Tech Start Date]]&lt;1/1/1990,"",IF(Main[[#This Row],[Class]]="C",WORKDAY(Main[[#This Row],[Tech Start Date]],28),IF(Main[[#This Row],[Class]]="B", WORKDAY(Main[[#This Row],[Tech Start Date]],19),IF(Main[[#This Row],[Class]]="A",WORKDAY(Main[[#This Row],[Tech Start Date]],9),""))))</f>
        <v/>
      </c>
      <c r="Q1211" s="89"/>
      <c r="R1211" s="121"/>
      <c r="S1211" s="99" t="s">
        <v>11</v>
      </c>
      <c r="T1211" s="76" t="s">
        <v>4</v>
      </c>
      <c r="U1211" s="99" t="s">
        <v>7</v>
      </c>
      <c r="V1211" s="99" t="s">
        <v>1913</v>
      </c>
      <c r="W1211" s="99" t="s">
        <v>1918</v>
      </c>
      <c r="X1211" s="99" t="s">
        <v>2839</v>
      </c>
      <c r="Y1211" s="73" t="s">
        <v>3852</v>
      </c>
      <c r="Z1211" s="73" t="s">
        <v>4</v>
      </c>
      <c r="AA1211" s="99" t="s">
        <v>2839</v>
      </c>
    </row>
    <row r="1212" spans="1:27" ht="17.25" customHeight="1">
      <c r="A1212" s="65" t="str">
        <f>IF(priority(Main[[#This Row],[Comments]])&lt;&gt;0, priority(Main[[#This Row],[Comments]]),"")</f>
        <v/>
      </c>
      <c r="B1212" s="60" t="s">
        <v>2753</v>
      </c>
      <c r="C1212" s="105" t="s">
        <v>4</v>
      </c>
      <c r="D1212" s="74" t="s">
        <v>3667</v>
      </c>
      <c r="E1212" s="89">
        <v>40907.447002314817</v>
      </c>
      <c r="F1212" s="89"/>
      <c r="G1212" s="65" t="str">
        <f>IF(stdProdLT(Main[[#This Row],[Comments]])=0.1,"N/A",IF(stdProdLT(Main[[#This Row],[Comments]])=0,"",TRIM(stdProdLT(Main[[#This Row],[Comments]]))))</f>
        <v/>
      </c>
      <c r="H1212" s="98" t="str">
        <f>IF(Main[[#This Row],[Std. Prod. Lead Time]]="N/A", "",IF(AND(Main[[#This Row],[In Stock Date]]&lt;&gt;"",Main[[#This Row],[Revised Due Date]]&lt;&gt;"",Main[[#This Row],[In Stock Date]]&lt;&gt;""),Main[[#This Row],[In Stock Date]]-Main[[#This Row],[Revised Due Date]],""))</f>
        <v/>
      </c>
      <c r="I1212" s="110" t="s">
        <v>530</v>
      </c>
      <c r="J1212" s="99" t="s">
        <v>70</v>
      </c>
      <c r="K1212" s="99" t="s">
        <v>1922</v>
      </c>
      <c r="L1212" s="89"/>
      <c r="M1212" s="75" t="str">
        <f>IF(Main[[#This Row],[Tech Start Date]]&lt;1/1/1990,"",IF(Main[[#This Row],[Class]]="C",WORKDAY(Main[[#This Row],[Tech Start Date]],9),IF(Main[[#This Row],[Class]]="B", WORKDAY(Main[[#This Row],[Tech Start Date]],6),IF(Main[[#This Row],[Class]]="A",WORKDAY(Main[[#This Row],[Tech Start Date]],2),""))))</f>
        <v/>
      </c>
      <c r="N1212" s="75" t="str">
        <f>IF(Main[[#This Row],[Tech Start Date]]&lt;1/1/1990,"",IF(Main[[#This Row],[Class]]="C",WORKDAY(Main[[#This Row],[Tech Start Date]],19),IF(Main[[#This Row],[Class]]="B", WORKDAY(Main[[#This Row],[Tech Start Date]],12),IF(Main[[#This Row],[Class]]="A",WORKDAY(Main[[#This Row],[Tech Start Date]],4),""))))</f>
        <v/>
      </c>
      <c r="O1212" s="75" t="str">
        <f>IF(Main[[#This Row],[Tech Start Date]]&lt;1/1/1990,"",IF(Main[[#This Row],[Class]]="C",WORKDAY(Main[[#This Row],[Tech Start Date]],23),IF(Main[[#This Row],[Class]]="B", WORKDAY(Main[[#This Row],[Tech Start Date]],15),IF(Main[[#This Row],[Class]]="A",WORKDAY(Main[[#This Row],[Tech Start Date]],5),""))))</f>
        <v/>
      </c>
      <c r="P1212" s="75" t="str">
        <f>IF(Main[[#This Row],[Tech Start Date]]&lt;1/1/1990,"",IF(Main[[#This Row],[Class]]="C",WORKDAY(Main[[#This Row],[Tech Start Date]],28),IF(Main[[#This Row],[Class]]="B", WORKDAY(Main[[#This Row],[Tech Start Date]],19),IF(Main[[#This Row],[Class]]="A",WORKDAY(Main[[#This Row],[Tech Start Date]],9),""))))</f>
        <v/>
      </c>
      <c r="Q1212" s="89">
        <v>40921</v>
      </c>
      <c r="R1212" s="121"/>
      <c r="S1212" s="99" t="s">
        <v>6</v>
      </c>
      <c r="T1212" s="76" t="s">
        <v>4</v>
      </c>
      <c r="U1212" s="99" t="s">
        <v>29</v>
      </c>
      <c r="V1212" s="99" t="s">
        <v>1916</v>
      </c>
      <c r="W1212" s="99" t="s">
        <v>1921</v>
      </c>
      <c r="X1212" s="99" t="s">
        <v>2879</v>
      </c>
      <c r="Y1212" s="73" t="s">
        <v>3035</v>
      </c>
      <c r="Z1212" s="73" t="s">
        <v>30</v>
      </c>
      <c r="AA1212" s="99" t="s">
        <v>2879</v>
      </c>
    </row>
    <row r="1213" spans="1:27" ht="17.25" customHeight="1">
      <c r="A1213" s="65" t="str">
        <f>IF(priority(Main[[#This Row],[Comments]])&lt;&gt;0, priority(Main[[#This Row],[Comments]]),"")</f>
        <v/>
      </c>
      <c r="B1213" s="60" t="s">
        <v>2785</v>
      </c>
      <c r="C1213" s="105" t="s">
        <v>4</v>
      </c>
      <c r="D1213" s="74" t="s">
        <v>2786</v>
      </c>
      <c r="E1213" s="89">
        <v>40913.314733796295</v>
      </c>
      <c r="F1213" s="89"/>
      <c r="G1213" s="65" t="str">
        <f>IF(stdProdLT(Main[[#This Row],[Comments]])=0.1,"N/A",IF(stdProdLT(Main[[#This Row],[Comments]])=0,"",TRIM(stdProdLT(Main[[#This Row],[Comments]]))))</f>
        <v/>
      </c>
      <c r="H1213" s="98" t="str">
        <f>IF(Main[[#This Row],[Std. Prod. Lead Time]]="N/A", "",IF(AND(Main[[#This Row],[In Stock Date]]&lt;&gt;"",Main[[#This Row],[Revised Due Date]]&lt;&gt;"",Main[[#This Row],[In Stock Date]]&lt;&gt;""),Main[[#This Row],[In Stock Date]]-Main[[#This Row],[Revised Due Date]],""))</f>
        <v/>
      </c>
      <c r="I1213" s="110" t="s">
        <v>69</v>
      </c>
      <c r="J1213" s="99" t="s">
        <v>70</v>
      </c>
      <c r="K1213" s="99" t="s">
        <v>1922</v>
      </c>
      <c r="L1213" s="89"/>
      <c r="M1213" s="75" t="str">
        <f>IF(Main[[#This Row],[Tech Start Date]]&lt;1/1/1990,"",IF(Main[[#This Row],[Class]]="C",WORKDAY(Main[[#This Row],[Tech Start Date]],9),IF(Main[[#This Row],[Class]]="B", WORKDAY(Main[[#This Row],[Tech Start Date]],6),IF(Main[[#This Row],[Class]]="A",WORKDAY(Main[[#This Row],[Tech Start Date]],2),""))))</f>
        <v/>
      </c>
      <c r="N1213" s="75" t="str">
        <f>IF(Main[[#This Row],[Tech Start Date]]&lt;1/1/1990,"",IF(Main[[#This Row],[Class]]="C",WORKDAY(Main[[#This Row],[Tech Start Date]],19),IF(Main[[#This Row],[Class]]="B", WORKDAY(Main[[#This Row],[Tech Start Date]],12),IF(Main[[#This Row],[Class]]="A",WORKDAY(Main[[#This Row],[Tech Start Date]],4),""))))</f>
        <v/>
      </c>
      <c r="O1213" s="75" t="str">
        <f>IF(Main[[#This Row],[Tech Start Date]]&lt;1/1/1990,"",IF(Main[[#This Row],[Class]]="C",WORKDAY(Main[[#This Row],[Tech Start Date]],23),IF(Main[[#This Row],[Class]]="B", WORKDAY(Main[[#This Row],[Tech Start Date]],15),IF(Main[[#This Row],[Class]]="A",WORKDAY(Main[[#This Row],[Tech Start Date]],5),""))))</f>
        <v/>
      </c>
      <c r="P1213" s="75" t="str">
        <f>IF(Main[[#This Row],[Tech Start Date]]&lt;1/1/1990,"",IF(Main[[#This Row],[Class]]="C",WORKDAY(Main[[#This Row],[Tech Start Date]],28),IF(Main[[#This Row],[Class]]="B", WORKDAY(Main[[#This Row],[Tech Start Date]],19),IF(Main[[#This Row],[Class]]="A",WORKDAY(Main[[#This Row],[Tech Start Date]],9),""))))</f>
        <v/>
      </c>
      <c r="Q1213" s="89">
        <v>40945</v>
      </c>
      <c r="R1213" s="121"/>
      <c r="S1213" s="99" t="s">
        <v>6</v>
      </c>
      <c r="T1213" s="76" t="s">
        <v>4</v>
      </c>
      <c r="U1213" s="99" t="s">
        <v>29</v>
      </c>
      <c r="V1213" s="99" t="s">
        <v>1916</v>
      </c>
      <c r="W1213" s="99" t="s">
        <v>1917</v>
      </c>
      <c r="X1213" s="99" t="s">
        <v>2816</v>
      </c>
      <c r="Y1213" s="73" t="s">
        <v>2932</v>
      </c>
      <c r="Z1213" s="73" t="s">
        <v>30</v>
      </c>
      <c r="AA1213" s="99" t="s">
        <v>2816</v>
      </c>
    </row>
    <row r="1214" spans="1:27" ht="17.25" customHeight="1">
      <c r="A1214" s="65" t="str">
        <f>IF(priority(Main[[#This Row],[Comments]])&lt;&gt;0, priority(Main[[#This Row],[Comments]]),"")</f>
        <v/>
      </c>
      <c r="B1214" s="60" t="s">
        <v>2765</v>
      </c>
      <c r="C1214" s="105" t="s">
        <v>4</v>
      </c>
      <c r="D1214" s="74" t="s">
        <v>2766</v>
      </c>
      <c r="E1214" s="89">
        <v>40914.408773148149</v>
      </c>
      <c r="F1214" s="89"/>
      <c r="G1214" s="65" t="str">
        <f>IF(stdProdLT(Main[[#This Row],[Comments]])=0.1,"N/A",IF(stdProdLT(Main[[#This Row],[Comments]])=0,"",TRIM(stdProdLT(Main[[#This Row],[Comments]]))))</f>
        <v/>
      </c>
      <c r="H1214" s="98" t="str">
        <f>IF(Main[[#This Row],[Std. Prod. Lead Time]]="N/A", "",IF(AND(Main[[#This Row],[In Stock Date]]&lt;&gt;"",Main[[#This Row],[Revised Due Date]]&lt;&gt;"",Main[[#This Row],[In Stock Date]]&lt;&gt;""),Main[[#This Row],[In Stock Date]]-Main[[#This Row],[Revised Due Date]],""))</f>
        <v/>
      </c>
      <c r="I1214" s="110" t="s">
        <v>4</v>
      </c>
      <c r="J1214" s="99" t="s">
        <v>4</v>
      </c>
      <c r="K1214" s="99" t="s">
        <v>4</v>
      </c>
      <c r="L1214" s="89"/>
      <c r="M1214" s="75" t="str">
        <f>IF(Main[[#This Row],[Tech Start Date]]&lt;1/1/1990,"",IF(Main[[#This Row],[Class]]="C",WORKDAY(Main[[#This Row],[Tech Start Date]],9),IF(Main[[#This Row],[Class]]="B", WORKDAY(Main[[#This Row],[Tech Start Date]],6),IF(Main[[#This Row],[Class]]="A",WORKDAY(Main[[#This Row],[Tech Start Date]],2),""))))</f>
        <v/>
      </c>
      <c r="N1214" s="75" t="str">
        <f>IF(Main[[#This Row],[Tech Start Date]]&lt;1/1/1990,"",IF(Main[[#This Row],[Class]]="C",WORKDAY(Main[[#This Row],[Tech Start Date]],19),IF(Main[[#This Row],[Class]]="B", WORKDAY(Main[[#This Row],[Tech Start Date]],12),IF(Main[[#This Row],[Class]]="A",WORKDAY(Main[[#This Row],[Tech Start Date]],4),""))))</f>
        <v/>
      </c>
      <c r="O1214" s="75" t="str">
        <f>IF(Main[[#This Row],[Tech Start Date]]&lt;1/1/1990,"",IF(Main[[#This Row],[Class]]="C",WORKDAY(Main[[#This Row],[Tech Start Date]],23),IF(Main[[#This Row],[Class]]="B", WORKDAY(Main[[#This Row],[Tech Start Date]],15),IF(Main[[#This Row],[Class]]="A",WORKDAY(Main[[#This Row],[Tech Start Date]],5),""))))</f>
        <v/>
      </c>
      <c r="P1214" s="75" t="str">
        <f>IF(Main[[#This Row],[Tech Start Date]]&lt;1/1/1990,"",IF(Main[[#This Row],[Class]]="C",WORKDAY(Main[[#This Row],[Tech Start Date]],28),IF(Main[[#This Row],[Class]]="B", WORKDAY(Main[[#This Row],[Tech Start Date]],19),IF(Main[[#This Row],[Class]]="A",WORKDAY(Main[[#This Row],[Tech Start Date]],9),""))))</f>
        <v/>
      </c>
      <c r="Q1214" s="89"/>
      <c r="R1214" s="121"/>
      <c r="S1214" s="99" t="s">
        <v>6</v>
      </c>
      <c r="T1214" s="76" t="s">
        <v>4</v>
      </c>
      <c r="U1214" s="99" t="s">
        <v>29</v>
      </c>
      <c r="V1214" s="99" t="s">
        <v>1913</v>
      </c>
      <c r="W1214" s="99" t="s">
        <v>1917</v>
      </c>
      <c r="X1214" s="99" t="s">
        <v>937</v>
      </c>
      <c r="Y1214" s="73" t="s">
        <v>2978</v>
      </c>
      <c r="Z1214" s="73" t="s">
        <v>4</v>
      </c>
      <c r="AA1214" s="99" t="s">
        <v>937</v>
      </c>
    </row>
    <row r="1215" spans="1:27" ht="17.25" customHeight="1">
      <c r="A1215" s="65" t="str">
        <f>IF(priority(Main[[#This Row],[Comments]])&lt;&gt;0, priority(Main[[#This Row],[Comments]]),"")</f>
        <v/>
      </c>
      <c r="B1215" s="60" t="s">
        <v>3347</v>
      </c>
      <c r="C1215" s="105" t="s">
        <v>4</v>
      </c>
      <c r="D1215" s="74" t="s">
        <v>3348</v>
      </c>
      <c r="E1215" s="89"/>
      <c r="F1215" s="89"/>
      <c r="G1215" s="65" t="str">
        <f>IF(stdProdLT(Main[[#This Row],[Comments]])=0.1,"N/A",IF(stdProdLT(Main[[#This Row],[Comments]])=0,"",TRIM(stdProdLT(Main[[#This Row],[Comments]]))))</f>
        <v/>
      </c>
      <c r="H1215" s="98" t="str">
        <f>IF(Main[[#This Row],[Std. Prod. Lead Time]]="N/A", "",IF(AND(Main[[#This Row],[In Stock Date]]&lt;&gt;"",Main[[#This Row],[Revised Due Date]]&lt;&gt;"",Main[[#This Row],[In Stock Date]]&lt;&gt;""),Main[[#This Row],[In Stock Date]]-Main[[#This Row],[Revised Due Date]],""))</f>
        <v/>
      </c>
      <c r="I1215" s="110" t="s">
        <v>4</v>
      </c>
      <c r="J1215" s="99" t="s">
        <v>4</v>
      </c>
      <c r="K1215" s="100" t="s">
        <v>4</v>
      </c>
      <c r="L1215" s="89"/>
      <c r="M1215" s="75" t="str">
        <f>IF(Main[[#This Row],[Tech Start Date]]&lt;1/1/1990,"",IF(Main[[#This Row],[Class]]="C",WORKDAY(Main[[#This Row],[Tech Start Date]],9),IF(Main[[#This Row],[Class]]="B", WORKDAY(Main[[#This Row],[Tech Start Date]],6),IF(Main[[#This Row],[Class]]="A",WORKDAY(Main[[#This Row],[Tech Start Date]],2),""))))</f>
        <v/>
      </c>
      <c r="N1215" s="75" t="str">
        <f>IF(Main[[#This Row],[Tech Start Date]]&lt;1/1/1990,"",IF(Main[[#This Row],[Class]]="C",WORKDAY(Main[[#This Row],[Tech Start Date]],19),IF(Main[[#This Row],[Class]]="B", WORKDAY(Main[[#This Row],[Tech Start Date]],12),IF(Main[[#This Row],[Class]]="A",WORKDAY(Main[[#This Row],[Tech Start Date]],4),""))))</f>
        <v/>
      </c>
      <c r="O1215" s="75" t="str">
        <f>IF(Main[[#This Row],[Tech Start Date]]&lt;1/1/1990,"",IF(Main[[#This Row],[Class]]="C",WORKDAY(Main[[#This Row],[Tech Start Date]],23),IF(Main[[#This Row],[Class]]="B", WORKDAY(Main[[#This Row],[Tech Start Date]],15),IF(Main[[#This Row],[Class]]="A",WORKDAY(Main[[#This Row],[Tech Start Date]],5),""))))</f>
        <v/>
      </c>
      <c r="P1215" s="75" t="str">
        <f>IF(Main[[#This Row],[Tech Start Date]]&lt;1/1/1990,"",IF(Main[[#This Row],[Class]]="C",WORKDAY(Main[[#This Row],[Tech Start Date]],28),IF(Main[[#This Row],[Class]]="B", WORKDAY(Main[[#This Row],[Tech Start Date]],19),IF(Main[[#This Row],[Class]]="A",WORKDAY(Main[[#This Row],[Tech Start Date]],9),""))))</f>
        <v/>
      </c>
      <c r="Q1215" s="89"/>
      <c r="R1215" s="121"/>
      <c r="S1215" s="99" t="s">
        <v>11</v>
      </c>
      <c r="T1215" s="76" t="s">
        <v>4</v>
      </c>
      <c r="U1215" s="99" t="s">
        <v>14</v>
      </c>
      <c r="V1215" s="99" t="s">
        <v>1928</v>
      </c>
      <c r="W1215" s="99" t="s">
        <v>1917</v>
      </c>
      <c r="X1215" s="99" t="s">
        <v>922</v>
      </c>
      <c r="Y1215" s="73" t="s">
        <v>2976</v>
      </c>
      <c r="Z1215" s="73" t="s">
        <v>4</v>
      </c>
      <c r="AA1215" s="99" t="s">
        <v>922</v>
      </c>
    </row>
    <row r="1216" spans="1:27" ht="17.25" customHeight="1">
      <c r="A1216" s="65" t="str">
        <f>IF(priority(Main[[#This Row],[Comments]])&lt;&gt;0, priority(Main[[#This Row],[Comments]]),"")</f>
        <v/>
      </c>
      <c r="B1216" s="60" t="s">
        <v>3668</v>
      </c>
      <c r="C1216" s="105" t="s">
        <v>4</v>
      </c>
      <c r="D1216" s="74" t="s">
        <v>3669</v>
      </c>
      <c r="E1216" s="89">
        <v>40952.960995370369</v>
      </c>
      <c r="F1216" s="89"/>
      <c r="G1216" s="65" t="str">
        <f>IF(stdProdLT(Main[[#This Row],[Comments]])=0.1,"N/A",IF(stdProdLT(Main[[#This Row],[Comments]])=0,"",TRIM(stdProdLT(Main[[#This Row],[Comments]]))))</f>
        <v/>
      </c>
      <c r="H1216" s="98" t="str">
        <f>IF(Main[[#This Row],[Std. Prod. Lead Time]]="N/A", "",IF(AND(Main[[#This Row],[In Stock Date]]&lt;&gt;"",Main[[#This Row],[Revised Due Date]]&lt;&gt;"",Main[[#This Row],[In Stock Date]]&lt;&gt;""),Main[[#This Row],[In Stock Date]]-Main[[#This Row],[Revised Due Date]],""))</f>
        <v/>
      </c>
      <c r="I1216" s="110" t="s">
        <v>2047</v>
      </c>
      <c r="J1216" s="99" t="s">
        <v>28</v>
      </c>
      <c r="K1216" s="99" t="s">
        <v>4</v>
      </c>
      <c r="L1216" s="89"/>
      <c r="M1216" s="75" t="str">
        <f>IF(Main[[#This Row],[Tech Start Date]]&lt;1/1/1990,"",IF(Main[[#This Row],[Class]]="C",WORKDAY(Main[[#This Row],[Tech Start Date]],9),IF(Main[[#This Row],[Class]]="B", WORKDAY(Main[[#This Row],[Tech Start Date]],6),IF(Main[[#This Row],[Class]]="A",WORKDAY(Main[[#This Row],[Tech Start Date]],2),""))))</f>
        <v/>
      </c>
      <c r="N1216" s="75" t="str">
        <f>IF(Main[[#This Row],[Tech Start Date]]&lt;1/1/1990,"",IF(Main[[#This Row],[Class]]="C",WORKDAY(Main[[#This Row],[Tech Start Date]],19),IF(Main[[#This Row],[Class]]="B", WORKDAY(Main[[#This Row],[Tech Start Date]],12),IF(Main[[#This Row],[Class]]="A",WORKDAY(Main[[#This Row],[Tech Start Date]],4),""))))</f>
        <v/>
      </c>
      <c r="O1216" s="75" t="str">
        <f>IF(Main[[#This Row],[Tech Start Date]]&lt;1/1/1990,"",IF(Main[[#This Row],[Class]]="C",WORKDAY(Main[[#This Row],[Tech Start Date]],23),IF(Main[[#This Row],[Class]]="B", WORKDAY(Main[[#This Row],[Tech Start Date]],15),IF(Main[[#This Row],[Class]]="A",WORKDAY(Main[[#This Row],[Tech Start Date]],5),""))))</f>
        <v/>
      </c>
      <c r="P1216" s="75" t="str">
        <f>IF(Main[[#This Row],[Tech Start Date]]&lt;1/1/1990,"",IF(Main[[#This Row],[Class]]="C",WORKDAY(Main[[#This Row],[Tech Start Date]],28),IF(Main[[#This Row],[Class]]="B", WORKDAY(Main[[#This Row],[Tech Start Date]],19),IF(Main[[#This Row],[Class]]="A",WORKDAY(Main[[#This Row],[Tech Start Date]],9),""))))</f>
        <v/>
      </c>
      <c r="Q1216" s="89">
        <v>40953</v>
      </c>
      <c r="R1216" s="121"/>
      <c r="S1216" s="99" t="s">
        <v>6</v>
      </c>
      <c r="T1216" s="76" t="s">
        <v>4</v>
      </c>
      <c r="U1216" s="99" t="s">
        <v>29</v>
      </c>
      <c r="V1216" s="99" t="s">
        <v>1916</v>
      </c>
      <c r="W1216" s="99" t="s">
        <v>1917</v>
      </c>
      <c r="X1216" s="99" t="s">
        <v>2889</v>
      </c>
      <c r="Y1216" s="73" t="s">
        <v>3054</v>
      </c>
      <c r="Z1216" s="73" t="s">
        <v>30</v>
      </c>
      <c r="AA1216" s="99" t="s">
        <v>2889</v>
      </c>
    </row>
    <row r="1217" spans="1:27" ht="17.25" customHeight="1">
      <c r="A1217" s="65" t="str">
        <f>IF(priority(Main[[#This Row],[Comments]])&lt;&gt;0, priority(Main[[#This Row],[Comments]]),"")</f>
        <v/>
      </c>
      <c r="B1217" s="60" t="s">
        <v>3349</v>
      </c>
      <c r="C1217" s="105" t="s">
        <v>47</v>
      </c>
      <c r="D1217" s="74" t="s">
        <v>3350</v>
      </c>
      <c r="E1217" s="89"/>
      <c r="F1217" s="89"/>
      <c r="G1217" s="65" t="str">
        <f>IF(stdProdLT(Main[[#This Row],[Comments]])=0.1,"N/A",IF(stdProdLT(Main[[#This Row],[Comments]])=0,"",TRIM(stdProdLT(Main[[#This Row],[Comments]]))))</f>
        <v/>
      </c>
      <c r="H1217" s="98" t="str">
        <f>IF(Main[[#This Row],[Std. Prod. Lead Time]]="N/A", "",IF(AND(Main[[#This Row],[In Stock Date]]&lt;&gt;"",Main[[#This Row],[Revised Due Date]]&lt;&gt;"",Main[[#This Row],[In Stock Date]]&lt;&gt;""),Main[[#This Row],[In Stock Date]]-Main[[#This Row],[Revised Due Date]],""))</f>
        <v/>
      </c>
      <c r="I1217" s="110" t="s">
        <v>4</v>
      </c>
      <c r="J1217" s="99" t="s">
        <v>4</v>
      </c>
      <c r="K1217" s="99" t="s">
        <v>4</v>
      </c>
      <c r="L1217" s="89"/>
      <c r="M1217" s="75" t="str">
        <f>IF(Main[[#This Row],[Tech Start Date]]&lt;1/1/1990,"",IF(Main[[#This Row],[Class]]="C",WORKDAY(Main[[#This Row],[Tech Start Date]],9),IF(Main[[#This Row],[Class]]="B", WORKDAY(Main[[#This Row],[Tech Start Date]],6),IF(Main[[#This Row],[Class]]="A",WORKDAY(Main[[#This Row],[Tech Start Date]],2),""))))</f>
        <v/>
      </c>
      <c r="N1217" s="75" t="str">
        <f>IF(Main[[#This Row],[Tech Start Date]]&lt;1/1/1990,"",IF(Main[[#This Row],[Class]]="C",WORKDAY(Main[[#This Row],[Tech Start Date]],19),IF(Main[[#This Row],[Class]]="B", WORKDAY(Main[[#This Row],[Tech Start Date]],12),IF(Main[[#This Row],[Class]]="A",WORKDAY(Main[[#This Row],[Tech Start Date]],4),""))))</f>
        <v/>
      </c>
      <c r="O1217" s="75" t="str">
        <f>IF(Main[[#This Row],[Tech Start Date]]&lt;1/1/1990,"",IF(Main[[#This Row],[Class]]="C",WORKDAY(Main[[#This Row],[Tech Start Date]],23),IF(Main[[#This Row],[Class]]="B", WORKDAY(Main[[#This Row],[Tech Start Date]],15),IF(Main[[#This Row],[Class]]="A",WORKDAY(Main[[#This Row],[Tech Start Date]],5),""))))</f>
        <v/>
      </c>
      <c r="P1217" s="75" t="str">
        <f>IF(Main[[#This Row],[Tech Start Date]]&lt;1/1/1990,"",IF(Main[[#This Row],[Class]]="C",WORKDAY(Main[[#This Row],[Tech Start Date]],28),IF(Main[[#This Row],[Class]]="B", WORKDAY(Main[[#This Row],[Tech Start Date]],19),IF(Main[[#This Row],[Class]]="A",WORKDAY(Main[[#This Row],[Tech Start Date]],9),""))))</f>
        <v/>
      </c>
      <c r="Q1217" s="89">
        <v>40964</v>
      </c>
      <c r="R1217" s="121"/>
      <c r="S1217" s="99" t="s">
        <v>6</v>
      </c>
      <c r="T1217" s="76" t="s">
        <v>4</v>
      </c>
      <c r="U1217" s="99" t="s">
        <v>12</v>
      </c>
      <c r="V1217" s="99" t="s">
        <v>2279</v>
      </c>
      <c r="W1217" s="99" t="s">
        <v>4</v>
      </c>
      <c r="X1217" s="99" t="s">
        <v>2859</v>
      </c>
      <c r="Y1217" s="73" t="s">
        <v>4</v>
      </c>
      <c r="Z1217" s="73" t="s">
        <v>4</v>
      </c>
      <c r="AA1217" s="99" t="s">
        <v>2859</v>
      </c>
    </row>
    <row r="1218" spans="1:27" ht="17.25" customHeight="1">
      <c r="A1218" s="65" t="str">
        <f>IF(priority(Main[[#This Row],[Comments]])&lt;&gt;0, priority(Main[[#This Row],[Comments]]),"")</f>
        <v/>
      </c>
      <c r="B1218" s="60" t="s">
        <v>3270</v>
      </c>
      <c r="C1218" s="105" t="s">
        <v>3271</v>
      </c>
      <c r="D1218" s="74" t="s">
        <v>3272</v>
      </c>
      <c r="E1218" s="89"/>
      <c r="F1218" s="89">
        <v>41117</v>
      </c>
      <c r="G1218" s="65" t="str">
        <f>IF(stdProdLT(Main[[#This Row],[Comments]])=0.1,"N/A",IF(stdProdLT(Main[[#This Row],[Comments]])=0,"",TRIM(stdProdLT(Main[[#This Row],[Comments]]))))</f>
        <v/>
      </c>
      <c r="H1218" s="98" t="str">
        <f>IF(Main[[#This Row],[Std. Prod. Lead Time]]="N/A", "",IF(AND(Main[[#This Row],[In Stock Date]]&lt;&gt;"",Main[[#This Row],[Revised Due Date]]&lt;&gt;"",Main[[#This Row],[In Stock Date]]&lt;&gt;""),Main[[#This Row],[In Stock Date]]-Main[[#This Row],[Revised Due Date]],""))</f>
        <v/>
      </c>
      <c r="I1218" s="110" t="s">
        <v>4</v>
      </c>
      <c r="J1218" s="99" t="s">
        <v>4</v>
      </c>
      <c r="K1218" s="99" t="s">
        <v>4</v>
      </c>
      <c r="L1218" s="89"/>
      <c r="M1218" s="75" t="str">
        <f>IF(Main[[#This Row],[Tech Start Date]]&lt;1/1/1990,"",IF(Main[[#This Row],[Class]]="C",WORKDAY(Main[[#This Row],[Tech Start Date]],9),IF(Main[[#This Row],[Class]]="B", WORKDAY(Main[[#This Row],[Tech Start Date]],6),IF(Main[[#This Row],[Class]]="A",WORKDAY(Main[[#This Row],[Tech Start Date]],2),""))))</f>
        <v/>
      </c>
      <c r="N1218" s="75" t="str">
        <f>IF(Main[[#This Row],[Tech Start Date]]&lt;1/1/1990,"",IF(Main[[#This Row],[Class]]="C",WORKDAY(Main[[#This Row],[Tech Start Date]],19),IF(Main[[#This Row],[Class]]="B", WORKDAY(Main[[#This Row],[Tech Start Date]],12),IF(Main[[#This Row],[Class]]="A",WORKDAY(Main[[#This Row],[Tech Start Date]],4),""))))</f>
        <v/>
      </c>
      <c r="O1218" s="75" t="str">
        <f>IF(Main[[#This Row],[Tech Start Date]]&lt;1/1/1990,"",IF(Main[[#This Row],[Class]]="C",WORKDAY(Main[[#This Row],[Tech Start Date]],23),IF(Main[[#This Row],[Class]]="B", WORKDAY(Main[[#This Row],[Tech Start Date]],15),IF(Main[[#This Row],[Class]]="A",WORKDAY(Main[[#This Row],[Tech Start Date]],5),""))))</f>
        <v/>
      </c>
      <c r="P1218" s="75" t="str">
        <f>IF(Main[[#This Row],[Tech Start Date]]&lt;1/1/1990,"",IF(Main[[#This Row],[Class]]="C",WORKDAY(Main[[#This Row],[Tech Start Date]],28),IF(Main[[#This Row],[Class]]="B", WORKDAY(Main[[#This Row],[Tech Start Date]],19),IF(Main[[#This Row],[Class]]="A",WORKDAY(Main[[#This Row],[Tech Start Date]],9),""))))</f>
        <v/>
      </c>
      <c r="Q1218" s="89">
        <v>40935</v>
      </c>
      <c r="R1218" s="121"/>
      <c r="S1218" s="99" t="s">
        <v>11</v>
      </c>
      <c r="T1218" s="76" t="s">
        <v>3273</v>
      </c>
      <c r="U1218" s="99" t="s">
        <v>14</v>
      </c>
      <c r="V1218" s="99" t="s">
        <v>1913</v>
      </c>
      <c r="W1218" s="99" t="s">
        <v>1921</v>
      </c>
      <c r="X1218" s="99" t="s">
        <v>2900</v>
      </c>
      <c r="Y1218" s="73" t="s">
        <v>3090</v>
      </c>
      <c r="Z1218" s="73" t="s">
        <v>4</v>
      </c>
      <c r="AA1218" s="99" t="s">
        <v>2900</v>
      </c>
    </row>
    <row r="1219" spans="1:27" ht="17.25" customHeight="1">
      <c r="A1219" s="66" t="str">
        <f>IF(priority(Main[[#This Row],[Comments]])&lt;&gt;0, priority(Main[[#This Row],[Comments]]),"")</f>
        <v/>
      </c>
      <c r="B1219" s="60" t="s">
        <v>2720</v>
      </c>
      <c r="C1219" s="106" t="s">
        <v>4</v>
      </c>
      <c r="D1219" s="82" t="s">
        <v>2721</v>
      </c>
      <c r="E1219" s="91">
        <v>40884.635914351849</v>
      </c>
      <c r="F1219" s="91"/>
      <c r="G1219" s="66" t="str">
        <f>IF(stdProdLT(Main[[#This Row],[Comments]])=0.1,"N/A",IF(stdProdLT(Main[[#This Row],[Comments]])=0,"",TRIM(stdProdLT(Main[[#This Row],[Comments]]))))</f>
        <v/>
      </c>
      <c r="H1219" s="102" t="str">
        <f>IF(Main[[#This Row],[Std. Prod. Lead Time]]="N/A", "",IF(AND(Main[[#This Row],[In Stock Date]]&lt;&gt;"",Main[[#This Row],[Revised Due Date]]&lt;&gt;"",Main[[#This Row],[In Stock Date]]&lt;&gt;""),Main[[#This Row],[In Stock Date]]-Main[[#This Row],[Revised Due Date]],""))</f>
        <v/>
      </c>
      <c r="I1219" s="112" t="s">
        <v>4</v>
      </c>
      <c r="J1219" s="103" t="s">
        <v>4</v>
      </c>
      <c r="K1219" s="103" t="s">
        <v>4</v>
      </c>
      <c r="L1219" s="91"/>
      <c r="M1219" s="83" t="str">
        <f>IF(Main[[#This Row],[Tech Start Date]]&lt;1/1/1990,"",IF(Main[[#This Row],[Class]]="C",WORKDAY(Main[[#This Row],[Tech Start Date]],9),IF(Main[[#This Row],[Class]]="B", WORKDAY(Main[[#This Row],[Tech Start Date]],6),IF(Main[[#This Row],[Class]]="A",WORKDAY(Main[[#This Row],[Tech Start Date]],2),""))))</f>
        <v/>
      </c>
      <c r="N1219" s="83" t="str">
        <f>IF(Main[[#This Row],[Tech Start Date]]&lt;1/1/1990,"",IF(Main[[#This Row],[Class]]="C",WORKDAY(Main[[#This Row],[Tech Start Date]],19),IF(Main[[#This Row],[Class]]="B", WORKDAY(Main[[#This Row],[Tech Start Date]],12),IF(Main[[#This Row],[Class]]="A",WORKDAY(Main[[#This Row],[Tech Start Date]],4),""))))</f>
        <v/>
      </c>
      <c r="O1219" s="83" t="str">
        <f>IF(Main[[#This Row],[Tech Start Date]]&lt;1/1/1990,"",IF(Main[[#This Row],[Class]]="C",WORKDAY(Main[[#This Row],[Tech Start Date]],23),IF(Main[[#This Row],[Class]]="B", WORKDAY(Main[[#This Row],[Tech Start Date]],15),IF(Main[[#This Row],[Class]]="A",WORKDAY(Main[[#This Row],[Tech Start Date]],5),""))))</f>
        <v/>
      </c>
      <c r="P1219" s="83" t="str">
        <f>IF(Main[[#This Row],[Tech Start Date]]&lt;1/1/1990,"",IF(Main[[#This Row],[Class]]="C",WORKDAY(Main[[#This Row],[Tech Start Date]],28),IF(Main[[#This Row],[Class]]="B", WORKDAY(Main[[#This Row],[Tech Start Date]],19),IF(Main[[#This Row],[Class]]="A",WORKDAY(Main[[#This Row],[Tech Start Date]],9),""))))</f>
        <v/>
      </c>
      <c r="Q1219" s="91">
        <v>41000</v>
      </c>
      <c r="R1219" s="123"/>
      <c r="S1219" s="103" t="s">
        <v>11</v>
      </c>
      <c r="T1219" s="84" t="s">
        <v>4</v>
      </c>
      <c r="U1219" s="103" t="s">
        <v>7</v>
      </c>
      <c r="V1219" s="103" t="s">
        <v>1928</v>
      </c>
      <c r="W1219" s="103" t="s">
        <v>1918</v>
      </c>
      <c r="X1219" s="103" t="s">
        <v>922</v>
      </c>
      <c r="Y1219" s="81" t="s">
        <v>3066</v>
      </c>
      <c r="Z1219" s="81" t="s">
        <v>4</v>
      </c>
      <c r="AA1219" s="103" t="s">
        <v>907</v>
      </c>
    </row>
    <row r="1220" spans="1:27" ht="17.25" customHeight="1">
      <c r="A1220" s="65" t="str">
        <f>IF(priority(Main[[#This Row],[Comments]])&lt;&gt;0, priority(Main[[#This Row],[Comments]]),"")</f>
        <v/>
      </c>
      <c r="B1220" s="60" t="s">
        <v>2550</v>
      </c>
      <c r="C1220" s="105" t="s">
        <v>4</v>
      </c>
      <c r="D1220" s="74" t="s">
        <v>2549</v>
      </c>
      <c r="E1220" s="89"/>
      <c r="F1220" s="89"/>
      <c r="G1220" s="65" t="str">
        <f>IF(stdProdLT(Main[[#This Row],[Comments]])=0.1,"N/A",IF(stdProdLT(Main[[#This Row],[Comments]])=0,"",TRIM(stdProdLT(Main[[#This Row],[Comments]]))))</f>
        <v/>
      </c>
      <c r="H1220" s="98" t="str">
        <f>IF(Main[[#This Row],[Std. Prod. Lead Time]]="N/A", "",IF(AND(Main[[#This Row],[In Stock Date]]&lt;&gt;"",Main[[#This Row],[Revised Due Date]]&lt;&gt;"",Main[[#This Row],[In Stock Date]]&lt;&gt;""),Main[[#This Row],[In Stock Date]]-Main[[#This Row],[Revised Due Date]],""))</f>
        <v/>
      </c>
      <c r="I1220" s="110" t="s">
        <v>4</v>
      </c>
      <c r="J1220" s="99" t="s">
        <v>4</v>
      </c>
      <c r="K1220" s="99" t="s">
        <v>4</v>
      </c>
      <c r="L1220" s="89"/>
      <c r="M1220" s="75" t="str">
        <f>IF(Main[[#This Row],[Tech Start Date]]&lt;1/1/1990,"",IF(Main[[#This Row],[Class]]="C",WORKDAY(Main[[#This Row],[Tech Start Date]],9),IF(Main[[#This Row],[Class]]="B", WORKDAY(Main[[#This Row],[Tech Start Date]],6),IF(Main[[#This Row],[Class]]="A",WORKDAY(Main[[#This Row],[Tech Start Date]],2),""))))</f>
        <v/>
      </c>
      <c r="N1220" s="75" t="str">
        <f>IF(Main[[#This Row],[Tech Start Date]]&lt;1/1/1990,"",IF(Main[[#This Row],[Class]]="C",WORKDAY(Main[[#This Row],[Tech Start Date]],19),IF(Main[[#This Row],[Class]]="B", WORKDAY(Main[[#This Row],[Tech Start Date]],12),IF(Main[[#This Row],[Class]]="A",WORKDAY(Main[[#This Row],[Tech Start Date]],4),""))))</f>
        <v/>
      </c>
      <c r="O1220" s="75" t="str">
        <f>IF(Main[[#This Row],[Tech Start Date]]&lt;1/1/1990,"",IF(Main[[#This Row],[Class]]="C",WORKDAY(Main[[#This Row],[Tech Start Date]],23),IF(Main[[#This Row],[Class]]="B", WORKDAY(Main[[#This Row],[Tech Start Date]],15),IF(Main[[#This Row],[Class]]="A",WORKDAY(Main[[#This Row],[Tech Start Date]],5),""))))</f>
        <v/>
      </c>
      <c r="P1220" s="75" t="str">
        <f>IF(Main[[#This Row],[Tech Start Date]]&lt;1/1/1990,"",IF(Main[[#This Row],[Class]]="C",WORKDAY(Main[[#This Row],[Tech Start Date]],28),IF(Main[[#This Row],[Class]]="B", WORKDAY(Main[[#This Row],[Tech Start Date]],19),IF(Main[[#This Row],[Class]]="A",WORKDAY(Main[[#This Row],[Tech Start Date]],9),""))))</f>
        <v/>
      </c>
      <c r="Q1220" s="89">
        <v>40891</v>
      </c>
      <c r="R1220" s="121"/>
      <c r="S1220" s="99" t="s">
        <v>6</v>
      </c>
      <c r="T1220" s="76" t="s">
        <v>4</v>
      </c>
      <c r="U1220" s="99" t="s">
        <v>12</v>
      </c>
      <c r="V1220" s="99" t="s">
        <v>1916</v>
      </c>
      <c r="W1220" s="99" t="s">
        <v>4</v>
      </c>
      <c r="X1220" s="99" t="s">
        <v>2816</v>
      </c>
      <c r="Y1220" s="73" t="s">
        <v>2932</v>
      </c>
      <c r="Z1220" s="73" t="s">
        <v>4</v>
      </c>
      <c r="AA1220" s="99" t="s">
        <v>2816</v>
      </c>
    </row>
    <row r="1221" spans="1:27" ht="17.25" customHeight="1">
      <c r="A1221" s="65" t="str">
        <f>IF(priority(Main[[#This Row],[Comments]])&lt;&gt;0, priority(Main[[#This Row],[Comments]]),"")</f>
        <v/>
      </c>
      <c r="B1221" s="60" t="s">
        <v>2182</v>
      </c>
      <c r="C1221" s="105" t="s">
        <v>4</v>
      </c>
      <c r="D1221" s="74" t="s">
        <v>2183</v>
      </c>
      <c r="E1221" s="89">
        <v>40792.385717592595</v>
      </c>
      <c r="F1221" s="89"/>
      <c r="G1221" s="65" t="str">
        <f>IF(stdProdLT(Main[[#This Row],[Comments]])=0.1,"N/A",IF(stdProdLT(Main[[#This Row],[Comments]])=0,"",TRIM(stdProdLT(Main[[#This Row],[Comments]]))))</f>
        <v/>
      </c>
      <c r="H1221" s="98" t="str">
        <f>IF(Main[[#This Row],[Std. Prod. Lead Time]]="N/A", "",IF(AND(Main[[#This Row],[In Stock Date]]&lt;&gt;"",Main[[#This Row],[Revised Due Date]]&lt;&gt;"",Main[[#This Row],[In Stock Date]]&lt;&gt;""),Main[[#This Row],[In Stock Date]]-Main[[#This Row],[Revised Due Date]],""))</f>
        <v/>
      </c>
      <c r="I1221" s="110" t="s">
        <v>81</v>
      </c>
      <c r="J1221" s="99" t="s">
        <v>70</v>
      </c>
      <c r="K1221" s="99" t="s">
        <v>1922</v>
      </c>
      <c r="L1221" s="89"/>
      <c r="M1221" s="75" t="str">
        <f>IF(Main[[#This Row],[Tech Start Date]]&lt;1/1/1990,"",IF(Main[[#This Row],[Class]]="C",WORKDAY(Main[[#This Row],[Tech Start Date]],9),IF(Main[[#This Row],[Class]]="B", WORKDAY(Main[[#This Row],[Tech Start Date]],6),IF(Main[[#This Row],[Class]]="A",WORKDAY(Main[[#This Row],[Tech Start Date]],2),""))))</f>
        <v/>
      </c>
      <c r="N1221" s="75" t="str">
        <f>IF(Main[[#This Row],[Tech Start Date]]&lt;1/1/1990,"",IF(Main[[#This Row],[Class]]="C",WORKDAY(Main[[#This Row],[Tech Start Date]],19),IF(Main[[#This Row],[Class]]="B", WORKDAY(Main[[#This Row],[Tech Start Date]],12),IF(Main[[#This Row],[Class]]="A",WORKDAY(Main[[#This Row],[Tech Start Date]],4),""))))</f>
        <v/>
      </c>
      <c r="O1221" s="75" t="str">
        <f>IF(Main[[#This Row],[Tech Start Date]]&lt;1/1/1990,"",IF(Main[[#This Row],[Class]]="C",WORKDAY(Main[[#This Row],[Tech Start Date]],23),IF(Main[[#This Row],[Class]]="B", WORKDAY(Main[[#This Row],[Tech Start Date]],15),IF(Main[[#This Row],[Class]]="A",WORKDAY(Main[[#This Row],[Tech Start Date]],5),""))))</f>
        <v/>
      </c>
      <c r="P1221" s="75" t="str">
        <f>IF(Main[[#This Row],[Tech Start Date]]&lt;1/1/1990,"",IF(Main[[#This Row],[Class]]="C",WORKDAY(Main[[#This Row],[Tech Start Date]],28),IF(Main[[#This Row],[Class]]="B", WORKDAY(Main[[#This Row],[Tech Start Date]],19),IF(Main[[#This Row],[Class]]="A",WORKDAY(Main[[#This Row],[Tech Start Date]],9),""))))</f>
        <v/>
      </c>
      <c r="Q1221" s="89">
        <v>40823</v>
      </c>
      <c r="R1221" s="121"/>
      <c r="S1221" s="99" t="s">
        <v>6</v>
      </c>
      <c r="T1221" s="76" t="s">
        <v>4</v>
      </c>
      <c r="U1221" s="99" t="s">
        <v>29</v>
      </c>
      <c r="V1221" s="99" t="s">
        <v>1916</v>
      </c>
      <c r="W1221" s="99" t="s">
        <v>1917</v>
      </c>
      <c r="X1221" s="99" t="s">
        <v>2812</v>
      </c>
      <c r="Y1221" s="73" t="s">
        <v>2923</v>
      </c>
      <c r="Z1221" s="73" t="s">
        <v>30</v>
      </c>
      <c r="AA1221" s="99" t="s">
        <v>2812</v>
      </c>
    </row>
    <row r="1222" spans="1:27" ht="17.25" customHeight="1">
      <c r="A1222" s="65" t="str">
        <f>IF(priority(Main[[#This Row],[Comments]])&lt;&gt;0, priority(Main[[#This Row],[Comments]]),"")</f>
        <v/>
      </c>
      <c r="B1222" s="60" t="s">
        <v>3670</v>
      </c>
      <c r="C1222" s="105" t="s">
        <v>4</v>
      </c>
      <c r="D1222" s="74" t="s">
        <v>3671</v>
      </c>
      <c r="E1222" s="89">
        <v>40953.329780092594</v>
      </c>
      <c r="F1222" s="89"/>
      <c r="G1222" s="65" t="str">
        <f>IF(stdProdLT(Main[[#This Row],[Comments]])=0.1,"N/A",IF(stdProdLT(Main[[#This Row],[Comments]])=0,"",TRIM(stdProdLT(Main[[#This Row],[Comments]]))))</f>
        <v/>
      </c>
      <c r="H1222" s="98" t="str">
        <f>IF(Main[[#This Row],[Std. Prod. Lead Time]]="N/A", "",IF(AND(Main[[#This Row],[In Stock Date]]&lt;&gt;"",Main[[#This Row],[Revised Due Date]]&lt;&gt;"",Main[[#This Row],[In Stock Date]]&lt;&gt;""),Main[[#This Row],[In Stock Date]]-Main[[#This Row],[Revised Due Date]],""))</f>
        <v/>
      </c>
      <c r="I1222" s="110" t="s">
        <v>530</v>
      </c>
      <c r="J1222" s="99" t="s">
        <v>28</v>
      </c>
      <c r="K1222" s="100" t="s">
        <v>1922</v>
      </c>
      <c r="L1222" s="89"/>
      <c r="M1222" s="75" t="str">
        <f>IF(Main[[#This Row],[Tech Start Date]]&lt;1/1/1990,"",IF(Main[[#This Row],[Class]]="C",WORKDAY(Main[[#This Row],[Tech Start Date]],9),IF(Main[[#This Row],[Class]]="B", WORKDAY(Main[[#This Row],[Tech Start Date]],6),IF(Main[[#This Row],[Class]]="A",WORKDAY(Main[[#This Row],[Tech Start Date]],2),""))))</f>
        <v/>
      </c>
      <c r="N1222" s="75" t="str">
        <f>IF(Main[[#This Row],[Tech Start Date]]&lt;1/1/1990,"",IF(Main[[#This Row],[Class]]="C",WORKDAY(Main[[#This Row],[Tech Start Date]],19),IF(Main[[#This Row],[Class]]="B", WORKDAY(Main[[#This Row],[Tech Start Date]],12),IF(Main[[#This Row],[Class]]="A",WORKDAY(Main[[#This Row],[Tech Start Date]],4),""))))</f>
        <v/>
      </c>
      <c r="O1222" s="75" t="str">
        <f>IF(Main[[#This Row],[Tech Start Date]]&lt;1/1/1990,"",IF(Main[[#This Row],[Class]]="C",WORKDAY(Main[[#This Row],[Tech Start Date]],23),IF(Main[[#This Row],[Class]]="B", WORKDAY(Main[[#This Row],[Tech Start Date]],15),IF(Main[[#This Row],[Class]]="A",WORKDAY(Main[[#This Row],[Tech Start Date]],5),""))))</f>
        <v/>
      </c>
      <c r="P1222" s="75" t="str">
        <f>IF(Main[[#This Row],[Tech Start Date]]&lt;1/1/1990,"",IF(Main[[#This Row],[Class]]="C",WORKDAY(Main[[#This Row],[Tech Start Date]],28),IF(Main[[#This Row],[Class]]="B", WORKDAY(Main[[#This Row],[Tech Start Date]],19),IF(Main[[#This Row],[Class]]="A",WORKDAY(Main[[#This Row],[Tech Start Date]],9),""))))</f>
        <v/>
      </c>
      <c r="Q1222" s="89">
        <v>40984</v>
      </c>
      <c r="R1222" s="121"/>
      <c r="S1222" s="99" t="s">
        <v>6</v>
      </c>
      <c r="T1222" s="76" t="s">
        <v>4</v>
      </c>
      <c r="U1222" s="99" t="s">
        <v>29</v>
      </c>
      <c r="V1222" s="99" t="s">
        <v>1916</v>
      </c>
      <c r="W1222" s="99" t="s">
        <v>1917</v>
      </c>
      <c r="X1222" s="99" t="s">
        <v>2812</v>
      </c>
      <c r="Y1222" s="73" t="s">
        <v>2923</v>
      </c>
      <c r="Z1222" s="73" t="s">
        <v>30</v>
      </c>
      <c r="AA1222" s="99" t="s">
        <v>2812</v>
      </c>
    </row>
    <row r="1223" spans="1:27" ht="17.25" customHeight="1">
      <c r="A1223" s="65" t="str">
        <f>IF(priority(Main[[#This Row],[Comments]])&lt;&gt;0, priority(Main[[#This Row],[Comments]]),"")</f>
        <v/>
      </c>
      <c r="B1223" s="60" t="s">
        <v>3588</v>
      </c>
      <c r="C1223" s="105" t="s">
        <v>3589</v>
      </c>
      <c r="D1223" s="74" t="s">
        <v>3590</v>
      </c>
      <c r="E1223" s="89">
        <v>40969.44121527778</v>
      </c>
      <c r="F1223" s="89">
        <v>40982</v>
      </c>
      <c r="G1223" s="65" t="str">
        <f>IF(stdProdLT(Main[[#This Row],[Comments]])=0.1,"N/A",IF(stdProdLT(Main[[#This Row],[Comments]])=0,"",TRIM(stdProdLT(Main[[#This Row],[Comments]]))))</f>
        <v/>
      </c>
      <c r="H1223" s="98" t="str">
        <f>IF(Main[[#This Row],[Std. Prod. Lead Time]]="N/A", "",IF(AND(Main[[#This Row],[In Stock Date]]&lt;&gt;"",Main[[#This Row],[Revised Due Date]]&lt;&gt;"",Main[[#This Row],[In Stock Date]]&lt;&gt;""),Main[[#This Row],[In Stock Date]]-Main[[#This Row],[Revised Due Date]],""))</f>
        <v/>
      </c>
      <c r="I1223" s="110" t="s">
        <v>4</v>
      </c>
      <c r="J1223" s="99" t="s">
        <v>4</v>
      </c>
      <c r="K1223" s="99" t="s">
        <v>4</v>
      </c>
      <c r="L1223" s="89"/>
      <c r="M1223" s="75" t="str">
        <f>IF(Main[[#This Row],[Tech Start Date]]&lt;1/1/1990,"",IF(Main[[#This Row],[Class]]="C",WORKDAY(Main[[#This Row],[Tech Start Date]],9),IF(Main[[#This Row],[Class]]="B", WORKDAY(Main[[#This Row],[Tech Start Date]],6),IF(Main[[#This Row],[Class]]="A",WORKDAY(Main[[#This Row],[Tech Start Date]],2),""))))</f>
        <v/>
      </c>
      <c r="N1223" s="75" t="str">
        <f>IF(Main[[#This Row],[Tech Start Date]]&lt;1/1/1990,"",IF(Main[[#This Row],[Class]]="C",WORKDAY(Main[[#This Row],[Tech Start Date]],19),IF(Main[[#This Row],[Class]]="B", WORKDAY(Main[[#This Row],[Tech Start Date]],12),IF(Main[[#This Row],[Class]]="A",WORKDAY(Main[[#This Row],[Tech Start Date]],4),""))))</f>
        <v/>
      </c>
      <c r="O1223" s="75" t="str">
        <f>IF(Main[[#This Row],[Tech Start Date]]&lt;1/1/1990,"",IF(Main[[#This Row],[Class]]="C",WORKDAY(Main[[#This Row],[Tech Start Date]],23),IF(Main[[#This Row],[Class]]="B", WORKDAY(Main[[#This Row],[Tech Start Date]],15),IF(Main[[#This Row],[Class]]="A",WORKDAY(Main[[#This Row],[Tech Start Date]],5),""))))</f>
        <v/>
      </c>
      <c r="P1223" s="75" t="str">
        <f>IF(Main[[#This Row],[Tech Start Date]]&lt;1/1/1990,"",IF(Main[[#This Row],[Class]]="C",WORKDAY(Main[[#This Row],[Tech Start Date]],28),IF(Main[[#This Row],[Class]]="B", WORKDAY(Main[[#This Row],[Tech Start Date]],19),IF(Main[[#This Row],[Class]]="A",WORKDAY(Main[[#This Row],[Tech Start Date]],9),""))))</f>
        <v/>
      </c>
      <c r="Q1223" s="89"/>
      <c r="R1223" s="121"/>
      <c r="S1223" s="99" t="s">
        <v>11</v>
      </c>
      <c r="T1223" s="76" t="s">
        <v>4</v>
      </c>
      <c r="U1223" s="99" t="s">
        <v>7</v>
      </c>
      <c r="V1223" s="99" t="s">
        <v>1916</v>
      </c>
      <c r="W1223" s="99" t="s">
        <v>1918</v>
      </c>
      <c r="X1223" s="99" t="s">
        <v>2828</v>
      </c>
      <c r="Y1223" s="73" t="s">
        <v>3581</v>
      </c>
      <c r="Z1223" s="73" t="s">
        <v>4</v>
      </c>
      <c r="AA1223" s="99" t="s">
        <v>2828</v>
      </c>
    </row>
    <row r="1224" spans="1:27" ht="17.25" customHeight="1">
      <c r="A1224" s="65" t="str">
        <f>IF(priority(Main[[#This Row],[Comments]])&lt;&gt;0, priority(Main[[#This Row],[Comments]]),"")</f>
        <v/>
      </c>
      <c r="B1224" s="60" t="s">
        <v>2267</v>
      </c>
      <c r="C1224" s="105" t="s">
        <v>4</v>
      </c>
      <c r="D1224" s="74" t="s">
        <v>2551</v>
      </c>
      <c r="E1224" s="89">
        <v>40809.3827662037</v>
      </c>
      <c r="F1224" s="89"/>
      <c r="G1224" s="65" t="str">
        <f>IF(stdProdLT(Main[[#This Row],[Comments]])=0.1,"N/A",IF(stdProdLT(Main[[#This Row],[Comments]])=0,"",TRIM(stdProdLT(Main[[#This Row],[Comments]]))))</f>
        <v/>
      </c>
      <c r="H1224" s="98" t="str">
        <f>IF(Main[[#This Row],[Std. Prod. Lead Time]]="N/A", "",IF(AND(Main[[#This Row],[In Stock Date]]&lt;&gt;"",Main[[#This Row],[Revised Due Date]]&lt;&gt;"",Main[[#This Row],[In Stock Date]]&lt;&gt;""),Main[[#This Row],[In Stock Date]]-Main[[#This Row],[Revised Due Date]],""))</f>
        <v/>
      </c>
      <c r="I1224" s="110" t="s">
        <v>912</v>
      </c>
      <c r="J1224" s="99" t="s">
        <v>52</v>
      </c>
      <c r="K1224" s="99" t="s">
        <v>4</v>
      </c>
      <c r="L1224" s="89"/>
      <c r="M1224" s="75" t="str">
        <f>IF(Main[[#This Row],[Tech Start Date]]&lt;1/1/1990,"",IF(Main[[#This Row],[Class]]="C",WORKDAY(Main[[#This Row],[Tech Start Date]],9),IF(Main[[#This Row],[Class]]="B", WORKDAY(Main[[#This Row],[Tech Start Date]],6),IF(Main[[#This Row],[Class]]="A",WORKDAY(Main[[#This Row],[Tech Start Date]],2),""))))</f>
        <v/>
      </c>
      <c r="N1224" s="75" t="str">
        <f>IF(Main[[#This Row],[Tech Start Date]]&lt;1/1/1990,"",IF(Main[[#This Row],[Class]]="C",WORKDAY(Main[[#This Row],[Tech Start Date]],19),IF(Main[[#This Row],[Class]]="B", WORKDAY(Main[[#This Row],[Tech Start Date]],12),IF(Main[[#This Row],[Class]]="A",WORKDAY(Main[[#This Row],[Tech Start Date]],4),""))))</f>
        <v/>
      </c>
      <c r="O1224" s="75" t="str">
        <f>IF(Main[[#This Row],[Tech Start Date]]&lt;1/1/1990,"",IF(Main[[#This Row],[Class]]="C",WORKDAY(Main[[#This Row],[Tech Start Date]],23),IF(Main[[#This Row],[Class]]="B", WORKDAY(Main[[#This Row],[Tech Start Date]],15),IF(Main[[#This Row],[Class]]="A",WORKDAY(Main[[#This Row],[Tech Start Date]],5),""))))</f>
        <v/>
      </c>
      <c r="P1224" s="75" t="str">
        <f>IF(Main[[#This Row],[Tech Start Date]]&lt;1/1/1990,"",IF(Main[[#This Row],[Class]]="C",WORKDAY(Main[[#This Row],[Tech Start Date]],28),IF(Main[[#This Row],[Class]]="B", WORKDAY(Main[[#This Row],[Tech Start Date]],19),IF(Main[[#This Row],[Class]]="A",WORKDAY(Main[[#This Row],[Tech Start Date]],9),""))))</f>
        <v/>
      </c>
      <c r="Q1224" s="89"/>
      <c r="R1224" s="121">
        <v>40840</v>
      </c>
      <c r="S1224" s="99" t="s">
        <v>6</v>
      </c>
      <c r="T1224" s="76" t="s">
        <v>4</v>
      </c>
      <c r="U1224" s="99" t="s">
        <v>29</v>
      </c>
      <c r="V1224" s="99" t="s">
        <v>1913</v>
      </c>
      <c r="W1224" s="99" t="s">
        <v>1917</v>
      </c>
      <c r="X1224" s="99" t="s">
        <v>306</v>
      </c>
      <c r="Y1224" s="73" t="s">
        <v>4</v>
      </c>
      <c r="Z1224" s="73" t="s">
        <v>129</v>
      </c>
      <c r="AA1224" s="99" t="s">
        <v>50</v>
      </c>
    </row>
    <row r="1225" spans="1:27" ht="17.25" customHeight="1">
      <c r="A1225" s="65" t="str">
        <f>IF(priority(Main[[#This Row],[Comments]])&lt;&gt;0, priority(Main[[#This Row],[Comments]]),"")</f>
        <v/>
      </c>
      <c r="B1225" s="60" t="s">
        <v>1839</v>
      </c>
      <c r="C1225" s="105" t="s">
        <v>4</v>
      </c>
      <c r="D1225" s="74" t="s">
        <v>896</v>
      </c>
      <c r="E1225" s="89">
        <v>40241.453090277777</v>
      </c>
      <c r="F1225" s="89"/>
      <c r="G1225" s="65" t="str">
        <f>IF(stdProdLT(Main[[#This Row],[Comments]])=0.1,"N/A",IF(stdProdLT(Main[[#This Row],[Comments]])=0,"",TRIM(stdProdLT(Main[[#This Row],[Comments]]))))</f>
        <v/>
      </c>
      <c r="H1225" s="98" t="str">
        <f>IF(Main[[#This Row],[Std. Prod. Lead Time]]="N/A", "",IF(AND(Main[[#This Row],[In Stock Date]]&lt;&gt;"",Main[[#This Row],[Revised Due Date]]&lt;&gt;"",Main[[#This Row],[In Stock Date]]&lt;&gt;""),Main[[#This Row],[In Stock Date]]-Main[[#This Row],[Revised Due Date]],""))</f>
        <v/>
      </c>
      <c r="I1225" s="110" t="s">
        <v>74</v>
      </c>
      <c r="J1225" s="99" t="s">
        <v>4</v>
      </c>
      <c r="K1225" s="99" t="s">
        <v>1925</v>
      </c>
      <c r="L1225" s="89"/>
      <c r="M1225" s="75" t="str">
        <f>IF(Main[[#This Row],[Tech Start Date]]&lt;1/1/1990,"",IF(Main[[#This Row],[Class]]="C",WORKDAY(Main[[#This Row],[Tech Start Date]],9),IF(Main[[#This Row],[Class]]="B", WORKDAY(Main[[#This Row],[Tech Start Date]],6),IF(Main[[#This Row],[Class]]="A",WORKDAY(Main[[#This Row],[Tech Start Date]],2),""))))</f>
        <v/>
      </c>
      <c r="N1225" s="75" t="str">
        <f>IF(Main[[#This Row],[Tech Start Date]]&lt;1/1/1990,"",IF(Main[[#This Row],[Class]]="C",WORKDAY(Main[[#This Row],[Tech Start Date]],19),IF(Main[[#This Row],[Class]]="B", WORKDAY(Main[[#This Row],[Tech Start Date]],12),IF(Main[[#This Row],[Class]]="A",WORKDAY(Main[[#This Row],[Tech Start Date]],4),""))))</f>
        <v/>
      </c>
      <c r="O1225" s="75" t="str">
        <f>IF(Main[[#This Row],[Tech Start Date]]&lt;1/1/1990,"",IF(Main[[#This Row],[Class]]="C",WORKDAY(Main[[#This Row],[Tech Start Date]],23),IF(Main[[#This Row],[Class]]="B", WORKDAY(Main[[#This Row],[Tech Start Date]],15),IF(Main[[#This Row],[Class]]="A",WORKDAY(Main[[#This Row],[Tech Start Date]],5),""))))</f>
        <v/>
      </c>
      <c r="P1225" s="75" t="str">
        <f>IF(Main[[#This Row],[Tech Start Date]]&lt;1/1/1990,"",IF(Main[[#This Row],[Class]]="C",WORKDAY(Main[[#This Row],[Tech Start Date]],28),IF(Main[[#This Row],[Class]]="B", WORKDAY(Main[[#This Row],[Tech Start Date]],19),IF(Main[[#This Row],[Class]]="A",WORKDAY(Main[[#This Row],[Tech Start Date]],9),""))))</f>
        <v/>
      </c>
      <c r="Q1225" s="89"/>
      <c r="R1225" s="121">
        <v>40967</v>
      </c>
      <c r="S1225" s="99" t="s">
        <v>17</v>
      </c>
      <c r="T1225" s="76" t="s">
        <v>4</v>
      </c>
      <c r="U1225" s="99" t="s">
        <v>29</v>
      </c>
      <c r="V1225" s="99" t="s">
        <v>1916</v>
      </c>
      <c r="W1225" s="99" t="s">
        <v>4</v>
      </c>
      <c r="X1225" s="99" t="s">
        <v>306</v>
      </c>
      <c r="Y1225" s="73" t="s">
        <v>2943</v>
      </c>
      <c r="Z1225" s="73" t="s">
        <v>415</v>
      </c>
      <c r="AA1225" s="99" t="s">
        <v>3427</v>
      </c>
    </row>
    <row r="1226" spans="1:27" ht="17.25" customHeight="1">
      <c r="A1226" s="65" t="str">
        <f>IF(priority(Main[[#This Row],[Comments]])&lt;&gt;0, priority(Main[[#This Row],[Comments]]),"")</f>
        <v/>
      </c>
      <c r="B1226" s="60" t="s">
        <v>2662</v>
      </c>
      <c r="C1226" s="105" t="s">
        <v>47</v>
      </c>
      <c r="D1226" s="74" t="s">
        <v>3341</v>
      </c>
      <c r="E1226" s="89">
        <v>40938.399201388886</v>
      </c>
      <c r="F1226" s="89"/>
      <c r="G1226" s="65" t="str">
        <f>IF(stdProdLT(Main[[#This Row],[Comments]])=0.1,"N/A",IF(stdProdLT(Main[[#This Row],[Comments]])=0,"",TRIM(stdProdLT(Main[[#This Row],[Comments]]))))</f>
        <v/>
      </c>
      <c r="H1226" s="98" t="str">
        <f>IF(Main[[#This Row],[Std. Prod. Lead Time]]="N/A", "",IF(AND(Main[[#This Row],[In Stock Date]]&lt;&gt;"",Main[[#This Row],[Revised Due Date]]&lt;&gt;"",Main[[#This Row],[In Stock Date]]&lt;&gt;""),Main[[#This Row],[In Stock Date]]-Main[[#This Row],[Revised Due Date]],""))</f>
        <v/>
      </c>
      <c r="I1226" s="110" t="s">
        <v>4</v>
      </c>
      <c r="J1226" s="99" t="s">
        <v>4</v>
      </c>
      <c r="K1226" s="99" t="s">
        <v>4</v>
      </c>
      <c r="L1226" s="89"/>
      <c r="M1226" s="75" t="str">
        <f>IF(Main[[#This Row],[Tech Start Date]]&lt;1/1/1990,"",IF(Main[[#This Row],[Class]]="C",WORKDAY(Main[[#This Row],[Tech Start Date]],9),IF(Main[[#This Row],[Class]]="B", WORKDAY(Main[[#This Row],[Tech Start Date]],6),IF(Main[[#This Row],[Class]]="A",WORKDAY(Main[[#This Row],[Tech Start Date]],2),""))))</f>
        <v/>
      </c>
      <c r="N1226" s="75" t="str">
        <f>IF(Main[[#This Row],[Tech Start Date]]&lt;1/1/1990,"",IF(Main[[#This Row],[Class]]="C",WORKDAY(Main[[#This Row],[Tech Start Date]],19),IF(Main[[#This Row],[Class]]="B", WORKDAY(Main[[#This Row],[Tech Start Date]],12),IF(Main[[#This Row],[Class]]="A",WORKDAY(Main[[#This Row],[Tech Start Date]],4),""))))</f>
        <v/>
      </c>
      <c r="O1226" s="75" t="str">
        <f>IF(Main[[#This Row],[Tech Start Date]]&lt;1/1/1990,"",IF(Main[[#This Row],[Class]]="C",WORKDAY(Main[[#This Row],[Tech Start Date]],23),IF(Main[[#This Row],[Class]]="B", WORKDAY(Main[[#This Row],[Tech Start Date]],15),IF(Main[[#This Row],[Class]]="A",WORKDAY(Main[[#This Row],[Tech Start Date]],5),""))))</f>
        <v/>
      </c>
      <c r="P1226" s="75" t="str">
        <f>IF(Main[[#This Row],[Tech Start Date]]&lt;1/1/1990,"",IF(Main[[#This Row],[Class]]="C",WORKDAY(Main[[#This Row],[Tech Start Date]],28),IF(Main[[#This Row],[Class]]="B", WORKDAY(Main[[#This Row],[Tech Start Date]],19),IF(Main[[#This Row],[Class]]="A",WORKDAY(Main[[#This Row],[Tech Start Date]],9),""))))</f>
        <v/>
      </c>
      <c r="Q1226" s="89">
        <v>40913</v>
      </c>
      <c r="R1226" s="121"/>
      <c r="S1226" s="99" t="s">
        <v>6</v>
      </c>
      <c r="T1226" s="76" t="s">
        <v>4</v>
      </c>
      <c r="U1226" s="99" t="s">
        <v>7</v>
      </c>
      <c r="V1226" s="99" t="s">
        <v>2279</v>
      </c>
      <c r="W1226" s="99" t="s">
        <v>4</v>
      </c>
      <c r="X1226" s="99" t="s">
        <v>2859</v>
      </c>
      <c r="Y1226" s="73" t="s">
        <v>3004</v>
      </c>
      <c r="Z1226" s="73" t="s">
        <v>4</v>
      </c>
      <c r="AA1226" s="99" t="s">
        <v>2859</v>
      </c>
    </row>
    <row r="1227" spans="1:27" ht="17.25" customHeight="1">
      <c r="A1227" s="65" t="str">
        <f>IF(priority(Main[[#This Row],[Comments]])&lt;&gt;0, priority(Main[[#This Row],[Comments]]),"")</f>
        <v/>
      </c>
      <c r="B1227" s="60" t="s">
        <v>3342</v>
      </c>
      <c r="C1227" s="105" t="s">
        <v>4</v>
      </c>
      <c r="D1227" s="74" t="s">
        <v>3672</v>
      </c>
      <c r="E1227" s="89">
        <v>40938.460613425923</v>
      </c>
      <c r="F1227" s="89"/>
      <c r="G1227" s="65" t="str">
        <f>IF(stdProdLT(Main[[#This Row],[Comments]])=0.1,"N/A",IF(stdProdLT(Main[[#This Row],[Comments]])=0,"",TRIM(stdProdLT(Main[[#This Row],[Comments]]))))</f>
        <v/>
      </c>
      <c r="H1227" s="98" t="str">
        <f>IF(Main[[#This Row],[Std. Prod. Lead Time]]="N/A", "",IF(AND(Main[[#This Row],[In Stock Date]]&lt;&gt;"",Main[[#This Row],[Revised Due Date]]&lt;&gt;"",Main[[#This Row],[In Stock Date]]&lt;&gt;""),Main[[#This Row],[In Stock Date]]-Main[[#This Row],[Revised Due Date]],""))</f>
        <v/>
      </c>
      <c r="I1227" s="110" t="s">
        <v>69</v>
      </c>
      <c r="J1227" s="99" t="s">
        <v>70</v>
      </c>
      <c r="K1227" s="99" t="s">
        <v>4</v>
      </c>
      <c r="L1227" s="89"/>
      <c r="M1227" s="75" t="str">
        <f>IF(Main[[#This Row],[Tech Start Date]]&lt;1/1/1990,"",IF(Main[[#This Row],[Class]]="C",WORKDAY(Main[[#This Row],[Tech Start Date]],9),IF(Main[[#This Row],[Class]]="B", WORKDAY(Main[[#This Row],[Tech Start Date]],6),IF(Main[[#This Row],[Class]]="A",WORKDAY(Main[[#This Row],[Tech Start Date]],2),""))))</f>
        <v/>
      </c>
      <c r="N1227" s="75" t="str">
        <f>IF(Main[[#This Row],[Tech Start Date]]&lt;1/1/1990,"",IF(Main[[#This Row],[Class]]="C",WORKDAY(Main[[#This Row],[Tech Start Date]],19),IF(Main[[#This Row],[Class]]="B", WORKDAY(Main[[#This Row],[Tech Start Date]],12),IF(Main[[#This Row],[Class]]="A",WORKDAY(Main[[#This Row],[Tech Start Date]],4),""))))</f>
        <v/>
      </c>
      <c r="O1227" s="75" t="str">
        <f>IF(Main[[#This Row],[Tech Start Date]]&lt;1/1/1990,"",IF(Main[[#This Row],[Class]]="C",WORKDAY(Main[[#This Row],[Tech Start Date]],23),IF(Main[[#This Row],[Class]]="B", WORKDAY(Main[[#This Row],[Tech Start Date]],15),IF(Main[[#This Row],[Class]]="A",WORKDAY(Main[[#This Row],[Tech Start Date]],5),""))))</f>
        <v/>
      </c>
      <c r="P1227" s="75" t="str">
        <f>IF(Main[[#This Row],[Tech Start Date]]&lt;1/1/1990,"",IF(Main[[#This Row],[Class]]="C",WORKDAY(Main[[#This Row],[Tech Start Date]],28),IF(Main[[#This Row],[Class]]="B", WORKDAY(Main[[#This Row],[Tech Start Date]],19),IF(Main[[#This Row],[Class]]="A",WORKDAY(Main[[#This Row],[Tech Start Date]],9),""))))</f>
        <v/>
      </c>
      <c r="Q1227" s="89"/>
      <c r="R1227" s="121"/>
      <c r="S1227" s="99" t="s">
        <v>6</v>
      </c>
      <c r="T1227" s="76" t="s">
        <v>4</v>
      </c>
      <c r="U1227" s="99" t="s">
        <v>29</v>
      </c>
      <c r="V1227" s="99" t="s">
        <v>1916</v>
      </c>
      <c r="W1227" s="99" t="s">
        <v>4</v>
      </c>
      <c r="X1227" s="99" t="s">
        <v>2835</v>
      </c>
      <c r="Y1227" s="73" t="s">
        <v>2965</v>
      </c>
      <c r="Z1227" s="73" t="s">
        <v>4</v>
      </c>
      <c r="AA1227" s="99" t="s">
        <v>2835</v>
      </c>
    </row>
    <row r="1228" spans="1:27" ht="17.25" customHeight="1">
      <c r="A1228" s="65" t="str">
        <f>IF(priority(Main[[#This Row],[Comments]])&lt;&gt;0, priority(Main[[#This Row],[Comments]]),"")</f>
        <v/>
      </c>
      <c r="B1228" s="60" t="s">
        <v>3338</v>
      </c>
      <c r="C1228" s="105" t="s">
        <v>148</v>
      </c>
      <c r="D1228" s="74" t="s">
        <v>3339</v>
      </c>
      <c r="E1228" s="89">
        <v>40969.375949074078</v>
      </c>
      <c r="F1228" s="89">
        <v>41128</v>
      </c>
      <c r="G1228" s="65" t="str">
        <f>IF(stdProdLT(Main[[#This Row],[Comments]])=0.1,"N/A",IF(stdProdLT(Main[[#This Row],[Comments]])=0,"",TRIM(stdProdLT(Main[[#This Row],[Comments]]))))</f>
        <v>168</v>
      </c>
      <c r="H1228" s="98" t="str">
        <f>IF(Main[[#This Row],[Std. Prod. Lead Time]]="N/A", "",IF(AND(Main[[#This Row],[In Stock Date]]&lt;&gt;"",Main[[#This Row],[Revised Due Date]]&lt;&gt;"",Main[[#This Row],[In Stock Date]]&lt;&gt;""),Main[[#This Row],[In Stock Date]]-Main[[#This Row],[Revised Due Date]],""))</f>
        <v/>
      </c>
      <c r="I1228" s="110" t="s">
        <v>4</v>
      </c>
      <c r="J1228" s="99" t="s">
        <v>4</v>
      </c>
      <c r="K1228" s="99" t="s">
        <v>4</v>
      </c>
      <c r="L1228" s="89"/>
      <c r="M1228" s="75" t="str">
        <f>IF(Main[[#This Row],[Tech Start Date]]&lt;1/1/1990,"",IF(Main[[#This Row],[Class]]="C",WORKDAY(Main[[#This Row],[Tech Start Date]],9),IF(Main[[#This Row],[Class]]="B", WORKDAY(Main[[#This Row],[Tech Start Date]],6),IF(Main[[#This Row],[Class]]="A",WORKDAY(Main[[#This Row],[Tech Start Date]],2),""))))</f>
        <v/>
      </c>
      <c r="N1228" s="75" t="str">
        <f>IF(Main[[#This Row],[Tech Start Date]]&lt;1/1/1990,"",IF(Main[[#This Row],[Class]]="C",WORKDAY(Main[[#This Row],[Tech Start Date]],19),IF(Main[[#This Row],[Class]]="B", WORKDAY(Main[[#This Row],[Tech Start Date]],12),IF(Main[[#This Row],[Class]]="A",WORKDAY(Main[[#This Row],[Tech Start Date]],4),""))))</f>
        <v/>
      </c>
      <c r="O1228" s="75" t="str">
        <f>IF(Main[[#This Row],[Tech Start Date]]&lt;1/1/1990,"",IF(Main[[#This Row],[Class]]="C",WORKDAY(Main[[#This Row],[Tech Start Date]],23),IF(Main[[#This Row],[Class]]="B", WORKDAY(Main[[#This Row],[Tech Start Date]],15),IF(Main[[#This Row],[Class]]="A",WORKDAY(Main[[#This Row],[Tech Start Date]],5),""))))</f>
        <v/>
      </c>
      <c r="P1228" s="75" t="str">
        <f>IF(Main[[#This Row],[Tech Start Date]]&lt;1/1/1990,"",IF(Main[[#This Row],[Class]]="C",WORKDAY(Main[[#This Row],[Tech Start Date]],28),IF(Main[[#This Row],[Class]]="B", WORKDAY(Main[[#This Row],[Tech Start Date]],19),IF(Main[[#This Row],[Class]]="A",WORKDAY(Main[[#This Row],[Tech Start Date]],9),""))))</f>
        <v/>
      </c>
      <c r="Q1228" s="89"/>
      <c r="R1228" s="121"/>
      <c r="S1228" s="99" t="s">
        <v>11</v>
      </c>
      <c r="T1228" s="76" t="s">
        <v>3971</v>
      </c>
      <c r="U1228" s="99" t="s">
        <v>7</v>
      </c>
      <c r="V1228" s="99" t="s">
        <v>1916</v>
      </c>
      <c r="W1228" s="99" t="s">
        <v>1921</v>
      </c>
      <c r="X1228" s="99" t="s">
        <v>2887</v>
      </c>
      <c r="Y1228" s="73" t="s">
        <v>3049</v>
      </c>
      <c r="Z1228" s="73" t="s">
        <v>4</v>
      </c>
      <c r="AA1228" s="99" t="s">
        <v>2887</v>
      </c>
    </row>
    <row r="1229" spans="1:27" ht="17.25" customHeight="1">
      <c r="A1229" s="65" t="str">
        <f>IF(priority(Main[[#This Row],[Comments]])&lt;&gt;0, priority(Main[[#This Row],[Comments]]),"")</f>
        <v/>
      </c>
      <c r="B1229" s="60" t="s">
        <v>1201</v>
      </c>
      <c r="C1229" s="105" t="s">
        <v>4</v>
      </c>
      <c r="D1229" s="74" t="s">
        <v>3673</v>
      </c>
      <c r="E1229" s="89">
        <v>40667.612881944442</v>
      </c>
      <c r="F1229" s="89"/>
      <c r="G1229" s="65" t="str">
        <f>IF(stdProdLT(Main[[#This Row],[Comments]])=0.1,"N/A",IF(stdProdLT(Main[[#This Row],[Comments]])=0,"",TRIM(stdProdLT(Main[[#This Row],[Comments]]))))</f>
        <v/>
      </c>
      <c r="H1229" s="98" t="str">
        <f>IF(Main[[#This Row],[Std. Prod. Lead Time]]="N/A", "",IF(AND(Main[[#This Row],[In Stock Date]]&lt;&gt;"",Main[[#This Row],[Revised Due Date]]&lt;&gt;"",Main[[#This Row],[In Stock Date]]&lt;&gt;""),Main[[#This Row],[In Stock Date]]-Main[[#This Row],[Revised Due Date]],""))</f>
        <v/>
      </c>
      <c r="I1229" s="110" t="s">
        <v>4</v>
      </c>
      <c r="J1229" s="99" t="s">
        <v>4</v>
      </c>
      <c r="K1229" s="99" t="s">
        <v>4</v>
      </c>
      <c r="L1229" s="89"/>
      <c r="M1229" s="75" t="str">
        <f>IF(Main[[#This Row],[Tech Start Date]]&lt;1/1/1990,"",IF(Main[[#This Row],[Class]]="C",WORKDAY(Main[[#This Row],[Tech Start Date]],9),IF(Main[[#This Row],[Class]]="B", WORKDAY(Main[[#This Row],[Tech Start Date]],6),IF(Main[[#This Row],[Class]]="A",WORKDAY(Main[[#This Row],[Tech Start Date]],2),""))))</f>
        <v/>
      </c>
      <c r="N1229" s="75" t="str">
        <f>IF(Main[[#This Row],[Tech Start Date]]&lt;1/1/1990,"",IF(Main[[#This Row],[Class]]="C",WORKDAY(Main[[#This Row],[Tech Start Date]],19),IF(Main[[#This Row],[Class]]="B", WORKDAY(Main[[#This Row],[Tech Start Date]],12),IF(Main[[#This Row],[Class]]="A",WORKDAY(Main[[#This Row],[Tech Start Date]],4),""))))</f>
        <v/>
      </c>
      <c r="O1229" s="75" t="str">
        <f>IF(Main[[#This Row],[Tech Start Date]]&lt;1/1/1990,"",IF(Main[[#This Row],[Class]]="C",WORKDAY(Main[[#This Row],[Tech Start Date]],23),IF(Main[[#This Row],[Class]]="B", WORKDAY(Main[[#This Row],[Tech Start Date]],15),IF(Main[[#This Row],[Class]]="A",WORKDAY(Main[[#This Row],[Tech Start Date]],5),""))))</f>
        <v/>
      </c>
      <c r="P1229" s="75" t="str">
        <f>IF(Main[[#This Row],[Tech Start Date]]&lt;1/1/1990,"",IF(Main[[#This Row],[Class]]="C",WORKDAY(Main[[#This Row],[Tech Start Date]],28),IF(Main[[#This Row],[Class]]="B", WORKDAY(Main[[#This Row],[Tech Start Date]],19),IF(Main[[#This Row],[Class]]="A",WORKDAY(Main[[#This Row],[Tech Start Date]],9),""))))</f>
        <v/>
      </c>
      <c r="Q1229" s="89">
        <v>40858</v>
      </c>
      <c r="R1229" s="121"/>
      <c r="S1229" s="99" t="s">
        <v>17</v>
      </c>
      <c r="T1229" s="76" t="s">
        <v>4</v>
      </c>
      <c r="U1229" s="99" t="s">
        <v>7</v>
      </c>
      <c r="V1229" s="99" t="s">
        <v>1913</v>
      </c>
      <c r="W1229" s="99" t="s">
        <v>1918</v>
      </c>
      <c r="X1229" s="99" t="s">
        <v>50</v>
      </c>
      <c r="Y1229" s="73" t="s">
        <v>2953</v>
      </c>
      <c r="Z1229" s="73" t="s">
        <v>4</v>
      </c>
      <c r="AA1229" s="99" t="s">
        <v>2822</v>
      </c>
    </row>
    <row r="1230" spans="1:27" ht="17.25" customHeight="1">
      <c r="A1230" s="65" t="str">
        <f>IF(priority(Main[[#This Row],[Comments]])&lt;&gt;0, priority(Main[[#This Row],[Comments]]),"")</f>
        <v/>
      </c>
      <c r="B1230" s="60" t="s">
        <v>3674</v>
      </c>
      <c r="C1230" s="105" t="s">
        <v>4</v>
      </c>
      <c r="D1230" s="74" t="s">
        <v>3675</v>
      </c>
      <c r="E1230" s="89">
        <v>40960.145115740743</v>
      </c>
      <c r="F1230" s="89"/>
      <c r="G1230" s="65" t="str">
        <f>IF(stdProdLT(Main[[#This Row],[Comments]])=0.1,"N/A",IF(stdProdLT(Main[[#This Row],[Comments]])=0,"",TRIM(stdProdLT(Main[[#This Row],[Comments]]))))</f>
        <v/>
      </c>
      <c r="H1230" s="98" t="str">
        <f>IF(Main[[#This Row],[Std. Prod. Lead Time]]="N/A", "",IF(AND(Main[[#This Row],[In Stock Date]]&lt;&gt;"",Main[[#This Row],[Revised Due Date]]&lt;&gt;"",Main[[#This Row],[In Stock Date]]&lt;&gt;""),Main[[#This Row],[In Stock Date]]-Main[[#This Row],[Revised Due Date]],""))</f>
        <v/>
      </c>
      <c r="I1230" s="110" t="s">
        <v>912</v>
      </c>
      <c r="J1230" s="99" t="s">
        <v>52</v>
      </c>
      <c r="K1230" s="99" t="s">
        <v>4</v>
      </c>
      <c r="L1230" s="89"/>
      <c r="M1230" s="75" t="str">
        <f>IF(Main[[#This Row],[Tech Start Date]]&lt;1/1/1990,"",IF(Main[[#This Row],[Class]]="C",WORKDAY(Main[[#This Row],[Tech Start Date]],9),IF(Main[[#This Row],[Class]]="B", WORKDAY(Main[[#This Row],[Tech Start Date]],6),IF(Main[[#This Row],[Class]]="A",WORKDAY(Main[[#This Row],[Tech Start Date]],2),""))))</f>
        <v/>
      </c>
      <c r="N1230" s="75" t="str">
        <f>IF(Main[[#This Row],[Tech Start Date]]&lt;1/1/1990,"",IF(Main[[#This Row],[Class]]="C",WORKDAY(Main[[#This Row],[Tech Start Date]],19),IF(Main[[#This Row],[Class]]="B", WORKDAY(Main[[#This Row],[Tech Start Date]],12),IF(Main[[#This Row],[Class]]="A",WORKDAY(Main[[#This Row],[Tech Start Date]],4),""))))</f>
        <v/>
      </c>
      <c r="O1230" s="75" t="str">
        <f>IF(Main[[#This Row],[Tech Start Date]]&lt;1/1/1990,"",IF(Main[[#This Row],[Class]]="C",WORKDAY(Main[[#This Row],[Tech Start Date]],23),IF(Main[[#This Row],[Class]]="B", WORKDAY(Main[[#This Row],[Tech Start Date]],15),IF(Main[[#This Row],[Class]]="A",WORKDAY(Main[[#This Row],[Tech Start Date]],5),""))))</f>
        <v/>
      </c>
      <c r="P1230" s="75" t="str">
        <f>IF(Main[[#This Row],[Tech Start Date]]&lt;1/1/1990,"",IF(Main[[#This Row],[Class]]="C",WORKDAY(Main[[#This Row],[Tech Start Date]],28),IF(Main[[#This Row],[Class]]="B", WORKDAY(Main[[#This Row],[Tech Start Date]],19),IF(Main[[#This Row],[Class]]="A",WORKDAY(Main[[#This Row],[Tech Start Date]],9),""))))</f>
        <v/>
      </c>
      <c r="Q1230" s="89">
        <v>40989</v>
      </c>
      <c r="R1230" s="121"/>
      <c r="S1230" s="99" t="s">
        <v>6</v>
      </c>
      <c r="T1230" s="76" t="s">
        <v>4</v>
      </c>
      <c r="U1230" s="99" t="s">
        <v>29</v>
      </c>
      <c r="V1230" s="99" t="s">
        <v>1913</v>
      </c>
      <c r="W1230" s="99" t="s">
        <v>4</v>
      </c>
      <c r="X1230" s="99" t="s">
        <v>2816</v>
      </c>
      <c r="Y1230" s="73" t="s">
        <v>2932</v>
      </c>
      <c r="Z1230" s="73" t="s">
        <v>129</v>
      </c>
      <c r="AA1230" s="99" t="s">
        <v>2816</v>
      </c>
    </row>
    <row r="1231" spans="1:27" ht="17.25" customHeight="1">
      <c r="A1231" s="65" t="str">
        <f>IF(priority(Main[[#This Row],[Comments]])&lt;&gt;0, priority(Main[[#This Row],[Comments]]),"")</f>
        <v/>
      </c>
      <c r="B1231" s="60" t="s">
        <v>2728</v>
      </c>
      <c r="C1231" s="105" t="s">
        <v>4</v>
      </c>
      <c r="D1231" s="74" t="s">
        <v>3346</v>
      </c>
      <c r="E1231" s="89">
        <v>40891.136469907404</v>
      </c>
      <c r="F1231" s="89"/>
      <c r="G1231" s="65" t="str">
        <f>IF(stdProdLT(Main[[#This Row],[Comments]])=0.1,"N/A",IF(stdProdLT(Main[[#This Row],[Comments]])=0,"",TRIM(stdProdLT(Main[[#This Row],[Comments]]))))</f>
        <v/>
      </c>
      <c r="H1231" s="98" t="str">
        <f>IF(Main[[#This Row],[Std. Prod. Lead Time]]="N/A", "",IF(AND(Main[[#This Row],[In Stock Date]]&lt;&gt;"",Main[[#This Row],[Revised Due Date]]&lt;&gt;"",Main[[#This Row],[In Stock Date]]&lt;&gt;""),Main[[#This Row],[In Stock Date]]-Main[[#This Row],[Revised Due Date]],""))</f>
        <v/>
      </c>
      <c r="I1231" s="110" t="s">
        <v>69</v>
      </c>
      <c r="J1231" s="99" t="s">
        <v>70</v>
      </c>
      <c r="K1231" s="99" t="s">
        <v>1922</v>
      </c>
      <c r="L1231" s="89"/>
      <c r="M1231" s="75" t="str">
        <f>IF(Main[[#This Row],[Tech Start Date]]&lt;1/1/1990,"",IF(Main[[#This Row],[Class]]="C",WORKDAY(Main[[#This Row],[Tech Start Date]],9),IF(Main[[#This Row],[Class]]="B", WORKDAY(Main[[#This Row],[Tech Start Date]],6),IF(Main[[#This Row],[Class]]="A",WORKDAY(Main[[#This Row],[Tech Start Date]],2),""))))</f>
        <v/>
      </c>
      <c r="N1231" s="75" t="str">
        <f>IF(Main[[#This Row],[Tech Start Date]]&lt;1/1/1990,"",IF(Main[[#This Row],[Class]]="C",WORKDAY(Main[[#This Row],[Tech Start Date]],19),IF(Main[[#This Row],[Class]]="B", WORKDAY(Main[[#This Row],[Tech Start Date]],12),IF(Main[[#This Row],[Class]]="A",WORKDAY(Main[[#This Row],[Tech Start Date]],4),""))))</f>
        <v/>
      </c>
      <c r="O1231" s="75" t="str">
        <f>IF(Main[[#This Row],[Tech Start Date]]&lt;1/1/1990,"",IF(Main[[#This Row],[Class]]="C",WORKDAY(Main[[#This Row],[Tech Start Date]],23),IF(Main[[#This Row],[Class]]="B", WORKDAY(Main[[#This Row],[Tech Start Date]],15),IF(Main[[#This Row],[Class]]="A",WORKDAY(Main[[#This Row],[Tech Start Date]],5),""))))</f>
        <v/>
      </c>
      <c r="P1231" s="75" t="str">
        <f>IF(Main[[#This Row],[Tech Start Date]]&lt;1/1/1990,"",IF(Main[[#This Row],[Class]]="C",WORKDAY(Main[[#This Row],[Tech Start Date]],28),IF(Main[[#This Row],[Class]]="B", WORKDAY(Main[[#This Row],[Tech Start Date]],19),IF(Main[[#This Row],[Class]]="A",WORKDAY(Main[[#This Row],[Tech Start Date]],9),""))))</f>
        <v/>
      </c>
      <c r="Q1231" s="89">
        <v>40914</v>
      </c>
      <c r="R1231" s="121"/>
      <c r="S1231" s="99" t="s">
        <v>6</v>
      </c>
      <c r="T1231" s="76" t="s">
        <v>4</v>
      </c>
      <c r="U1231" s="99" t="s">
        <v>29</v>
      </c>
      <c r="V1231" s="99" t="s">
        <v>1916</v>
      </c>
      <c r="W1231" s="99" t="s">
        <v>1917</v>
      </c>
      <c r="X1231" s="99" t="s">
        <v>2845</v>
      </c>
      <c r="Y1231" s="73" t="s">
        <v>2980</v>
      </c>
      <c r="Z1231" s="73" t="s">
        <v>30</v>
      </c>
      <c r="AA1231" s="99" t="s">
        <v>2845</v>
      </c>
    </row>
    <row r="1232" spans="1:27" ht="17.25" customHeight="1">
      <c r="A1232" s="65" t="str">
        <f>IF(priority(Main[[#This Row],[Comments]])&lt;&gt;0, priority(Main[[#This Row],[Comments]]),"")</f>
        <v/>
      </c>
      <c r="B1232" s="60" t="s">
        <v>2554</v>
      </c>
      <c r="C1232" s="105" t="s">
        <v>4</v>
      </c>
      <c r="D1232" s="74" t="s">
        <v>2555</v>
      </c>
      <c r="E1232" s="89">
        <v>40835.766481481478</v>
      </c>
      <c r="F1232" s="89"/>
      <c r="G1232" s="65" t="str">
        <f>IF(stdProdLT(Main[[#This Row],[Comments]])=0.1,"N/A",IF(stdProdLT(Main[[#This Row],[Comments]])=0,"",TRIM(stdProdLT(Main[[#This Row],[Comments]]))))</f>
        <v/>
      </c>
      <c r="H1232" s="98" t="str">
        <f>IF(Main[[#This Row],[Std. Prod. Lead Time]]="N/A", "",IF(AND(Main[[#This Row],[In Stock Date]]&lt;&gt;"",Main[[#This Row],[Revised Due Date]]&lt;&gt;"",Main[[#This Row],[In Stock Date]]&lt;&gt;""),Main[[#This Row],[In Stock Date]]-Main[[#This Row],[Revised Due Date]],""))</f>
        <v/>
      </c>
      <c r="I1232" s="110" t="s">
        <v>4</v>
      </c>
      <c r="J1232" s="99" t="s">
        <v>4</v>
      </c>
      <c r="K1232" s="99" t="s">
        <v>4</v>
      </c>
      <c r="L1232" s="89"/>
      <c r="M1232" s="75" t="str">
        <f>IF(Main[[#This Row],[Tech Start Date]]&lt;1/1/1990,"",IF(Main[[#This Row],[Class]]="C",WORKDAY(Main[[#This Row],[Tech Start Date]],9),IF(Main[[#This Row],[Class]]="B", WORKDAY(Main[[#This Row],[Tech Start Date]],6),IF(Main[[#This Row],[Class]]="A",WORKDAY(Main[[#This Row],[Tech Start Date]],2),""))))</f>
        <v/>
      </c>
      <c r="N1232" s="75" t="str">
        <f>IF(Main[[#This Row],[Tech Start Date]]&lt;1/1/1990,"",IF(Main[[#This Row],[Class]]="C",WORKDAY(Main[[#This Row],[Tech Start Date]],19),IF(Main[[#This Row],[Class]]="B", WORKDAY(Main[[#This Row],[Tech Start Date]],12),IF(Main[[#This Row],[Class]]="A",WORKDAY(Main[[#This Row],[Tech Start Date]],4),""))))</f>
        <v/>
      </c>
      <c r="O1232" s="75" t="str">
        <f>IF(Main[[#This Row],[Tech Start Date]]&lt;1/1/1990,"",IF(Main[[#This Row],[Class]]="C",WORKDAY(Main[[#This Row],[Tech Start Date]],23),IF(Main[[#This Row],[Class]]="B", WORKDAY(Main[[#This Row],[Tech Start Date]],15),IF(Main[[#This Row],[Class]]="A",WORKDAY(Main[[#This Row],[Tech Start Date]],5),""))))</f>
        <v/>
      </c>
      <c r="P1232" s="75" t="str">
        <f>IF(Main[[#This Row],[Tech Start Date]]&lt;1/1/1990,"",IF(Main[[#This Row],[Class]]="C",WORKDAY(Main[[#This Row],[Tech Start Date]],28),IF(Main[[#This Row],[Class]]="B", WORKDAY(Main[[#This Row],[Tech Start Date]],19),IF(Main[[#This Row],[Class]]="A",WORKDAY(Main[[#This Row],[Tech Start Date]],9),""))))</f>
        <v/>
      </c>
      <c r="Q1232" s="89">
        <v>40858</v>
      </c>
      <c r="R1232" s="121"/>
      <c r="S1232" s="99" t="s">
        <v>6</v>
      </c>
      <c r="T1232" s="76" t="s">
        <v>4</v>
      </c>
      <c r="U1232" s="99" t="s">
        <v>7</v>
      </c>
      <c r="V1232" s="99" t="s">
        <v>1916</v>
      </c>
      <c r="W1232" s="99" t="s">
        <v>4</v>
      </c>
      <c r="X1232" s="99" t="s">
        <v>2813</v>
      </c>
      <c r="Y1232" s="73" t="s">
        <v>2926</v>
      </c>
      <c r="Z1232" s="73" t="s">
        <v>4</v>
      </c>
      <c r="AA1232" s="99" t="s">
        <v>2813</v>
      </c>
    </row>
    <row r="1233" spans="1:27" ht="17.25" customHeight="1">
      <c r="A1233" s="65" t="str">
        <f>IF(priority(Main[[#This Row],[Comments]])&lt;&gt;0, priority(Main[[#This Row],[Comments]]),"")</f>
        <v/>
      </c>
      <c r="B1233" s="60" t="s">
        <v>2556</v>
      </c>
      <c r="C1233" s="105" t="s">
        <v>4</v>
      </c>
      <c r="D1233" s="74" t="s">
        <v>2557</v>
      </c>
      <c r="E1233" s="89"/>
      <c r="F1233" s="89"/>
      <c r="G1233" s="65" t="str">
        <f>IF(stdProdLT(Main[[#This Row],[Comments]])=0.1,"N/A",IF(stdProdLT(Main[[#This Row],[Comments]])=0,"",TRIM(stdProdLT(Main[[#This Row],[Comments]]))))</f>
        <v/>
      </c>
      <c r="H1233" s="98" t="str">
        <f>IF(Main[[#This Row],[Std. Prod. Lead Time]]="N/A", "",IF(AND(Main[[#This Row],[In Stock Date]]&lt;&gt;"",Main[[#This Row],[Revised Due Date]]&lt;&gt;"",Main[[#This Row],[In Stock Date]]&lt;&gt;""),Main[[#This Row],[In Stock Date]]-Main[[#This Row],[Revised Due Date]],""))</f>
        <v/>
      </c>
      <c r="I1233" s="110" t="s">
        <v>4</v>
      </c>
      <c r="J1233" s="99" t="s">
        <v>4</v>
      </c>
      <c r="K1233" s="99" t="s">
        <v>4</v>
      </c>
      <c r="L1233" s="89"/>
      <c r="M1233" s="75" t="str">
        <f>IF(Main[[#This Row],[Tech Start Date]]&lt;1/1/1990,"",IF(Main[[#This Row],[Class]]="C",WORKDAY(Main[[#This Row],[Tech Start Date]],9),IF(Main[[#This Row],[Class]]="B", WORKDAY(Main[[#This Row],[Tech Start Date]],6),IF(Main[[#This Row],[Class]]="A",WORKDAY(Main[[#This Row],[Tech Start Date]],2),""))))</f>
        <v/>
      </c>
      <c r="N1233" s="75" t="str">
        <f>IF(Main[[#This Row],[Tech Start Date]]&lt;1/1/1990,"",IF(Main[[#This Row],[Class]]="C",WORKDAY(Main[[#This Row],[Tech Start Date]],19),IF(Main[[#This Row],[Class]]="B", WORKDAY(Main[[#This Row],[Tech Start Date]],12),IF(Main[[#This Row],[Class]]="A",WORKDAY(Main[[#This Row],[Tech Start Date]],4),""))))</f>
        <v/>
      </c>
      <c r="O1233" s="75" t="str">
        <f>IF(Main[[#This Row],[Tech Start Date]]&lt;1/1/1990,"",IF(Main[[#This Row],[Class]]="C",WORKDAY(Main[[#This Row],[Tech Start Date]],23),IF(Main[[#This Row],[Class]]="B", WORKDAY(Main[[#This Row],[Tech Start Date]],15),IF(Main[[#This Row],[Class]]="A",WORKDAY(Main[[#This Row],[Tech Start Date]],5),""))))</f>
        <v/>
      </c>
      <c r="P1233" s="75" t="str">
        <f>IF(Main[[#This Row],[Tech Start Date]]&lt;1/1/1990,"",IF(Main[[#This Row],[Class]]="C",WORKDAY(Main[[#This Row],[Tech Start Date]],28),IF(Main[[#This Row],[Class]]="B", WORKDAY(Main[[#This Row],[Tech Start Date]],19),IF(Main[[#This Row],[Class]]="A",WORKDAY(Main[[#This Row],[Tech Start Date]],9),""))))</f>
        <v/>
      </c>
      <c r="Q1233" s="89"/>
      <c r="R1233" s="121"/>
      <c r="S1233" s="99" t="s">
        <v>11</v>
      </c>
      <c r="T1233" s="76" t="s">
        <v>4</v>
      </c>
      <c r="U1233" s="99" t="s">
        <v>14</v>
      </c>
      <c r="V1233" s="99" t="s">
        <v>1914</v>
      </c>
      <c r="W1233" s="99" t="s">
        <v>4</v>
      </c>
      <c r="X1233" s="99" t="s">
        <v>2245</v>
      </c>
      <c r="Y1233" s="73" t="s">
        <v>4</v>
      </c>
      <c r="Z1233" s="73" t="s">
        <v>4</v>
      </c>
      <c r="AA1233" s="99" t="s">
        <v>4</v>
      </c>
    </row>
    <row r="1234" spans="1:27" ht="17.25" customHeight="1">
      <c r="A1234" s="65" t="str">
        <f>IF(priority(Main[[#This Row],[Comments]])&lt;&gt;0, priority(Main[[#This Row],[Comments]]),"")</f>
        <v/>
      </c>
      <c r="B1234" s="60" t="s">
        <v>1697</v>
      </c>
      <c r="C1234" s="105" t="s">
        <v>4</v>
      </c>
      <c r="D1234" s="74" t="s">
        <v>2109</v>
      </c>
      <c r="E1234" s="89"/>
      <c r="F1234" s="89"/>
      <c r="G1234" s="65" t="str">
        <f>IF(stdProdLT(Main[[#This Row],[Comments]])=0.1,"N/A",IF(stdProdLT(Main[[#This Row],[Comments]])=0,"",TRIM(stdProdLT(Main[[#This Row],[Comments]]))))</f>
        <v/>
      </c>
      <c r="H1234" s="98" t="str">
        <f>IF(Main[[#This Row],[Std. Prod. Lead Time]]="N/A", "",IF(AND(Main[[#This Row],[In Stock Date]]&lt;&gt;"",Main[[#This Row],[Revised Due Date]]&lt;&gt;"",Main[[#This Row],[In Stock Date]]&lt;&gt;""),Main[[#This Row],[In Stock Date]]-Main[[#This Row],[Revised Due Date]],""))</f>
        <v/>
      </c>
      <c r="I1234" s="110" t="s">
        <v>69</v>
      </c>
      <c r="J1234" s="99" t="s">
        <v>70</v>
      </c>
      <c r="K1234" s="99" t="s">
        <v>1922</v>
      </c>
      <c r="L1234" s="89"/>
      <c r="M1234" s="75" t="str">
        <f>IF(Main[[#This Row],[Tech Start Date]]&lt;1/1/1990,"",IF(Main[[#This Row],[Class]]="C",WORKDAY(Main[[#This Row],[Tech Start Date]],9),IF(Main[[#This Row],[Class]]="B", WORKDAY(Main[[#This Row],[Tech Start Date]],6),IF(Main[[#This Row],[Class]]="A",WORKDAY(Main[[#This Row],[Tech Start Date]],2),""))))</f>
        <v/>
      </c>
      <c r="N1234" s="75" t="str">
        <f>IF(Main[[#This Row],[Tech Start Date]]&lt;1/1/1990,"",IF(Main[[#This Row],[Class]]="C",WORKDAY(Main[[#This Row],[Tech Start Date]],19),IF(Main[[#This Row],[Class]]="B", WORKDAY(Main[[#This Row],[Tech Start Date]],12),IF(Main[[#This Row],[Class]]="A",WORKDAY(Main[[#This Row],[Tech Start Date]],4),""))))</f>
        <v/>
      </c>
      <c r="O1234" s="75" t="str">
        <f>IF(Main[[#This Row],[Tech Start Date]]&lt;1/1/1990,"",IF(Main[[#This Row],[Class]]="C",WORKDAY(Main[[#This Row],[Tech Start Date]],23),IF(Main[[#This Row],[Class]]="B", WORKDAY(Main[[#This Row],[Tech Start Date]],15),IF(Main[[#This Row],[Class]]="A",WORKDAY(Main[[#This Row],[Tech Start Date]],5),""))))</f>
        <v/>
      </c>
      <c r="P1234" s="75" t="str">
        <f>IF(Main[[#This Row],[Tech Start Date]]&lt;1/1/1990,"",IF(Main[[#This Row],[Class]]="C",WORKDAY(Main[[#This Row],[Tech Start Date]],28),IF(Main[[#This Row],[Class]]="B", WORKDAY(Main[[#This Row],[Tech Start Date]],19),IF(Main[[#This Row],[Class]]="A",WORKDAY(Main[[#This Row],[Tech Start Date]],9),""))))</f>
        <v/>
      </c>
      <c r="Q1234" s="89">
        <v>40816</v>
      </c>
      <c r="R1234" s="121"/>
      <c r="S1234" s="99" t="s">
        <v>6</v>
      </c>
      <c r="T1234" s="76" t="s">
        <v>4</v>
      </c>
      <c r="U1234" s="99" t="s">
        <v>14</v>
      </c>
      <c r="V1234" s="99" t="s">
        <v>1916</v>
      </c>
      <c r="W1234" s="99" t="s">
        <v>1918</v>
      </c>
      <c r="X1234" s="99" t="s">
        <v>530</v>
      </c>
      <c r="Y1234" s="73" t="s">
        <v>4</v>
      </c>
      <c r="Z1234" s="73" t="s">
        <v>30</v>
      </c>
      <c r="AA1234" s="99" t="s">
        <v>530</v>
      </c>
    </row>
    <row r="1235" spans="1:27" ht="17.25" customHeight="1">
      <c r="A1235" s="65" t="str">
        <f>IF(priority(Main[[#This Row],[Comments]])&lt;&gt;0, priority(Main[[#This Row],[Comments]]),"")</f>
        <v/>
      </c>
      <c r="B1235" s="60" t="s">
        <v>3501</v>
      </c>
      <c r="C1235" s="105" t="s">
        <v>4</v>
      </c>
      <c r="D1235" s="74" t="s">
        <v>3676</v>
      </c>
      <c r="E1235" s="89">
        <v>40942.690023148149</v>
      </c>
      <c r="F1235" s="89"/>
      <c r="G1235" s="65" t="str">
        <f>IF(stdProdLT(Main[[#This Row],[Comments]])=0.1,"N/A",IF(stdProdLT(Main[[#This Row],[Comments]])=0,"",TRIM(stdProdLT(Main[[#This Row],[Comments]]))))</f>
        <v/>
      </c>
      <c r="H1235" s="98" t="str">
        <f>IF(Main[[#This Row],[Std. Prod. Lead Time]]="N/A", "",IF(AND(Main[[#This Row],[In Stock Date]]&lt;&gt;"",Main[[#This Row],[Revised Due Date]]&lt;&gt;"",Main[[#This Row],[In Stock Date]]&lt;&gt;""),Main[[#This Row],[In Stock Date]]-Main[[#This Row],[Revised Due Date]],""))</f>
        <v/>
      </c>
      <c r="I1235" s="110" t="s">
        <v>69</v>
      </c>
      <c r="J1235" s="99" t="s">
        <v>70</v>
      </c>
      <c r="K1235" s="99" t="s">
        <v>1922</v>
      </c>
      <c r="L1235" s="89"/>
      <c r="M1235" s="75" t="str">
        <f>IF(Main[[#This Row],[Tech Start Date]]&lt;1/1/1990,"",IF(Main[[#This Row],[Class]]="C",WORKDAY(Main[[#This Row],[Tech Start Date]],9),IF(Main[[#This Row],[Class]]="B", WORKDAY(Main[[#This Row],[Tech Start Date]],6),IF(Main[[#This Row],[Class]]="A",WORKDAY(Main[[#This Row],[Tech Start Date]],2),""))))</f>
        <v/>
      </c>
      <c r="N1235" s="75" t="str">
        <f>IF(Main[[#This Row],[Tech Start Date]]&lt;1/1/1990,"",IF(Main[[#This Row],[Class]]="C",WORKDAY(Main[[#This Row],[Tech Start Date]],19),IF(Main[[#This Row],[Class]]="B", WORKDAY(Main[[#This Row],[Tech Start Date]],12),IF(Main[[#This Row],[Class]]="A",WORKDAY(Main[[#This Row],[Tech Start Date]],4),""))))</f>
        <v/>
      </c>
      <c r="O1235" s="75" t="str">
        <f>IF(Main[[#This Row],[Tech Start Date]]&lt;1/1/1990,"",IF(Main[[#This Row],[Class]]="C",WORKDAY(Main[[#This Row],[Tech Start Date]],23),IF(Main[[#This Row],[Class]]="B", WORKDAY(Main[[#This Row],[Tech Start Date]],15),IF(Main[[#This Row],[Class]]="A",WORKDAY(Main[[#This Row],[Tech Start Date]],5),""))))</f>
        <v/>
      </c>
      <c r="P1235" s="75" t="str">
        <f>IF(Main[[#This Row],[Tech Start Date]]&lt;1/1/1990,"",IF(Main[[#This Row],[Class]]="C",WORKDAY(Main[[#This Row],[Tech Start Date]],28),IF(Main[[#This Row],[Class]]="B", WORKDAY(Main[[#This Row],[Tech Start Date]],19),IF(Main[[#This Row],[Class]]="A",WORKDAY(Main[[#This Row],[Tech Start Date]],9),""))))</f>
        <v/>
      </c>
      <c r="Q1235" s="89">
        <v>40970</v>
      </c>
      <c r="R1235" s="121"/>
      <c r="S1235" s="99" t="s">
        <v>6</v>
      </c>
      <c r="T1235" s="76" t="s">
        <v>4</v>
      </c>
      <c r="U1235" s="99" t="s">
        <v>29</v>
      </c>
      <c r="V1235" s="99" t="s">
        <v>1916</v>
      </c>
      <c r="W1235" s="99" t="s">
        <v>1917</v>
      </c>
      <c r="X1235" s="99" t="s">
        <v>2813</v>
      </c>
      <c r="Y1235" s="73" t="s">
        <v>2926</v>
      </c>
      <c r="Z1235" s="73" t="s">
        <v>30</v>
      </c>
      <c r="AA1235" s="99" t="s">
        <v>2813</v>
      </c>
    </row>
    <row r="1236" spans="1:27" ht="17.25" customHeight="1">
      <c r="A1236" s="65" t="str">
        <f>IF(priority(Main[[#This Row],[Comments]])&lt;&gt;0, priority(Main[[#This Row],[Comments]]),"")</f>
        <v/>
      </c>
      <c r="B1236" s="60" t="s">
        <v>2283</v>
      </c>
      <c r="C1236" s="105" t="s">
        <v>4</v>
      </c>
      <c r="D1236" s="74" t="s">
        <v>2561</v>
      </c>
      <c r="E1236" s="89"/>
      <c r="F1236" s="89"/>
      <c r="G1236" s="65" t="str">
        <f>IF(stdProdLT(Main[[#This Row],[Comments]])=0.1,"N/A",IF(stdProdLT(Main[[#This Row],[Comments]])=0,"",TRIM(stdProdLT(Main[[#This Row],[Comments]]))))</f>
        <v/>
      </c>
      <c r="H1236" s="98" t="str">
        <f>IF(Main[[#This Row],[Std. Prod. Lead Time]]="N/A", "",IF(AND(Main[[#This Row],[In Stock Date]]&lt;&gt;"",Main[[#This Row],[Revised Due Date]]&lt;&gt;"",Main[[#This Row],[In Stock Date]]&lt;&gt;""),Main[[#This Row],[In Stock Date]]-Main[[#This Row],[Revised Due Date]],""))</f>
        <v/>
      </c>
      <c r="I1236" s="110" t="s">
        <v>2204</v>
      </c>
      <c r="J1236" s="99" t="s">
        <v>75</v>
      </c>
      <c r="K1236" s="100" t="s">
        <v>1922</v>
      </c>
      <c r="L1236" s="89"/>
      <c r="M1236" s="75" t="str">
        <f>IF(Main[[#This Row],[Tech Start Date]]&lt;1/1/1990,"",IF(Main[[#This Row],[Class]]="C",WORKDAY(Main[[#This Row],[Tech Start Date]],9),IF(Main[[#This Row],[Class]]="B", WORKDAY(Main[[#This Row],[Tech Start Date]],6),IF(Main[[#This Row],[Class]]="A",WORKDAY(Main[[#This Row],[Tech Start Date]],2),""))))</f>
        <v/>
      </c>
      <c r="N1236" s="75" t="str">
        <f>IF(Main[[#This Row],[Tech Start Date]]&lt;1/1/1990,"",IF(Main[[#This Row],[Class]]="C",WORKDAY(Main[[#This Row],[Tech Start Date]],19),IF(Main[[#This Row],[Class]]="B", WORKDAY(Main[[#This Row],[Tech Start Date]],12),IF(Main[[#This Row],[Class]]="A",WORKDAY(Main[[#This Row],[Tech Start Date]],4),""))))</f>
        <v/>
      </c>
      <c r="O1236" s="75" t="str">
        <f>IF(Main[[#This Row],[Tech Start Date]]&lt;1/1/1990,"",IF(Main[[#This Row],[Class]]="C",WORKDAY(Main[[#This Row],[Tech Start Date]],23),IF(Main[[#This Row],[Class]]="B", WORKDAY(Main[[#This Row],[Tech Start Date]],15),IF(Main[[#This Row],[Class]]="A",WORKDAY(Main[[#This Row],[Tech Start Date]],5),""))))</f>
        <v/>
      </c>
      <c r="P1236" s="75" t="str">
        <f>IF(Main[[#This Row],[Tech Start Date]]&lt;1/1/1990,"",IF(Main[[#This Row],[Class]]="C",WORKDAY(Main[[#This Row],[Tech Start Date]],28),IF(Main[[#This Row],[Class]]="B", WORKDAY(Main[[#This Row],[Tech Start Date]],19),IF(Main[[#This Row],[Class]]="A",WORKDAY(Main[[#This Row],[Tech Start Date]],9),""))))</f>
        <v/>
      </c>
      <c r="Q1236" s="89"/>
      <c r="R1236" s="121"/>
      <c r="S1236" s="99" t="s">
        <v>6</v>
      </c>
      <c r="T1236" s="76" t="s">
        <v>4</v>
      </c>
      <c r="U1236" s="99" t="s">
        <v>14</v>
      </c>
      <c r="V1236" s="99" t="s">
        <v>1923</v>
      </c>
      <c r="W1236" s="99" t="s">
        <v>1917</v>
      </c>
      <c r="X1236" s="99" t="s">
        <v>2204</v>
      </c>
      <c r="Y1236" s="73" t="s">
        <v>3121</v>
      </c>
      <c r="Z1236" s="73" t="s">
        <v>306</v>
      </c>
      <c r="AA1236" s="99" t="s">
        <v>2204</v>
      </c>
    </row>
    <row r="1237" spans="1:27" ht="17.25" customHeight="1">
      <c r="A1237" s="65" t="str">
        <f>IF(priority(Main[[#This Row],[Comments]])&lt;&gt;0, priority(Main[[#This Row],[Comments]]),"")</f>
        <v/>
      </c>
      <c r="B1237" s="60" t="s">
        <v>1589</v>
      </c>
      <c r="C1237" s="105" t="s">
        <v>4</v>
      </c>
      <c r="D1237" s="74" t="s">
        <v>667</v>
      </c>
      <c r="E1237" s="89"/>
      <c r="F1237" s="89"/>
      <c r="G1237" s="65" t="str">
        <f>IF(stdProdLT(Main[[#This Row],[Comments]])=0.1,"N/A",IF(stdProdLT(Main[[#This Row],[Comments]])=0,"",TRIM(stdProdLT(Main[[#This Row],[Comments]]))))</f>
        <v/>
      </c>
      <c r="H1237" s="98" t="str">
        <f>IF(Main[[#This Row],[Std. Prod. Lead Time]]="N/A", "",IF(AND(Main[[#This Row],[In Stock Date]]&lt;&gt;"",Main[[#This Row],[Revised Due Date]]&lt;&gt;"",Main[[#This Row],[In Stock Date]]&lt;&gt;""),Main[[#This Row],[In Stock Date]]-Main[[#This Row],[Revised Due Date]],""))</f>
        <v/>
      </c>
      <c r="I1237" s="110" t="s">
        <v>4</v>
      </c>
      <c r="J1237" s="99" t="s">
        <v>4</v>
      </c>
      <c r="K1237" s="99" t="s">
        <v>4</v>
      </c>
      <c r="L1237" s="89"/>
      <c r="M1237" s="75" t="str">
        <f>IF(Main[[#This Row],[Tech Start Date]]&lt;1/1/1990,"",IF(Main[[#This Row],[Class]]="C",WORKDAY(Main[[#This Row],[Tech Start Date]],9),IF(Main[[#This Row],[Class]]="B", WORKDAY(Main[[#This Row],[Tech Start Date]],6),IF(Main[[#This Row],[Class]]="A",WORKDAY(Main[[#This Row],[Tech Start Date]],2),""))))</f>
        <v/>
      </c>
      <c r="N1237" s="75" t="str">
        <f>IF(Main[[#This Row],[Tech Start Date]]&lt;1/1/1990,"",IF(Main[[#This Row],[Class]]="C",WORKDAY(Main[[#This Row],[Tech Start Date]],19),IF(Main[[#This Row],[Class]]="B", WORKDAY(Main[[#This Row],[Tech Start Date]],12),IF(Main[[#This Row],[Class]]="A",WORKDAY(Main[[#This Row],[Tech Start Date]],4),""))))</f>
        <v/>
      </c>
      <c r="O1237" s="75" t="str">
        <f>IF(Main[[#This Row],[Tech Start Date]]&lt;1/1/1990,"",IF(Main[[#This Row],[Class]]="C",WORKDAY(Main[[#This Row],[Tech Start Date]],23),IF(Main[[#This Row],[Class]]="B", WORKDAY(Main[[#This Row],[Tech Start Date]],15),IF(Main[[#This Row],[Class]]="A",WORKDAY(Main[[#This Row],[Tech Start Date]],5),""))))</f>
        <v/>
      </c>
      <c r="P1237" s="75" t="str">
        <f>IF(Main[[#This Row],[Tech Start Date]]&lt;1/1/1990,"",IF(Main[[#This Row],[Class]]="C",WORKDAY(Main[[#This Row],[Tech Start Date]],28),IF(Main[[#This Row],[Class]]="B", WORKDAY(Main[[#This Row],[Tech Start Date]],19),IF(Main[[#This Row],[Class]]="A",WORKDAY(Main[[#This Row],[Tech Start Date]],9),""))))</f>
        <v/>
      </c>
      <c r="Q1237" s="89"/>
      <c r="R1237" s="121"/>
      <c r="S1237" s="99" t="s">
        <v>6</v>
      </c>
      <c r="T1237" s="76" t="s">
        <v>4</v>
      </c>
      <c r="U1237" s="99" t="s">
        <v>14</v>
      </c>
      <c r="V1237" s="99" t="s">
        <v>1913</v>
      </c>
      <c r="W1237" s="99" t="s">
        <v>1921</v>
      </c>
      <c r="X1237" s="99" t="s">
        <v>2048</v>
      </c>
      <c r="Y1237" s="73" t="s">
        <v>2996</v>
      </c>
      <c r="Z1237" s="73" t="s">
        <v>4</v>
      </c>
      <c r="AA1237" s="99" t="s">
        <v>2048</v>
      </c>
    </row>
    <row r="1238" spans="1:27" ht="17.25" customHeight="1">
      <c r="A1238" s="65" t="str">
        <f>IF(priority(Main[[#This Row],[Comments]])&lt;&gt;0, priority(Main[[#This Row],[Comments]]),"")</f>
        <v/>
      </c>
      <c r="B1238" s="60" t="s">
        <v>2660</v>
      </c>
      <c r="C1238" s="105" t="s">
        <v>4</v>
      </c>
      <c r="D1238" s="74" t="s">
        <v>2661</v>
      </c>
      <c r="E1238" s="89"/>
      <c r="F1238" s="89"/>
      <c r="G1238" s="65" t="str">
        <f>IF(stdProdLT(Main[[#This Row],[Comments]])=0.1,"N/A",IF(stdProdLT(Main[[#This Row],[Comments]])=0,"",TRIM(stdProdLT(Main[[#This Row],[Comments]]))))</f>
        <v/>
      </c>
      <c r="H1238" s="98" t="str">
        <f>IF(Main[[#This Row],[Std. Prod. Lead Time]]="N/A", "",IF(AND(Main[[#This Row],[In Stock Date]]&lt;&gt;"",Main[[#This Row],[Revised Due Date]]&lt;&gt;"",Main[[#This Row],[In Stock Date]]&lt;&gt;""),Main[[#This Row],[In Stock Date]]-Main[[#This Row],[Revised Due Date]],""))</f>
        <v/>
      </c>
      <c r="I1238" s="110" t="s">
        <v>4</v>
      </c>
      <c r="J1238" s="99" t="s">
        <v>4</v>
      </c>
      <c r="K1238" s="99" t="s">
        <v>4</v>
      </c>
      <c r="L1238" s="89"/>
      <c r="M1238" s="75" t="str">
        <f>IF(Main[[#This Row],[Tech Start Date]]&lt;1/1/1990,"",IF(Main[[#This Row],[Class]]="C",WORKDAY(Main[[#This Row],[Tech Start Date]],9),IF(Main[[#This Row],[Class]]="B", WORKDAY(Main[[#This Row],[Tech Start Date]],6),IF(Main[[#This Row],[Class]]="A",WORKDAY(Main[[#This Row],[Tech Start Date]],2),""))))</f>
        <v/>
      </c>
      <c r="N1238" s="75" t="str">
        <f>IF(Main[[#This Row],[Tech Start Date]]&lt;1/1/1990,"",IF(Main[[#This Row],[Class]]="C",WORKDAY(Main[[#This Row],[Tech Start Date]],19),IF(Main[[#This Row],[Class]]="B", WORKDAY(Main[[#This Row],[Tech Start Date]],12),IF(Main[[#This Row],[Class]]="A",WORKDAY(Main[[#This Row],[Tech Start Date]],4),""))))</f>
        <v/>
      </c>
      <c r="O1238" s="75" t="str">
        <f>IF(Main[[#This Row],[Tech Start Date]]&lt;1/1/1990,"",IF(Main[[#This Row],[Class]]="C",WORKDAY(Main[[#This Row],[Tech Start Date]],23),IF(Main[[#This Row],[Class]]="B", WORKDAY(Main[[#This Row],[Tech Start Date]],15),IF(Main[[#This Row],[Class]]="A",WORKDAY(Main[[#This Row],[Tech Start Date]],5),""))))</f>
        <v/>
      </c>
      <c r="P1238" s="75" t="str">
        <f>IF(Main[[#This Row],[Tech Start Date]]&lt;1/1/1990,"",IF(Main[[#This Row],[Class]]="C",WORKDAY(Main[[#This Row],[Tech Start Date]],28),IF(Main[[#This Row],[Class]]="B", WORKDAY(Main[[#This Row],[Tech Start Date]],19),IF(Main[[#This Row],[Class]]="A",WORKDAY(Main[[#This Row],[Tech Start Date]],9),""))))</f>
        <v/>
      </c>
      <c r="Q1238" s="89"/>
      <c r="R1238" s="121"/>
      <c r="S1238" s="99" t="s">
        <v>11</v>
      </c>
      <c r="T1238" s="76" t="s">
        <v>4</v>
      </c>
      <c r="U1238" s="99" t="s">
        <v>14</v>
      </c>
      <c r="V1238" s="99" t="s">
        <v>1923</v>
      </c>
      <c r="W1238" s="99" t="s">
        <v>1921</v>
      </c>
      <c r="X1238" s="99" t="s">
        <v>2851</v>
      </c>
      <c r="Y1238" s="73" t="s">
        <v>2992</v>
      </c>
      <c r="Z1238" s="73" t="s">
        <v>4</v>
      </c>
      <c r="AA1238" s="99" t="s">
        <v>2851</v>
      </c>
    </row>
    <row r="1239" spans="1:27" ht="17.25" customHeight="1">
      <c r="A1239" s="65" t="str">
        <f>IF(priority(Main[[#This Row],[Comments]])&lt;&gt;0, priority(Main[[#This Row],[Comments]]),"")</f>
        <v/>
      </c>
      <c r="B1239" s="60" t="s">
        <v>2363</v>
      </c>
      <c r="C1239" s="105" t="s">
        <v>4</v>
      </c>
      <c r="D1239" s="74" t="s">
        <v>2364</v>
      </c>
      <c r="E1239" s="89">
        <v>40856.690810185188</v>
      </c>
      <c r="F1239" s="89"/>
      <c r="G1239" s="65" t="str">
        <f>IF(stdProdLT(Main[[#This Row],[Comments]])=0.1,"N/A",IF(stdProdLT(Main[[#This Row],[Comments]])=0,"",TRIM(stdProdLT(Main[[#This Row],[Comments]]))))</f>
        <v/>
      </c>
      <c r="H1239" s="98" t="str">
        <f>IF(Main[[#This Row],[Std. Prod. Lead Time]]="N/A", "",IF(AND(Main[[#This Row],[In Stock Date]]&lt;&gt;"",Main[[#This Row],[Revised Due Date]]&lt;&gt;"",Main[[#This Row],[In Stock Date]]&lt;&gt;""),Main[[#This Row],[In Stock Date]]-Main[[#This Row],[Revised Due Date]],""))</f>
        <v/>
      </c>
      <c r="I1239" s="110" t="s">
        <v>4</v>
      </c>
      <c r="J1239" s="99" t="s">
        <v>4</v>
      </c>
      <c r="K1239" s="99" t="s">
        <v>4</v>
      </c>
      <c r="L1239" s="89"/>
      <c r="M1239" s="75" t="str">
        <f>IF(Main[[#This Row],[Tech Start Date]]&lt;1/1/1990,"",IF(Main[[#This Row],[Class]]="C",WORKDAY(Main[[#This Row],[Tech Start Date]],9),IF(Main[[#This Row],[Class]]="B", WORKDAY(Main[[#This Row],[Tech Start Date]],6),IF(Main[[#This Row],[Class]]="A",WORKDAY(Main[[#This Row],[Tech Start Date]],2),""))))</f>
        <v/>
      </c>
      <c r="N1239" s="75" t="str">
        <f>IF(Main[[#This Row],[Tech Start Date]]&lt;1/1/1990,"",IF(Main[[#This Row],[Class]]="C",WORKDAY(Main[[#This Row],[Tech Start Date]],19),IF(Main[[#This Row],[Class]]="B", WORKDAY(Main[[#This Row],[Tech Start Date]],12),IF(Main[[#This Row],[Class]]="A",WORKDAY(Main[[#This Row],[Tech Start Date]],4),""))))</f>
        <v/>
      </c>
      <c r="O1239" s="75" t="str">
        <f>IF(Main[[#This Row],[Tech Start Date]]&lt;1/1/1990,"",IF(Main[[#This Row],[Class]]="C",WORKDAY(Main[[#This Row],[Tech Start Date]],23),IF(Main[[#This Row],[Class]]="B", WORKDAY(Main[[#This Row],[Tech Start Date]],15),IF(Main[[#This Row],[Class]]="A",WORKDAY(Main[[#This Row],[Tech Start Date]],5),""))))</f>
        <v/>
      </c>
      <c r="P1239" s="75" t="str">
        <f>IF(Main[[#This Row],[Tech Start Date]]&lt;1/1/1990,"",IF(Main[[#This Row],[Class]]="C",WORKDAY(Main[[#This Row],[Tech Start Date]],28),IF(Main[[#This Row],[Class]]="B", WORKDAY(Main[[#This Row],[Tech Start Date]],19),IF(Main[[#This Row],[Class]]="A",WORKDAY(Main[[#This Row],[Tech Start Date]],9),""))))</f>
        <v/>
      </c>
      <c r="Q1239" s="89"/>
      <c r="R1239" s="121"/>
      <c r="S1239" s="99" t="s">
        <v>6</v>
      </c>
      <c r="T1239" s="76" t="s">
        <v>4</v>
      </c>
      <c r="U1239" s="99" t="s">
        <v>7</v>
      </c>
      <c r="V1239" s="99" t="s">
        <v>1913</v>
      </c>
      <c r="W1239" s="99" t="s">
        <v>1917</v>
      </c>
      <c r="X1239" s="99" t="s">
        <v>2811</v>
      </c>
      <c r="Y1239" s="73" t="s">
        <v>3124</v>
      </c>
      <c r="Z1239" s="73" t="s">
        <v>4</v>
      </c>
      <c r="AA1239" s="99" t="s">
        <v>2811</v>
      </c>
    </row>
    <row r="1240" spans="1:27" ht="17.25" customHeight="1">
      <c r="A1240" s="65" t="str">
        <f>IF(priority(Main[[#This Row],[Comments]])&lt;&gt;0, priority(Main[[#This Row],[Comments]]),"")</f>
        <v/>
      </c>
      <c r="B1240" s="60" t="s">
        <v>3677</v>
      </c>
      <c r="C1240" s="105" t="s">
        <v>3678</v>
      </c>
      <c r="D1240" s="74" t="s">
        <v>3679</v>
      </c>
      <c r="E1240" s="89"/>
      <c r="F1240" s="89"/>
      <c r="G1240" s="65" t="str">
        <f>IF(stdProdLT(Main[[#This Row],[Comments]])=0.1,"N/A",IF(stdProdLT(Main[[#This Row],[Comments]])=0,"",TRIM(stdProdLT(Main[[#This Row],[Comments]]))))</f>
        <v/>
      </c>
      <c r="H1240" s="98" t="str">
        <f>IF(Main[[#This Row],[Std. Prod. Lead Time]]="N/A", "",IF(AND(Main[[#This Row],[In Stock Date]]&lt;&gt;"",Main[[#This Row],[Revised Due Date]]&lt;&gt;"",Main[[#This Row],[In Stock Date]]&lt;&gt;""),Main[[#This Row],[In Stock Date]]-Main[[#This Row],[Revised Due Date]],""))</f>
        <v/>
      </c>
      <c r="I1240" s="110" t="s">
        <v>4</v>
      </c>
      <c r="J1240" s="99" t="s">
        <v>4</v>
      </c>
      <c r="K1240" s="99" t="s">
        <v>4</v>
      </c>
      <c r="L1240" s="89"/>
      <c r="M1240" s="75" t="str">
        <f>IF(Main[[#This Row],[Tech Start Date]]&lt;1/1/1990,"",IF(Main[[#This Row],[Class]]="C",WORKDAY(Main[[#This Row],[Tech Start Date]],9),IF(Main[[#This Row],[Class]]="B", WORKDAY(Main[[#This Row],[Tech Start Date]],6),IF(Main[[#This Row],[Class]]="A",WORKDAY(Main[[#This Row],[Tech Start Date]],2),""))))</f>
        <v/>
      </c>
      <c r="N1240" s="75" t="str">
        <f>IF(Main[[#This Row],[Tech Start Date]]&lt;1/1/1990,"",IF(Main[[#This Row],[Class]]="C",WORKDAY(Main[[#This Row],[Tech Start Date]],19),IF(Main[[#This Row],[Class]]="B", WORKDAY(Main[[#This Row],[Tech Start Date]],12),IF(Main[[#This Row],[Class]]="A",WORKDAY(Main[[#This Row],[Tech Start Date]],4),""))))</f>
        <v/>
      </c>
      <c r="O1240" s="75" t="str">
        <f>IF(Main[[#This Row],[Tech Start Date]]&lt;1/1/1990,"",IF(Main[[#This Row],[Class]]="C",WORKDAY(Main[[#This Row],[Tech Start Date]],23),IF(Main[[#This Row],[Class]]="B", WORKDAY(Main[[#This Row],[Tech Start Date]],15),IF(Main[[#This Row],[Class]]="A",WORKDAY(Main[[#This Row],[Tech Start Date]],5),""))))</f>
        <v/>
      </c>
      <c r="P1240" s="75" t="str">
        <f>IF(Main[[#This Row],[Tech Start Date]]&lt;1/1/1990,"",IF(Main[[#This Row],[Class]]="C",WORKDAY(Main[[#This Row],[Tech Start Date]],28),IF(Main[[#This Row],[Class]]="B", WORKDAY(Main[[#This Row],[Tech Start Date]],19),IF(Main[[#This Row],[Class]]="A",WORKDAY(Main[[#This Row],[Tech Start Date]],9),""))))</f>
        <v/>
      </c>
      <c r="Q1240" s="89">
        <v>40970</v>
      </c>
      <c r="R1240" s="121"/>
      <c r="S1240" s="99" t="s">
        <v>11</v>
      </c>
      <c r="T1240" s="76" t="s">
        <v>4</v>
      </c>
      <c r="U1240" s="99" t="s">
        <v>14</v>
      </c>
      <c r="V1240" s="99" t="s">
        <v>1914</v>
      </c>
      <c r="W1240" s="99" t="s">
        <v>1915</v>
      </c>
      <c r="X1240" s="99" t="s">
        <v>2810</v>
      </c>
      <c r="Y1240" s="73" t="s">
        <v>4</v>
      </c>
      <c r="Z1240" s="73" t="s">
        <v>4</v>
      </c>
      <c r="AA1240" s="99" t="s">
        <v>2810</v>
      </c>
    </row>
    <row r="1241" spans="1:27" ht="17.25" customHeight="1">
      <c r="A1241" s="65" t="str">
        <f>IF(priority(Main[[#This Row],[Comments]])&lt;&gt;0, priority(Main[[#This Row],[Comments]]),"")</f>
        <v/>
      </c>
      <c r="B1241" s="60" t="s">
        <v>3351</v>
      </c>
      <c r="C1241" s="105" t="s">
        <v>47</v>
      </c>
      <c r="D1241" s="74" t="s">
        <v>3352</v>
      </c>
      <c r="E1241" s="89">
        <v>40938.378252314818</v>
      </c>
      <c r="F1241" s="89"/>
      <c r="G1241" s="65" t="str">
        <f>IF(stdProdLT(Main[[#This Row],[Comments]])=0.1,"N/A",IF(stdProdLT(Main[[#This Row],[Comments]])=0,"",TRIM(stdProdLT(Main[[#This Row],[Comments]]))))</f>
        <v/>
      </c>
      <c r="H1241" s="98" t="str">
        <f>IF(Main[[#This Row],[Std. Prod. Lead Time]]="N/A", "",IF(AND(Main[[#This Row],[In Stock Date]]&lt;&gt;"",Main[[#This Row],[Revised Due Date]]&lt;&gt;"",Main[[#This Row],[In Stock Date]]&lt;&gt;""),Main[[#This Row],[In Stock Date]]-Main[[#This Row],[Revised Due Date]],""))</f>
        <v/>
      </c>
      <c r="I1241" s="110" t="s">
        <v>4</v>
      </c>
      <c r="J1241" s="99" t="s">
        <v>4</v>
      </c>
      <c r="K1241" s="99" t="s">
        <v>4</v>
      </c>
      <c r="L1241" s="89"/>
      <c r="M1241" s="75" t="str">
        <f>IF(Main[[#This Row],[Tech Start Date]]&lt;1/1/1990,"",IF(Main[[#This Row],[Class]]="C",WORKDAY(Main[[#This Row],[Tech Start Date]],9),IF(Main[[#This Row],[Class]]="B", WORKDAY(Main[[#This Row],[Tech Start Date]],6),IF(Main[[#This Row],[Class]]="A",WORKDAY(Main[[#This Row],[Tech Start Date]],2),""))))</f>
        <v/>
      </c>
      <c r="N1241" s="75" t="str">
        <f>IF(Main[[#This Row],[Tech Start Date]]&lt;1/1/1990,"",IF(Main[[#This Row],[Class]]="C",WORKDAY(Main[[#This Row],[Tech Start Date]],19),IF(Main[[#This Row],[Class]]="B", WORKDAY(Main[[#This Row],[Tech Start Date]],12),IF(Main[[#This Row],[Class]]="A",WORKDAY(Main[[#This Row],[Tech Start Date]],4),""))))</f>
        <v/>
      </c>
      <c r="O1241" s="75" t="str">
        <f>IF(Main[[#This Row],[Tech Start Date]]&lt;1/1/1990,"",IF(Main[[#This Row],[Class]]="C",WORKDAY(Main[[#This Row],[Tech Start Date]],23),IF(Main[[#This Row],[Class]]="B", WORKDAY(Main[[#This Row],[Tech Start Date]],15),IF(Main[[#This Row],[Class]]="A",WORKDAY(Main[[#This Row],[Tech Start Date]],5),""))))</f>
        <v/>
      </c>
      <c r="P1241" s="75" t="str">
        <f>IF(Main[[#This Row],[Tech Start Date]]&lt;1/1/1990,"",IF(Main[[#This Row],[Class]]="C",WORKDAY(Main[[#This Row],[Tech Start Date]],28),IF(Main[[#This Row],[Class]]="B", WORKDAY(Main[[#This Row],[Tech Start Date]],19),IF(Main[[#This Row],[Class]]="A",WORKDAY(Main[[#This Row],[Tech Start Date]],9),""))))</f>
        <v/>
      </c>
      <c r="Q1241" s="89">
        <v>40939</v>
      </c>
      <c r="R1241" s="121"/>
      <c r="S1241" s="99" t="s">
        <v>6</v>
      </c>
      <c r="T1241" s="76" t="s">
        <v>4</v>
      </c>
      <c r="U1241" s="99" t="s">
        <v>7</v>
      </c>
      <c r="V1241" s="99" t="s">
        <v>2279</v>
      </c>
      <c r="W1241" s="99" t="s">
        <v>4</v>
      </c>
      <c r="X1241" s="99" t="s">
        <v>2859</v>
      </c>
      <c r="Y1241" s="73" t="s">
        <v>3004</v>
      </c>
      <c r="Z1241" s="73" t="s">
        <v>4</v>
      </c>
      <c r="AA1241" s="99" t="s">
        <v>2859</v>
      </c>
    </row>
    <row r="1242" spans="1:27" ht="17.25" customHeight="1">
      <c r="A1242" s="65" t="str">
        <f>IF(priority(Main[[#This Row],[Comments]])&lt;&gt;0, priority(Main[[#This Row],[Comments]]),"")</f>
        <v/>
      </c>
      <c r="B1242" s="60" t="s">
        <v>3680</v>
      </c>
      <c r="C1242" s="105" t="s">
        <v>3539</v>
      </c>
      <c r="D1242" s="74" t="s">
        <v>3681</v>
      </c>
      <c r="E1242" s="89">
        <v>40967.587476851855</v>
      </c>
      <c r="F1242" s="89"/>
      <c r="G1242" s="65" t="str">
        <f>IF(stdProdLT(Main[[#This Row],[Comments]])=0.1,"N/A",IF(stdProdLT(Main[[#This Row],[Comments]])=0,"",TRIM(stdProdLT(Main[[#This Row],[Comments]]))))</f>
        <v/>
      </c>
      <c r="H1242" s="98" t="str">
        <f>IF(Main[[#This Row],[Std. Prod. Lead Time]]="N/A", "",IF(AND(Main[[#This Row],[In Stock Date]]&lt;&gt;"",Main[[#This Row],[Revised Due Date]]&lt;&gt;"",Main[[#This Row],[In Stock Date]]&lt;&gt;""),Main[[#This Row],[In Stock Date]]-Main[[#This Row],[Revised Due Date]],""))</f>
        <v/>
      </c>
      <c r="I1242" s="110" t="s">
        <v>4</v>
      </c>
      <c r="J1242" s="99" t="s">
        <v>4</v>
      </c>
      <c r="K1242" s="99" t="s">
        <v>4</v>
      </c>
      <c r="L1242" s="89"/>
      <c r="M1242" s="75" t="str">
        <f>IF(Main[[#This Row],[Tech Start Date]]&lt;1/1/1990,"",IF(Main[[#This Row],[Class]]="C",WORKDAY(Main[[#This Row],[Tech Start Date]],9),IF(Main[[#This Row],[Class]]="B", WORKDAY(Main[[#This Row],[Tech Start Date]],6),IF(Main[[#This Row],[Class]]="A",WORKDAY(Main[[#This Row],[Tech Start Date]],2),""))))</f>
        <v/>
      </c>
      <c r="N1242" s="75" t="str">
        <f>IF(Main[[#This Row],[Tech Start Date]]&lt;1/1/1990,"",IF(Main[[#This Row],[Class]]="C",WORKDAY(Main[[#This Row],[Tech Start Date]],19),IF(Main[[#This Row],[Class]]="B", WORKDAY(Main[[#This Row],[Tech Start Date]],12),IF(Main[[#This Row],[Class]]="A",WORKDAY(Main[[#This Row],[Tech Start Date]],4),""))))</f>
        <v/>
      </c>
      <c r="O1242" s="75" t="str">
        <f>IF(Main[[#This Row],[Tech Start Date]]&lt;1/1/1990,"",IF(Main[[#This Row],[Class]]="C",WORKDAY(Main[[#This Row],[Tech Start Date]],23),IF(Main[[#This Row],[Class]]="B", WORKDAY(Main[[#This Row],[Tech Start Date]],15),IF(Main[[#This Row],[Class]]="A",WORKDAY(Main[[#This Row],[Tech Start Date]],5),""))))</f>
        <v/>
      </c>
      <c r="P1242" s="75" t="str">
        <f>IF(Main[[#This Row],[Tech Start Date]]&lt;1/1/1990,"",IF(Main[[#This Row],[Class]]="C",WORKDAY(Main[[#This Row],[Tech Start Date]],28),IF(Main[[#This Row],[Class]]="B", WORKDAY(Main[[#This Row],[Tech Start Date]],19),IF(Main[[#This Row],[Class]]="A",WORKDAY(Main[[#This Row],[Tech Start Date]],9),""))))</f>
        <v/>
      </c>
      <c r="Q1242" s="89"/>
      <c r="R1242" s="121"/>
      <c r="S1242" s="99" t="s">
        <v>11</v>
      </c>
      <c r="T1242" s="76" t="s">
        <v>4</v>
      </c>
      <c r="U1242" s="99" t="s">
        <v>7</v>
      </c>
      <c r="V1242" s="99" t="s">
        <v>1913</v>
      </c>
      <c r="W1242" s="99" t="s">
        <v>1921</v>
      </c>
      <c r="X1242" s="99" t="s">
        <v>3464</v>
      </c>
      <c r="Y1242" s="73" t="s">
        <v>3478</v>
      </c>
      <c r="Z1242" s="73" t="s">
        <v>4</v>
      </c>
      <c r="AA1242" s="99" t="s">
        <v>3464</v>
      </c>
    </row>
    <row r="1243" spans="1:27" ht="17.25" customHeight="1">
      <c r="A1243" s="65" t="str">
        <f>IF(priority(Main[[#This Row],[Comments]])&lt;&gt;0, priority(Main[[#This Row],[Comments]]),"")</f>
        <v/>
      </c>
      <c r="B1243" s="60" t="s">
        <v>2531</v>
      </c>
      <c r="C1243" s="105" t="s">
        <v>4</v>
      </c>
      <c r="D1243" s="74" t="s">
        <v>3682</v>
      </c>
      <c r="E1243" s="89">
        <v>40861.6484837963</v>
      </c>
      <c r="F1243" s="89"/>
      <c r="G1243" s="65" t="str">
        <f>IF(stdProdLT(Main[[#This Row],[Comments]])=0.1,"N/A",IF(stdProdLT(Main[[#This Row],[Comments]])=0,"",TRIM(stdProdLT(Main[[#This Row],[Comments]]))))</f>
        <v/>
      </c>
      <c r="H1243" s="98" t="str">
        <f>IF(Main[[#This Row],[Std. Prod. Lead Time]]="N/A", "",IF(AND(Main[[#This Row],[In Stock Date]]&lt;&gt;"",Main[[#This Row],[Revised Due Date]]&lt;&gt;"",Main[[#This Row],[In Stock Date]]&lt;&gt;""),Main[[#This Row],[In Stock Date]]-Main[[#This Row],[Revised Due Date]],""))</f>
        <v/>
      </c>
      <c r="I1243" s="110" t="s">
        <v>4</v>
      </c>
      <c r="J1243" s="99" t="s">
        <v>4</v>
      </c>
      <c r="K1243" s="99" t="s">
        <v>4</v>
      </c>
      <c r="L1243" s="89"/>
      <c r="M1243" s="75" t="str">
        <f>IF(Main[[#This Row],[Tech Start Date]]&lt;1/1/1990,"",IF(Main[[#This Row],[Class]]="C",WORKDAY(Main[[#This Row],[Tech Start Date]],9),IF(Main[[#This Row],[Class]]="B", WORKDAY(Main[[#This Row],[Tech Start Date]],6),IF(Main[[#This Row],[Class]]="A",WORKDAY(Main[[#This Row],[Tech Start Date]],2),""))))</f>
        <v/>
      </c>
      <c r="N1243" s="75" t="str">
        <f>IF(Main[[#This Row],[Tech Start Date]]&lt;1/1/1990,"",IF(Main[[#This Row],[Class]]="C",WORKDAY(Main[[#This Row],[Tech Start Date]],19),IF(Main[[#This Row],[Class]]="B", WORKDAY(Main[[#This Row],[Tech Start Date]],12),IF(Main[[#This Row],[Class]]="A",WORKDAY(Main[[#This Row],[Tech Start Date]],4),""))))</f>
        <v/>
      </c>
      <c r="O1243" s="75" t="str">
        <f>IF(Main[[#This Row],[Tech Start Date]]&lt;1/1/1990,"",IF(Main[[#This Row],[Class]]="C",WORKDAY(Main[[#This Row],[Tech Start Date]],23),IF(Main[[#This Row],[Class]]="B", WORKDAY(Main[[#This Row],[Tech Start Date]],15),IF(Main[[#This Row],[Class]]="A",WORKDAY(Main[[#This Row],[Tech Start Date]],5),""))))</f>
        <v/>
      </c>
      <c r="P1243" s="75" t="str">
        <f>IF(Main[[#This Row],[Tech Start Date]]&lt;1/1/1990,"",IF(Main[[#This Row],[Class]]="C",WORKDAY(Main[[#This Row],[Tech Start Date]],28),IF(Main[[#This Row],[Class]]="B", WORKDAY(Main[[#This Row],[Tech Start Date]],19),IF(Main[[#This Row],[Class]]="A",WORKDAY(Main[[#This Row],[Tech Start Date]],9),""))))</f>
        <v/>
      </c>
      <c r="Q1243" s="89">
        <v>41372</v>
      </c>
      <c r="R1243" s="121"/>
      <c r="S1243" s="99" t="s">
        <v>17</v>
      </c>
      <c r="T1243" s="76" t="s">
        <v>4</v>
      </c>
      <c r="U1243" s="99" t="s">
        <v>29</v>
      </c>
      <c r="V1243" s="99" t="s">
        <v>1916</v>
      </c>
      <c r="W1243" s="99" t="s">
        <v>1918</v>
      </c>
      <c r="X1243" s="99" t="s">
        <v>652</v>
      </c>
      <c r="Y1243" s="73" t="s">
        <v>3120</v>
      </c>
      <c r="Z1243" s="73" t="s">
        <v>4</v>
      </c>
      <c r="AA1243" s="99" t="s">
        <v>652</v>
      </c>
    </row>
    <row r="1244" spans="1:27" ht="17.25" customHeight="1">
      <c r="A1244" s="65" t="str">
        <f>IF(priority(Main[[#This Row],[Comments]])&lt;&gt;0, priority(Main[[#This Row],[Comments]]),"")</f>
        <v/>
      </c>
      <c r="B1244" s="60" t="s">
        <v>3479</v>
      </c>
      <c r="C1244" s="105" t="s">
        <v>4</v>
      </c>
      <c r="D1244" s="74" t="s">
        <v>3480</v>
      </c>
      <c r="E1244" s="89">
        <v>40941.350555555553</v>
      </c>
      <c r="F1244" s="89"/>
      <c r="G1244" s="65" t="str">
        <f>IF(stdProdLT(Main[[#This Row],[Comments]])=0.1,"N/A",IF(stdProdLT(Main[[#This Row],[Comments]])=0,"",TRIM(stdProdLT(Main[[#This Row],[Comments]]))))</f>
        <v/>
      </c>
      <c r="H1244" s="98" t="str">
        <f>IF(Main[[#This Row],[Std. Prod. Lead Time]]="N/A", "",IF(AND(Main[[#This Row],[In Stock Date]]&lt;&gt;"",Main[[#This Row],[Revised Due Date]]&lt;&gt;"",Main[[#This Row],[In Stock Date]]&lt;&gt;""),Main[[#This Row],[In Stock Date]]-Main[[#This Row],[Revised Due Date]],""))</f>
        <v/>
      </c>
      <c r="I1244" s="110" t="s">
        <v>4</v>
      </c>
      <c r="J1244" s="99" t="s">
        <v>4</v>
      </c>
      <c r="K1244" s="99" t="s">
        <v>4</v>
      </c>
      <c r="L1244" s="89"/>
      <c r="M1244" s="75" t="str">
        <f>IF(Main[[#This Row],[Tech Start Date]]&lt;1/1/1990,"",IF(Main[[#This Row],[Class]]="C",WORKDAY(Main[[#This Row],[Tech Start Date]],9),IF(Main[[#This Row],[Class]]="B", WORKDAY(Main[[#This Row],[Tech Start Date]],6),IF(Main[[#This Row],[Class]]="A",WORKDAY(Main[[#This Row],[Tech Start Date]],2),""))))</f>
        <v/>
      </c>
      <c r="N1244" s="75" t="str">
        <f>IF(Main[[#This Row],[Tech Start Date]]&lt;1/1/1990,"",IF(Main[[#This Row],[Class]]="C",WORKDAY(Main[[#This Row],[Tech Start Date]],19),IF(Main[[#This Row],[Class]]="B", WORKDAY(Main[[#This Row],[Tech Start Date]],12),IF(Main[[#This Row],[Class]]="A",WORKDAY(Main[[#This Row],[Tech Start Date]],4),""))))</f>
        <v/>
      </c>
      <c r="O1244" s="75" t="str">
        <f>IF(Main[[#This Row],[Tech Start Date]]&lt;1/1/1990,"",IF(Main[[#This Row],[Class]]="C",WORKDAY(Main[[#This Row],[Tech Start Date]],23),IF(Main[[#This Row],[Class]]="B", WORKDAY(Main[[#This Row],[Tech Start Date]],15),IF(Main[[#This Row],[Class]]="A",WORKDAY(Main[[#This Row],[Tech Start Date]],5),""))))</f>
        <v/>
      </c>
      <c r="P1244" s="75" t="str">
        <f>IF(Main[[#This Row],[Tech Start Date]]&lt;1/1/1990,"",IF(Main[[#This Row],[Class]]="C",WORKDAY(Main[[#This Row],[Tech Start Date]],28),IF(Main[[#This Row],[Class]]="B", WORKDAY(Main[[#This Row],[Tech Start Date]],19),IF(Main[[#This Row],[Class]]="A",WORKDAY(Main[[#This Row],[Tech Start Date]],9),""))))</f>
        <v/>
      </c>
      <c r="Q1244" s="89"/>
      <c r="R1244" s="121"/>
      <c r="S1244" s="99" t="s">
        <v>6</v>
      </c>
      <c r="T1244" s="76" t="s">
        <v>4</v>
      </c>
      <c r="U1244" s="99" t="s">
        <v>29</v>
      </c>
      <c r="V1244" s="99" t="s">
        <v>1916</v>
      </c>
      <c r="W1244" s="99" t="s">
        <v>4</v>
      </c>
      <c r="X1244" s="99" t="s">
        <v>2816</v>
      </c>
      <c r="Y1244" s="73" t="s">
        <v>2932</v>
      </c>
      <c r="Z1244" s="73" t="s">
        <v>4</v>
      </c>
      <c r="AA1244" s="99" t="s">
        <v>2816</v>
      </c>
    </row>
    <row r="1245" spans="1:27" ht="17.25" customHeight="1">
      <c r="A1245" s="65" t="str">
        <f>IF(priority(Main[[#This Row],[Comments]])&lt;&gt;0, priority(Main[[#This Row],[Comments]]),"")</f>
        <v/>
      </c>
      <c r="B1245" s="60" t="s">
        <v>1581</v>
      </c>
      <c r="C1245" s="105" t="s">
        <v>4</v>
      </c>
      <c r="D1245" s="74" t="s">
        <v>2670</v>
      </c>
      <c r="E1245" s="89">
        <v>40455.90111111111</v>
      </c>
      <c r="F1245" s="89"/>
      <c r="G1245" s="65" t="str">
        <f>IF(stdProdLT(Main[[#This Row],[Comments]])=0.1,"N/A",IF(stdProdLT(Main[[#This Row],[Comments]])=0,"",TRIM(stdProdLT(Main[[#This Row],[Comments]]))))</f>
        <v/>
      </c>
      <c r="H1245" s="98" t="str">
        <f>IF(Main[[#This Row],[Std. Prod. Lead Time]]="N/A", "",IF(AND(Main[[#This Row],[In Stock Date]]&lt;&gt;"",Main[[#This Row],[Revised Due Date]]&lt;&gt;"",Main[[#This Row],[In Stock Date]]&lt;&gt;""),Main[[#This Row],[In Stock Date]]-Main[[#This Row],[Revised Due Date]],""))</f>
        <v/>
      </c>
      <c r="I1245" s="110" t="s">
        <v>4</v>
      </c>
      <c r="J1245" s="99" t="s">
        <v>28</v>
      </c>
      <c r="K1245" s="100" t="s">
        <v>1925</v>
      </c>
      <c r="L1245" s="89"/>
      <c r="M1245" s="75" t="str">
        <f>IF(Main[[#This Row],[Tech Start Date]]&lt;1/1/1990,"",IF(Main[[#This Row],[Class]]="C",WORKDAY(Main[[#This Row],[Tech Start Date]],9),IF(Main[[#This Row],[Class]]="B", WORKDAY(Main[[#This Row],[Tech Start Date]],6),IF(Main[[#This Row],[Class]]="A",WORKDAY(Main[[#This Row],[Tech Start Date]],2),""))))</f>
        <v/>
      </c>
      <c r="N1245" s="75" t="str">
        <f>IF(Main[[#This Row],[Tech Start Date]]&lt;1/1/1990,"",IF(Main[[#This Row],[Class]]="C",WORKDAY(Main[[#This Row],[Tech Start Date]],19),IF(Main[[#This Row],[Class]]="B", WORKDAY(Main[[#This Row],[Tech Start Date]],12),IF(Main[[#This Row],[Class]]="A",WORKDAY(Main[[#This Row],[Tech Start Date]],4),""))))</f>
        <v/>
      </c>
      <c r="O1245" s="75" t="str">
        <f>IF(Main[[#This Row],[Tech Start Date]]&lt;1/1/1990,"",IF(Main[[#This Row],[Class]]="C",WORKDAY(Main[[#This Row],[Tech Start Date]],23),IF(Main[[#This Row],[Class]]="B", WORKDAY(Main[[#This Row],[Tech Start Date]],15),IF(Main[[#This Row],[Class]]="A",WORKDAY(Main[[#This Row],[Tech Start Date]],5),""))))</f>
        <v/>
      </c>
      <c r="P1245" s="75" t="str">
        <f>IF(Main[[#This Row],[Tech Start Date]]&lt;1/1/1990,"",IF(Main[[#This Row],[Class]]="C",WORKDAY(Main[[#This Row],[Tech Start Date]],28),IF(Main[[#This Row],[Class]]="B", WORKDAY(Main[[#This Row],[Tech Start Date]],19),IF(Main[[#This Row],[Class]]="A",WORKDAY(Main[[#This Row],[Tech Start Date]],9),""))))</f>
        <v/>
      </c>
      <c r="Q1245" s="89">
        <v>41060</v>
      </c>
      <c r="R1245" s="121"/>
      <c r="S1245" s="99" t="s">
        <v>17</v>
      </c>
      <c r="T1245" s="76" t="s">
        <v>4</v>
      </c>
      <c r="U1245" s="99" t="s">
        <v>7</v>
      </c>
      <c r="V1245" s="99" t="s">
        <v>1913</v>
      </c>
      <c r="W1245" s="99" t="s">
        <v>1915</v>
      </c>
      <c r="X1245" s="99" t="s">
        <v>129</v>
      </c>
      <c r="Y1245" s="73" t="s">
        <v>2927</v>
      </c>
      <c r="Z1245" s="73" t="s">
        <v>129</v>
      </c>
      <c r="AA1245" s="99" t="s">
        <v>129</v>
      </c>
    </row>
    <row r="1246" spans="1:27" ht="17.25" customHeight="1">
      <c r="A1246" s="65" t="str">
        <f>IF(priority(Main[[#This Row],[Comments]])&lt;&gt;0, priority(Main[[#This Row],[Comments]]),"")</f>
        <v/>
      </c>
      <c r="B1246" s="60" t="s">
        <v>3683</v>
      </c>
      <c r="C1246" s="105" t="s">
        <v>4</v>
      </c>
      <c r="D1246" s="74" t="s">
        <v>3684</v>
      </c>
      <c r="E1246" s="89">
        <v>40962.794108796297</v>
      </c>
      <c r="F1246" s="89"/>
      <c r="G1246" s="65" t="str">
        <f>IF(stdProdLT(Main[[#This Row],[Comments]])=0.1,"N/A",IF(stdProdLT(Main[[#This Row],[Comments]])=0,"",TRIM(stdProdLT(Main[[#This Row],[Comments]]))))</f>
        <v/>
      </c>
      <c r="H1246" s="98" t="str">
        <f>IF(Main[[#This Row],[Std. Prod. Lead Time]]="N/A", "",IF(AND(Main[[#This Row],[In Stock Date]]&lt;&gt;"",Main[[#This Row],[Revised Due Date]]&lt;&gt;"",Main[[#This Row],[In Stock Date]]&lt;&gt;""),Main[[#This Row],[In Stock Date]]-Main[[#This Row],[Revised Due Date]],""))</f>
        <v/>
      </c>
      <c r="I1246" s="110" t="s">
        <v>2047</v>
      </c>
      <c r="J1246" s="99" t="s">
        <v>28</v>
      </c>
      <c r="K1246" s="99" t="s">
        <v>1922</v>
      </c>
      <c r="L1246" s="89"/>
      <c r="M1246" s="75" t="str">
        <f>IF(Main[[#This Row],[Tech Start Date]]&lt;1/1/1990,"",IF(Main[[#This Row],[Class]]="C",WORKDAY(Main[[#This Row],[Tech Start Date]],9),IF(Main[[#This Row],[Class]]="B", WORKDAY(Main[[#This Row],[Tech Start Date]],6),IF(Main[[#This Row],[Class]]="A",WORKDAY(Main[[#This Row],[Tech Start Date]],2),""))))</f>
        <v/>
      </c>
      <c r="N1246" s="75" t="str">
        <f>IF(Main[[#This Row],[Tech Start Date]]&lt;1/1/1990,"",IF(Main[[#This Row],[Class]]="C",WORKDAY(Main[[#This Row],[Tech Start Date]],19),IF(Main[[#This Row],[Class]]="B", WORKDAY(Main[[#This Row],[Tech Start Date]],12),IF(Main[[#This Row],[Class]]="A",WORKDAY(Main[[#This Row],[Tech Start Date]],4),""))))</f>
        <v/>
      </c>
      <c r="O1246" s="75" t="str">
        <f>IF(Main[[#This Row],[Tech Start Date]]&lt;1/1/1990,"",IF(Main[[#This Row],[Class]]="C",WORKDAY(Main[[#This Row],[Tech Start Date]],23),IF(Main[[#This Row],[Class]]="B", WORKDAY(Main[[#This Row],[Tech Start Date]],15),IF(Main[[#This Row],[Class]]="A",WORKDAY(Main[[#This Row],[Tech Start Date]],5),""))))</f>
        <v/>
      </c>
      <c r="P1246" s="75" t="str">
        <f>IF(Main[[#This Row],[Tech Start Date]]&lt;1/1/1990,"",IF(Main[[#This Row],[Class]]="C",WORKDAY(Main[[#This Row],[Tech Start Date]],28),IF(Main[[#This Row],[Class]]="B", WORKDAY(Main[[#This Row],[Tech Start Date]],19),IF(Main[[#This Row],[Class]]="A",WORKDAY(Main[[#This Row],[Tech Start Date]],9),""))))</f>
        <v/>
      </c>
      <c r="Q1246" s="89">
        <v>40999</v>
      </c>
      <c r="R1246" s="121"/>
      <c r="S1246" s="99" t="s">
        <v>6</v>
      </c>
      <c r="T1246" s="76" t="s">
        <v>4</v>
      </c>
      <c r="U1246" s="99" t="s">
        <v>29</v>
      </c>
      <c r="V1246" s="99" t="s">
        <v>1916</v>
      </c>
      <c r="W1246" s="99" t="s">
        <v>1917</v>
      </c>
      <c r="X1246" s="99" t="s">
        <v>30</v>
      </c>
      <c r="Y1246" s="73" t="s">
        <v>3685</v>
      </c>
      <c r="Z1246" s="73" t="s">
        <v>415</v>
      </c>
      <c r="AA1246" s="99" t="s">
        <v>3440</v>
      </c>
    </row>
    <row r="1247" spans="1:27" ht="17.25" customHeight="1">
      <c r="A1247" s="65" t="str">
        <f>IF(priority(Main[[#This Row],[Comments]])&lt;&gt;0, priority(Main[[#This Row],[Comments]]),"")</f>
        <v/>
      </c>
      <c r="B1247" s="60" t="s">
        <v>2547</v>
      </c>
      <c r="C1247" s="105" t="s">
        <v>4</v>
      </c>
      <c r="D1247" s="74" t="s">
        <v>3275</v>
      </c>
      <c r="E1247" s="89">
        <v>40876.276597222219</v>
      </c>
      <c r="F1247" s="89"/>
      <c r="G1247" s="65" t="str">
        <f>IF(stdProdLT(Main[[#This Row],[Comments]])=0.1,"N/A",IF(stdProdLT(Main[[#This Row],[Comments]])=0,"",TRIM(stdProdLT(Main[[#This Row],[Comments]]))))</f>
        <v/>
      </c>
      <c r="H1247" s="98" t="str">
        <f>IF(Main[[#This Row],[Std. Prod. Lead Time]]="N/A", "",IF(AND(Main[[#This Row],[In Stock Date]]&lt;&gt;"",Main[[#This Row],[Revised Due Date]]&lt;&gt;"",Main[[#This Row],[In Stock Date]]&lt;&gt;""),Main[[#This Row],[In Stock Date]]-Main[[#This Row],[Revised Due Date]],""))</f>
        <v/>
      </c>
      <c r="I1247" s="110" t="s">
        <v>69</v>
      </c>
      <c r="J1247" s="99" t="s">
        <v>70</v>
      </c>
      <c r="K1247" s="99" t="s">
        <v>1922</v>
      </c>
      <c r="L1247" s="89"/>
      <c r="M1247" s="75" t="str">
        <f>IF(Main[[#This Row],[Tech Start Date]]&lt;1/1/1990,"",IF(Main[[#This Row],[Class]]="C",WORKDAY(Main[[#This Row],[Tech Start Date]],9),IF(Main[[#This Row],[Class]]="B", WORKDAY(Main[[#This Row],[Tech Start Date]],6),IF(Main[[#This Row],[Class]]="A",WORKDAY(Main[[#This Row],[Tech Start Date]],2),""))))</f>
        <v/>
      </c>
      <c r="N1247" s="75" t="str">
        <f>IF(Main[[#This Row],[Tech Start Date]]&lt;1/1/1990,"",IF(Main[[#This Row],[Class]]="C",WORKDAY(Main[[#This Row],[Tech Start Date]],19),IF(Main[[#This Row],[Class]]="B", WORKDAY(Main[[#This Row],[Tech Start Date]],12),IF(Main[[#This Row],[Class]]="A",WORKDAY(Main[[#This Row],[Tech Start Date]],4),""))))</f>
        <v/>
      </c>
      <c r="O1247" s="75" t="str">
        <f>IF(Main[[#This Row],[Tech Start Date]]&lt;1/1/1990,"",IF(Main[[#This Row],[Class]]="C",WORKDAY(Main[[#This Row],[Tech Start Date]],23),IF(Main[[#This Row],[Class]]="B", WORKDAY(Main[[#This Row],[Tech Start Date]],15),IF(Main[[#This Row],[Class]]="A",WORKDAY(Main[[#This Row],[Tech Start Date]],5),""))))</f>
        <v/>
      </c>
      <c r="P1247" s="75" t="str">
        <f>IF(Main[[#This Row],[Tech Start Date]]&lt;1/1/1990,"",IF(Main[[#This Row],[Class]]="C",WORKDAY(Main[[#This Row],[Tech Start Date]],28),IF(Main[[#This Row],[Class]]="B", WORKDAY(Main[[#This Row],[Tech Start Date]],19),IF(Main[[#This Row],[Class]]="A",WORKDAY(Main[[#This Row],[Tech Start Date]],9),""))))</f>
        <v/>
      </c>
      <c r="Q1247" s="89">
        <v>40907</v>
      </c>
      <c r="R1247" s="121"/>
      <c r="S1247" s="99" t="s">
        <v>6</v>
      </c>
      <c r="T1247" s="76" t="s">
        <v>4</v>
      </c>
      <c r="U1247" s="99" t="s">
        <v>29</v>
      </c>
      <c r="V1247" s="99" t="s">
        <v>1923</v>
      </c>
      <c r="W1247" s="99" t="s">
        <v>1917</v>
      </c>
      <c r="X1247" s="99" t="s">
        <v>2812</v>
      </c>
      <c r="Y1247" s="73" t="s">
        <v>2923</v>
      </c>
      <c r="Z1247" s="73" t="s">
        <v>30</v>
      </c>
      <c r="AA1247" s="99" t="s">
        <v>2812</v>
      </c>
    </row>
    <row r="1248" spans="1:27" ht="17.25" customHeight="1">
      <c r="A1248" s="65" t="str">
        <f>IF(priority(Main[[#This Row],[Comments]])&lt;&gt;0, priority(Main[[#This Row],[Comments]]),"")</f>
        <v/>
      </c>
      <c r="B1248" s="60" t="s">
        <v>3899</v>
      </c>
      <c r="C1248" s="105" t="s">
        <v>47</v>
      </c>
      <c r="D1248" s="74" t="s">
        <v>3900</v>
      </c>
      <c r="E1248" s="89">
        <v>40968.462013888886</v>
      </c>
      <c r="F1248" s="89"/>
      <c r="G1248" s="65" t="str">
        <f>IF(stdProdLT(Main[[#This Row],[Comments]])=0.1,"N/A",IF(stdProdLT(Main[[#This Row],[Comments]])=0,"",TRIM(stdProdLT(Main[[#This Row],[Comments]]))))</f>
        <v/>
      </c>
      <c r="H1248" s="98" t="str">
        <f>IF(Main[[#This Row],[Std. Prod. Lead Time]]="N/A", "",IF(AND(Main[[#This Row],[In Stock Date]]&lt;&gt;"",Main[[#This Row],[Revised Due Date]]&lt;&gt;"",Main[[#This Row],[In Stock Date]]&lt;&gt;""),Main[[#This Row],[In Stock Date]]-Main[[#This Row],[Revised Due Date]],""))</f>
        <v/>
      </c>
      <c r="I1248" s="110" t="s">
        <v>171</v>
      </c>
      <c r="J1248" s="99" t="s">
        <v>1974</v>
      </c>
      <c r="K1248" s="99" t="s">
        <v>1922</v>
      </c>
      <c r="L1248" s="89"/>
      <c r="M1248" s="75" t="str">
        <f>IF(Main[[#This Row],[Tech Start Date]]&lt;1/1/1990,"",IF(Main[[#This Row],[Class]]="C",WORKDAY(Main[[#This Row],[Tech Start Date]],9),IF(Main[[#This Row],[Class]]="B", WORKDAY(Main[[#This Row],[Tech Start Date]],6),IF(Main[[#This Row],[Class]]="A",WORKDAY(Main[[#This Row],[Tech Start Date]],2),""))))</f>
        <v/>
      </c>
      <c r="N1248" s="75" t="str">
        <f>IF(Main[[#This Row],[Tech Start Date]]&lt;1/1/1990,"",IF(Main[[#This Row],[Class]]="C",WORKDAY(Main[[#This Row],[Tech Start Date]],19),IF(Main[[#This Row],[Class]]="B", WORKDAY(Main[[#This Row],[Tech Start Date]],12),IF(Main[[#This Row],[Class]]="A",WORKDAY(Main[[#This Row],[Tech Start Date]],4),""))))</f>
        <v/>
      </c>
      <c r="O1248" s="75" t="str">
        <f>IF(Main[[#This Row],[Tech Start Date]]&lt;1/1/1990,"",IF(Main[[#This Row],[Class]]="C",WORKDAY(Main[[#This Row],[Tech Start Date]],23),IF(Main[[#This Row],[Class]]="B", WORKDAY(Main[[#This Row],[Tech Start Date]],15),IF(Main[[#This Row],[Class]]="A",WORKDAY(Main[[#This Row],[Tech Start Date]],5),""))))</f>
        <v/>
      </c>
      <c r="P1248" s="75" t="str">
        <f>IF(Main[[#This Row],[Tech Start Date]]&lt;1/1/1990,"",IF(Main[[#This Row],[Class]]="C",WORKDAY(Main[[#This Row],[Tech Start Date]],28),IF(Main[[#This Row],[Class]]="B", WORKDAY(Main[[#This Row],[Tech Start Date]],19),IF(Main[[#This Row],[Class]]="A",WORKDAY(Main[[#This Row],[Tech Start Date]],9),""))))</f>
        <v/>
      </c>
      <c r="Q1248" s="89"/>
      <c r="R1248" s="121">
        <v>40977</v>
      </c>
      <c r="S1248" s="99" t="s">
        <v>6</v>
      </c>
      <c r="T1248" s="76" t="s">
        <v>3970</v>
      </c>
      <c r="U1248" s="99" t="s">
        <v>29</v>
      </c>
      <c r="V1248" s="99" t="s">
        <v>2279</v>
      </c>
      <c r="W1248" s="99" t="s">
        <v>1915</v>
      </c>
      <c r="X1248" s="99" t="s">
        <v>2859</v>
      </c>
      <c r="Y1248" s="73" t="s">
        <v>3004</v>
      </c>
      <c r="Z1248" s="73" t="s">
        <v>69</v>
      </c>
      <c r="AA1248" s="99" t="s">
        <v>2859</v>
      </c>
    </row>
    <row r="1249" spans="1:27" ht="17.25" customHeight="1">
      <c r="A1249" s="65" t="str">
        <f>IF(priority(Main[[#This Row],[Comments]])&lt;&gt;0, priority(Main[[#This Row],[Comments]]),"")</f>
        <v/>
      </c>
      <c r="B1249" s="60" t="s">
        <v>2656</v>
      </c>
      <c r="C1249" s="105" t="s">
        <v>4</v>
      </c>
      <c r="D1249" s="74" t="s">
        <v>2657</v>
      </c>
      <c r="E1249" s="89"/>
      <c r="F1249" s="89"/>
      <c r="G1249" s="65" t="str">
        <f>IF(stdProdLT(Main[[#This Row],[Comments]])=0.1,"N/A",IF(stdProdLT(Main[[#This Row],[Comments]])=0,"",TRIM(stdProdLT(Main[[#This Row],[Comments]]))))</f>
        <v/>
      </c>
      <c r="H1249" s="98" t="str">
        <f>IF(Main[[#This Row],[Std. Prod. Lead Time]]="N/A", "",IF(AND(Main[[#This Row],[In Stock Date]]&lt;&gt;"",Main[[#This Row],[Revised Due Date]]&lt;&gt;"",Main[[#This Row],[In Stock Date]]&lt;&gt;""),Main[[#This Row],[In Stock Date]]-Main[[#This Row],[Revised Due Date]],""))</f>
        <v/>
      </c>
      <c r="I1249" s="110" t="s">
        <v>4</v>
      </c>
      <c r="J1249" s="99" t="s">
        <v>4</v>
      </c>
      <c r="K1249" s="99" t="s">
        <v>4</v>
      </c>
      <c r="L1249" s="89"/>
      <c r="M1249" s="75" t="str">
        <f>IF(Main[[#This Row],[Tech Start Date]]&lt;1/1/1990,"",IF(Main[[#This Row],[Class]]="C",WORKDAY(Main[[#This Row],[Tech Start Date]],9),IF(Main[[#This Row],[Class]]="B", WORKDAY(Main[[#This Row],[Tech Start Date]],6),IF(Main[[#This Row],[Class]]="A",WORKDAY(Main[[#This Row],[Tech Start Date]],2),""))))</f>
        <v/>
      </c>
      <c r="N1249" s="75" t="str">
        <f>IF(Main[[#This Row],[Tech Start Date]]&lt;1/1/1990,"",IF(Main[[#This Row],[Class]]="C",WORKDAY(Main[[#This Row],[Tech Start Date]],19),IF(Main[[#This Row],[Class]]="B", WORKDAY(Main[[#This Row],[Tech Start Date]],12),IF(Main[[#This Row],[Class]]="A",WORKDAY(Main[[#This Row],[Tech Start Date]],4),""))))</f>
        <v/>
      </c>
      <c r="O1249" s="75" t="str">
        <f>IF(Main[[#This Row],[Tech Start Date]]&lt;1/1/1990,"",IF(Main[[#This Row],[Class]]="C",WORKDAY(Main[[#This Row],[Tech Start Date]],23),IF(Main[[#This Row],[Class]]="B", WORKDAY(Main[[#This Row],[Tech Start Date]],15),IF(Main[[#This Row],[Class]]="A",WORKDAY(Main[[#This Row],[Tech Start Date]],5),""))))</f>
        <v/>
      </c>
      <c r="P1249" s="75" t="str">
        <f>IF(Main[[#This Row],[Tech Start Date]]&lt;1/1/1990,"",IF(Main[[#This Row],[Class]]="C",WORKDAY(Main[[#This Row],[Tech Start Date]],28),IF(Main[[#This Row],[Class]]="B", WORKDAY(Main[[#This Row],[Tech Start Date]],19),IF(Main[[#This Row],[Class]]="A",WORKDAY(Main[[#This Row],[Tech Start Date]],9),""))))</f>
        <v/>
      </c>
      <c r="Q1249" s="89">
        <v>40884</v>
      </c>
      <c r="R1249" s="121"/>
      <c r="S1249" s="99" t="s">
        <v>4</v>
      </c>
      <c r="T1249" s="76" t="s">
        <v>4</v>
      </c>
      <c r="U1249" s="99" t="s">
        <v>14</v>
      </c>
      <c r="V1249" s="99" t="s">
        <v>1923</v>
      </c>
      <c r="W1249" s="99" t="s">
        <v>1921</v>
      </c>
      <c r="X1249" s="99" t="s">
        <v>2851</v>
      </c>
      <c r="Y1249" s="73" t="s">
        <v>2992</v>
      </c>
      <c r="Z1249" s="73" t="s">
        <v>4</v>
      </c>
      <c r="AA1249" s="99" t="s">
        <v>2851</v>
      </c>
    </row>
    <row r="1250" spans="1:27" ht="17.25" customHeight="1">
      <c r="A1250" s="65" t="str">
        <f>IF(priority(Main[[#This Row],[Comments]])&lt;&gt;0, priority(Main[[#This Row],[Comments]]),"")</f>
        <v/>
      </c>
      <c r="B1250" s="60" t="s">
        <v>1823</v>
      </c>
      <c r="C1250" s="105" t="s">
        <v>47</v>
      </c>
      <c r="D1250" s="74" t="s">
        <v>875</v>
      </c>
      <c r="E1250" s="89"/>
      <c r="F1250" s="89"/>
      <c r="G1250" s="65" t="str">
        <f>IF(stdProdLT(Main[[#This Row],[Comments]])=0.1,"N/A",IF(stdProdLT(Main[[#This Row],[Comments]])=0,"",TRIM(stdProdLT(Main[[#This Row],[Comments]]))))</f>
        <v/>
      </c>
      <c r="H1250" s="98" t="str">
        <f>IF(Main[[#This Row],[Std. Prod. Lead Time]]="N/A", "",IF(AND(Main[[#This Row],[In Stock Date]]&lt;&gt;"",Main[[#This Row],[Revised Due Date]]&lt;&gt;"",Main[[#This Row],[In Stock Date]]&lt;&gt;""),Main[[#This Row],[In Stock Date]]-Main[[#This Row],[Revised Due Date]],""))</f>
        <v/>
      </c>
      <c r="I1250" s="110" t="s">
        <v>4</v>
      </c>
      <c r="J1250" s="99" t="s">
        <v>4</v>
      </c>
      <c r="K1250" s="99" t="s">
        <v>1925</v>
      </c>
      <c r="L1250" s="89"/>
      <c r="M1250" s="75" t="str">
        <f>IF(Main[[#This Row],[Tech Start Date]]&lt;1/1/1990,"",IF(Main[[#This Row],[Class]]="C",WORKDAY(Main[[#This Row],[Tech Start Date]],9),IF(Main[[#This Row],[Class]]="B", WORKDAY(Main[[#This Row],[Tech Start Date]],6),IF(Main[[#This Row],[Class]]="A",WORKDAY(Main[[#This Row],[Tech Start Date]],2),""))))</f>
        <v/>
      </c>
      <c r="N1250" s="75" t="str">
        <f>IF(Main[[#This Row],[Tech Start Date]]&lt;1/1/1990,"",IF(Main[[#This Row],[Class]]="C",WORKDAY(Main[[#This Row],[Tech Start Date]],19),IF(Main[[#This Row],[Class]]="B", WORKDAY(Main[[#This Row],[Tech Start Date]],12),IF(Main[[#This Row],[Class]]="A",WORKDAY(Main[[#This Row],[Tech Start Date]],4),""))))</f>
        <v/>
      </c>
      <c r="O1250" s="75" t="str">
        <f>IF(Main[[#This Row],[Tech Start Date]]&lt;1/1/1990,"",IF(Main[[#This Row],[Class]]="C",WORKDAY(Main[[#This Row],[Tech Start Date]],23),IF(Main[[#This Row],[Class]]="B", WORKDAY(Main[[#This Row],[Tech Start Date]],15),IF(Main[[#This Row],[Class]]="A",WORKDAY(Main[[#This Row],[Tech Start Date]],5),""))))</f>
        <v/>
      </c>
      <c r="P1250" s="75" t="str">
        <f>IF(Main[[#This Row],[Tech Start Date]]&lt;1/1/1990,"",IF(Main[[#This Row],[Class]]="C",WORKDAY(Main[[#This Row],[Tech Start Date]],28),IF(Main[[#This Row],[Class]]="B", WORKDAY(Main[[#This Row],[Tech Start Date]],19),IF(Main[[#This Row],[Class]]="A",WORKDAY(Main[[#This Row],[Tech Start Date]],9),""))))</f>
        <v/>
      </c>
      <c r="Q1250" s="89"/>
      <c r="R1250" s="121">
        <v>40359</v>
      </c>
      <c r="S1250" s="99" t="s">
        <v>17</v>
      </c>
      <c r="T1250" s="76" t="s">
        <v>4</v>
      </c>
      <c r="U1250" s="99" t="s">
        <v>14</v>
      </c>
      <c r="V1250" s="99" t="s">
        <v>1913</v>
      </c>
      <c r="W1250" s="99" t="s">
        <v>1918</v>
      </c>
      <c r="X1250" s="99" t="s">
        <v>2815</v>
      </c>
      <c r="Y1250" s="73" t="s">
        <v>2930</v>
      </c>
      <c r="Z1250" s="73" t="s">
        <v>4</v>
      </c>
      <c r="AA1250" s="99" t="s">
        <v>2815</v>
      </c>
    </row>
    <row r="1251" spans="1:27" ht="17.25" customHeight="1">
      <c r="A1251" s="65" t="str">
        <f>IF(priority(Main[[#This Row],[Comments]])&lt;&gt;0, priority(Main[[#This Row],[Comments]]),"")</f>
        <v/>
      </c>
      <c r="B1251" s="60" t="s">
        <v>1633</v>
      </c>
      <c r="C1251" s="105" t="s">
        <v>4</v>
      </c>
      <c r="D1251" s="74" t="s">
        <v>706</v>
      </c>
      <c r="E1251" s="89"/>
      <c r="F1251" s="89"/>
      <c r="G1251" s="65" t="str">
        <f>IF(stdProdLT(Main[[#This Row],[Comments]])=0.1,"N/A",IF(stdProdLT(Main[[#This Row],[Comments]])=0,"",TRIM(stdProdLT(Main[[#This Row],[Comments]]))))</f>
        <v/>
      </c>
      <c r="H1251" s="98" t="str">
        <f>IF(Main[[#This Row],[Std. Prod. Lead Time]]="N/A", "",IF(AND(Main[[#This Row],[In Stock Date]]&lt;&gt;"",Main[[#This Row],[Revised Due Date]]&lt;&gt;"",Main[[#This Row],[In Stock Date]]&lt;&gt;""),Main[[#This Row],[In Stock Date]]-Main[[#This Row],[Revised Due Date]],""))</f>
        <v/>
      </c>
      <c r="I1251" s="110" t="s">
        <v>4</v>
      </c>
      <c r="J1251" s="99" t="s">
        <v>28</v>
      </c>
      <c r="K1251" s="99" t="s">
        <v>1922</v>
      </c>
      <c r="L1251" s="89"/>
      <c r="M1251" s="75" t="str">
        <f>IF(Main[[#This Row],[Tech Start Date]]&lt;1/1/1990,"",IF(Main[[#This Row],[Class]]="C",WORKDAY(Main[[#This Row],[Tech Start Date]],9),IF(Main[[#This Row],[Class]]="B", WORKDAY(Main[[#This Row],[Tech Start Date]],6),IF(Main[[#This Row],[Class]]="A",WORKDAY(Main[[#This Row],[Tech Start Date]],2),""))))</f>
        <v/>
      </c>
      <c r="N1251" s="75" t="str">
        <f>IF(Main[[#This Row],[Tech Start Date]]&lt;1/1/1990,"",IF(Main[[#This Row],[Class]]="C",WORKDAY(Main[[#This Row],[Tech Start Date]],19),IF(Main[[#This Row],[Class]]="B", WORKDAY(Main[[#This Row],[Tech Start Date]],12),IF(Main[[#This Row],[Class]]="A",WORKDAY(Main[[#This Row],[Tech Start Date]],4),""))))</f>
        <v/>
      </c>
      <c r="O1251" s="75" t="str">
        <f>IF(Main[[#This Row],[Tech Start Date]]&lt;1/1/1990,"",IF(Main[[#This Row],[Class]]="C",WORKDAY(Main[[#This Row],[Tech Start Date]],23),IF(Main[[#This Row],[Class]]="B", WORKDAY(Main[[#This Row],[Tech Start Date]],15),IF(Main[[#This Row],[Class]]="A",WORKDAY(Main[[#This Row],[Tech Start Date]],5),""))))</f>
        <v/>
      </c>
      <c r="P1251" s="75" t="str">
        <f>IF(Main[[#This Row],[Tech Start Date]]&lt;1/1/1990,"",IF(Main[[#This Row],[Class]]="C",WORKDAY(Main[[#This Row],[Tech Start Date]],28),IF(Main[[#This Row],[Class]]="B", WORKDAY(Main[[#This Row],[Tech Start Date]],19),IF(Main[[#This Row],[Class]]="A",WORKDAY(Main[[#This Row],[Tech Start Date]],9),""))))</f>
        <v/>
      </c>
      <c r="Q1251" s="89"/>
      <c r="R1251" s="121"/>
      <c r="S1251" s="99" t="s">
        <v>6</v>
      </c>
      <c r="T1251" s="76" t="s">
        <v>4</v>
      </c>
      <c r="U1251" s="99" t="s">
        <v>14</v>
      </c>
      <c r="V1251" s="99" t="s">
        <v>1913</v>
      </c>
      <c r="W1251" s="99" t="s">
        <v>1917</v>
      </c>
      <c r="X1251" s="99" t="s">
        <v>306</v>
      </c>
      <c r="Y1251" s="73" t="s">
        <v>3127</v>
      </c>
      <c r="Z1251" s="73" t="s">
        <v>129</v>
      </c>
      <c r="AA1251" s="99" t="s">
        <v>3450</v>
      </c>
    </row>
    <row r="1252" spans="1:27" ht="17.25" customHeight="1">
      <c r="A1252" s="65" t="str">
        <f>IF(priority(Main[[#This Row],[Comments]])&lt;&gt;0, priority(Main[[#This Row],[Comments]]),"")</f>
        <v/>
      </c>
      <c r="B1252" s="60" t="s">
        <v>3687</v>
      </c>
      <c r="C1252" s="105" t="s">
        <v>4</v>
      </c>
      <c r="D1252" s="74" t="s">
        <v>3688</v>
      </c>
      <c r="E1252" s="89"/>
      <c r="F1252" s="89"/>
      <c r="G1252" s="65" t="str">
        <f>IF(stdProdLT(Main[[#This Row],[Comments]])=0.1,"N/A",IF(stdProdLT(Main[[#This Row],[Comments]])=0,"",TRIM(stdProdLT(Main[[#This Row],[Comments]]))))</f>
        <v/>
      </c>
      <c r="H1252" s="98" t="str">
        <f>IF(Main[[#This Row],[Std. Prod. Lead Time]]="N/A", "",IF(AND(Main[[#This Row],[In Stock Date]]&lt;&gt;"",Main[[#This Row],[Revised Due Date]]&lt;&gt;"",Main[[#This Row],[In Stock Date]]&lt;&gt;""),Main[[#This Row],[In Stock Date]]-Main[[#This Row],[Revised Due Date]],""))</f>
        <v/>
      </c>
      <c r="I1252" s="110" t="s">
        <v>4</v>
      </c>
      <c r="J1252" s="99" t="s">
        <v>28</v>
      </c>
      <c r="K1252" s="100" t="s">
        <v>4</v>
      </c>
      <c r="L1252" s="89"/>
      <c r="M1252" s="75" t="str">
        <f>IF(Main[[#This Row],[Tech Start Date]]&lt;1/1/1990,"",IF(Main[[#This Row],[Class]]="C",WORKDAY(Main[[#This Row],[Tech Start Date]],9),IF(Main[[#This Row],[Class]]="B", WORKDAY(Main[[#This Row],[Tech Start Date]],6),IF(Main[[#This Row],[Class]]="A",WORKDAY(Main[[#This Row],[Tech Start Date]],2),""))))</f>
        <v/>
      </c>
      <c r="N1252" s="75" t="str">
        <f>IF(Main[[#This Row],[Tech Start Date]]&lt;1/1/1990,"",IF(Main[[#This Row],[Class]]="C",WORKDAY(Main[[#This Row],[Tech Start Date]],19),IF(Main[[#This Row],[Class]]="B", WORKDAY(Main[[#This Row],[Tech Start Date]],12),IF(Main[[#This Row],[Class]]="A",WORKDAY(Main[[#This Row],[Tech Start Date]],4),""))))</f>
        <v/>
      </c>
      <c r="O1252" s="75" t="str">
        <f>IF(Main[[#This Row],[Tech Start Date]]&lt;1/1/1990,"",IF(Main[[#This Row],[Class]]="C",WORKDAY(Main[[#This Row],[Tech Start Date]],23),IF(Main[[#This Row],[Class]]="B", WORKDAY(Main[[#This Row],[Tech Start Date]],15),IF(Main[[#This Row],[Class]]="A",WORKDAY(Main[[#This Row],[Tech Start Date]],5),""))))</f>
        <v/>
      </c>
      <c r="P1252" s="75" t="str">
        <f>IF(Main[[#This Row],[Tech Start Date]]&lt;1/1/1990,"",IF(Main[[#This Row],[Class]]="C",WORKDAY(Main[[#This Row],[Tech Start Date]],28),IF(Main[[#This Row],[Class]]="B", WORKDAY(Main[[#This Row],[Tech Start Date]],19),IF(Main[[#This Row],[Class]]="A",WORKDAY(Main[[#This Row],[Tech Start Date]],9),""))))</f>
        <v/>
      </c>
      <c r="Q1252" s="89">
        <v>40724</v>
      </c>
      <c r="R1252" s="121"/>
      <c r="S1252" s="99" t="s">
        <v>17</v>
      </c>
      <c r="T1252" s="76" t="s">
        <v>2459</v>
      </c>
      <c r="U1252" s="99" t="s">
        <v>12</v>
      </c>
      <c r="V1252" s="99" t="s">
        <v>1913</v>
      </c>
      <c r="W1252" s="99" t="s">
        <v>1918</v>
      </c>
      <c r="X1252" s="99" t="s">
        <v>129</v>
      </c>
      <c r="Y1252" s="73" t="s">
        <v>2927</v>
      </c>
      <c r="Z1252" s="73" t="s">
        <v>129</v>
      </c>
      <c r="AA1252" s="99" t="s">
        <v>129</v>
      </c>
    </row>
    <row r="1253" spans="1:27" ht="17.25" customHeight="1">
      <c r="A1253" s="65" t="str">
        <f>IF(priority(Main[[#This Row],[Comments]])&lt;&gt;0, priority(Main[[#This Row],[Comments]]),"")</f>
        <v/>
      </c>
      <c r="B1253" s="60" t="s">
        <v>3693</v>
      </c>
      <c r="C1253" s="105" t="s">
        <v>3694</v>
      </c>
      <c r="D1253" s="74" t="s">
        <v>3695</v>
      </c>
      <c r="E1253" s="89">
        <v>40967.774861111109</v>
      </c>
      <c r="F1253" s="89"/>
      <c r="G1253" s="65" t="str">
        <f>IF(stdProdLT(Main[[#This Row],[Comments]])=0.1,"N/A",IF(stdProdLT(Main[[#This Row],[Comments]])=0,"",TRIM(stdProdLT(Main[[#This Row],[Comments]]))))</f>
        <v>126</v>
      </c>
      <c r="H1253" s="98" t="str">
        <f>IF(Main[[#This Row],[Std. Prod. Lead Time]]="N/A", "",IF(AND(Main[[#This Row],[In Stock Date]]&lt;&gt;"",Main[[#This Row],[Revised Due Date]]&lt;&gt;"",Main[[#This Row],[In Stock Date]]&lt;&gt;""),Main[[#This Row],[In Stock Date]]-Main[[#This Row],[Revised Due Date]],""))</f>
        <v/>
      </c>
      <c r="I1253" s="110" t="s">
        <v>4</v>
      </c>
      <c r="J1253" s="99" t="s">
        <v>4</v>
      </c>
      <c r="K1253" s="99" t="s">
        <v>4</v>
      </c>
      <c r="L1253" s="89"/>
      <c r="M1253" s="75" t="str">
        <f>IF(Main[[#This Row],[Tech Start Date]]&lt;1/1/1990,"",IF(Main[[#This Row],[Class]]="C",WORKDAY(Main[[#This Row],[Tech Start Date]],9),IF(Main[[#This Row],[Class]]="B", WORKDAY(Main[[#This Row],[Tech Start Date]],6),IF(Main[[#This Row],[Class]]="A",WORKDAY(Main[[#This Row],[Tech Start Date]],2),""))))</f>
        <v/>
      </c>
      <c r="N1253" s="75" t="str">
        <f>IF(Main[[#This Row],[Tech Start Date]]&lt;1/1/1990,"",IF(Main[[#This Row],[Class]]="C",WORKDAY(Main[[#This Row],[Tech Start Date]],19),IF(Main[[#This Row],[Class]]="B", WORKDAY(Main[[#This Row],[Tech Start Date]],12),IF(Main[[#This Row],[Class]]="A",WORKDAY(Main[[#This Row],[Tech Start Date]],4),""))))</f>
        <v/>
      </c>
      <c r="O1253" s="75" t="str">
        <f>IF(Main[[#This Row],[Tech Start Date]]&lt;1/1/1990,"",IF(Main[[#This Row],[Class]]="C",WORKDAY(Main[[#This Row],[Tech Start Date]],23),IF(Main[[#This Row],[Class]]="B", WORKDAY(Main[[#This Row],[Tech Start Date]],15),IF(Main[[#This Row],[Class]]="A",WORKDAY(Main[[#This Row],[Tech Start Date]],5),""))))</f>
        <v/>
      </c>
      <c r="P1253" s="75" t="str">
        <f>IF(Main[[#This Row],[Tech Start Date]]&lt;1/1/1990,"",IF(Main[[#This Row],[Class]]="C",WORKDAY(Main[[#This Row],[Tech Start Date]],28),IF(Main[[#This Row],[Class]]="B", WORKDAY(Main[[#This Row],[Tech Start Date]],19),IF(Main[[#This Row],[Class]]="A",WORKDAY(Main[[#This Row],[Tech Start Date]],9),""))))</f>
        <v/>
      </c>
      <c r="Q1253" s="89"/>
      <c r="R1253" s="121"/>
      <c r="S1253" s="99" t="s">
        <v>11</v>
      </c>
      <c r="T1253" s="76" t="s">
        <v>3696</v>
      </c>
      <c r="U1253" s="99" t="s">
        <v>7</v>
      </c>
      <c r="V1253" s="99" t="s">
        <v>1913</v>
      </c>
      <c r="W1253" s="99" t="s">
        <v>1921</v>
      </c>
      <c r="X1253" s="99" t="s">
        <v>50</v>
      </c>
      <c r="Y1253" s="73" t="s">
        <v>3697</v>
      </c>
      <c r="Z1253" s="73" t="s">
        <v>4</v>
      </c>
      <c r="AA1253" s="99" t="s">
        <v>3456</v>
      </c>
    </row>
    <row r="1254" spans="1:27" ht="17.25" customHeight="1">
      <c r="A1254" s="65" t="str">
        <f>IF(priority(Main[[#This Row],[Comments]])&lt;&gt;0, priority(Main[[#This Row],[Comments]]),"")</f>
        <v/>
      </c>
      <c r="B1254" s="60" t="s">
        <v>3183</v>
      </c>
      <c r="C1254" s="105" t="s">
        <v>4</v>
      </c>
      <c r="D1254" s="74" t="s">
        <v>3689</v>
      </c>
      <c r="E1254" s="89">
        <v>40921.403067129628</v>
      </c>
      <c r="F1254" s="89"/>
      <c r="G1254" s="65" t="str">
        <f>IF(stdProdLT(Main[[#This Row],[Comments]])=0.1,"N/A",IF(stdProdLT(Main[[#This Row],[Comments]])=0,"",TRIM(stdProdLT(Main[[#This Row],[Comments]]))))</f>
        <v/>
      </c>
      <c r="H1254" s="98" t="str">
        <f>IF(Main[[#This Row],[Std. Prod. Lead Time]]="N/A", "",IF(AND(Main[[#This Row],[In Stock Date]]&lt;&gt;"",Main[[#This Row],[Revised Due Date]]&lt;&gt;"",Main[[#This Row],[In Stock Date]]&lt;&gt;""),Main[[#This Row],[In Stock Date]]-Main[[#This Row],[Revised Due Date]],""))</f>
        <v/>
      </c>
      <c r="I1254" s="110" t="s">
        <v>2047</v>
      </c>
      <c r="J1254" s="99" t="s">
        <v>28</v>
      </c>
      <c r="K1254" s="99" t="s">
        <v>1922</v>
      </c>
      <c r="L1254" s="89"/>
      <c r="M1254" s="75" t="str">
        <f>IF(Main[[#This Row],[Tech Start Date]]&lt;1/1/1990,"",IF(Main[[#This Row],[Class]]="C",WORKDAY(Main[[#This Row],[Tech Start Date]],9),IF(Main[[#This Row],[Class]]="B", WORKDAY(Main[[#This Row],[Tech Start Date]],6),IF(Main[[#This Row],[Class]]="A",WORKDAY(Main[[#This Row],[Tech Start Date]],2),""))))</f>
        <v/>
      </c>
      <c r="N1254" s="75" t="str">
        <f>IF(Main[[#This Row],[Tech Start Date]]&lt;1/1/1990,"",IF(Main[[#This Row],[Class]]="C",WORKDAY(Main[[#This Row],[Tech Start Date]],19),IF(Main[[#This Row],[Class]]="B", WORKDAY(Main[[#This Row],[Tech Start Date]],12),IF(Main[[#This Row],[Class]]="A",WORKDAY(Main[[#This Row],[Tech Start Date]],4),""))))</f>
        <v/>
      </c>
      <c r="O1254" s="75" t="str">
        <f>IF(Main[[#This Row],[Tech Start Date]]&lt;1/1/1990,"",IF(Main[[#This Row],[Class]]="C",WORKDAY(Main[[#This Row],[Tech Start Date]],23),IF(Main[[#This Row],[Class]]="B", WORKDAY(Main[[#This Row],[Tech Start Date]],15),IF(Main[[#This Row],[Class]]="A",WORKDAY(Main[[#This Row],[Tech Start Date]],5),""))))</f>
        <v/>
      </c>
      <c r="P1254" s="75" t="str">
        <f>IF(Main[[#This Row],[Tech Start Date]]&lt;1/1/1990,"",IF(Main[[#This Row],[Class]]="C",WORKDAY(Main[[#This Row],[Tech Start Date]],28),IF(Main[[#This Row],[Class]]="B", WORKDAY(Main[[#This Row],[Tech Start Date]],19),IF(Main[[#This Row],[Class]]="A",WORKDAY(Main[[#This Row],[Tech Start Date]],9),""))))</f>
        <v/>
      </c>
      <c r="Q1254" s="89"/>
      <c r="R1254" s="121"/>
      <c r="S1254" s="99" t="s">
        <v>6</v>
      </c>
      <c r="T1254" s="76" t="s">
        <v>4</v>
      </c>
      <c r="U1254" s="99" t="s">
        <v>29</v>
      </c>
      <c r="V1254" s="99" t="s">
        <v>1916</v>
      </c>
      <c r="W1254" s="99" t="s">
        <v>1921</v>
      </c>
      <c r="X1254" s="99" t="s">
        <v>306</v>
      </c>
      <c r="Y1254" s="73" t="s">
        <v>4</v>
      </c>
      <c r="Z1254" s="73" t="s">
        <v>30</v>
      </c>
      <c r="AA1254" s="99" t="s">
        <v>4</v>
      </c>
    </row>
    <row r="1255" spans="1:27" ht="17.25" customHeight="1">
      <c r="A1255" s="65" t="str">
        <f>IF(priority(Main[[#This Row],[Comments]])&lt;&gt;0, priority(Main[[#This Row],[Comments]]),"")</f>
        <v/>
      </c>
      <c r="B1255" s="60" t="s">
        <v>3690</v>
      </c>
      <c r="C1255" s="105" t="s">
        <v>3595</v>
      </c>
      <c r="D1255" s="74" t="s">
        <v>3691</v>
      </c>
      <c r="E1255" s="89">
        <v>40960.202187499999</v>
      </c>
      <c r="F1255" s="89">
        <v>41146</v>
      </c>
      <c r="G1255" s="65" t="str">
        <f>IF(stdProdLT(Main[[#This Row],[Comments]])=0.1,"N/A",IF(stdProdLT(Main[[#This Row],[Comments]])=0,"",TRIM(stdProdLT(Main[[#This Row],[Comments]]))))</f>
        <v>126</v>
      </c>
      <c r="H1255" s="98" t="str">
        <f>IF(Main[[#This Row],[Std. Prod. Lead Time]]="N/A", "",IF(AND(Main[[#This Row],[In Stock Date]]&lt;&gt;"",Main[[#This Row],[Revised Due Date]]&lt;&gt;"",Main[[#This Row],[In Stock Date]]&lt;&gt;""),Main[[#This Row],[In Stock Date]]-Main[[#This Row],[Revised Due Date]],""))</f>
        <v/>
      </c>
      <c r="I1255" s="110" t="s">
        <v>4</v>
      </c>
      <c r="J1255" s="99" t="s">
        <v>4</v>
      </c>
      <c r="K1255" s="99" t="s">
        <v>4</v>
      </c>
      <c r="L1255" s="89"/>
      <c r="M1255" s="75" t="str">
        <f>IF(Main[[#This Row],[Tech Start Date]]&lt;1/1/1990,"",IF(Main[[#This Row],[Class]]="C",WORKDAY(Main[[#This Row],[Tech Start Date]],9),IF(Main[[#This Row],[Class]]="B", WORKDAY(Main[[#This Row],[Tech Start Date]],6),IF(Main[[#This Row],[Class]]="A",WORKDAY(Main[[#This Row],[Tech Start Date]],2),""))))</f>
        <v/>
      </c>
      <c r="N1255" s="75" t="str">
        <f>IF(Main[[#This Row],[Tech Start Date]]&lt;1/1/1990,"",IF(Main[[#This Row],[Class]]="C",WORKDAY(Main[[#This Row],[Tech Start Date]],19),IF(Main[[#This Row],[Class]]="B", WORKDAY(Main[[#This Row],[Tech Start Date]],12),IF(Main[[#This Row],[Class]]="A",WORKDAY(Main[[#This Row],[Tech Start Date]],4),""))))</f>
        <v/>
      </c>
      <c r="O1255" s="75" t="str">
        <f>IF(Main[[#This Row],[Tech Start Date]]&lt;1/1/1990,"",IF(Main[[#This Row],[Class]]="C",WORKDAY(Main[[#This Row],[Tech Start Date]],23),IF(Main[[#This Row],[Class]]="B", WORKDAY(Main[[#This Row],[Tech Start Date]],15),IF(Main[[#This Row],[Class]]="A",WORKDAY(Main[[#This Row],[Tech Start Date]],5),""))))</f>
        <v/>
      </c>
      <c r="P1255" s="75" t="str">
        <f>IF(Main[[#This Row],[Tech Start Date]]&lt;1/1/1990,"",IF(Main[[#This Row],[Class]]="C",WORKDAY(Main[[#This Row],[Tech Start Date]],28),IF(Main[[#This Row],[Class]]="B", WORKDAY(Main[[#This Row],[Tech Start Date]],19),IF(Main[[#This Row],[Class]]="A",WORKDAY(Main[[#This Row],[Tech Start Date]],9),""))))</f>
        <v/>
      </c>
      <c r="Q1255" s="89"/>
      <c r="R1255" s="121"/>
      <c r="S1255" s="99" t="s">
        <v>11</v>
      </c>
      <c r="T1255" s="76" t="s">
        <v>3692</v>
      </c>
      <c r="U1255" s="99" t="s">
        <v>694</v>
      </c>
      <c r="V1255" s="99" t="s">
        <v>1916</v>
      </c>
      <c r="W1255" s="99" t="s">
        <v>1918</v>
      </c>
      <c r="X1255" s="99" t="s">
        <v>2887</v>
      </c>
      <c r="Y1255" s="73" t="s">
        <v>3049</v>
      </c>
      <c r="Z1255" s="73" t="s">
        <v>4</v>
      </c>
      <c r="AA1255" s="99" t="s">
        <v>2887</v>
      </c>
    </row>
    <row r="1256" spans="1:27" ht="17.25" customHeight="1">
      <c r="A1256" s="65" t="str">
        <f>IF(priority(Main[[#This Row],[Comments]])&lt;&gt;0, priority(Main[[#This Row],[Comments]]),"")</f>
        <v/>
      </c>
      <c r="B1256" s="60" t="s">
        <v>3972</v>
      </c>
      <c r="C1256" s="105" t="s">
        <v>31</v>
      </c>
      <c r="D1256" s="74" t="s">
        <v>3964</v>
      </c>
      <c r="E1256" s="89"/>
      <c r="F1256" s="89">
        <v>41000</v>
      </c>
      <c r="G1256" s="65" t="str">
        <f>IF(stdProdLT(Main[[#This Row],[Comments]])=0.1,"N/A",IF(stdProdLT(Main[[#This Row],[Comments]])=0,"",TRIM(stdProdLT(Main[[#This Row],[Comments]]))))</f>
        <v/>
      </c>
      <c r="H1256" s="98" t="str">
        <f>IF(Main[[#This Row],[Std. Prod. Lead Time]]="N/A", "",IF(AND(Main[[#This Row],[In Stock Date]]&lt;&gt;"",Main[[#This Row],[Revised Due Date]]&lt;&gt;"",Main[[#This Row],[In Stock Date]]&lt;&gt;""),Main[[#This Row],[In Stock Date]]-Main[[#This Row],[Revised Due Date]],""))</f>
        <v/>
      </c>
      <c r="I1256" s="110" t="s">
        <v>4</v>
      </c>
      <c r="J1256" s="99" t="s">
        <v>75</v>
      </c>
      <c r="K1256" s="99" t="s">
        <v>4</v>
      </c>
      <c r="L1256" s="89"/>
      <c r="M1256" s="75" t="str">
        <f>IF(Main[[#This Row],[Tech Start Date]]&lt;1/1/1990,"",IF(Main[[#This Row],[Class]]="C",WORKDAY(Main[[#This Row],[Tech Start Date]],9),IF(Main[[#This Row],[Class]]="B", WORKDAY(Main[[#This Row],[Tech Start Date]],6),IF(Main[[#This Row],[Class]]="A",WORKDAY(Main[[#This Row],[Tech Start Date]],2),""))))</f>
        <v/>
      </c>
      <c r="N1256" s="75" t="str">
        <f>IF(Main[[#This Row],[Tech Start Date]]&lt;1/1/1990,"",IF(Main[[#This Row],[Class]]="C",WORKDAY(Main[[#This Row],[Tech Start Date]],19),IF(Main[[#This Row],[Class]]="B", WORKDAY(Main[[#This Row],[Tech Start Date]],12),IF(Main[[#This Row],[Class]]="A",WORKDAY(Main[[#This Row],[Tech Start Date]],4),""))))</f>
        <v/>
      </c>
      <c r="O1256" s="75" t="str">
        <f>IF(Main[[#This Row],[Tech Start Date]]&lt;1/1/1990,"",IF(Main[[#This Row],[Class]]="C",WORKDAY(Main[[#This Row],[Tech Start Date]],23),IF(Main[[#This Row],[Class]]="B", WORKDAY(Main[[#This Row],[Tech Start Date]],15),IF(Main[[#This Row],[Class]]="A",WORKDAY(Main[[#This Row],[Tech Start Date]],5),""))))</f>
        <v/>
      </c>
      <c r="P1256" s="75" t="str">
        <f>IF(Main[[#This Row],[Tech Start Date]]&lt;1/1/1990,"",IF(Main[[#This Row],[Class]]="C",WORKDAY(Main[[#This Row],[Tech Start Date]],28),IF(Main[[#This Row],[Class]]="B", WORKDAY(Main[[#This Row],[Tech Start Date]],19),IF(Main[[#This Row],[Class]]="A",WORKDAY(Main[[#This Row],[Tech Start Date]],9),""))))</f>
        <v/>
      </c>
      <c r="Q1256" s="89">
        <v>41000</v>
      </c>
      <c r="R1256" s="121"/>
      <c r="S1256" s="99" t="s">
        <v>11</v>
      </c>
      <c r="T1256" s="76" t="s">
        <v>4</v>
      </c>
      <c r="U1256" s="99" t="s">
        <v>12</v>
      </c>
      <c r="V1256" s="99" t="s">
        <v>1923</v>
      </c>
      <c r="W1256" s="99" t="s">
        <v>1921</v>
      </c>
      <c r="X1256" s="99" t="s">
        <v>2840</v>
      </c>
      <c r="Y1256" s="73" t="s">
        <v>3234</v>
      </c>
      <c r="Z1256" s="73" t="s">
        <v>306</v>
      </c>
      <c r="AA1256" s="99" t="s">
        <v>2840</v>
      </c>
    </row>
    <row r="1257" spans="1:27" ht="17.25" customHeight="1">
      <c r="A1257" s="65" t="str">
        <f>IF(priority(Main[[#This Row],[Comments]])&lt;&gt;0, priority(Main[[#This Row],[Comments]]),"")</f>
        <v/>
      </c>
      <c r="B1257" s="60" t="s">
        <v>3904</v>
      </c>
      <c r="C1257" s="105" t="s">
        <v>3905</v>
      </c>
      <c r="D1257" s="74" t="s">
        <v>3906</v>
      </c>
      <c r="E1257" s="89">
        <v>40968.159571759257</v>
      </c>
      <c r="F1257" s="89">
        <v>41153</v>
      </c>
      <c r="G1257" s="65" t="str">
        <f>IF(stdProdLT(Main[[#This Row],[Comments]])=0.1,"N/A",IF(stdProdLT(Main[[#This Row],[Comments]])=0,"",TRIM(stdProdLT(Main[[#This Row],[Comments]]))))</f>
        <v/>
      </c>
      <c r="H1257" s="98" t="str">
        <f>IF(Main[[#This Row],[Std. Prod. Lead Time]]="N/A", "",IF(AND(Main[[#This Row],[In Stock Date]]&lt;&gt;"",Main[[#This Row],[Revised Due Date]]&lt;&gt;"",Main[[#This Row],[In Stock Date]]&lt;&gt;""),Main[[#This Row],[In Stock Date]]-Main[[#This Row],[Revised Due Date]],""))</f>
        <v/>
      </c>
      <c r="I1257" s="110" t="s">
        <v>4</v>
      </c>
      <c r="J1257" s="99" t="s">
        <v>4</v>
      </c>
      <c r="K1257" s="99" t="s">
        <v>4</v>
      </c>
      <c r="L1257" s="89"/>
      <c r="M1257" s="75" t="str">
        <f>IF(Main[[#This Row],[Tech Start Date]]&lt;1/1/1990,"",IF(Main[[#This Row],[Class]]="C",WORKDAY(Main[[#This Row],[Tech Start Date]],9),IF(Main[[#This Row],[Class]]="B", WORKDAY(Main[[#This Row],[Tech Start Date]],6),IF(Main[[#This Row],[Class]]="A",WORKDAY(Main[[#This Row],[Tech Start Date]],2),""))))</f>
        <v/>
      </c>
      <c r="N1257" s="75" t="str">
        <f>IF(Main[[#This Row],[Tech Start Date]]&lt;1/1/1990,"",IF(Main[[#This Row],[Class]]="C",WORKDAY(Main[[#This Row],[Tech Start Date]],19),IF(Main[[#This Row],[Class]]="B", WORKDAY(Main[[#This Row],[Tech Start Date]],12),IF(Main[[#This Row],[Class]]="A",WORKDAY(Main[[#This Row],[Tech Start Date]],4),""))))</f>
        <v/>
      </c>
      <c r="O1257" s="75" t="str">
        <f>IF(Main[[#This Row],[Tech Start Date]]&lt;1/1/1990,"",IF(Main[[#This Row],[Class]]="C",WORKDAY(Main[[#This Row],[Tech Start Date]],23),IF(Main[[#This Row],[Class]]="B", WORKDAY(Main[[#This Row],[Tech Start Date]],15),IF(Main[[#This Row],[Class]]="A",WORKDAY(Main[[#This Row],[Tech Start Date]],5),""))))</f>
        <v/>
      </c>
      <c r="P1257" s="75" t="str">
        <f>IF(Main[[#This Row],[Tech Start Date]]&lt;1/1/1990,"",IF(Main[[#This Row],[Class]]="C",WORKDAY(Main[[#This Row],[Tech Start Date]],28),IF(Main[[#This Row],[Class]]="B", WORKDAY(Main[[#This Row],[Tech Start Date]],19),IF(Main[[#This Row],[Class]]="A",WORKDAY(Main[[#This Row],[Tech Start Date]],9),""))))</f>
        <v/>
      </c>
      <c r="Q1257" s="89">
        <v>41000</v>
      </c>
      <c r="R1257" s="121"/>
      <c r="S1257" s="99" t="s">
        <v>11</v>
      </c>
      <c r="T1257" s="76" t="s">
        <v>4</v>
      </c>
      <c r="U1257" s="99" t="s">
        <v>7</v>
      </c>
      <c r="V1257" s="99" t="s">
        <v>1913</v>
      </c>
      <c r="W1257" s="99" t="s">
        <v>1924</v>
      </c>
      <c r="X1257" s="99" t="s">
        <v>2839</v>
      </c>
      <c r="Y1257" s="73" t="s">
        <v>3852</v>
      </c>
      <c r="Z1257" s="73" t="s">
        <v>4</v>
      </c>
      <c r="AA1257" s="99" t="s">
        <v>2839</v>
      </c>
    </row>
    <row r="1258" spans="1:27" ht="17.25" customHeight="1">
      <c r="A1258" s="65" t="str">
        <f>IF(priority(Main[[#This Row],[Comments]])&lt;&gt;0, priority(Main[[#This Row],[Comments]]),"")</f>
        <v/>
      </c>
      <c r="B1258" s="60" t="s">
        <v>3907</v>
      </c>
      <c r="C1258" s="105" t="s">
        <v>4</v>
      </c>
      <c r="D1258" s="74" t="s">
        <v>3908</v>
      </c>
      <c r="E1258" s="89">
        <v>40968.322743055556</v>
      </c>
      <c r="F1258" s="89"/>
      <c r="G1258" s="65" t="str">
        <f>IF(stdProdLT(Main[[#This Row],[Comments]])=0.1,"N/A",IF(stdProdLT(Main[[#This Row],[Comments]])=0,"",TRIM(stdProdLT(Main[[#This Row],[Comments]]))))</f>
        <v/>
      </c>
      <c r="H1258" s="98" t="str">
        <f>IF(Main[[#This Row],[Std. Prod. Lead Time]]="N/A", "",IF(AND(Main[[#This Row],[In Stock Date]]&lt;&gt;"",Main[[#This Row],[Revised Due Date]]&lt;&gt;"",Main[[#This Row],[In Stock Date]]&lt;&gt;""),Main[[#This Row],[In Stock Date]]-Main[[#This Row],[Revised Due Date]],""))</f>
        <v/>
      </c>
      <c r="I1258" s="110" t="s">
        <v>912</v>
      </c>
      <c r="J1258" s="99" t="s">
        <v>52</v>
      </c>
      <c r="K1258" s="99" t="s">
        <v>4</v>
      </c>
      <c r="L1258" s="89"/>
      <c r="M1258" s="75" t="str">
        <f>IF(Main[[#This Row],[Tech Start Date]]&lt;1/1/1990,"",IF(Main[[#This Row],[Class]]="C",WORKDAY(Main[[#This Row],[Tech Start Date]],9),IF(Main[[#This Row],[Class]]="B", WORKDAY(Main[[#This Row],[Tech Start Date]],6),IF(Main[[#This Row],[Class]]="A",WORKDAY(Main[[#This Row],[Tech Start Date]],2),""))))</f>
        <v/>
      </c>
      <c r="N1258" s="75" t="str">
        <f>IF(Main[[#This Row],[Tech Start Date]]&lt;1/1/1990,"",IF(Main[[#This Row],[Class]]="C",WORKDAY(Main[[#This Row],[Tech Start Date]],19),IF(Main[[#This Row],[Class]]="B", WORKDAY(Main[[#This Row],[Tech Start Date]],12),IF(Main[[#This Row],[Class]]="A",WORKDAY(Main[[#This Row],[Tech Start Date]],4),""))))</f>
        <v/>
      </c>
      <c r="O1258" s="75" t="str">
        <f>IF(Main[[#This Row],[Tech Start Date]]&lt;1/1/1990,"",IF(Main[[#This Row],[Class]]="C",WORKDAY(Main[[#This Row],[Tech Start Date]],23),IF(Main[[#This Row],[Class]]="B", WORKDAY(Main[[#This Row],[Tech Start Date]],15),IF(Main[[#This Row],[Class]]="A",WORKDAY(Main[[#This Row],[Tech Start Date]],5),""))))</f>
        <v/>
      </c>
      <c r="P1258" s="75" t="str">
        <f>IF(Main[[#This Row],[Tech Start Date]]&lt;1/1/1990,"",IF(Main[[#This Row],[Class]]="C",WORKDAY(Main[[#This Row],[Tech Start Date]],28),IF(Main[[#This Row],[Class]]="B", WORKDAY(Main[[#This Row],[Tech Start Date]],19),IF(Main[[#This Row],[Class]]="A",WORKDAY(Main[[#This Row],[Tech Start Date]],9),""))))</f>
        <v/>
      </c>
      <c r="Q1258" s="89">
        <v>40997</v>
      </c>
      <c r="R1258" s="121"/>
      <c r="S1258" s="99" t="s">
        <v>6</v>
      </c>
      <c r="T1258" s="76" t="s">
        <v>4</v>
      </c>
      <c r="U1258" s="99" t="s">
        <v>29</v>
      </c>
      <c r="V1258" s="99" t="s">
        <v>1913</v>
      </c>
      <c r="W1258" s="99" t="s">
        <v>4</v>
      </c>
      <c r="X1258" s="99" t="s">
        <v>2816</v>
      </c>
      <c r="Y1258" s="73" t="s">
        <v>2932</v>
      </c>
      <c r="Z1258" s="73" t="s">
        <v>129</v>
      </c>
      <c r="AA1258" s="99" t="s">
        <v>2816</v>
      </c>
    </row>
    <row r="1259" spans="1:27" ht="17.25" customHeight="1">
      <c r="A1259" s="65" t="str">
        <f>IF(priority(Main[[#This Row],[Comments]])&lt;&gt;0, priority(Main[[#This Row],[Comments]]),"")</f>
        <v/>
      </c>
      <c r="B1259" s="60" t="s">
        <v>3655</v>
      </c>
      <c r="C1259" s="105" t="s">
        <v>4</v>
      </c>
      <c r="D1259" s="74" t="s">
        <v>3909</v>
      </c>
      <c r="E1259" s="89">
        <v>40967.673217592594</v>
      </c>
      <c r="F1259" s="89"/>
      <c r="G1259" s="65" t="str">
        <f>IF(stdProdLT(Main[[#This Row],[Comments]])=0.1,"N/A",IF(stdProdLT(Main[[#This Row],[Comments]])=0,"",TRIM(stdProdLT(Main[[#This Row],[Comments]]))))</f>
        <v/>
      </c>
      <c r="H1259" s="98" t="str">
        <f>IF(Main[[#This Row],[Std. Prod. Lead Time]]="N/A", "",IF(AND(Main[[#This Row],[In Stock Date]]&lt;&gt;"",Main[[#This Row],[Revised Due Date]]&lt;&gt;"",Main[[#This Row],[In Stock Date]]&lt;&gt;""),Main[[#This Row],[In Stock Date]]-Main[[#This Row],[Revised Due Date]],""))</f>
        <v/>
      </c>
      <c r="I1259" s="110" t="s">
        <v>4</v>
      </c>
      <c r="J1259" s="99" t="s">
        <v>21</v>
      </c>
      <c r="K1259" s="99" t="s">
        <v>4</v>
      </c>
      <c r="L1259" s="89"/>
      <c r="M1259" s="75" t="str">
        <f>IF(Main[[#This Row],[Tech Start Date]]&lt;1/1/1990,"",IF(Main[[#This Row],[Class]]="C",WORKDAY(Main[[#This Row],[Tech Start Date]],9),IF(Main[[#This Row],[Class]]="B", WORKDAY(Main[[#This Row],[Tech Start Date]],6),IF(Main[[#This Row],[Class]]="A",WORKDAY(Main[[#This Row],[Tech Start Date]],2),""))))</f>
        <v/>
      </c>
      <c r="N1259" s="75" t="str">
        <f>IF(Main[[#This Row],[Tech Start Date]]&lt;1/1/1990,"",IF(Main[[#This Row],[Class]]="C",WORKDAY(Main[[#This Row],[Tech Start Date]],19),IF(Main[[#This Row],[Class]]="B", WORKDAY(Main[[#This Row],[Tech Start Date]],12),IF(Main[[#This Row],[Class]]="A",WORKDAY(Main[[#This Row],[Tech Start Date]],4),""))))</f>
        <v/>
      </c>
      <c r="O1259" s="75" t="str">
        <f>IF(Main[[#This Row],[Tech Start Date]]&lt;1/1/1990,"",IF(Main[[#This Row],[Class]]="C",WORKDAY(Main[[#This Row],[Tech Start Date]],23),IF(Main[[#This Row],[Class]]="B", WORKDAY(Main[[#This Row],[Tech Start Date]],15),IF(Main[[#This Row],[Class]]="A",WORKDAY(Main[[#This Row],[Tech Start Date]],5),""))))</f>
        <v/>
      </c>
      <c r="P1259" s="75" t="str">
        <f>IF(Main[[#This Row],[Tech Start Date]]&lt;1/1/1990,"",IF(Main[[#This Row],[Class]]="C",WORKDAY(Main[[#This Row],[Tech Start Date]],28),IF(Main[[#This Row],[Class]]="B", WORKDAY(Main[[#This Row],[Tech Start Date]],19),IF(Main[[#This Row],[Class]]="A",WORKDAY(Main[[#This Row],[Tech Start Date]],9),""))))</f>
        <v/>
      </c>
      <c r="Q1259" s="89">
        <v>40732</v>
      </c>
      <c r="R1259" s="121"/>
      <c r="S1259" s="99" t="s">
        <v>6</v>
      </c>
      <c r="T1259" s="76" t="s">
        <v>4</v>
      </c>
      <c r="U1259" s="99" t="s">
        <v>7</v>
      </c>
      <c r="V1259" s="99" t="s">
        <v>1913</v>
      </c>
      <c r="W1259" s="99" t="s">
        <v>1917</v>
      </c>
      <c r="X1259" s="99" t="s">
        <v>399</v>
      </c>
      <c r="Y1259" s="73" t="s">
        <v>3110</v>
      </c>
      <c r="Z1259" s="73" t="s">
        <v>877</v>
      </c>
      <c r="AA1259" s="99" t="s">
        <v>3383</v>
      </c>
    </row>
    <row r="1260" spans="1:27" ht="17.25" customHeight="1">
      <c r="A1260" s="65" t="str">
        <f>IF(priority(Main[[#This Row],[Comments]])&lt;&gt;0, priority(Main[[#This Row],[Comments]]),"")</f>
        <v/>
      </c>
      <c r="B1260" s="60" t="s">
        <v>2282</v>
      </c>
      <c r="C1260" s="105" t="s">
        <v>4</v>
      </c>
      <c r="D1260" s="74" t="s">
        <v>2727</v>
      </c>
      <c r="E1260" s="89">
        <v>40814.080497685187</v>
      </c>
      <c r="F1260" s="89"/>
      <c r="G1260" s="65" t="str">
        <f>IF(stdProdLT(Main[[#This Row],[Comments]])=0.1,"N/A",IF(stdProdLT(Main[[#This Row],[Comments]])=0,"",TRIM(stdProdLT(Main[[#This Row],[Comments]]))))</f>
        <v/>
      </c>
      <c r="H1260" s="98" t="str">
        <f>IF(Main[[#This Row],[Std. Prod. Lead Time]]="N/A", "",IF(AND(Main[[#This Row],[In Stock Date]]&lt;&gt;"",Main[[#This Row],[Revised Due Date]]&lt;&gt;"",Main[[#This Row],[In Stock Date]]&lt;&gt;""),Main[[#This Row],[In Stock Date]]-Main[[#This Row],[Revised Due Date]],""))</f>
        <v/>
      </c>
      <c r="I1260" s="110" t="s">
        <v>370</v>
      </c>
      <c r="J1260" s="99" t="s">
        <v>28</v>
      </c>
      <c r="K1260" s="99" t="s">
        <v>1922</v>
      </c>
      <c r="L1260" s="89"/>
      <c r="M1260" s="75" t="str">
        <f>IF(Main[[#This Row],[Tech Start Date]]&lt;1/1/1990,"",IF(Main[[#This Row],[Class]]="C",WORKDAY(Main[[#This Row],[Tech Start Date]],9),IF(Main[[#This Row],[Class]]="B", WORKDAY(Main[[#This Row],[Tech Start Date]],6),IF(Main[[#This Row],[Class]]="A",WORKDAY(Main[[#This Row],[Tech Start Date]],2),""))))</f>
        <v/>
      </c>
      <c r="N1260" s="75" t="str">
        <f>IF(Main[[#This Row],[Tech Start Date]]&lt;1/1/1990,"",IF(Main[[#This Row],[Class]]="C",WORKDAY(Main[[#This Row],[Tech Start Date]],19),IF(Main[[#This Row],[Class]]="B", WORKDAY(Main[[#This Row],[Tech Start Date]],12),IF(Main[[#This Row],[Class]]="A",WORKDAY(Main[[#This Row],[Tech Start Date]],4),""))))</f>
        <v/>
      </c>
      <c r="O1260" s="75" t="str">
        <f>IF(Main[[#This Row],[Tech Start Date]]&lt;1/1/1990,"",IF(Main[[#This Row],[Class]]="C",WORKDAY(Main[[#This Row],[Tech Start Date]],23),IF(Main[[#This Row],[Class]]="B", WORKDAY(Main[[#This Row],[Tech Start Date]],15),IF(Main[[#This Row],[Class]]="A",WORKDAY(Main[[#This Row],[Tech Start Date]],5),""))))</f>
        <v/>
      </c>
      <c r="P1260" s="75" t="str">
        <f>IF(Main[[#This Row],[Tech Start Date]]&lt;1/1/1990,"",IF(Main[[#This Row],[Class]]="C",WORKDAY(Main[[#This Row],[Tech Start Date]],28),IF(Main[[#This Row],[Class]]="B", WORKDAY(Main[[#This Row],[Tech Start Date]],19),IF(Main[[#This Row],[Class]]="A",WORKDAY(Main[[#This Row],[Tech Start Date]],9),""))))</f>
        <v/>
      </c>
      <c r="Q1260" s="89">
        <v>40905</v>
      </c>
      <c r="R1260" s="121"/>
      <c r="S1260" s="99" t="s">
        <v>6</v>
      </c>
      <c r="T1260" s="76" t="s">
        <v>4</v>
      </c>
      <c r="U1260" s="99" t="s">
        <v>29</v>
      </c>
      <c r="V1260" s="99" t="s">
        <v>1916</v>
      </c>
      <c r="W1260" s="99" t="s">
        <v>1917</v>
      </c>
      <c r="X1260" s="99" t="s">
        <v>2889</v>
      </c>
      <c r="Y1260" s="73" t="s">
        <v>3054</v>
      </c>
      <c r="Z1260" s="73" t="s">
        <v>30</v>
      </c>
      <c r="AA1260" s="99" t="s">
        <v>2889</v>
      </c>
    </row>
    <row r="1261" spans="1:27" ht="17.25" customHeight="1">
      <c r="A1261" s="65" t="str">
        <f>IF(priority(Main[[#This Row],[Comments]])&lt;&gt;0, priority(Main[[#This Row],[Comments]]),"")</f>
        <v/>
      </c>
      <c r="B1261" s="60" t="s">
        <v>1855</v>
      </c>
      <c r="C1261" s="105" t="s">
        <v>95</v>
      </c>
      <c r="D1261" s="74" t="s">
        <v>913</v>
      </c>
      <c r="E1261" s="89">
        <v>40428.412002314813</v>
      </c>
      <c r="F1261" s="89"/>
      <c r="G1261" s="65" t="str">
        <f>IF(stdProdLT(Main[[#This Row],[Comments]])=0.1,"N/A",IF(stdProdLT(Main[[#This Row],[Comments]])=0,"",TRIM(stdProdLT(Main[[#This Row],[Comments]]))))</f>
        <v/>
      </c>
      <c r="H1261" s="98" t="str">
        <f>IF(Main[[#This Row],[Std. Prod. Lead Time]]="N/A", "",IF(AND(Main[[#This Row],[In Stock Date]]&lt;&gt;"",Main[[#This Row],[Revised Due Date]]&lt;&gt;"",Main[[#This Row],[In Stock Date]]&lt;&gt;""),Main[[#This Row],[In Stock Date]]-Main[[#This Row],[Revised Due Date]],""))</f>
        <v/>
      </c>
      <c r="I1261" s="110" t="s">
        <v>415</v>
      </c>
      <c r="J1261" s="99" t="s">
        <v>28</v>
      </c>
      <c r="K1261" s="99" t="s">
        <v>1925</v>
      </c>
      <c r="L1261" s="89"/>
      <c r="M1261" s="75" t="str">
        <f>IF(Main[[#This Row],[Tech Start Date]]&lt;1/1/1990,"",IF(Main[[#This Row],[Class]]="C",WORKDAY(Main[[#This Row],[Tech Start Date]],9),IF(Main[[#This Row],[Class]]="B", WORKDAY(Main[[#This Row],[Tech Start Date]],6),IF(Main[[#This Row],[Class]]="A",WORKDAY(Main[[#This Row],[Tech Start Date]],2),""))))</f>
        <v/>
      </c>
      <c r="N1261" s="75" t="str">
        <f>IF(Main[[#This Row],[Tech Start Date]]&lt;1/1/1990,"",IF(Main[[#This Row],[Class]]="C",WORKDAY(Main[[#This Row],[Tech Start Date]],19),IF(Main[[#This Row],[Class]]="B", WORKDAY(Main[[#This Row],[Tech Start Date]],12),IF(Main[[#This Row],[Class]]="A",WORKDAY(Main[[#This Row],[Tech Start Date]],4),""))))</f>
        <v/>
      </c>
      <c r="O1261" s="75" t="str">
        <f>IF(Main[[#This Row],[Tech Start Date]]&lt;1/1/1990,"",IF(Main[[#This Row],[Class]]="C",WORKDAY(Main[[#This Row],[Tech Start Date]],23),IF(Main[[#This Row],[Class]]="B", WORKDAY(Main[[#This Row],[Tech Start Date]],15),IF(Main[[#This Row],[Class]]="A",WORKDAY(Main[[#This Row],[Tech Start Date]],5),""))))</f>
        <v/>
      </c>
      <c r="P1261" s="75" t="str">
        <f>IF(Main[[#This Row],[Tech Start Date]]&lt;1/1/1990,"",IF(Main[[#This Row],[Class]]="C",WORKDAY(Main[[#This Row],[Tech Start Date]],28),IF(Main[[#This Row],[Class]]="B", WORKDAY(Main[[#This Row],[Tech Start Date]],19),IF(Main[[#This Row],[Class]]="A",WORKDAY(Main[[#This Row],[Tech Start Date]],9),""))))</f>
        <v/>
      </c>
      <c r="Q1261" s="89">
        <v>40574</v>
      </c>
      <c r="R1261" s="121">
        <v>41046</v>
      </c>
      <c r="S1261" s="99" t="s">
        <v>17</v>
      </c>
      <c r="T1261" s="76" t="s">
        <v>4</v>
      </c>
      <c r="U1261" s="99" t="s">
        <v>29</v>
      </c>
      <c r="V1261" s="99" t="s">
        <v>1916</v>
      </c>
      <c r="W1261" s="99" t="s">
        <v>1919</v>
      </c>
      <c r="X1261" s="99" t="s">
        <v>415</v>
      </c>
      <c r="Y1261" s="73" t="s">
        <v>2969</v>
      </c>
      <c r="Z1261" s="73" t="s">
        <v>968</v>
      </c>
      <c r="AA1261" s="99" t="s">
        <v>415</v>
      </c>
    </row>
    <row r="1262" spans="1:27" ht="17.25" customHeight="1">
      <c r="A1262" s="65" t="str">
        <f>IF(priority(Main[[#This Row],[Comments]])&lt;&gt;0, priority(Main[[#This Row],[Comments]]),"")</f>
        <v/>
      </c>
      <c r="B1262" s="60" t="s">
        <v>3279</v>
      </c>
      <c r="C1262" s="105" t="s">
        <v>4</v>
      </c>
      <c r="D1262" s="74" t="s">
        <v>3280</v>
      </c>
      <c r="E1262" s="89">
        <v>40931.434317129628</v>
      </c>
      <c r="F1262" s="89"/>
      <c r="G1262" s="65" t="str">
        <f>IF(stdProdLT(Main[[#This Row],[Comments]])=0.1,"N/A",IF(stdProdLT(Main[[#This Row],[Comments]])=0,"",TRIM(stdProdLT(Main[[#This Row],[Comments]]))))</f>
        <v/>
      </c>
      <c r="H1262" s="98" t="str">
        <f>IF(Main[[#This Row],[Std. Prod. Lead Time]]="N/A", "",IF(AND(Main[[#This Row],[In Stock Date]]&lt;&gt;"",Main[[#This Row],[Revised Due Date]]&lt;&gt;"",Main[[#This Row],[In Stock Date]]&lt;&gt;""),Main[[#This Row],[In Stock Date]]-Main[[#This Row],[Revised Due Date]],""))</f>
        <v/>
      </c>
      <c r="I1262" s="110" t="s">
        <v>4</v>
      </c>
      <c r="J1262" s="99" t="s">
        <v>4</v>
      </c>
      <c r="K1262" s="99" t="s">
        <v>4</v>
      </c>
      <c r="L1262" s="89"/>
      <c r="M1262" s="75" t="str">
        <f>IF(Main[[#This Row],[Tech Start Date]]&lt;1/1/1990,"",IF(Main[[#This Row],[Class]]="C",WORKDAY(Main[[#This Row],[Tech Start Date]],9),IF(Main[[#This Row],[Class]]="B", WORKDAY(Main[[#This Row],[Tech Start Date]],6),IF(Main[[#This Row],[Class]]="A",WORKDAY(Main[[#This Row],[Tech Start Date]],2),""))))</f>
        <v/>
      </c>
      <c r="N1262" s="75" t="str">
        <f>IF(Main[[#This Row],[Tech Start Date]]&lt;1/1/1990,"",IF(Main[[#This Row],[Class]]="C",WORKDAY(Main[[#This Row],[Tech Start Date]],19),IF(Main[[#This Row],[Class]]="B", WORKDAY(Main[[#This Row],[Tech Start Date]],12),IF(Main[[#This Row],[Class]]="A",WORKDAY(Main[[#This Row],[Tech Start Date]],4),""))))</f>
        <v/>
      </c>
      <c r="O1262" s="75" t="str">
        <f>IF(Main[[#This Row],[Tech Start Date]]&lt;1/1/1990,"",IF(Main[[#This Row],[Class]]="C",WORKDAY(Main[[#This Row],[Tech Start Date]],23),IF(Main[[#This Row],[Class]]="B", WORKDAY(Main[[#This Row],[Tech Start Date]],15),IF(Main[[#This Row],[Class]]="A",WORKDAY(Main[[#This Row],[Tech Start Date]],5),""))))</f>
        <v/>
      </c>
      <c r="P1262" s="75" t="str">
        <f>IF(Main[[#This Row],[Tech Start Date]]&lt;1/1/1990,"",IF(Main[[#This Row],[Class]]="C",WORKDAY(Main[[#This Row],[Tech Start Date]],28),IF(Main[[#This Row],[Class]]="B", WORKDAY(Main[[#This Row],[Tech Start Date]],19),IF(Main[[#This Row],[Class]]="A",WORKDAY(Main[[#This Row],[Tech Start Date]],9),""))))</f>
        <v/>
      </c>
      <c r="Q1262" s="89"/>
      <c r="R1262" s="121"/>
      <c r="S1262" s="99" t="s">
        <v>6</v>
      </c>
      <c r="T1262" s="76" t="s">
        <v>4</v>
      </c>
      <c r="U1262" s="99" t="s">
        <v>7</v>
      </c>
      <c r="V1262" s="99" t="s">
        <v>1913</v>
      </c>
      <c r="W1262" s="99" t="s">
        <v>1917</v>
      </c>
      <c r="X1262" s="99" t="s">
        <v>2896</v>
      </c>
      <c r="Y1262" s="73" t="s">
        <v>3075</v>
      </c>
      <c r="Z1262" s="73" t="s">
        <v>4</v>
      </c>
      <c r="AA1262" s="99" t="s">
        <v>2896</v>
      </c>
    </row>
    <row r="1263" spans="1:27" ht="17.25" customHeight="1">
      <c r="A1263" s="65" t="str">
        <f>IF(priority(Main[[#This Row],[Comments]])&lt;&gt;0, priority(Main[[#This Row],[Comments]]),"")</f>
        <v/>
      </c>
      <c r="B1263" s="60" t="s">
        <v>1108</v>
      </c>
      <c r="C1263" s="105" t="s">
        <v>4</v>
      </c>
      <c r="D1263" s="74" t="s">
        <v>154</v>
      </c>
      <c r="E1263" s="89"/>
      <c r="F1263" s="89"/>
      <c r="G1263" s="65" t="str">
        <f>IF(stdProdLT(Main[[#This Row],[Comments]])=0.1,"N/A",IF(stdProdLT(Main[[#This Row],[Comments]])=0,"",TRIM(stdProdLT(Main[[#This Row],[Comments]]))))</f>
        <v/>
      </c>
      <c r="H1263" s="98" t="str">
        <f>IF(Main[[#This Row],[Std. Prod. Lead Time]]="N/A", "",IF(AND(Main[[#This Row],[In Stock Date]]&lt;&gt;"",Main[[#This Row],[Revised Due Date]]&lt;&gt;"",Main[[#This Row],[In Stock Date]]&lt;&gt;""),Main[[#This Row],[In Stock Date]]-Main[[#This Row],[Revised Due Date]],""))</f>
        <v/>
      </c>
      <c r="I1263" s="110" t="s">
        <v>4</v>
      </c>
      <c r="J1263" s="99" t="s">
        <v>4</v>
      </c>
      <c r="K1263" s="99" t="s">
        <v>4</v>
      </c>
      <c r="L1263" s="89"/>
      <c r="M1263" s="75" t="str">
        <f>IF(Main[[#This Row],[Tech Start Date]]&lt;1/1/1990,"",IF(Main[[#This Row],[Class]]="C",WORKDAY(Main[[#This Row],[Tech Start Date]],9),IF(Main[[#This Row],[Class]]="B", WORKDAY(Main[[#This Row],[Tech Start Date]],6),IF(Main[[#This Row],[Class]]="A",WORKDAY(Main[[#This Row],[Tech Start Date]],2),""))))</f>
        <v/>
      </c>
      <c r="N1263" s="75" t="str">
        <f>IF(Main[[#This Row],[Tech Start Date]]&lt;1/1/1990,"",IF(Main[[#This Row],[Class]]="C",WORKDAY(Main[[#This Row],[Tech Start Date]],19),IF(Main[[#This Row],[Class]]="B", WORKDAY(Main[[#This Row],[Tech Start Date]],12),IF(Main[[#This Row],[Class]]="A",WORKDAY(Main[[#This Row],[Tech Start Date]],4),""))))</f>
        <v/>
      </c>
      <c r="O1263" s="75" t="str">
        <f>IF(Main[[#This Row],[Tech Start Date]]&lt;1/1/1990,"",IF(Main[[#This Row],[Class]]="C",WORKDAY(Main[[#This Row],[Tech Start Date]],23),IF(Main[[#This Row],[Class]]="B", WORKDAY(Main[[#This Row],[Tech Start Date]],15),IF(Main[[#This Row],[Class]]="A",WORKDAY(Main[[#This Row],[Tech Start Date]],5),""))))</f>
        <v/>
      </c>
      <c r="P1263" s="75" t="str">
        <f>IF(Main[[#This Row],[Tech Start Date]]&lt;1/1/1990,"",IF(Main[[#This Row],[Class]]="C",WORKDAY(Main[[#This Row],[Tech Start Date]],28),IF(Main[[#This Row],[Class]]="B", WORKDAY(Main[[#This Row],[Tech Start Date]],19),IF(Main[[#This Row],[Class]]="A",WORKDAY(Main[[#This Row],[Tech Start Date]],9),""))))</f>
        <v/>
      </c>
      <c r="Q1263" s="89">
        <v>40619</v>
      </c>
      <c r="R1263" s="121"/>
      <c r="S1263" s="99" t="s">
        <v>49</v>
      </c>
      <c r="T1263" s="76" t="s">
        <v>4</v>
      </c>
      <c r="U1263" s="99" t="s">
        <v>14</v>
      </c>
      <c r="V1263" s="99" t="s">
        <v>1916</v>
      </c>
      <c r="W1263" s="99" t="s">
        <v>1921</v>
      </c>
      <c r="X1263" s="99" t="s">
        <v>50</v>
      </c>
      <c r="Y1263" s="73" t="s">
        <v>2990</v>
      </c>
      <c r="Z1263" s="73" t="s">
        <v>4</v>
      </c>
      <c r="AA1263" s="99" t="s">
        <v>2866</v>
      </c>
    </row>
    <row r="1264" spans="1:27" ht="17.25" customHeight="1">
      <c r="A1264" s="65" t="str">
        <f>IF(priority(Main[[#This Row],[Comments]])&lt;&gt;0, priority(Main[[#This Row],[Comments]]),"")</f>
        <v/>
      </c>
      <c r="B1264" s="60" t="s">
        <v>3340</v>
      </c>
      <c r="C1264" s="105" t="s">
        <v>4</v>
      </c>
      <c r="D1264" s="74" t="s">
        <v>3698</v>
      </c>
      <c r="E1264" s="89">
        <v>40939.297210648147</v>
      </c>
      <c r="F1264" s="89"/>
      <c r="G1264" s="65" t="str">
        <f>IF(stdProdLT(Main[[#This Row],[Comments]])=0.1,"N/A",IF(stdProdLT(Main[[#This Row],[Comments]])=0,"",TRIM(stdProdLT(Main[[#This Row],[Comments]]))))</f>
        <v/>
      </c>
      <c r="H1264" s="98" t="str">
        <f>IF(Main[[#This Row],[Std. Prod. Lead Time]]="N/A", "",IF(AND(Main[[#This Row],[In Stock Date]]&lt;&gt;"",Main[[#This Row],[Revised Due Date]]&lt;&gt;"",Main[[#This Row],[In Stock Date]]&lt;&gt;""),Main[[#This Row],[In Stock Date]]-Main[[#This Row],[Revised Due Date]],""))</f>
        <v/>
      </c>
      <c r="I1264" s="110" t="s">
        <v>69</v>
      </c>
      <c r="J1264" s="99" t="s">
        <v>70</v>
      </c>
      <c r="K1264" s="99" t="s">
        <v>1922</v>
      </c>
      <c r="L1264" s="89"/>
      <c r="M1264" s="75" t="str">
        <f>IF(Main[[#This Row],[Tech Start Date]]&lt;1/1/1990,"",IF(Main[[#This Row],[Class]]="C",WORKDAY(Main[[#This Row],[Tech Start Date]],9),IF(Main[[#This Row],[Class]]="B", WORKDAY(Main[[#This Row],[Tech Start Date]],6),IF(Main[[#This Row],[Class]]="A",WORKDAY(Main[[#This Row],[Tech Start Date]],2),""))))</f>
        <v/>
      </c>
      <c r="N1264" s="75" t="str">
        <f>IF(Main[[#This Row],[Tech Start Date]]&lt;1/1/1990,"",IF(Main[[#This Row],[Class]]="C",WORKDAY(Main[[#This Row],[Tech Start Date]],19),IF(Main[[#This Row],[Class]]="B", WORKDAY(Main[[#This Row],[Tech Start Date]],12),IF(Main[[#This Row],[Class]]="A",WORKDAY(Main[[#This Row],[Tech Start Date]],4),""))))</f>
        <v/>
      </c>
      <c r="O1264" s="75" t="str">
        <f>IF(Main[[#This Row],[Tech Start Date]]&lt;1/1/1990,"",IF(Main[[#This Row],[Class]]="C",WORKDAY(Main[[#This Row],[Tech Start Date]],23),IF(Main[[#This Row],[Class]]="B", WORKDAY(Main[[#This Row],[Tech Start Date]],15),IF(Main[[#This Row],[Class]]="A",WORKDAY(Main[[#This Row],[Tech Start Date]],5),""))))</f>
        <v/>
      </c>
      <c r="P1264" s="75" t="str">
        <f>IF(Main[[#This Row],[Tech Start Date]]&lt;1/1/1990,"",IF(Main[[#This Row],[Class]]="C",WORKDAY(Main[[#This Row],[Tech Start Date]],28),IF(Main[[#This Row],[Class]]="B", WORKDAY(Main[[#This Row],[Tech Start Date]],19),IF(Main[[#This Row],[Class]]="A",WORKDAY(Main[[#This Row],[Tech Start Date]],9),""))))</f>
        <v/>
      </c>
      <c r="Q1264" s="89">
        <v>40968</v>
      </c>
      <c r="R1264" s="121"/>
      <c r="S1264" s="99" t="s">
        <v>6</v>
      </c>
      <c r="T1264" s="76" t="s">
        <v>4</v>
      </c>
      <c r="U1264" s="99" t="s">
        <v>29</v>
      </c>
      <c r="V1264" s="99" t="s">
        <v>1916</v>
      </c>
      <c r="W1264" s="99" t="s">
        <v>1917</v>
      </c>
      <c r="X1264" s="99" t="s">
        <v>2816</v>
      </c>
      <c r="Y1264" s="73" t="s">
        <v>2932</v>
      </c>
      <c r="Z1264" s="73" t="s">
        <v>30</v>
      </c>
      <c r="AA1264" s="99" t="s">
        <v>2816</v>
      </c>
    </row>
    <row r="1265" spans="1:27" ht="17.25" customHeight="1">
      <c r="A1265" s="65" t="str">
        <f>IF(priority(Main[[#This Row],[Comments]])&lt;&gt;0, priority(Main[[#This Row],[Comments]]),"")</f>
        <v/>
      </c>
      <c r="B1265" s="60" t="s">
        <v>4014</v>
      </c>
      <c r="C1265" s="105" t="s">
        <v>2200</v>
      </c>
      <c r="D1265" s="74" t="s">
        <v>4015</v>
      </c>
      <c r="E1265" s="89">
        <v>40969.681030092594</v>
      </c>
      <c r="F1265" s="89"/>
      <c r="G1265" s="65" t="str">
        <f>IF(stdProdLT(Main[[#This Row],[Comments]])=0.1,"N/A",IF(stdProdLT(Main[[#This Row],[Comments]])=0,"",TRIM(stdProdLT(Main[[#This Row],[Comments]]))))</f>
        <v/>
      </c>
      <c r="H1265" s="98" t="str">
        <f>IF(Main[[#This Row],[Std. Prod. Lead Time]]="N/A", "",IF(AND(Main[[#This Row],[In Stock Date]]&lt;&gt;"",Main[[#This Row],[Revised Due Date]]&lt;&gt;"",Main[[#This Row],[In Stock Date]]&lt;&gt;""),Main[[#This Row],[In Stock Date]]-Main[[#This Row],[Revised Due Date]],""))</f>
        <v/>
      </c>
      <c r="I1265" s="110" t="s">
        <v>4</v>
      </c>
      <c r="J1265" s="99" t="s">
        <v>4</v>
      </c>
      <c r="K1265" s="100" t="s">
        <v>4</v>
      </c>
      <c r="L1265" s="89"/>
      <c r="M1265" s="75" t="str">
        <f>IF(Main[[#This Row],[Tech Start Date]]&lt;1/1/1990,"",IF(Main[[#This Row],[Class]]="C",WORKDAY(Main[[#This Row],[Tech Start Date]],9),IF(Main[[#This Row],[Class]]="B", WORKDAY(Main[[#This Row],[Tech Start Date]],6),IF(Main[[#This Row],[Class]]="A",WORKDAY(Main[[#This Row],[Tech Start Date]],2),""))))</f>
        <v/>
      </c>
      <c r="N1265" s="75" t="str">
        <f>IF(Main[[#This Row],[Tech Start Date]]&lt;1/1/1990,"",IF(Main[[#This Row],[Class]]="C",WORKDAY(Main[[#This Row],[Tech Start Date]],19),IF(Main[[#This Row],[Class]]="B", WORKDAY(Main[[#This Row],[Tech Start Date]],12),IF(Main[[#This Row],[Class]]="A",WORKDAY(Main[[#This Row],[Tech Start Date]],4),""))))</f>
        <v/>
      </c>
      <c r="O1265" s="75" t="str">
        <f>IF(Main[[#This Row],[Tech Start Date]]&lt;1/1/1990,"",IF(Main[[#This Row],[Class]]="C",WORKDAY(Main[[#This Row],[Tech Start Date]],23),IF(Main[[#This Row],[Class]]="B", WORKDAY(Main[[#This Row],[Tech Start Date]],15),IF(Main[[#This Row],[Class]]="A",WORKDAY(Main[[#This Row],[Tech Start Date]],5),""))))</f>
        <v/>
      </c>
      <c r="P1265" s="75" t="str">
        <f>IF(Main[[#This Row],[Tech Start Date]]&lt;1/1/1990,"",IF(Main[[#This Row],[Class]]="C",WORKDAY(Main[[#This Row],[Tech Start Date]],28),IF(Main[[#This Row],[Class]]="B", WORKDAY(Main[[#This Row],[Tech Start Date]],19),IF(Main[[#This Row],[Class]]="A",WORKDAY(Main[[#This Row],[Tech Start Date]],9),""))))</f>
        <v/>
      </c>
      <c r="Q1265" s="89">
        <v>40984</v>
      </c>
      <c r="R1265" s="121"/>
      <c r="S1265" s="99" t="s">
        <v>11</v>
      </c>
      <c r="T1265" s="76" t="s">
        <v>4</v>
      </c>
      <c r="U1265" s="99" t="s">
        <v>7</v>
      </c>
      <c r="V1265" s="99" t="s">
        <v>1916</v>
      </c>
      <c r="W1265" s="99" t="s">
        <v>1921</v>
      </c>
      <c r="X1265" s="99" t="s">
        <v>50</v>
      </c>
      <c r="Y1265" s="73" t="s">
        <v>4016</v>
      </c>
      <c r="Z1265" s="73" t="s">
        <v>4</v>
      </c>
      <c r="AA1265" s="99" t="s">
        <v>3454</v>
      </c>
    </row>
    <row r="1266" spans="1:27" ht="17.25" customHeight="1">
      <c r="A1266" s="65" t="str">
        <f>IF(priority(Main[[#This Row],[Comments]])&lt;&gt;0, priority(Main[[#This Row],[Comments]]),"")</f>
        <v/>
      </c>
      <c r="B1266" s="60" t="s">
        <v>3973</v>
      </c>
      <c r="C1266" s="105" t="s">
        <v>53</v>
      </c>
      <c r="D1266" s="74" t="s">
        <v>3974</v>
      </c>
      <c r="E1266" s="89">
        <v>40969.011064814818</v>
      </c>
      <c r="F1266" s="89"/>
      <c r="G1266" s="65" t="str">
        <f>IF(stdProdLT(Main[[#This Row],[Comments]])=0.1,"N/A",IF(stdProdLT(Main[[#This Row],[Comments]])=0,"",TRIM(stdProdLT(Main[[#This Row],[Comments]]))))</f>
        <v/>
      </c>
      <c r="H1266" s="98" t="str">
        <f>IF(Main[[#This Row],[Std. Prod. Lead Time]]="N/A", "",IF(AND(Main[[#This Row],[In Stock Date]]&lt;&gt;"",Main[[#This Row],[Revised Due Date]]&lt;&gt;"",Main[[#This Row],[In Stock Date]]&lt;&gt;""),Main[[#This Row],[In Stock Date]]-Main[[#This Row],[Revised Due Date]],""))</f>
        <v/>
      </c>
      <c r="I1266" s="110" t="s">
        <v>4</v>
      </c>
      <c r="J1266" s="99" t="s">
        <v>4</v>
      </c>
      <c r="K1266" s="99" t="s">
        <v>4</v>
      </c>
      <c r="L1266" s="89"/>
      <c r="M1266" s="75" t="str">
        <f>IF(Main[[#This Row],[Tech Start Date]]&lt;1/1/1990,"",IF(Main[[#This Row],[Class]]="C",WORKDAY(Main[[#This Row],[Tech Start Date]],9),IF(Main[[#This Row],[Class]]="B", WORKDAY(Main[[#This Row],[Tech Start Date]],6),IF(Main[[#This Row],[Class]]="A",WORKDAY(Main[[#This Row],[Tech Start Date]],2),""))))</f>
        <v/>
      </c>
      <c r="N1266" s="75" t="str">
        <f>IF(Main[[#This Row],[Tech Start Date]]&lt;1/1/1990,"",IF(Main[[#This Row],[Class]]="C",WORKDAY(Main[[#This Row],[Tech Start Date]],19),IF(Main[[#This Row],[Class]]="B", WORKDAY(Main[[#This Row],[Tech Start Date]],12),IF(Main[[#This Row],[Class]]="A",WORKDAY(Main[[#This Row],[Tech Start Date]],4),""))))</f>
        <v/>
      </c>
      <c r="O1266" s="75" t="str">
        <f>IF(Main[[#This Row],[Tech Start Date]]&lt;1/1/1990,"",IF(Main[[#This Row],[Class]]="C",WORKDAY(Main[[#This Row],[Tech Start Date]],23),IF(Main[[#This Row],[Class]]="B", WORKDAY(Main[[#This Row],[Tech Start Date]],15),IF(Main[[#This Row],[Class]]="A",WORKDAY(Main[[#This Row],[Tech Start Date]],5),""))))</f>
        <v/>
      </c>
      <c r="P1266" s="75" t="str">
        <f>IF(Main[[#This Row],[Tech Start Date]]&lt;1/1/1990,"",IF(Main[[#This Row],[Class]]="C",WORKDAY(Main[[#This Row],[Tech Start Date]],28),IF(Main[[#This Row],[Class]]="B", WORKDAY(Main[[#This Row],[Tech Start Date]],19),IF(Main[[#This Row],[Class]]="A",WORKDAY(Main[[#This Row],[Tech Start Date]],9),""))))</f>
        <v/>
      </c>
      <c r="Q1266" s="89">
        <v>40976</v>
      </c>
      <c r="R1266" s="121"/>
      <c r="S1266" s="99" t="s">
        <v>11</v>
      </c>
      <c r="T1266" s="76" t="s">
        <v>4</v>
      </c>
      <c r="U1266" s="99" t="s">
        <v>7</v>
      </c>
      <c r="V1266" s="99" t="s">
        <v>1913</v>
      </c>
      <c r="W1266" s="99" t="s">
        <v>1915</v>
      </c>
      <c r="X1266" s="99" t="s">
        <v>3529</v>
      </c>
      <c r="Y1266" s="73" t="s">
        <v>4</v>
      </c>
      <c r="Z1266" s="73" t="s">
        <v>4</v>
      </c>
      <c r="AA1266" s="99" t="s">
        <v>3529</v>
      </c>
    </row>
    <row r="1267" spans="1:27" ht="17.25" customHeight="1">
      <c r="A1267" s="65" t="str">
        <f>IF(priority(Main[[#This Row],[Comments]])&lt;&gt;0, priority(Main[[#This Row],[Comments]]),"")</f>
        <v/>
      </c>
      <c r="B1267" s="60" t="s">
        <v>2695</v>
      </c>
      <c r="C1267" s="105" t="s">
        <v>4</v>
      </c>
      <c r="D1267" s="74" t="s">
        <v>3276</v>
      </c>
      <c r="E1267" s="89">
        <v>40917.540925925925</v>
      </c>
      <c r="F1267" s="89"/>
      <c r="G1267" s="65" t="str">
        <f>IF(stdProdLT(Main[[#This Row],[Comments]])=0.1,"N/A",IF(stdProdLT(Main[[#This Row],[Comments]])=0,"",TRIM(stdProdLT(Main[[#This Row],[Comments]]))))</f>
        <v/>
      </c>
      <c r="H1267" s="98" t="str">
        <f>IF(Main[[#This Row],[Std. Prod. Lead Time]]="N/A", "",IF(AND(Main[[#This Row],[In Stock Date]]&lt;&gt;"",Main[[#This Row],[Revised Due Date]]&lt;&gt;"",Main[[#This Row],[In Stock Date]]&lt;&gt;""),Main[[#This Row],[In Stock Date]]-Main[[#This Row],[Revised Due Date]],""))</f>
        <v/>
      </c>
      <c r="I1267" s="110" t="s">
        <v>2047</v>
      </c>
      <c r="J1267" s="99" t="s">
        <v>21</v>
      </c>
      <c r="K1267" s="99" t="s">
        <v>1922</v>
      </c>
      <c r="L1267" s="89"/>
      <c r="M1267" s="75" t="str">
        <f>IF(Main[[#This Row],[Tech Start Date]]&lt;1/1/1990,"",IF(Main[[#This Row],[Class]]="C",WORKDAY(Main[[#This Row],[Tech Start Date]],9),IF(Main[[#This Row],[Class]]="B", WORKDAY(Main[[#This Row],[Tech Start Date]],6),IF(Main[[#This Row],[Class]]="A",WORKDAY(Main[[#This Row],[Tech Start Date]],2),""))))</f>
        <v/>
      </c>
      <c r="N1267" s="75" t="str">
        <f>IF(Main[[#This Row],[Tech Start Date]]&lt;1/1/1990,"",IF(Main[[#This Row],[Class]]="C",WORKDAY(Main[[#This Row],[Tech Start Date]],19),IF(Main[[#This Row],[Class]]="B", WORKDAY(Main[[#This Row],[Tech Start Date]],12),IF(Main[[#This Row],[Class]]="A",WORKDAY(Main[[#This Row],[Tech Start Date]],4),""))))</f>
        <v/>
      </c>
      <c r="O1267" s="75" t="str">
        <f>IF(Main[[#This Row],[Tech Start Date]]&lt;1/1/1990,"",IF(Main[[#This Row],[Class]]="C",WORKDAY(Main[[#This Row],[Tech Start Date]],23),IF(Main[[#This Row],[Class]]="B", WORKDAY(Main[[#This Row],[Tech Start Date]],15),IF(Main[[#This Row],[Class]]="A",WORKDAY(Main[[#This Row],[Tech Start Date]],5),""))))</f>
        <v/>
      </c>
      <c r="P1267" s="75" t="str">
        <f>IF(Main[[#This Row],[Tech Start Date]]&lt;1/1/1990,"",IF(Main[[#This Row],[Class]]="C",WORKDAY(Main[[#This Row],[Tech Start Date]],28),IF(Main[[#This Row],[Class]]="B", WORKDAY(Main[[#This Row],[Tech Start Date]],19),IF(Main[[#This Row],[Class]]="A",WORKDAY(Main[[#This Row],[Tech Start Date]],9),""))))</f>
        <v/>
      </c>
      <c r="Q1267" s="89">
        <v>40949</v>
      </c>
      <c r="R1267" s="121"/>
      <c r="S1267" s="99" t="s">
        <v>6</v>
      </c>
      <c r="T1267" s="76" t="s">
        <v>4</v>
      </c>
      <c r="U1267" s="99" t="s">
        <v>29</v>
      </c>
      <c r="V1267" s="99" t="s">
        <v>1916</v>
      </c>
      <c r="W1267" s="99" t="s">
        <v>1917</v>
      </c>
      <c r="X1267" s="99" t="s">
        <v>2813</v>
      </c>
      <c r="Y1267" s="73" t="s">
        <v>2926</v>
      </c>
      <c r="Z1267" s="73" t="s">
        <v>30</v>
      </c>
      <c r="AA1267" s="99" t="s">
        <v>2813</v>
      </c>
    </row>
    <row r="1268" spans="1:27" ht="17.25" customHeight="1">
      <c r="A1268" s="65" t="str">
        <f>IF(priority(Main[[#This Row],[Comments]])&lt;&gt;0, priority(Main[[#This Row],[Comments]]),"")</f>
        <v/>
      </c>
      <c r="B1268" s="60" t="s">
        <v>2586</v>
      </c>
      <c r="C1268" s="105" t="s">
        <v>31</v>
      </c>
      <c r="D1268" s="74" t="s">
        <v>3686</v>
      </c>
      <c r="E1268" s="89">
        <v>40820.728263888886</v>
      </c>
      <c r="F1268" s="89"/>
      <c r="G1268" s="65" t="str">
        <f>IF(stdProdLT(Main[[#This Row],[Comments]])=0.1,"N/A",IF(stdProdLT(Main[[#This Row],[Comments]])=0,"",TRIM(stdProdLT(Main[[#This Row],[Comments]]))))</f>
        <v/>
      </c>
      <c r="H1268" s="98" t="str">
        <f>IF(Main[[#This Row],[Std. Prod. Lead Time]]="N/A", "",IF(AND(Main[[#This Row],[In Stock Date]]&lt;&gt;"",Main[[#This Row],[Revised Due Date]]&lt;&gt;"",Main[[#This Row],[In Stock Date]]&lt;&gt;""),Main[[#This Row],[In Stock Date]]-Main[[#This Row],[Revised Due Date]],""))</f>
        <v/>
      </c>
      <c r="I1268" s="110" t="s">
        <v>922</v>
      </c>
      <c r="J1268" s="99" t="s">
        <v>4</v>
      </c>
      <c r="K1268" s="99" t="s">
        <v>4</v>
      </c>
      <c r="L1268" s="89"/>
      <c r="M1268" s="75" t="str">
        <f>IF(Main[[#This Row],[Tech Start Date]]&lt;1/1/1990,"",IF(Main[[#This Row],[Class]]="C",WORKDAY(Main[[#This Row],[Tech Start Date]],9),IF(Main[[#This Row],[Class]]="B", WORKDAY(Main[[#This Row],[Tech Start Date]],6),IF(Main[[#This Row],[Class]]="A",WORKDAY(Main[[#This Row],[Tech Start Date]],2),""))))</f>
        <v/>
      </c>
      <c r="N1268" s="75" t="str">
        <f>IF(Main[[#This Row],[Tech Start Date]]&lt;1/1/1990,"",IF(Main[[#This Row],[Class]]="C",WORKDAY(Main[[#This Row],[Tech Start Date]],19),IF(Main[[#This Row],[Class]]="B", WORKDAY(Main[[#This Row],[Tech Start Date]],12),IF(Main[[#This Row],[Class]]="A",WORKDAY(Main[[#This Row],[Tech Start Date]],4),""))))</f>
        <v/>
      </c>
      <c r="O1268" s="75" t="str">
        <f>IF(Main[[#This Row],[Tech Start Date]]&lt;1/1/1990,"",IF(Main[[#This Row],[Class]]="C",WORKDAY(Main[[#This Row],[Tech Start Date]],23),IF(Main[[#This Row],[Class]]="B", WORKDAY(Main[[#This Row],[Tech Start Date]],15),IF(Main[[#This Row],[Class]]="A",WORKDAY(Main[[#This Row],[Tech Start Date]],5),""))))</f>
        <v/>
      </c>
      <c r="P1268" s="75" t="str">
        <f>IF(Main[[#This Row],[Tech Start Date]]&lt;1/1/1990,"",IF(Main[[#This Row],[Class]]="C",WORKDAY(Main[[#This Row],[Tech Start Date]],28),IF(Main[[#This Row],[Class]]="B", WORKDAY(Main[[#This Row],[Tech Start Date]],19),IF(Main[[#This Row],[Class]]="A",WORKDAY(Main[[#This Row],[Tech Start Date]],9),""))))</f>
        <v/>
      </c>
      <c r="Q1268" s="89">
        <v>40841</v>
      </c>
      <c r="R1268" s="121"/>
      <c r="S1268" s="99" t="s">
        <v>11</v>
      </c>
      <c r="T1268" s="76" t="s">
        <v>2587</v>
      </c>
      <c r="U1268" s="99" t="s">
        <v>7</v>
      </c>
      <c r="V1268" s="99" t="s">
        <v>1928</v>
      </c>
      <c r="W1268" s="99" t="s">
        <v>1921</v>
      </c>
      <c r="X1268" s="99" t="s">
        <v>2815</v>
      </c>
      <c r="Y1268" s="73" t="s">
        <v>2930</v>
      </c>
      <c r="Z1268" s="73" t="s">
        <v>4</v>
      </c>
      <c r="AA1268" s="99" t="s">
        <v>2815</v>
      </c>
    </row>
    <row r="1269" spans="1:27" ht="17.25" customHeight="1">
      <c r="A1269" s="65" t="str">
        <f>IF(priority(Main[[#This Row],[Comments]])&lt;&gt;0, priority(Main[[#This Row],[Comments]]),"")</f>
        <v/>
      </c>
      <c r="B1269" s="60" t="s">
        <v>1636</v>
      </c>
      <c r="C1269" s="105" t="s">
        <v>4</v>
      </c>
      <c r="D1269" s="74" t="s">
        <v>2566</v>
      </c>
      <c r="E1269" s="89"/>
      <c r="F1269" s="89"/>
      <c r="G1269" s="65" t="str">
        <f>IF(stdProdLT(Main[[#This Row],[Comments]])=0.1,"N/A",IF(stdProdLT(Main[[#This Row],[Comments]])=0,"",TRIM(stdProdLT(Main[[#This Row],[Comments]]))))</f>
        <v/>
      </c>
      <c r="H1269" s="98" t="str">
        <f>IF(Main[[#This Row],[Std. Prod. Lead Time]]="N/A", "",IF(AND(Main[[#This Row],[In Stock Date]]&lt;&gt;"",Main[[#This Row],[Revised Due Date]]&lt;&gt;"",Main[[#This Row],[In Stock Date]]&lt;&gt;""),Main[[#This Row],[In Stock Date]]-Main[[#This Row],[Revised Due Date]],""))</f>
        <v/>
      </c>
      <c r="I1269" s="110" t="s">
        <v>4</v>
      </c>
      <c r="J1269" s="99" t="s">
        <v>28</v>
      </c>
      <c r="K1269" s="100" t="s">
        <v>1920</v>
      </c>
      <c r="L1269" s="89"/>
      <c r="M1269" s="75" t="str">
        <f>IF(Main[[#This Row],[Tech Start Date]]&lt;1/1/1990,"",IF(Main[[#This Row],[Class]]="C",WORKDAY(Main[[#This Row],[Tech Start Date]],9),IF(Main[[#This Row],[Class]]="B", WORKDAY(Main[[#This Row],[Tech Start Date]],6),IF(Main[[#This Row],[Class]]="A",WORKDAY(Main[[#This Row],[Tech Start Date]],2),""))))</f>
        <v/>
      </c>
      <c r="N1269" s="75" t="str">
        <f>IF(Main[[#This Row],[Tech Start Date]]&lt;1/1/1990,"",IF(Main[[#This Row],[Class]]="C",WORKDAY(Main[[#This Row],[Tech Start Date]],19),IF(Main[[#This Row],[Class]]="B", WORKDAY(Main[[#This Row],[Tech Start Date]],12),IF(Main[[#This Row],[Class]]="A",WORKDAY(Main[[#This Row],[Tech Start Date]],4),""))))</f>
        <v/>
      </c>
      <c r="O1269" s="75" t="str">
        <f>IF(Main[[#This Row],[Tech Start Date]]&lt;1/1/1990,"",IF(Main[[#This Row],[Class]]="C",WORKDAY(Main[[#This Row],[Tech Start Date]],23),IF(Main[[#This Row],[Class]]="B", WORKDAY(Main[[#This Row],[Tech Start Date]],15),IF(Main[[#This Row],[Class]]="A",WORKDAY(Main[[#This Row],[Tech Start Date]],5),""))))</f>
        <v/>
      </c>
      <c r="P1269" s="75" t="str">
        <f>IF(Main[[#This Row],[Tech Start Date]]&lt;1/1/1990,"",IF(Main[[#This Row],[Class]]="C",WORKDAY(Main[[#This Row],[Tech Start Date]],28),IF(Main[[#This Row],[Class]]="B", WORKDAY(Main[[#This Row],[Tech Start Date]],19),IF(Main[[#This Row],[Class]]="A",WORKDAY(Main[[#This Row],[Tech Start Date]],9),""))))</f>
        <v/>
      </c>
      <c r="Q1269" s="89">
        <v>40611</v>
      </c>
      <c r="R1269" s="121"/>
      <c r="S1269" s="99" t="s">
        <v>6</v>
      </c>
      <c r="T1269" s="76" t="s">
        <v>4</v>
      </c>
      <c r="U1269" s="99" t="s">
        <v>14</v>
      </c>
      <c r="V1269" s="99" t="s">
        <v>1913</v>
      </c>
      <c r="W1269" s="99" t="s">
        <v>1917</v>
      </c>
      <c r="X1269" s="99" t="s">
        <v>2815</v>
      </c>
      <c r="Y1269" s="73" t="s">
        <v>2930</v>
      </c>
      <c r="Z1269" s="73" t="s">
        <v>129</v>
      </c>
      <c r="AA1269" s="99" t="s">
        <v>2815</v>
      </c>
    </row>
    <row r="1270" spans="1:27" ht="17.25" customHeight="1">
      <c r="A1270" s="65" t="str">
        <f>IF(priority(Main[[#This Row],[Comments]])&lt;&gt;0, priority(Main[[#This Row],[Comments]]),"")</f>
        <v/>
      </c>
      <c r="B1270" s="60" t="s">
        <v>3699</v>
      </c>
      <c r="C1270" s="105" t="s">
        <v>4</v>
      </c>
      <c r="D1270" s="74" t="s">
        <v>3700</v>
      </c>
      <c r="E1270" s="89">
        <v>40954.564212962963</v>
      </c>
      <c r="F1270" s="89"/>
      <c r="G1270" s="65" t="str">
        <f>IF(stdProdLT(Main[[#This Row],[Comments]])=0.1,"N/A",IF(stdProdLT(Main[[#This Row],[Comments]])=0,"",TRIM(stdProdLT(Main[[#This Row],[Comments]]))))</f>
        <v/>
      </c>
      <c r="H1270" s="98" t="str">
        <f>IF(Main[[#This Row],[Std. Prod. Lead Time]]="N/A", "",IF(AND(Main[[#This Row],[In Stock Date]]&lt;&gt;"",Main[[#This Row],[Revised Due Date]]&lt;&gt;"",Main[[#This Row],[In Stock Date]]&lt;&gt;""),Main[[#This Row],[In Stock Date]]-Main[[#This Row],[Revised Due Date]],""))</f>
        <v/>
      </c>
      <c r="I1270" s="110" t="s">
        <v>4</v>
      </c>
      <c r="J1270" s="99" t="s">
        <v>4</v>
      </c>
      <c r="K1270" s="99" t="s">
        <v>4</v>
      </c>
      <c r="L1270" s="89"/>
      <c r="M1270" s="75" t="str">
        <f>IF(Main[[#This Row],[Tech Start Date]]&lt;1/1/1990,"",IF(Main[[#This Row],[Class]]="C",WORKDAY(Main[[#This Row],[Tech Start Date]],9),IF(Main[[#This Row],[Class]]="B", WORKDAY(Main[[#This Row],[Tech Start Date]],6),IF(Main[[#This Row],[Class]]="A",WORKDAY(Main[[#This Row],[Tech Start Date]],2),""))))</f>
        <v/>
      </c>
      <c r="N1270" s="75" t="str">
        <f>IF(Main[[#This Row],[Tech Start Date]]&lt;1/1/1990,"",IF(Main[[#This Row],[Class]]="C",WORKDAY(Main[[#This Row],[Tech Start Date]],19),IF(Main[[#This Row],[Class]]="B", WORKDAY(Main[[#This Row],[Tech Start Date]],12),IF(Main[[#This Row],[Class]]="A",WORKDAY(Main[[#This Row],[Tech Start Date]],4),""))))</f>
        <v/>
      </c>
      <c r="O1270" s="75" t="str">
        <f>IF(Main[[#This Row],[Tech Start Date]]&lt;1/1/1990,"",IF(Main[[#This Row],[Class]]="C",WORKDAY(Main[[#This Row],[Tech Start Date]],23),IF(Main[[#This Row],[Class]]="B", WORKDAY(Main[[#This Row],[Tech Start Date]],15),IF(Main[[#This Row],[Class]]="A",WORKDAY(Main[[#This Row],[Tech Start Date]],5),""))))</f>
        <v/>
      </c>
      <c r="P1270" s="75" t="str">
        <f>IF(Main[[#This Row],[Tech Start Date]]&lt;1/1/1990,"",IF(Main[[#This Row],[Class]]="C",WORKDAY(Main[[#This Row],[Tech Start Date]],28),IF(Main[[#This Row],[Class]]="B", WORKDAY(Main[[#This Row],[Tech Start Date]],19),IF(Main[[#This Row],[Class]]="A",WORKDAY(Main[[#This Row],[Tech Start Date]],9),""))))</f>
        <v/>
      </c>
      <c r="Q1270" s="89"/>
      <c r="R1270" s="121"/>
      <c r="S1270" s="99" t="s">
        <v>17</v>
      </c>
      <c r="T1270" s="76" t="s">
        <v>4</v>
      </c>
      <c r="U1270" s="99" t="s">
        <v>7</v>
      </c>
      <c r="V1270" s="99" t="s">
        <v>1928</v>
      </c>
      <c r="W1270" s="99" t="s">
        <v>1921</v>
      </c>
      <c r="X1270" s="99" t="s">
        <v>2856</v>
      </c>
      <c r="Y1270" s="73" t="s">
        <v>3000</v>
      </c>
      <c r="Z1270" s="73" t="s">
        <v>4</v>
      </c>
      <c r="AA1270" s="99" t="s">
        <v>2856</v>
      </c>
    </row>
    <row r="1271" spans="1:27" ht="17.25" customHeight="1">
      <c r="A1271" s="65" t="str">
        <f>IF(priority(Main[[#This Row],[Comments]])&lt;&gt;0, priority(Main[[#This Row],[Comments]]),"")</f>
        <v/>
      </c>
      <c r="B1271" s="60" t="s">
        <v>3471</v>
      </c>
      <c r="C1271" s="105" t="s">
        <v>4</v>
      </c>
      <c r="D1271" s="74" t="s">
        <v>3472</v>
      </c>
      <c r="E1271" s="89"/>
      <c r="F1271" s="89"/>
      <c r="G1271" s="65" t="str">
        <f>IF(stdProdLT(Main[[#This Row],[Comments]])=0.1,"N/A",IF(stdProdLT(Main[[#This Row],[Comments]])=0,"",TRIM(stdProdLT(Main[[#This Row],[Comments]]))))</f>
        <v/>
      </c>
      <c r="H1271" s="98" t="str">
        <f>IF(Main[[#This Row],[Std. Prod. Lead Time]]="N/A", "",IF(AND(Main[[#This Row],[In Stock Date]]&lt;&gt;"",Main[[#This Row],[Revised Due Date]]&lt;&gt;"",Main[[#This Row],[In Stock Date]]&lt;&gt;""),Main[[#This Row],[In Stock Date]]-Main[[#This Row],[Revised Due Date]],""))</f>
        <v/>
      </c>
      <c r="I1271" s="110" t="s">
        <v>4</v>
      </c>
      <c r="J1271" s="99" t="s">
        <v>4</v>
      </c>
      <c r="K1271" s="99" t="s">
        <v>4</v>
      </c>
      <c r="L1271" s="89"/>
      <c r="M1271" s="75" t="str">
        <f>IF(Main[[#This Row],[Tech Start Date]]&lt;1/1/1990,"",IF(Main[[#This Row],[Class]]="C",WORKDAY(Main[[#This Row],[Tech Start Date]],9),IF(Main[[#This Row],[Class]]="B", WORKDAY(Main[[#This Row],[Tech Start Date]],6),IF(Main[[#This Row],[Class]]="A",WORKDAY(Main[[#This Row],[Tech Start Date]],2),""))))</f>
        <v/>
      </c>
      <c r="N1271" s="75" t="str">
        <f>IF(Main[[#This Row],[Tech Start Date]]&lt;1/1/1990,"",IF(Main[[#This Row],[Class]]="C",WORKDAY(Main[[#This Row],[Tech Start Date]],19),IF(Main[[#This Row],[Class]]="B", WORKDAY(Main[[#This Row],[Tech Start Date]],12),IF(Main[[#This Row],[Class]]="A",WORKDAY(Main[[#This Row],[Tech Start Date]],4),""))))</f>
        <v/>
      </c>
      <c r="O1271" s="75" t="str">
        <f>IF(Main[[#This Row],[Tech Start Date]]&lt;1/1/1990,"",IF(Main[[#This Row],[Class]]="C",WORKDAY(Main[[#This Row],[Tech Start Date]],23),IF(Main[[#This Row],[Class]]="B", WORKDAY(Main[[#This Row],[Tech Start Date]],15),IF(Main[[#This Row],[Class]]="A",WORKDAY(Main[[#This Row],[Tech Start Date]],5),""))))</f>
        <v/>
      </c>
      <c r="P1271" s="75" t="str">
        <f>IF(Main[[#This Row],[Tech Start Date]]&lt;1/1/1990,"",IF(Main[[#This Row],[Class]]="C",WORKDAY(Main[[#This Row],[Tech Start Date]],28),IF(Main[[#This Row],[Class]]="B", WORKDAY(Main[[#This Row],[Tech Start Date]],19),IF(Main[[#This Row],[Class]]="A",WORKDAY(Main[[#This Row],[Tech Start Date]],9),""))))</f>
        <v/>
      </c>
      <c r="Q1271" s="89">
        <v>41001</v>
      </c>
      <c r="R1271" s="121"/>
      <c r="S1271" s="99" t="s">
        <v>6</v>
      </c>
      <c r="T1271" s="76" t="s">
        <v>4</v>
      </c>
      <c r="U1271" s="99" t="s">
        <v>14</v>
      </c>
      <c r="V1271" s="99" t="s">
        <v>1916</v>
      </c>
      <c r="W1271" s="99" t="s">
        <v>4</v>
      </c>
      <c r="X1271" s="99" t="s">
        <v>2816</v>
      </c>
      <c r="Y1271" s="73" t="s">
        <v>2932</v>
      </c>
      <c r="Z1271" s="73" t="s">
        <v>4</v>
      </c>
      <c r="AA1271" s="99" t="s">
        <v>2816</v>
      </c>
    </row>
    <row r="1272" spans="1:27" ht="17.25" customHeight="1">
      <c r="A1272" s="65" t="str">
        <f>IF(priority(Main[[#This Row],[Comments]])&lt;&gt;0, priority(Main[[#This Row],[Comments]]),"")</f>
        <v/>
      </c>
      <c r="B1272" s="60" t="s">
        <v>2771</v>
      </c>
      <c r="C1272" s="105" t="s">
        <v>47</v>
      </c>
      <c r="D1272" s="74" t="s">
        <v>2772</v>
      </c>
      <c r="E1272" s="89"/>
      <c r="F1272" s="89"/>
      <c r="G1272" s="65" t="str">
        <f>IF(stdProdLT(Main[[#This Row],[Comments]])=0.1,"N/A",IF(stdProdLT(Main[[#This Row],[Comments]])=0,"",TRIM(stdProdLT(Main[[#This Row],[Comments]]))))</f>
        <v/>
      </c>
      <c r="H1272" s="98" t="str">
        <f>IF(Main[[#This Row],[Std. Prod. Lead Time]]="N/A", "",IF(AND(Main[[#This Row],[In Stock Date]]&lt;&gt;"",Main[[#This Row],[Revised Due Date]]&lt;&gt;"",Main[[#This Row],[In Stock Date]]&lt;&gt;""),Main[[#This Row],[In Stock Date]]-Main[[#This Row],[Revised Due Date]],""))</f>
        <v/>
      </c>
      <c r="I1272" s="110" t="s">
        <v>4</v>
      </c>
      <c r="J1272" s="99" t="s">
        <v>4</v>
      </c>
      <c r="K1272" s="99" t="s">
        <v>4</v>
      </c>
      <c r="L1272" s="89"/>
      <c r="M1272" s="75" t="str">
        <f>IF(Main[[#This Row],[Tech Start Date]]&lt;1/1/1990,"",IF(Main[[#This Row],[Class]]="C",WORKDAY(Main[[#This Row],[Tech Start Date]],9),IF(Main[[#This Row],[Class]]="B", WORKDAY(Main[[#This Row],[Tech Start Date]],6),IF(Main[[#This Row],[Class]]="A",WORKDAY(Main[[#This Row],[Tech Start Date]],2),""))))</f>
        <v/>
      </c>
      <c r="N1272" s="75" t="str">
        <f>IF(Main[[#This Row],[Tech Start Date]]&lt;1/1/1990,"",IF(Main[[#This Row],[Class]]="C",WORKDAY(Main[[#This Row],[Tech Start Date]],19),IF(Main[[#This Row],[Class]]="B", WORKDAY(Main[[#This Row],[Tech Start Date]],12),IF(Main[[#This Row],[Class]]="A",WORKDAY(Main[[#This Row],[Tech Start Date]],4),""))))</f>
        <v/>
      </c>
      <c r="O1272" s="75" t="str">
        <f>IF(Main[[#This Row],[Tech Start Date]]&lt;1/1/1990,"",IF(Main[[#This Row],[Class]]="C",WORKDAY(Main[[#This Row],[Tech Start Date]],23),IF(Main[[#This Row],[Class]]="B", WORKDAY(Main[[#This Row],[Tech Start Date]],15),IF(Main[[#This Row],[Class]]="A",WORKDAY(Main[[#This Row],[Tech Start Date]],5),""))))</f>
        <v/>
      </c>
      <c r="P1272" s="75" t="str">
        <f>IF(Main[[#This Row],[Tech Start Date]]&lt;1/1/1990,"",IF(Main[[#This Row],[Class]]="C",WORKDAY(Main[[#This Row],[Tech Start Date]],28),IF(Main[[#This Row],[Class]]="B", WORKDAY(Main[[#This Row],[Tech Start Date]],19),IF(Main[[#This Row],[Class]]="A",WORKDAY(Main[[#This Row],[Tech Start Date]],9),""))))</f>
        <v/>
      </c>
      <c r="Q1272" s="89">
        <v>40907</v>
      </c>
      <c r="R1272" s="121"/>
      <c r="S1272" s="99" t="s">
        <v>6</v>
      </c>
      <c r="T1272" s="76" t="s">
        <v>4</v>
      </c>
      <c r="U1272" s="99" t="s">
        <v>12</v>
      </c>
      <c r="V1272" s="99" t="s">
        <v>1916</v>
      </c>
      <c r="W1272" s="99" t="s">
        <v>4</v>
      </c>
      <c r="X1272" s="99" t="s">
        <v>2859</v>
      </c>
      <c r="Y1272" s="73" t="s">
        <v>3004</v>
      </c>
      <c r="Z1272" s="73" t="s">
        <v>4</v>
      </c>
      <c r="AA1272" s="99" t="s">
        <v>2859</v>
      </c>
    </row>
    <row r="1273" spans="1:27" ht="17.25" customHeight="1">
      <c r="A1273" s="65" t="str">
        <f>IF(priority(Main[[#This Row],[Comments]])&lt;&gt;0, priority(Main[[#This Row],[Comments]]),"")</f>
        <v/>
      </c>
      <c r="B1273" s="60" t="s">
        <v>1661</v>
      </c>
      <c r="C1273" s="105" t="s">
        <v>4</v>
      </c>
      <c r="D1273" s="74" t="s">
        <v>3701</v>
      </c>
      <c r="E1273" s="89">
        <v>40528.434965277775</v>
      </c>
      <c r="F1273" s="89"/>
      <c r="G1273" s="65" t="str">
        <f>IF(stdProdLT(Main[[#This Row],[Comments]])=0.1,"N/A",IF(stdProdLT(Main[[#This Row],[Comments]])=0,"",TRIM(stdProdLT(Main[[#This Row],[Comments]]))))</f>
        <v/>
      </c>
      <c r="H1273" s="98" t="str">
        <f>IF(Main[[#This Row],[Std. Prod. Lead Time]]="N/A", "",IF(AND(Main[[#This Row],[In Stock Date]]&lt;&gt;"",Main[[#This Row],[Revised Due Date]]&lt;&gt;"",Main[[#This Row],[In Stock Date]]&lt;&gt;""),Main[[#This Row],[In Stock Date]]-Main[[#This Row],[Revised Due Date]],""))</f>
        <v/>
      </c>
      <c r="I1273" s="110" t="s">
        <v>4</v>
      </c>
      <c r="J1273" s="99" t="s">
        <v>28</v>
      </c>
      <c r="K1273" s="99" t="s">
        <v>1925</v>
      </c>
      <c r="L1273" s="89"/>
      <c r="M1273" s="75" t="str">
        <f>IF(Main[[#This Row],[Tech Start Date]]&lt;1/1/1990,"",IF(Main[[#This Row],[Class]]="C",WORKDAY(Main[[#This Row],[Tech Start Date]],9),IF(Main[[#This Row],[Class]]="B", WORKDAY(Main[[#This Row],[Tech Start Date]],6),IF(Main[[#This Row],[Class]]="A",WORKDAY(Main[[#This Row],[Tech Start Date]],2),""))))</f>
        <v/>
      </c>
      <c r="N1273" s="75" t="str">
        <f>IF(Main[[#This Row],[Tech Start Date]]&lt;1/1/1990,"",IF(Main[[#This Row],[Class]]="C",WORKDAY(Main[[#This Row],[Tech Start Date]],19),IF(Main[[#This Row],[Class]]="B", WORKDAY(Main[[#This Row],[Tech Start Date]],12),IF(Main[[#This Row],[Class]]="A",WORKDAY(Main[[#This Row],[Tech Start Date]],4),""))))</f>
        <v/>
      </c>
      <c r="O1273" s="75" t="str">
        <f>IF(Main[[#This Row],[Tech Start Date]]&lt;1/1/1990,"",IF(Main[[#This Row],[Class]]="C",WORKDAY(Main[[#This Row],[Tech Start Date]],23),IF(Main[[#This Row],[Class]]="B", WORKDAY(Main[[#This Row],[Tech Start Date]],15),IF(Main[[#This Row],[Class]]="A",WORKDAY(Main[[#This Row],[Tech Start Date]],5),""))))</f>
        <v/>
      </c>
      <c r="P1273" s="75" t="str">
        <f>IF(Main[[#This Row],[Tech Start Date]]&lt;1/1/1990,"",IF(Main[[#This Row],[Class]]="C",WORKDAY(Main[[#This Row],[Tech Start Date]],28),IF(Main[[#This Row],[Class]]="B", WORKDAY(Main[[#This Row],[Tech Start Date]],19),IF(Main[[#This Row],[Class]]="A",WORKDAY(Main[[#This Row],[Tech Start Date]],9),""))))</f>
        <v/>
      </c>
      <c r="Q1273" s="89">
        <v>41152</v>
      </c>
      <c r="R1273" s="121"/>
      <c r="S1273" s="99" t="s">
        <v>17</v>
      </c>
      <c r="T1273" s="76" t="s">
        <v>4</v>
      </c>
      <c r="U1273" s="99" t="s">
        <v>7</v>
      </c>
      <c r="V1273" s="99" t="s">
        <v>1913</v>
      </c>
      <c r="W1273" s="99" t="s">
        <v>1918</v>
      </c>
      <c r="X1273" s="99" t="s">
        <v>129</v>
      </c>
      <c r="Y1273" s="73" t="s">
        <v>3071</v>
      </c>
      <c r="Z1273" s="73" t="s">
        <v>129</v>
      </c>
      <c r="AA1273" s="99" t="s">
        <v>129</v>
      </c>
    </row>
    <row r="1274" spans="1:27" ht="17.25" customHeight="1">
      <c r="A1274" s="65" t="str">
        <f>IF(priority(Main[[#This Row],[Comments]])&lt;&gt;0, priority(Main[[#This Row],[Comments]]),"")</f>
        <v/>
      </c>
      <c r="B1274" s="60" t="s">
        <v>1657</v>
      </c>
      <c r="C1274" s="105" t="s">
        <v>122</v>
      </c>
      <c r="D1274" s="74" t="s">
        <v>2781</v>
      </c>
      <c r="E1274" s="89">
        <v>40959.441145833334</v>
      </c>
      <c r="F1274" s="89">
        <v>41244</v>
      </c>
      <c r="G1274" s="65" t="str">
        <f>IF(stdProdLT(Main[[#This Row],[Comments]])=0.1,"N/A",IF(stdProdLT(Main[[#This Row],[Comments]])=0,"",TRIM(stdProdLT(Main[[#This Row],[Comments]]))))</f>
        <v>126</v>
      </c>
      <c r="H1274" s="98" t="str">
        <f>IF(Main[[#This Row],[Std. Prod. Lead Time]]="N/A", "",IF(AND(Main[[#This Row],[In Stock Date]]&lt;&gt;"",Main[[#This Row],[Revised Due Date]]&lt;&gt;"",Main[[#This Row],[In Stock Date]]&lt;&gt;""),Main[[#This Row],[In Stock Date]]-Main[[#This Row],[Revised Due Date]],""))</f>
        <v/>
      </c>
      <c r="I1274" s="110" t="s">
        <v>4</v>
      </c>
      <c r="J1274" s="99" t="s">
        <v>28</v>
      </c>
      <c r="K1274" s="99" t="s">
        <v>1926</v>
      </c>
      <c r="L1274" s="89"/>
      <c r="M1274" s="75" t="str">
        <f>IF(Main[[#This Row],[Tech Start Date]]&lt;1/1/1990,"",IF(Main[[#This Row],[Class]]="C",WORKDAY(Main[[#This Row],[Tech Start Date]],9),IF(Main[[#This Row],[Class]]="B", WORKDAY(Main[[#This Row],[Tech Start Date]],6),IF(Main[[#This Row],[Class]]="A",WORKDAY(Main[[#This Row],[Tech Start Date]],2),""))))</f>
        <v/>
      </c>
      <c r="N1274" s="75" t="str">
        <f>IF(Main[[#This Row],[Tech Start Date]]&lt;1/1/1990,"",IF(Main[[#This Row],[Class]]="C",WORKDAY(Main[[#This Row],[Tech Start Date]],19),IF(Main[[#This Row],[Class]]="B", WORKDAY(Main[[#This Row],[Tech Start Date]],12),IF(Main[[#This Row],[Class]]="A",WORKDAY(Main[[#This Row],[Tech Start Date]],4),""))))</f>
        <v/>
      </c>
      <c r="O1274" s="75" t="str">
        <f>IF(Main[[#This Row],[Tech Start Date]]&lt;1/1/1990,"",IF(Main[[#This Row],[Class]]="C",WORKDAY(Main[[#This Row],[Tech Start Date]],23),IF(Main[[#This Row],[Class]]="B", WORKDAY(Main[[#This Row],[Tech Start Date]],15),IF(Main[[#This Row],[Class]]="A",WORKDAY(Main[[#This Row],[Tech Start Date]],5),""))))</f>
        <v/>
      </c>
      <c r="P1274" s="75" t="str">
        <f>IF(Main[[#This Row],[Tech Start Date]]&lt;1/1/1990,"",IF(Main[[#This Row],[Class]]="C",WORKDAY(Main[[#This Row],[Tech Start Date]],28),IF(Main[[#This Row],[Class]]="B", WORKDAY(Main[[#This Row],[Tech Start Date]],19),IF(Main[[#This Row],[Class]]="A",WORKDAY(Main[[#This Row],[Tech Start Date]],9),""))))</f>
        <v/>
      </c>
      <c r="Q1274" s="89">
        <v>40711</v>
      </c>
      <c r="R1274" s="121"/>
      <c r="S1274" s="99" t="s">
        <v>11</v>
      </c>
      <c r="T1274" s="76" t="s">
        <v>3702</v>
      </c>
      <c r="U1274" s="99" t="s">
        <v>694</v>
      </c>
      <c r="V1274" s="99" t="s">
        <v>1913</v>
      </c>
      <c r="W1274" s="99" t="s">
        <v>1915</v>
      </c>
      <c r="X1274" s="99" t="s">
        <v>2846</v>
      </c>
      <c r="Y1274" s="73" t="s">
        <v>3128</v>
      </c>
      <c r="Z1274" s="73" t="s">
        <v>129</v>
      </c>
      <c r="AA1274" s="99" t="s">
        <v>2846</v>
      </c>
    </row>
    <row r="1275" spans="1:27" ht="17.25" customHeight="1">
      <c r="A1275" s="65" t="str">
        <f>IF(priority(Main[[#This Row],[Comments]])&lt;&gt;0, priority(Main[[#This Row],[Comments]]),"")</f>
        <v/>
      </c>
      <c r="B1275" s="60" t="s">
        <v>1850</v>
      </c>
      <c r="C1275" s="105" t="s">
        <v>4</v>
      </c>
      <c r="D1275" s="74" t="s">
        <v>2806</v>
      </c>
      <c r="E1275" s="89">
        <v>40365.451284722221</v>
      </c>
      <c r="F1275" s="89"/>
      <c r="G1275" s="65" t="str">
        <f>IF(stdProdLT(Main[[#This Row],[Comments]])=0.1,"N/A",IF(stdProdLT(Main[[#This Row],[Comments]])=0,"",TRIM(stdProdLT(Main[[#This Row],[Comments]]))))</f>
        <v/>
      </c>
      <c r="H1275" s="98" t="str">
        <f>IF(Main[[#This Row],[Std. Prod. Lead Time]]="N/A", "",IF(AND(Main[[#This Row],[In Stock Date]]&lt;&gt;"",Main[[#This Row],[Revised Due Date]]&lt;&gt;"",Main[[#This Row],[In Stock Date]]&lt;&gt;""),Main[[#This Row],[In Stock Date]]-Main[[#This Row],[Revised Due Date]],""))</f>
        <v/>
      </c>
      <c r="I1275" s="110" t="s">
        <v>907</v>
      </c>
      <c r="J1275" s="99" t="s">
        <v>28</v>
      </c>
      <c r="K1275" s="99" t="s">
        <v>1925</v>
      </c>
      <c r="L1275" s="89"/>
      <c r="M1275" s="75" t="str">
        <f>IF(Main[[#This Row],[Tech Start Date]]&lt;1/1/1990,"",IF(Main[[#This Row],[Class]]="C",WORKDAY(Main[[#This Row],[Tech Start Date]],9),IF(Main[[#This Row],[Class]]="B", WORKDAY(Main[[#This Row],[Tech Start Date]],6),IF(Main[[#This Row],[Class]]="A",WORKDAY(Main[[#This Row],[Tech Start Date]],2),""))))</f>
        <v/>
      </c>
      <c r="N1275" s="75" t="str">
        <f>IF(Main[[#This Row],[Tech Start Date]]&lt;1/1/1990,"",IF(Main[[#This Row],[Class]]="C",WORKDAY(Main[[#This Row],[Tech Start Date]],19),IF(Main[[#This Row],[Class]]="B", WORKDAY(Main[[#This Row],[Tech Start Date]],12),IF(Main[[#This Row],[Class]]="A",WORKDAY(Main[[#This Row],[Tech Start Date]],4),""))))</f>
        <v/>
      </c>
      <c r="O1275" s="75" t="str">
        <f>IF(Main[[#This Row],[Tech Start Date]]&lt;1/1/1990,"",IF(Main[[#This Row],[Class]]="C",WORKDAY(Main[[#This Row],[Tech Start Date]],23),IF(Main[[#This Row],[Class]]="B", WORKDAY(Main[[#This Row],[Tech Start Date]],15),IF(Main[[#This Row],[Class]]="A",WORKDAY(Main[[#This Row],[Tech Start Date]],5),""))))</f>
        <v/>
      </c>
      <c r="P1275" s="75" t="str">
        <f>IF(Main[[#This Row],[Tech Start Date]]&lt;1/1/1990,"",IF(Main[[#This Row],[Class]]="C",WORKDAY(Main[[#This Row],[Tech Start Date]],28),IF(Main[[#This Row],[Class]]="B", WORKDAY(Main[[#This Row],[Tech Start Date]],19),IF(Main[[#This Row],[Class]]="A",WORKDAY(Main[[#This Row],[Tech Start Date]],9),""))))</f>
        <v/>
      </c>
      <c r="Q1275" s="89">
        <v>40968</v>
      </c>
      <c r="R1275" s="121">
        <v>40939</v>
      </c>
      <c r="S1275" s="99" t="s">
        <v>17</v>
      </c>
      <c r="T1275" s="76" t="s">
        <v>2589</v>
      </c>
      <c r="U1275" s="99" t="s">
        <v>29</v>
      </c>
      <c r="V1275" s="99" t="s">
        <v>1913</v>
      </c>
      <c r="W1275" s="99" t="s">
        <v>1918</v>
      </c>
      <c r="X1275" s="99" t="s">
        <v>129</v>
      </c>
      <c r="Y1275" s="73" t="s">
        <v>4</v>
      </c>
      <c r="Z1275" s="73" t="s">
        <v>129</v>
      </c>
      <c r="AA1275" s="99" t="s">
        <v>2822</v>
      </c>
    </row>
    <row r="1276" spans="1:27" ht="17.25" customHeight="1">
      <c r="A1276" s="65" t="str">
        <f>IF(priority(Main[[#This Row],[Comments]])&lt;&gt;0, priority(Main[[#This Row],[Comments]]),"")</f>
        <v/>
      </c>
      <c r="B1276" s="60" t="s">
        <v>2469</v>
      </c>
      <c r="C1276" s="105" t="s">
        <v>4</v>
      </c>
      <c r="D1276" s="74" t="s">
        <v>2470</v>
      </c>
      <c r="E1276" s="89">
        <v>40849.40829861111</v>
      </c>
      <c r="F1276" s="89"/>
      <c r="G1276" s="65" t="str">
        <f>IF(stdProdLT(Main[[#This Row],[Comments]])=0.1,"N/A",IF(stdProdLT(Main[[#This Row],[Comments]])=0,"",TRIM(stdProdLT(Main[[#This Row],[Comments]]))))</f>
        <v/>
      </c>
      <c r="H1276" s="98" t="str">
        <f>IF(Main[[#This Row],[Std. Prod. Lead Time]]="N/A", "",IF(AND(Main[[#This Row],[In Stock Date]]&lt;&gt;"",Main[[#This Row],[Revised Due Date]]&lt;&gt;"",Main[[#This Row],[In Stock Date]]&lt;&gt;""),Main[[#This Row],[In Stock Date]]-Main[[#This Row],[Revised Due Date]],""))</f>
        <v/>
      </c>
      <c r="I1276" s="110" t="s">
        <v>2040</v>
      </c>
      <c r="J1276" s="99" t="s">
        <v>21</v>
      </c>
      <c r="K1276" s="99" t="s">
        <v>1922</v>
      </c>
      <c r="L1276" s="89"/>
      <c r="M1276" s="75" t="str">
        <f>IF(Main[[#This Row],[Tech Start Date]]&lt;1/1/1990,"",IF(Main[[#This Row],[Class]]="C",WORKDAY(Main[[#This Row],[Tech Start Date]],9),IF(Main[[#This Row],[Class]]="B", WORKDAY(Main[[#This Row],[Tech Start Date]],6),IF(Main[[#This Row],[Class]]="A",WORKDAY(Main[[#This Row],[Tech Start Date]],2),""))))</f>
        <v/>
      </c>
      <c r="N1276" s="75" t="str">
        <f>IF(Main[[#This Row],[Tech Start Date]]&lt;1/1/1990,"",IF(Main[[#This Row],[Class]]="C",WORKDAY(Main[[#This Row],[Tech Start Date]],19),IF(Main[[#This Row],[Class]]="B", WORKDAY(Main[[#This Row],[Tech Start Date]],12),IF(Main[[#This Row],[Class]]="A",WORKDAY(Main[[#This Row],[Tech Start Date]],4),""))))</f>
        <v/>
      </c>
      <c r="O1276" s="75" t="str">
        <f>IF(Main[[#This Row],[Tech Start Date]]&lt;1/1/1990,"",IF(Main[[#This Row],[Class]]="C",WORKDAY(Main[[#This Row],[Tech Start Date]],23),IF(Main[[#This Row],[Class]]="B", WORKDAY(Main[[#This Row],[Tech Start Date]],15),IF(Main[[#This Row],[Class]]="A",WORKDAY(Main[[#This Row],[Tech Start Date]],5),""))))</f>
        <v/>
      </c>
      <c r="P1276" s="75" t="str">
        <f>IF(Main[[#This Row],[Tech Start Date]]&lt;1/1/1990,"",IF(Main[[#This Row],[Class]]="C",WORKDAY(Main[[#This Row],[Tech Start Date]],28),IF(Main[[#This Row],[Class]]="B", WORKDAY(Main[[#This Row],[Tech Start Date]],19),IF(Main[[#This Row],[Class]]="A",WORKDAY(Main[[#This Row],[Tech Start Date]],9),""))))</f>
        <v/>
      </c>
      <c r="Q1276" s="89">
        <v>40856</v>
      </c>
      <c r="R1276" s="121"/>
      <c r="S1276" s="99" t="s">
        <v>6</v>
      </c>
      <c r="T1276" s="76" t="s">
        <v>4</v>
      </c>
      <c r="U1276" s="99" t="s">
        <v>29</v>
      </c>
      <c r="V1276" s="99" t="s">
        <v>1916</v>
      </c>
      <c r="W1276" s="99" t="s">
        <v>1917</v>
      </c>
      <c r="X1276" s="99" t="s">
        <v>2897</v>
      </c>
      <c r="Y1276" s="73" t="s">
        <v>3077</v>
      </c>
      <c r="Z1276" s="73" t="s">
        <v>4</v>
      </c>
      <c r="AA1276" s="99" t="s">
        <v>2897</v>
      </c>
    </row>
    <row r="1277" spans="1:27" ht="17.25" customHeight="1">
      <c r="A1277" s="65" t="str">
        <f>IF(priority(Main[[#This Row],[Comments]])&lt;&gt;0, priority(Main[[#This Row],[Comments]]),"")</f>
        <v/>
      </c>
      <c r="B1277" s="60" t="s">
        <v>3975</v>
      </c>
      <c r="C1277" s="105" t="s">
        <v>3951</v>
      </c>
      <c r="D1277" s="74" t="s">
        <v>3976</v>
      </c>
      <c r="E1277" s="89">
        <v>40969.073773148149</v>
      </c>
      <c r="F1277" s="89">
        <v>41144</v>
      </c>
      <c r="G1277" s="65" t="str">
        <f>IF(stdProdLT(Main[[#This Row],[Comments]])=0.1,"N/A",IF(stdProdLT(Main[[#This Row],[Comments]])=0,"",TRIM(stdProdLT(Main[[#This Row],[Comments]]))))</f>
        <v/>
      </c>
      <c r="H1277" s="98" t="str">
        <f>IF(Main[[#This Row],[Std. Prod. Lead Time]]="N/A", "",IF(AND(Main[[#This Row],[In Stock Date]]&lt;&gt;"",Main[[#This Row],[Revised Due Date]]&lt;&gt;"",Main[[#This Row],[In Stock Date]]&lt;&gt;""),Main[[#This Row],[In Stock Date]]-Main[[#This Row],[Revised Due Date]],""))</f>
        <v/>
      </c>
      <c r="I1277" s="110" t="s">
        <v>4</v>
      </c>
      <c r="J1277" s="99" t="s">
        <v>4</v>
      </c>
      <c r="K1277" s="99" t="s">
        <v>4</v>
      </c>
      <c r="L1277" s="89"/>
      <c r="M1277" s="75" t="str">
        <f>IF(Main[[#This Row],[Tech Start Date]]&lt;1/1/1990,"",IF(Main[[#This Row],[Class]]="C",WORKDAY(Main[[#This Row],[Tech Start Date]],9),IF(Main[[#This Row],[Class]]="B", WORKDAY(Main[[#This Row],[Tech Start Date]],6),IF(Main[[#This Row],[Class]]="A",WORKDAY(Main[[#This Row],[Tech Start Date]],2),""))))</f>
        <v/>
      </c>
      <c r="N1277" s="75" t="str">
        <f>IF(Main[[#This Row],[Tech Start Date]]&lt;1/1/1990,"",IF(Main[[#This Row],[Class]]="C",WORKDAY(Main[[#This Row],[Tech Start Date]],19),IF(Main[[#This Row],[Class]]="B", WORKDAY(Main[[#This Row],[Tech Start Date]],12),IF(Main[[#This Row],[Class]]="A",WORKDAY(Main[[#This Row],[Tech Start Date]],4),""))))</f>
        <v/>
      </c>
      <c r="O1277" s="75" t="str">
        <f>IF(Main[[#This Row],[Tech Start Date]]&lt;1/1/1990,"",IF(Main[[#This Row],[Class]]="C",WORKDAY(Main[[#This Row],[Tech Start Date]],23),IF(Main[[#This Row],[Class]]="B", WORKDAY(Main[[#This Row],[Tech Start Date]],15),IF(Main[[#This Row],[Class]]="A",WORKDAY(Main[[#This Row],[Tech Start Date]],5),""))))</f>
        <v/>
      </c>
      <c r="P1277" s="75" t="str">
        <f>IF(Main[[#This Row],[Tech Start Date]]&lt;1/1/1990,"",IF(Main[[#This Row],[Class]]="C",WORKDAY(Main[[#This Row],[Tech Start Date]],28),IF(Main[[#This Row],[Class]]="B", WORKDAY(Main[[#This Row],[Tech Start Date]],19),IF(Main[[#This Row],[Class]]="A",WORKDAY(Main[[#This Row],[Tech Start Date]],9),""))))</f>
        <v/>
      </c>
      <c r="Q1277" s="89">
        <v>41004</v>
      </c>
      <c r="R1277" s="121"/>
      <c r="S1277" s="99" t="s">
        <v>11</v>
      </c>
      <c r="T1277" s="76" t="s">
        <v>4</v>
      </c>
      <c r="U1277" s="99" t="s">
        <v>7</v>
      </c>
      <c r="V1277" s="99" t="s">
        <v>1923</v>
      </c>
      <c r="W1277" s="99" t="s">
        <v>1919</v>
      </c>
      <c r="X1277" s="99" t="s">
        <v>3953</v>
      </c>
      <c r="Y1277" s="73" t="s">
        <v>4</v>
      </c>
      <c r="Z1277" s="73" t="s">
        <v>4</v>
      </c>
      <c r="AA1277" s="99" t="s">
        <v>3953</v>
      </c>
    </row>
    <row r="1278" spans="1:27" ht="17.25" customHeight="1">
      <c r="A1278" s="65" t="str">
        <f>IF(priority(Main[[#This Row],[Comments]])&lt;&gt;0, priority(Main[[#This Row],[Comments]]),"")</f>
        <v/>
      </c>
      <c r="B1278" s="60" t="s">
        <v>3937</v>
      </c>
      <c r="C1278" s="105" t="s">
        <v>3475</v>
      </c>
      <c r="D1278" s="74" t="s">
        <v>3938</v>
      </c>
      <c r="E1278" s="89">
        <v>40968.753009259257</v>
      </c>
      <c r="F1278" s="89">
        <v>41186</v>
      </c>
      <c r="G1278" s="65" t="str">
        <f>IF(stdProdLT(Main[[#This Row],[Comments]])=0.1,"N/A",IF(stdProdLT(Main[[#This Row],[Comments]])=0,"",TRIM(stdProdLT(Main[[#This Row],[Comments]]))))</f>
        <v/>
      </c>
      <c r="H1278" s="98" t="str">
        <f>IF(Main[[#This Row],[Std. Prod. Lead Time]]="N/A", "",IF(AND(Main[[#This Row],[In Stock Date]]&lt;&gt;"",Main[[#This Row],[Revised Due Date]]&lt;&gt;"",Main[[#This Row],[In Stock Date]]&lt;&gt;""),Main[[#This Row],[In Stock Date]]-Main[[#This Row],[Revised Due Date]],""))</f>
        <v/>
      </c>
      <c r="I1278" s="110" t="s">
        <v>4</v>
      </c>
      <c r="J1278" s="99" t="s">
        <v>4</v>
      </c>
      <c r="K1278" s="99" t="s">
        <v>4</v>
      </c>
      <c r="L1278" s="89"/>
      <c r="M1278" s="75" t="str">
        <f>IF(Main[[#This Row],[Tech Start Date]]&lt;1/1/1990,"",IF(Main[[#This Row],[Class]]="C",WORKDAY(Main[[#This Row],[Tech Start Date]],9),IF(Main[[#This Row],[Class]]="B", WORKDAY(Main[[#This Row],[Tech Start Date]],6),IF(Main[[#This Row],[Class]]="A",WORKDAY(Main[[#This Row],[Tech Start Date]],2),""))))</f>
        <v/>
      </c>
      <c r="N1278" s="75" t="str">
        <f>IF(Main[[#This Row],[Tech Start Date]]&lt;1/1/1990,"",IF(Main[[#This Row],[Class]]="C",WORKDAY(Main[[#This Row],[Tech Start Date]],19),IF(Main[[#This Row],[Class]]="B", WORKDAY(Main[[#This Row],[Tech Start Date]],12),IF(Main[[#This Row],[Class]]="A",WORKDAY(Main[[#This Row],[Tech Start Date]],4),""))))</f>
        <v/>
      </c>
      <c r="O1278" s="75" t="str">
        <f>IF(Main[[#This Row],[Tech Start Date]]&lt;1/1/1990,"",IF(Main[[#This Row],[Class]]="C",WORKDAY(Main[[#This Row],[Tech Start Date]],23),IF(Main[[#This Row],[Class]]="B", WORKDAY(Main[[#This Row],[Tech Start Date]],15),IF(Main[[#This Row],[Class]]="A",WORKDAY(Main[[#This Row],[Tech Start Date]],5),""))))</f>
        <v/>
      </c>
      <c r="P1278" s="75" t="str">
        <f>IF(Main[[#This Row],[Tech Start Date]]&lt;1/1/1990,"",IF(Main[[#This Row],[Class]]="C",WORKDAY(Main[[#This Row],[Tech Start Date]],28),IF(Main[[#This Row],[Class]]="B", WORKDAY(Main[[#This Row],[Tech Start Date]],19),IF(Main[[#This Row],[Class]]="A",WORKDAY(Main[[#This Row],[Tech Start Date]],9),""))))</f>
        <v/>
      </c>
      <c r="Q1278" s="89">
        <v>41004</v>
      </c>
      <c r="R1278" s="121"/>
      <c r="S1278" s="99" t="s">
        <v>11</v>
      </c>
      <c r="T1278" s="76" t="s">
        <v>4</v>
      </c>
      <c r="U1278" s="99" t="s">
        <v>7</v>
      </c>
      <c r="V1278" s="99" t="s">
        <v>1916</v>
      </c>
      <c r="W1278" s="99" t="s">
        <v>1921</v>
      </c>
      <c r="X1278" s="99" t="s">
        <v>3477</v>
      </c>
      <c r="Y1278" s="73" t="s">
        <v>4</v>
      </c>
      <c r="Z1278" s="73" t="s">
        <v>4</v>
      </c>
      <c r="AA1278" s="99" t="s">
        <v>3477</v>
      </c>
    </row>
    <row r="1279" spans="1:27" ht="17.25" customHeight="1">
      <c r="A1279" s="65" t="str">
        <f>IF(priority(Main[[#This Row],[Comments]])&lt;&gt;0, priority(Main[[#This Row],[Comments]]),"")</f>
        <v/>
      </c>
      <c r="B1279" s="60" t="s">
        <v>3301</v>
      </c>
      <c r="C1279" s="105" t="s">
        <v>4</v>
      </c>
      <c r="D1279" s="74" t="s">
        <v>3302</v>
      </c>
      <c r="E1279" s="89">
        <v>40933.744606481479</v>
      </c>
      <c r="F1279" s="89"/>
      <c r="G1279" s="65" t="str">
        <f>IF(stdProdLT(Main[[#This Row],[Comments]])=0.1,"N/A",IF(stdProdLT(Main[[#This Row],[Comments]])=0,"",TRIM(stdProdLT(Main[[#This Row],[Comments]]))))</f>
        <v/>
      </c>
      <c r="H1279" s="98" t="str">
        <f>IF(Main[[#This Row],[Std. Prod. Lead Time]]="N/A", "",IF(AND(Main[[#This Row],[In Stock Date]]&lt;&gt;"",Main[[#This Row],[Revised Due Date]]&lt;&gt;"",Main[[#This Row],[In Stock Date]]&lt;&gt;""),Main[[#This Row],[In Stock Date]]-Main[[#This Row],[Revised Due Date]],""))</f>
        <v/>
      </c>
      <c r="I1279" s="110" t="s">
        <v>4</v>
      </c>
      <c r="J1279" s="99" t="s">
        <v>28</v>
      </c>
      <c r="K1279" s="99" t="s">
        <v>1922</v>
      </c>
      <c r="L1279" s="89"/>
      <c r="M1279" s="75" t="str">
        <f>IF(Main[[#This Row],[Tech Start Date]]&lt;1/1/1990,"",IF(Main[[#This Row],[Class]]="C",WORKDAY(Main[[#This Row],[Tech Start Date]],9),IF(Main[[#This Row],[Class]]="B", WORKDAY(Main[[#This Row],[Tech Start Date]],6),IF(Main[[#This Row],[Class]]="A",WORKDAY(Main[[#This Row],[Tech Start Date]],2),""))))</f>
        <v/>
      </c>
      <c r="N1279" s="75" t="str">
        <f>IF(Main[[#This Row],[Tech Start Date]]&lt;1/1/1990,"",IF(Main[[#This Row],[Class]]="C",WORKDAY(Main[[#This Row],[Tech Start Date]],19),IF(Main[[#This Row],[Class]]="B", WORKDAY(Main[[#This Row],[Tech Start Date]],12),IF(Main[[#This Row],[Class]]="A",WORKDAY(Main[[#This Row],[Tech Start Date]],4),""))))</f>
        <v/>
      </c>
      <c r="O1279" s="75" t="str">
        <f>IF(Main[[#This Row],[Tech Start Date]]&lt;1/1/1990,"",IF(Main[[#This Row],[Class]]="C",WORKDAY(Main[[#This Row],[Tech Start Date]],23),IF(Main[[#This Row],[Class]]="B", WORKDAY(Main[[#This Row],[Tech Start Date]],15),IF(Main[[#This Row],[Class]]="A",WORKDAY(Main[[#This Row],[Tech Start Date]],5),""))))</f>
        <v/>
      </c>
      <c r="P1279" s="75" t="str">
        <f>IF(Main[[#This Row],[Tech Start Date]]&lt;1/1/1990,"",IF(Main[[#This Row],[Class]]="C",WORKDAY(Main[[#This Row],[Tech Start Date]],28),IF(Main[[#This Row],[Class]]="B", WORKDAY(Main[[#This Row],[Tech Start Date]],19),IF(Main[[#This Row],[Class]]="A",WORKDAY(Main[[#This Row],[Tech Start Date]],9),""))))</f>
        <v/>
      </c>
      <c r="Q1279" s="89">
        <v>40934</v>
      </c>
      <c r="R1279" s="121"/>
      <c r="S1279" s="99" t="s">
        <v>6</v>
      </c>
      <c r="T1279" s="76" t="s">
        <v>4</v>
      </c>
      <c r="U1279" s="99" t="s">
        <v>29</v>
      </c>
      <c r="V1279" s="99" t="s">
        <v>1913</v>
      </c>
      <c r="W1279" s="99" t="s">
        <v>1917</v>
      </c>
      <c r="X1279" s="99" t="s">
        <v>2889</v>
      </c>
      <c r="Y1279" s="73" t="s">
        <v>3054</v>
      </c>
      <c r="Z1279" s="73" t="s">
        <v>4</v>
      </c>
      <c r="AA1279" s="99" t="s">
        <v>2889</v>
      </c>
    </row>
    <row r="1280" spans="1:27" ht="17.25" customHeight="1">
      <c r="A1280" s="65" t="str">
        <f>IF(priority(Main[[#This Row],[Comments]])&lt;&gt;0, priority(Main[[#This Row],[Comments]]),"")</f>
        <v/>
      </c>
      <c r="B1280" s="60" t="s">
        <v>3565</v>
      </c>
      <c r="C1280" s="105" t="s">
        <v>4</v>
      </c>
      <c r="D1280" s="74" t="s">
        <v>3707</v>
      </c>
      <c r="E1280" s="89">
        <v>40952.339131944442</v>
      </c>
      <c r="F1280" s="89"/>
      <c r="G1280" s="65" t="str">
        <f>IF(stdProdLT(Main[[#This Row],[Comments]])=0.1,"N/A",IF(stdProdLT(Main[[#This Row],[Comments]])=0,"",TRIM(stdProdLT(Main[[#This Row],[Comments]]))))</f>
        <v/>
      </c>
      <c r="H1280" s="98" t="str">
        <f>IF(Main[[#This Row],[Std. Prod. Lead Time]]="N/A", "",IF(AND(Main[[#This Row],[In Stock Date]]&lt;&gt;"",Main[[#This Row],[Revised Due Date]]&lt;&gt;"",Main[[#This Row],[In Stock Date]]&lt;&gt;""),Main[[#This Row],[In Stock Date]]-Main[[#This Row],[Revised Due Date]],""))</f>
        <v/>
      </c>
      <c r="I1280" s="110" t="s">
        <v>69</v>
      </c>
      <c r="J1280" s="99" t="s">
        <v>70</v>
      </c>
      <c r="K1280" s="99" t="s">
        <v>1922</v>
      </c>
      <c r="L1280" s="89"/>
      <c r="M1280" s="75" t="str">
        <f>IF(Main[[#This Row],[Tech Start Date]]&lt;1/1/1990,"",IF(Main[[#This Row],[Class]]="C",WORKDAY(Main[[#This Row],[Tech Start Date]],9),IF(Main[[#This Row],[Class]]="B", WORKDAY(Main[[#This Row],[Tech Start Date]],6),IF(Main[[#This Row],[Class]]="A",WORKDAY(Main[[#This Row],[Tech Start Date]],2),""))))</f>
        <v/>
      </c>
      <c r="N1280" s="75" t="str">
        <f>IF(Main[[#This Row],[Tech Start Date]]&lt;1/1/1990,"",IF(Main[[#This Row],[Class]]="C",WORKDAY(Main[[#This Row],[Tech Start Date]],19),IF(Main[[#This Row],[Class]]="B", WORKDAY(Main[[#This Row],[Tech Start Date]],12),IF(Main[[#This Row],[Class]]="A",WORKDAY(Main[[#This Row],[Tech Start Date]],4),""))))</f>
        <v/>
      </c>
      <c r="O1280" s="75" t="str">
        <f>IF(Main[[#This Row],[Tech Start Date]]&lt;1/1/1990,"",IF(Main[[#This Row],[Class]]="C",WORKDAY(Main[[#This Row],[Tech Start Date]],23),IF(Main[[#This Row],[Class]]="B", WORKDAY(Main[[#This Row],[Tech Start Date]],15),IF(Main[[#This Row],[Class]]="A",WORKDAY(Main[[#This Row],[Tech Start Date]],5),""))))</f>
        <v/>
      </c>
      <c r="P1280" s="75" t="str">
        <f>IF(Main[[#This Row],[Tech Start Date]]&lt;1/1/1990,"",IF(Main[[#This Row],[Class]]="C",WORKDAY(Main[[#This Row],[Tech Start Date]],28),IF(Main[[#This Row],[Class]]="B", WORKDAY(Main[[#This Row],[Tech Start Date]],19),IF(Main[[#This Row],[Class]]="A",WORKDAY(Main[[#This Row],[Tech Start Date]],9),""))))</f>
        <v/>
      </c>
      <c r="Q1280" s="89">
        <v>40984</v>
      </c>
      <c r="R1280" s="121"/>
      <c r="S1280" s="99" t="s">
        <v>6</v>
      </c>
      <c r="T1280" s="76" t="s">
        <v>4</v>
      </c>
      <c r="U1280" s="99" t="s">
        <v>29</v>
      </c>
      <c r="V1280" s="99" t="s">
        <v>1916</v>
      </c>
      <c r="W1280" s="99" t="s">
        <v>1917</v>
      </c>
      <c r="X1280" s="99" t="s">
        <v>2897</v>
      </c>
      <c r="Y1280" s="73" t="s">
        <v>3077</v>
      </c>
      <c r="Z1280" s="73" t="s">
        <v>30</v>
      </c>
      <c r="AA1280" s="99" t="s">
        <v>2897</v>
      </c>
    </row>
    <row r="1281" spans="1:27" ht="17.25" customHeight="1">
      <c r="A1281" s="65" t="str">
        <f>IF(priority(Main[[#This Row],[Comments]])&lt;&gt;0, priority(Main[[#This Row],[Comments]]),"")</f>
        <v/>
      </c>
      <c r="B1281" s="60" t="s">
        <v>1847</v>
      </c>
      <c r="C1281" s="105" t="s">
        <v>4</v>
      </c>
      <c r="D1281" s="74" t="s">
        <v>904</v>
      </c>
      <c r="E1281" s="89">
        <v>39968.569513888891</v>
      </c>
      <c r="F1281" s="89">
        <v>40298</v>
      </c>
      <c r="G1281" s="65" t="str">
        <f>IF(stdProdLT(Main[[#This Row],[Comments]])=0.1,"N/A",IF(stdProdLT(Main[[#This Row],[Comments]])=0,"",TRIM(stdProdLT(Main[[#This Row],[Comments]]))))</f>
        <v/>
      </c>
      <c r="H1281" s="98">
        <f>IF(Main[[#This Row],[Std. Prod. Lead Time]]="N/A", "",IF(AND(Main[[#This Row],[In Stock Date]]&lt;&gt;"",Main[[#This Row],[Revised Due Date]]&lt;&gt;"",Main[[#This Row],[In Stock Date]]&lt;&gt;""),Main[[#This Row],[In Stock Date]]-Main[[#This Row],[Revised Due Date]],""))</f>
        <v>-704</v>
      </c>
      <c r="I1281" s="110" t="s">
        <v>974</v>
      </c>
      <c r="J1281" s="99" t="s">
        <v>4</v>
      </c>
      <c r="K1281" s="99" t="s">
        <v>1925</v>
      </c>
      <c r="L1281" s="89"/>
      <c r="M1281" s="75" t="str">
        <f>IF(Main[[#This Row],[Tech Start Date]]&lt;1/1/1990,"",IF(Main[[#This Row],[Class]]="C",WORKDAY(Main[[#This Row],[Tech Start Date]],9),IF(Main[[#This Row],[Class]]="B", WORKDAY(Main[[#This Row],[Tech Start Date]],6),IF(Main[[#This Row],[Class]]="A",WORKDAY(Main[[#This Row],[Tech Start Date]],2),""))))</f>
        <v/>
      </c>
      <c r="N1281" s="75" t="str">
        <f>IF(Main[[#This Row],[Tech Start Date]]&lt;1/1/1990,"",IF(Main[[#This Row],[Class]]="C",WORKDAY(Main[[#This Row],[Tech Start Date]],19),IF(Main[[#This Row],[Class]]="B", WORKDAY(Main[[#This Row],[Tech Start Date]],12),IF(Main[[#This Row],[Class]]="A",WORKDAY(Main[[#This Row],[Tech Start Date]],4),""))))</f>
        <v/>
      </c>
      <c r="O1281" s="75" t="str">
        <f>IF(Main[[#This Row],[Tech Start Date]]&lt;1/1/1990,"",IF(Main[[#This Row],[Class]]="C",WORKDAY(Main[[#This Row],[Tech Start Date]],23),IF(Main[[#This Row],[Class]]="B", WORKDAY(Main[[#This Row],[Tech Start Date]],15),IF(Main[[#This Row],[Class]]="A",WORKDAY(Main[[#This Row],[Tech Start Date]],5),""))))</f>
        <v/>
      </c>
      <c r="P1281" s="75" t="str">
        <f>IF(Main[[#This Row],[Tech Start Date]]&lt;1/1/1990,"",IF(Main[[#This Row],[Class]]="C",WORKDAY(Main[[#This Row],[Tech Start Date]],28),IF(Main[[#This Row],[Class]]="B", WORKDAY(Main[[#This Row],[Tech Start Date]],19),IF(Main[[#This Row],[Class]]="A",WORKDAY(Main[[#This Row],[Tech Start Date]],9),""))))</f>
        <v/>
      </c>
      <c r="Q1281" s="89">
        <v>40165</v>
      </c>
      <c r="R1281" s="121">
        <v>41002</v>
      </c>
      <c r="S1281" s="99" t="s">
        <v>17</v>
      </c>
      <c r="T1281" s="76" t="s">
        <v>4</v>
      </c>
      <c r="U1281" s="99" t="s">
        <v>29</v>
      </c>
      <c r="V1281" s="99" t="s">
        <v>1916</v>
      </c>
      <c r="W1281" s="99" t="s">
        <v>1918</v>
      </c>
      <c r="X1281" s="99" t="s">
        <v>968</v>
      </c>
      <c r="Y1281" s="73" t="s">
        <v>3109</v>
      </c>
      <c r="Z1281" s="73" t="s">
        <v>415</v>
      </c>
      <c r="AA1281" s="99" t="s">
        <v>968</v>
      </c>
    </row>
    <row r="1282" spans="1:27" ht="17.25" customHeight="1">
      <c r="A1282" s="65" t="str">
        <f>IF(priority(Main[[#This Row],[Comments]])&lt;&gt;0, priority(Main[[#This Row],[Comments]]),"")</f>
        <v/>
      </c>
      <c r="B1282" s="60" t="s">
        <v>3931</v>
      </c>
      <c r="C1282" s="105" t="s">
        <v>3932</v>
      </c>
      <c r="D1282" s="74" t="s">
        <v>3933</v>
      </c>
      <c r="E1282" s="89">
        <v>40968.612673611111</v>
      </c>
      <c r="F1282" s="89">
        <v>40970</v>
      </c>
      <c r="G1282" s="65" t="str">
        <f>IF(stdProdLT(Main[[#This Row],[Comments]])=0.1,"N/A",IF(stdProdLT(Main[[#This Row],[Comments]])=0,"",TRIM(stdProdLT(Main[[#This Row],[Comments]]))))</f>
        <v/>
      </c>
      <c r="H1282" s="98" t="str">
        <f>IF(Main[[#This Row],[Std. Prod. Lead Time]]="N/A", "",IF(AND(Main[[#This Row],[In Stock Date]]&lt;&gt;"",Main[[#This Row],[Revised Due Date]]&lt;&gt;"",Main[[#This Row],[In Stock Date]]&lt;&gt;""),Main[[#This Row],[In Stock Date]]-Main[[#This Row],[Revised Due Date]],""))</f>
        <v/>
      </c>
      <c r="I1282" s="110" t="s">
        <v>4</v>
      </c>
      <c r="J1282" s="99" t="s">
        <v>4</v>
      </c>
      <c r="K1282" s="99" t="s">
        <v>4</v>
      </c>
      <c r="L1282" s="89"/>
      <c r="M1282" s="75" t="str">
        <f>IF(Main[[#This Row],[Tech Start Date]]&lt;1/1/1990,"",IF(Main[[#This Row],[Class]]="C",WORKDAY(Main[[#This Row],[Tech Start Date]],9),IF(Main[[#This Row],[Class]]="B", WORKDAY(Main[[#This Row],[Tech Start Date]],6),IF(Main[[#This Row],[Class]]="A",WORKDAY(Main[[#This Row],[Tech Start Date]],2),""))))</f>
        <v/>
      </c>
      <c r="N1282" s="75" t="str">
        <f>IF(Main[[#This Row],[Tech Start Date]]&lt;1/1/1990,"",IF(Main[[#This Row],[Class]]="C",WORKDAY(Main[[#This Row],[Tech Start Date]],19),IF(Main[[#This Row],[Class]]="B", WORKDAY(Main[[#This Row],[Tech Start Date]],12),IF(Main[[#This Row],[Class]]="A",WORKDAY(Main[[#This Row],[Tech Start Date]],4),""))))</f>
        <v/>
      </c>
      <c r="O1282" s="75" t="str">
        <f>IF(Main[[#This Row],[Tech Start Date]]&lt;1/1/1990,"",IF(Main[[#This Row],[Class]]="C",WORKDAY(Main[[#This Row],[Tech Start Date]],23),IF(Main[[#This Row],[Class]]="B", WORKDAY(Main[[#This Row],[Tech Start Date]],15),IF(Main[[#This Row],[Class]]="A",WORKDAY(Main[[#This Row],[Tech Start Date]],5),""))))</f>
        <v/>
      </c>
      <c r="P1282" s="75" t="str">
        <f>IF(Main[[#This Row],[Tech Start Date]]&lt;1/1/1990,"",IF(Main[[#This Row],[Class]]="C",WORKDAY(Main[[#This Row],[Tech Start Date]],28),IF(Main[[#This Row],[Class]]="B", WORKDAY(Main[[#This Row],[Tech Start Date]],19),IF(Main[[#This Row],[Class]]="A",WORKDAY(Main[[#This Row],[Tech Start Date]],9),""))))</f>
        <v/>
      </c>
      <c r="Q1282" s="89">
        <v>40969</v>
      </c>
      <c r="R1282" s="121"/>
      <c r="S1282" s="99" t="s">
        <v>11</v>
      </c>
      <c r="T1282" s="76" t="s">
        <v>4</v>
      </c>
      <c r="U1282" s="99" t="s">
        <v>7</v>
      </c>
      <c r="V1282" s="99" t="s">
        <v>1914</v>
      </c>
      <c r="W1282" s="99" t="s">
        <v>1915</v>
      </c>
      <c r="X1282" s="99" t="s">
        <v>2818</v>
      </c>
      <c r="Y1282" s="73" t="s">
        <v>2937</v>
      </c>
      <c r="Z1282" s="73" t="s">
        <v>4</v>
      </c>
      <c r="AA1282" s="99" t="s">
        <v>2818</v>
      </c>
    </row>
    <row r="1283" spans="1:27" ht="17.25" customHeight="1">
      <c r="A1283" s="65" t="str">
        <f>IF(priority(Main[[#This Row],[Comments]])&lt;&gt;0, priority(Main[[#This Row],[Comments]]),"")</f>
        <v/>
      </c>
      <c r="B1283" s="60" t="s">
        <v>3269</v>
      </c>
      <c r="C1283" s="105" t="s">
        <v>4</v>
      </c>
      <c r="D1283" s="74" t="s">
        <v>3703</v>
      </c>
      <c r="E1283" s="89">
        <v>40934.381273148145</v>
      </c>
      <c r="F1283" s="89"/>
      <c r="G1283" s="65" t="str">
        <f>IF(stdProdLT(Main[[#This Row],[Comments]])=0.1,"N/A",IF(stdProdLT(Main[[#This Row],[Comments]])=0,"",TRIM(stdProdLT(Main[[#This Row],[Comments]]))))</f>
        <v/>
      </c>
      <c r="H1283" s="98" t="str">
        <f>IF(Main[[#This Row],[Std. Prod. Lead Time]]="N/A", "",IF(AND(Main[[#This Row],[In Stock Date]]&lt;&gt;"",Main[[#This Row],[Revised Due Date]]&lt;&gt;"",Main[[#This Row],[In Stock Date]]&lt;&gt;""),Main[[#This Row],[In Stock Date]]-Main[[#This Row],[Revised Due Date]],""))</f>
        <v/>
      </c>
      <c r="I1283" s="110" t="s">
        <v>69</v>
      </c>
      <c r="J1283" s="99" t="s">
        <v>70</v>
      </c>
      <c r="K1283" s="99" t="s">
        <v>1922</v>
      </c>
      <c r="L1283" s="89"/>
      <c r="M1283" s="75" t="str">
        <f>IF(Main[[#This Row],[Tech Start Date]]&lt;1/1/1990,"",IF(Main[[#This Row],[Class]]="C",WORKDAY(Main[[#This Row],[Tech Start Date]],9),IF(Main[[#This Row],[Class]]="B", WORKDAY(Main[[#This Row],[Tech Start Date]],6),IF(Main[[#This Row],[Class]]="A",WORKDAY(Main[[#This Row],[Tech Start Date]],2),""))))</f>
        <v/>
      </c>
      <c r="N1283" s="75" t="str">
        <f>IF(Main[[#This Row],[Tech Start Date]]&lt;1/1/1990,"",IF(Main[[#This Row],[Class]]="C",WORKDAY(Main[[#This Row],[Tech Start Date]],19),IF(Main[[#This Row],[Class]]="B", WORKDAY(Main[[#This Row],[Tech Start Date]],12),IF(Main[[#This Row],[Class]]="A",WORKDAY(Main[[#This Row],[Tech Start Date]],4),""))))</f>
        <v/>
      </c>
      <c r="O1283" s="75" t="str">
        <f>IF(Main[[#This Row],[Tech Start Date]]&lt;1/1/1990,"",IF(Main[[#This Row],[Class]]="C",WORKDAY(Main[[#This Row],[Tech Start Date]],23),IF(Main[[#This Row],[Class]]="B", WORKDAY(Main[[#This Row],[Tech Start Date]],15),IF(Main[[#This Row],[Class]]="A",WORKDAY(Main[[#This Row],[Tech Start Date]],5),""))))</f>
        <v/>
      </c>
      <c r="P1283" s="75" t="str">
        <f>IF(Main[[#This Row],[Tech Start Date]]&lt;1/1/1990,"",IF(Main[[#This Row],[Class]]="C",WORKDAY(Main[[#This Row],[Tech Start Date]],28),IF(Main[[#This Row],[Class]]="B", WORKDAY(Main[[#This Row],[Tech Start Date]],19),IF(Main[[#This Row],[Class]]="A",WORKDAY(Main[[#This Row],[Tech Start Date]],9),""))))</f>
        <v/>
      </c>
      <c r="Q1283" s="89">
        <v>40968</v>
      </c>
      <c r="R1283" s="121"/>
      <c r="S1283" s="99" t="s">
        <v>6</v>
      </c>
      <c r="T1283" s="76" t="s">
        <v>4</v>
      </c>
      <c r="U1283" s="99" t="s">
        <v>29</v>
      </c>
      <c r="V1283" s="99" t="s">
        <v>1916</v>
      </c>
      <c r="W1283" s="99" t="s">
        <v>1917</v>
      </c>
      <c r="X1283" s="99" t="s">
        <v>2812</v>
      </c>
      <c r="Y1283" s="73" t="s">
        <v>2923</v>
      </c>
      <c r="Z1283" s="73" t="s">
        <v>30</v>
      </c>
      <c r="AA1283" s="99" t="s">
        <v>2812</v>
      </c>
    </row>
    <row r="1284" spans="1:27" ht="17.25" customHeight="1">
      <c r="A1284" s="65" t="str">
        <f>IF(priority(Main[[#This Row],[Comments]])&lt;&gt;0, priority(Main[[#This Row],[Comments]]),"")</f>
        <v/>
      </c>
      <c r="B1284" s="60" t="s">
        <v>3502</v>
      </c>
      <c r="C1284" s="105" t="s">
        <v>4</v>
      </c>
      <c r="D1284" s="74" t="s">
        <v>3704</v>
      </c>
      <c r="E1284" s="89">
        <v>40942.368715277778</v>
      </c>
      <c r="F1284" s="89"/>
      <c r="G1284" s="65" t="str">
        <f>IF(stdProdLT(Main[[#This Row],[Comments]])=0.1,"N/A",IF(stdProdLT(Main[[#This Row],[Comments]])=0,"",TRIM(stdProdLT(Main[[#This Row],[Comments]]))))</f>
        <v/>
      </c>
      <c r="H1284" s="98" t="str">
        <f>IF(Main[[#This Row],[Std. Prod. Lead Time]]="N/A", "",IF(AND(Main[[#This Row],[In Stock Date]]&lt;&gt;"",Main[[#This Row],[Revised Due Date]]&lt;&gt;"",Main[[#This Row],[In Stock Date]]&lt;&gt;""),Main[[#This Row],[In Stock Date]]-Main[[#This Row],[Revised Due Date]],""))</f>
        <v/>
      </c>
      <c r="I1284" s="110" t="s">
        <v>69</v>
      </c>
      <c r="J1284" s="99" t="s">
        <v>70</v>
      </c>
      <c r="K1284" s="99" t="s">
        <v>1922</v>
      </c>
      <c r="L1284" s="89"/>
      <c r="M1284" s="75" t="str">
        <f>IF(Main[[#This Row],[Tech Start Date]]&lt;1/1/1990,"",IF(Main[[#This Row],[Class]]="C",WORKDAY(Main[[#This Row],[Tech Start Date]],9),IF(Main[[#This Row],[Class]]="B", WORKDAY(Main[[#This Row],[Tech Start Date]],6),IF(Main[[#This Row],[Class]]="A",WORKDAY(Main[[#This Row],[Tech Start Date]],2),""))))</f>
        <v/>
      </c>
      <c r="N1284" s="75" t="str">
        <f>IF(Main[[#This Row],[Tech Start Date]]&lt;1/1/1990,"",IF(Main[[#This Row],[Class]]="C",WORKDAY(Main[[#This Row],[Tech Start Date]],19),IF(Main[[#This Row],[Class]]="B", WORKDAY(Main[[#This Row],[Tech Start Date]],12),IF(Main[[#This Row],[Class]]="A",WORKDAY(Main[[#This Row],[Tech Start Date]],4),""))))</f>
        <v/>
      </c>
      <c r="O1284" s="75" t="str">
        <f>IF(Main[[#This Row],[Tech Start Date]]&lt;1/1/1990,"",IF(Main[[#This Row],[Class]]="C",WORKDAY(Main[[#This Row],[Tech Start Date]],23),IF(Main[[#This Row],[Class]]="B", WORKDAY(Main[[#This Row],[Tech Start Date]],15),IF(Main[[#This Row],[Class]]="A",WORKDAY(Main[[#This Row],[Tech Start Date]],5),""))))</f>
        <v/>
      </c>
      <c r="P1284" s="75" t="str">
        <f>IF(Main[[#This Row],[Tech Start Date]]&lt;1/1/1990,"",IF(Main[[#This Row],[Class]]="C",WORKDAY(Main[[#This Row],[Tech Start Date]],28),IF(Main[[#This Row],[Class]]="B", WORKDAY(Main[[#This Row],[Tech Start Date]],19),IF(Main[[#This Row],[Class]]="A",WORKDAY(Main[[#This Row],[Tech Start Date]],9),""))))</f>
        <v/>
      </c>
      <c r="Q1284" s="89">
        <v>40977</v>
      </c>
      <c r="R1284" s="121"/>
      <c r="S1284" s="99" t="s">
        <v>6</v>
      </c>
      <c r="T1284" s="76" t="s">
        <v>4</v>
      </c>
      <c r="U1284" s="99" t="s">
        <v>29</v>
      </c>
      <c r="V1284" s="99" t="s">
        <v>1916</v>
      </c>
      <c r="W1284" s="99" t="s">
        <v>1917</v>
      </c>
      <c r="X1284" s="99" t="s">
        <v>2812</v>
      </c>
      <c r="Y1284" s="73" t="s">
        <v>2923</v>
      </c>
      <c r="Z1284" s="73" t="s">
        <v>30</v>
      </c>
      <c r="AA1284" s="99" t="s">
        <v>2812</v>
      </c>
    </row>
    <row r="1285" spans="1:27" ht="17.25" customHeight="1">
      <c r="A1285" s="65" t="str">
        <f>IF(priority(Main[[#This Row],[Comments]])&lt;&gt;0, priority(Main[[#This Row],[Comments]]),"")</f>
        <v/>
      </c>
      <c r="B1285" s="60" t="s">
        <v>1844</v>
      </c>
      <c r="C1285" s="105" t="s">
        <v>67</v>
      </c>
      <c r="D1285" s="74" t="s">
        <v>2575</v>
      </c>
      <c r="E1285" s="89">
        <v>40343.573750000003</v>
      </c>
      <c r="F1285" s="89"/>
      <c r="G1285" s="65" t="str">
        <f>IF(stdProdLT(Main[[#This Row],[Comments]])=0.1,"N/A",IF(stdProdLT(Main[[#This Row],[Comments]])=0,"",TRIM(stdProdLT(Main[[#This Row],[Comments]]))))</f>
        <v/>
      </c>
      <c r="H1285" s="98" t="str">
        <f>IF(Main[[#This Row],[Std. Prod. Lead Time]]="N/A", "",IF(AND(Main[[#This Row],[In Stock Date]]&lt;&gt;"",Main[[#This Row],[Revised Due Date]]&lt;&gt;"",Main[[#This Row],[In Stock Date]]&lt;&gt;""),Main[[#This Row],[In Stock Date]]-Main[[#This Row],[Revised Due Date]],""))</f>
        <v/>
      </c>
      <c r="I1285" s="110" t="s">
        <v>74</v>
      </c>
      <c r="J1285" s="99" t="s">
        <v>28</v>
      </c>
      <c r="K1285" s="99" t="s">
        <v>1925</v>
      </c>
      <c r="L1285" s="89"/>
      <c r="M1285" s="75" t="str">
        <f>IF(Main[[#This Row],[Tech Start Date]]&lt;1/1/1990,"",IF(Main[[#This Row],[Class]]="C",WORKDAY(Main[[#This Row],[Tech Start Date]],9),IF(Main[[#This Row],[Class]]="B", WORKDAY(Main[[#This Row],[Tech Start Date]],6),IF(Main[[#This Row],[Class]]="A",WORKDAY(Main[[#This Row],[Tech Start Date]],2),""))))</f>
        <v/>
      </c>
      <c r="N1285" s="75" t="str">
        <f>IF(Main[[#This Row],[Tech Start Date]]&lt;1/1/1990,"",IF(Main[[#This Row],[Class]]="C",WORKDAY(Main[[#This Row],[Tech Start Date]],19),IF(Main[[#This Row],[Class]]="B", WORKDAY(Main[[#This Row],[Tech Start Date]],12),IF(Main[[#This Row],[Class]]="A",WORKDAY(Main[[#This Row],[Tech Start Date]],4),""))))</f>
        <v/>
      </c>
      <c r="O1285" s="75" t="str">
        <f>IF(Main[[#This Row],[Tech Start Date]]&lt;1/1/1990,"",IF(Main[[#This Row],[Class]]="C",WORKDAY(Main[[#This Row],[Tech Start Date]],23),IF(Main[[#This Row],[Class]]="B", WORKDAY(Main[[#This Row],[Tech Start Date]],15),IF(Main[[#This Row],[Class]]="A",WORKDAY(Main[[#This Row],[Tech Start Date]],5),""))))</f>
        <v/>
      </c>
      <c r="P1285" s="75" t="str">
        <f>IF(Main[[#This Row],[Tech Start Date]]&lt;1/1/1990,"",IF(Main[[#This Row],[Class]]="C",WORKDAY(Main[[#This Row],[Tech Start Date]],28),IF(Main[[#This Row],[Class]]="B", WORKDAY(Main[[#This Row],[Tech Start Date]],19),IF(Main[[#This Row],[Class]]="A",WORKDAY(Main[[#This Row],[Tech Start Date]],9),""))))</f>
        <v/>
      </c>
      <c r="Q1285" s="89">
        <v>40466</v>
      </c>
      <c r="R1285" s="121">
        <v>40868</v>
      </c>
      <c r="S1285" s="99" t="s">
        <v>17</v>
      </c>
      <c r="T1285" s="76" t="s">
        <v>4</v>
      </c>
      <c r="U1285" s="99" t="s">
        <v>29</v>
      </c>
      <c r="V1285" s="99" t="s">
        <v>1916</v>
      </c>
      <c r="W1285" s="99" t="s">
        <v>1919</v>
      </c>
      <c r="X1285" s="99" t="s">
        <v>306</v>
      </c>
      <c r="Y1285" s="73" t="s">
        <v>2943</v>
      </c>
      <c r="Z1285" s="73" t="s">
        <v>415</v>
      </c>
      <c r="AA1285" s="99" t="s">
        <v>415</v>
      </c>
    </row>
    <row r="1286" spans="1:27" ht="17.25" customHeight="1">
      <c r="A1286" s="65" t="str">
        <f>IF(priority(Main[[#This Row],[Comments]])&lt;&gt;0, priority(Main[[#This Row],[Comments]]),"")</f>
        <v/>
      </c>
      <c r="B1286" s="60" t="s">
        <v>1458</v>
      </c>
      <c r="C1286" s="105" t="s">
        <v>197</v>
      </c>
      <c r="D1286" s="74" t="s">
        <v>2513</v>
      </c>
      <c r="E1286" s="89">
        <v>40711.410266203704</v>
      </c>
      <c r="F1286" s="89"/>
      <c r="G1286" s="65" t="str">
        <f>IF(stdProdLT(Main[[#This Row],[Comments]])=0.1,"N/A",IF(stdProdLT(Main[[#This Row],[Comments]])=0,"",TRIM(stdProdLT(Main[[#This Row],[Comments]]))))</f>
        <v/>
      </c>
      <c r="H1286" s="98" t="str">
        <f>IF(Main[[#This Row],[Std. Prod. Lead Time]]="N/A", "",IF(AND(Main[[#This Row],[In Stock Date]]&lt;&gt;"",Main[[#This Row],[Revised Due Date]]&lt;&gt;"",Main[[#This Row],[In Stock Date]]&lt;&gt;""),Main[[#This Row],[In Stock Date]]-Main[[#This Row],[Revised Due Date]],""))</f>
        <v/>
      </c>
      <c r="I1286" s="110" t="s">
        <v>4</v>
      </c>
      <c r="J1286" s="99" t="s">
        <v>4</v>
      </c>
      <c r="K1286" s="99" t="s">
        <v>4</v>
      </c>
      <c r="L1286" s="89"/>
      <c r="M1286" s="75" t="str">
        <f>IF(Main[[#This Row],[Tech Start Date]]&lt;1/1/1990,"",IF(Main[[#This Row],[Class]]="C",WORKDAY(Main[[#This Row],[Tech Start Date]],9),IF(Main[[#This Row],[Class]]="B", WORKDAY(Main[[#This Row],[Tech Start Date]],6),IF(Main[[#This Row],[Class]]="A",WORKDAY(Main[[#This Row],[Tech Start Date]],2),""))))</f>
        <v/>
      </c>
      <c r="N1286" s="75" t="str">
        <f>IF(Main[[#This Row],[Tech Start Date]]&lt;1/1/1990,"",IF(Main[[#This Row],[Class]]="C",WORKDAY(Main[[#This Row],[Tech Start Date]],19),IF(Main[[#This Row],[Class]]="B", WORKDAY(Main[[#This Row],[Tech Start Date]],12),IF(Main[[#This Row],[Class]]="A",WORKDAY(Main[[#This Row],[Tech Start Date]],4),""))))</f>
        <v/>
      </c>
      <c r="O1286" s="75" t="str">
        <f>IF(Main[[#This Row],[Tech Start Date]]&lt;1/1/1990,"",IF(Main[[#This Row],[Class]]="C",WORKDAY(Main[[#This Row],[Tech Start Date]],23),IF(Main[[#This Row],[Class]]="B", WORKDAY(Main[[#This Row],[Tech Start Date]],15),IF(Main[[#This Row],[Class]]="A",WORKDAY(Main[[#This Row],[Tech Start Date]],5),""))))</f>
        <v/>
      </c>
      <c r="P1286" s="75" t="str">
        <f>IF(Main[[#This Row],[Tech Start Date]]&lt;1/1/1990,"",IF(Main[[#This Row],[Class]]="C",WORKDAY(Main[[#This Row],[Tech Start Date]],28),IF(Main[[#This Row],[Class]]="B", WORKDAY(Main[[#This Row],[Tech Start Date]],19),IF(Main[[#This Row],[Class]]="A",WORKDAY(Main[[#This Row],[Tech Start Date]],9),""))))</f>
        <v/>
      </c>
      <c r="Q1286" s="89">
        <v>40846</v>
      </c>
      <c r="R1286" s="121"/>
      <c r="S1286" s="99" t="s">
        <v>17</v>
      </c>
      <c r="T1286" s="76" t="s">
        <v>4</v>
      </c>
      <c r="U1286" s="99" t="s">
        <v>29</v>
      </c>
      <c r="V1286" s="99" t="s">
        <v>1916</v>
      </c>
      <c r="W1286" s="99" t="s">
        <v>1921</v>
      </c>
      <c r="X1286" s="99" t="s">
        <v>553</v>
      </c>
      <c r="Y1286" s="73" t="s">
        <v>2946</v>
      </c>
      <c r="Z1286" s="73" t="s">
        <v>4</v>
      </c>
      <c r="AA1286" s="99" t="s">
        <v>553</v>
      </c>
    </row>
    <row r="1287" spans="1:27" ht="17.25" customHeight="1">
      <c r="A1287" s="65" t="str">
        <f>IF(priority(Main[[#This Row],[Comments]])&lt;&gt;0, priority(Main[[#This Row],[Comments]]),"")</f>
        <v/>
      </c>
      <c r="B1287" s="60" t="s">
        <v>2572</v>
      </c>
      <c r="C1287" s="105" t="s">
        <v>4</v>
      </c>
      <c r="D1287" s="74" t="s">
        <v>726</v>
      </c>
      <c r="E1287" s="89"/>
      <c r="F1287" s="89"/>
      <c r="G1287" s="65" t="str">
        <f>IF(stdProdLT(Main[[#This Row],[Comments]])=0.1,"N/A",IF(stdProdLT(Main[[#This Row],[Comments]])=0,"",TRIM(stdProdLT(Main[[#This Row],[Comments]]))))</f>
        <v/>
      </c>
      <c r="H1287" s="98" t="str">
        <f>IF(Main[[#This Row],[Std. Prod. Lead Time]]="N/A", "",IF(AND(Main[[#This Row],[In Stock Date]]&lt;&gt;"",Main[[#This Row],[Revised Due Date]]&lt;&gt;"",Main[[#This Row],[In Stock Date]]&lt;&gt;""),Main[[#This Row],[In Stock Date]]-Main[[#This Row],[Revised Due Date]],""))</f>
        <v/>
      </c>
      <c r="I1287" s="110" t="s">
        <v>4</v>
      </c>
      <c r="J1287" s="99" t="s">
        <v>4</v>
      </c>
      <c r="K1287" s="99" t="s">
        <v>4</v>
      </c>
      <c r="L1287" s="89"/>
      <c r="M1287" s="75" t="str">
        <f>IF(Main[[#This Row],[Tech Start Date]]&lt;1/1/1990,"",IF(Main[[#This Row],[Class]]="C",WORKDAY(Main[[#This Row],[Tech Start Date]],9),IF(Main[[#This Row],[Class]]="B", WORKDAY(Main[[#This Row],[Tech Start Date]],6),IF(Main[[#This Row],[Class]]="A",WORKDAY(Main[[#This Row],[Tech Start Date]],2),""))))</f>
        <v/>
      </c>
      <c r="N1287" s="75" t="str">
        <f>IF(Main[[#This Row],[Tech Start Date]]&lt;1/1/1990,"",IF(Main[[#This Row],[Class]]="C",WORKDAY(Main[[#This Row],[Tech Start Date]],19),IF(Main[[#This Row],[Class]]="B", WORKDAY(Main[[#This Row],[Tech Start Date]],12),IF(Main[[#This Row],[Class]]="A",WORKDAY(Main[[#This Row],[Tech Start Date]],4),""))))</f>
        <v/>
      </c>
      <c r="O1287" s="75" t="str">
        <f>IF(Main[[#This Row],[Tech Start Date]]&lt;1/1/1990,"",IF(Main[[#This Row],[Class]]="C",WORKDAY(Main[[#This Row],[Tech Start Date]],23),IF(Main[[#This Row],[Class]]="B", WORKDAY(Main[[#This Row],[Tech Start Date]],15),IF(Main[[#This Row],[Class]]="A",WORKDAY(Main[[#This Row],[Tech Start Date]],5),""))))</f>
        <v/>
      </c>
      <c r="P1287" s="75" t="str">
        <f>IF(Main[[#This Row],[Tech Start Date]]&lt;1/1/1990,"",IF(Main[[#This Row],[Class]]="C",WORKDAY(Main[[#This Row],[Tech Start Date]],28),IF(Main[[#This Row],[Class]]="B", WORKDAY(Main[[#This Row],[Tech Start Date]],19),IF(Main[[#This Row],[Class]]="A",WORKDAY(Main[[#This Row],[Tech Start Date]],9),""))))</f>
        <v/>
      </c>
      <c r="Q1287" s="89"/>
      <c r="R1287" s="121"/>
      <c r="S1287" s="99" t="s">
        <v>4</v>
      </c>
      <c r="T1287" s="76" t="s">
        <v>4</v>
      </c>
      <c r="U1287" s="99" t="s">
        <v>14</v>
      </c>
      <c r="V1287" s="99" t="s">
        <v>1916</v>
      </c>
      <c r="W1287" s="99" t="s">
        <v>4</v>
      </c>
      <c r="X1287" s="99" t="s">
        <v>306</v>
      </c>
      <c r="Y1287" s="73" t="s">
        <v>4</v>
      </c>
      <c r="Z1287" s="73" t="s">
        <v>4</v>
      </c>
      <c r="AA1287" s="99" t="s">
        <v>4</v>
      </c>
    </row>
    <row r="1288" spans="1:27" ht="17.25" customHeight="1">
      <c r="A1288" s="65" t="str">
        <f>IF(priority(Main[[#This Row],[Comments]])&lt;&gt;0, priority(Main[[#This Row],[Comments]]),"")</f>
        <v/>
      </c>
      <c r="B1288" s="60" t="s">
        <v>3354</v>
      </c>
      <c r="C1288" s="105" t="s">
        <v>47</v>
      </c>
      <c r="D1288" s="74" t="s">
        <v>3355</v>
      </c>
      <c r="E1288" s="89">
        <v>40938.56958333333</v>
      </c>
      <c r="F1288" s="89"/>
      <c r="G1288" s="65" t="str">
        <f>IF(stdProdLT(Main[[#This Row],[Comments]])=0.1,"N/A",IF(stdProdLT(Main[[#This Row],[Comments]])=0,"",TRIM(stdProdLT(Main[[#This Row],[Comments]]))))</f>
        <v/>
      </c>
      <c r="H1288" s="98" t="str">
        <f>IF(Main[[#This Row],[Std. Prod. Lead Time]]="N/A", "",IF(AND(Main[[#This Row],[In Stock Date]]&lt;&gt;"",Main[[#This Row],[Revised Due Date]]&lt;&gt;"",Main[[#This Row],[In Stock Date]]&lt;&gt;""),Main[[#This Row],[In Stock Date]]-Main[[#This Row],[Revised Due Date]],""))</f>
        <v/>
      </c>
      <c r="I1288" s="110" t="s">
        <v>4</v>
      </c>
      <c r="J1288" s="99" t="s">
        <v>4</v>
      </c>
      <c r="K1288" s="99" t="s">
        <v>4</v>
      </c>
      <c r="L1288" s="89"/>
      <c r="M1288" s="75" t="str">
        <f>IF(Main[[#This Row],[Tech Start Date]]&lt;1/1/1990,"",IF(Main[[#This Row],[Class]]="C",WORKDAY(Main[[#This Row],[Tech Start Date]],9),IF(Main[[#This Row],[Class]]="B", WORKDAY(Main[[#This Row],[Tech Start Date]],6),IF(Main[[#This Row],[Class]]="A",WORKDAY(Main[[#This Row],[Tech Start Date]],2),""))))</f>
        <v/>
      </c>
      <c r="N1288" s="75" t="str">
        <f>IF(Main[[#This Row],[Tech Start Date]]&lt;1/1/1990,"",IF(Main[[#This Row],[Class]]="C",WORKDAY(Main[[#This Row],[Tech Start Date]],19),IF(Main[[#This Row],[Class]]="B", WORKDAY(Main[[#This Row],[Tech Start Date]],12),IF(Main[[#This Row],[Class]]="A",WORKDAY(Main[[#This Row],[Tech Start Date]],4),""))))</f>
        <v/>
      </c>
      <c r="O1288" s="75" t="str">
        <f>IF(Main[[#This Row],[Tech Start Date]]&lt;1/1/1990,"",IF(Main[[#This Row],[Class]]="C",WORKDAY(Main[[#This Row],[Tech Start Date]],23),IF(Main[[#This Row],[Class]]="B", WORKDAY(Main[[#This Row],[Tech Start Date]],15),IF(Main[[#This Row],[Class]]="A",WORKDAY(Main[[#This Row],[Tech Start Date]],5),""))))</f>
        <v/>
      </c>
      <c r="P1288" s="75" t="str">
        <f>IF(Main[[#This Row],[Tech Start Date]]&lt;1/1/1990,"",IF(Main[[#This Row],[Class]]="C",WORKDAY(Main[[#This Row],[Tech Start Date]],28),IF(Main[[#This Row],[Class]]="B", WORKDAY(Main[[#This Row],[Tech Start Date]],19),IF(Main[[#This Row],[Class]]="A",WORKDAY(Main[[#This Row],[Tech Start Date]],9),""))))</f>
        <v/>
      </c>
      <c r="Q1288" s="89">
        <v>40964</v>
      </c>
      <c r="R1288" s="121"/>
      <c r="S1288" s="99" t="s">
        <v>6</v>
      </c>
      <c r="T1288" s="76" t="s">
        <v>4</v>
      </c>
      <c r="U1288" s="99" t="s">
        <v>7</v>
      </c>
      <c r="V1288" s="99" t="s">
        <v>2279</v>
      </c>
      <c r="W1288" s="99" t="s">
        <v>4</v>
      </c>
      <c r="X1288" s="99" t="s">
        <v>2859</v>
      </c>
      <c r="Y1288" s="73" t="s">
        <v>3004</v>
      </c>
      <c r="Z1288" s="73" t="s">
        <v>4</v>
      </c>
      <c r="AA1288" s="99" t="s">
        <v>2859</v>
      </c>
    </row>
    <row r="1289" spans="1:27" ht="17.25" customHeight="1">
      <c r="A1289" s="65" t="str">
        <f>IF(priority(Main[[#This Row],[Comments]])&lt;&gt;0, priority(Main[[#This Row],[Comments]]),"")</f>
        <v/>
      </c>
      <c r="B1289" s="60" t="s">
        <v>1863</v>
      </c>
      <c r="C1289" s="105" t="s">
        <v>47</v>
      </c>
      <c r="D1289" s="74" t="s">
        <v>920</v>
      </c>
      <c r="E1289" s="89">
        <v>39937.596770833334</v>
      </c>
      <c r="F1289" s="89"/>
      <c r="G1289" s="65" t="str">
        <f>IF(stdProdLT(Main[[#This Row],[Comments]])=0.1,"N/A",IF(stdProdLT(Main[[#This Row],[Comments]])=0,"",TRIM(stdProdLT(Main[[#This Row],[Comments]]))))</f>
        <v/>
      </c>
      <c r="H1289" s="98" t="str">
        <f>IF(Main[[#This Row],[Std. Prod. Lead Time]]="N/A", "",IF(AND(Main[[#This Row],[In Stock Date]]&lt;&gt;"",Main[[#This Row],[Revised Due Date]]&lt;&gt;"",Main[[#This Row],[In Stock Date]]&lt;&gt;""),Main[[#This Row],[In Stock Date]]-Main[[#This Row],[Revised Due Date]],""))</f>
        <v/>
      </c>
      <c r="I1289" s="110" t="s">
        <v>974</v>
      </c>
      <c r="J1289" s="99" t="s">
        <v>4</v>
      </c>
      <c r="K1289" s="99" t="s">
        <v>1925</v>
      </c>
      <c r="L1289" s="89"/>
      <c r="M1289" s="75" t="str">
        <f>IF(Main[[#This Row],[Tech Start Date]]&lt;1/1/1990,"",IF(Main[[#This Row],[Class]]="C",WORKDAY(Main[[#This Row],[Tech Start Date]],9),IF(Main[[#This Row],[Class]]="B", WORKDAY(Main[[#This Row],[Tech Start Date]],6),IF(Main[[#This Row],[Class]]="A",WORKDAY(Main[[#This Row],[Tech Start Date]],2),""))))</f>
        <v/>
      </c>
      <c r="N1289" s="75" t="str">
        <f>IF(Main[[#This Row],[Tech Start Date]]&lt;1/1/1990,"",IF(Main[[#This Row],[Class]]="C",WORKDAY(Main[[#This Row],[Tech Start Date]],19),IF(Main[[#This Row],[Class]]="B", WORKDAY(Main[[#This Row],[Tech Start Date]],12),IF(Main[[#This Row],[Class]]="A",WORKDAY(Main[[#This Row],[Tech Start Date]],4),""))))</f>
        <v/>
      </c>
      <c r="O1289" s="75" t="str">
        <f>IF(Main[[#This Row],[Tech Start Date]]&lt;1/1/1990,"",IF(Main[[#This Row],[Class]]="C",WORKDAY(Main[[#This Row],[Tech Start Date]],23),IF(Main[[#This Row],[Class]]="B", WORKDAY(Main[[#This Row],[Tech Start Date]],15),IF(Main[[#This Row],[Class]]="A",WORKDAY(Main[[#This Row],[Tech Start Date]],5),""))))</f>
        <v/>
      </c>
      <c r="P1289" s="75" t="str">
        <f>IF(Main[[#This Row],[Tech Start Date]]&lt;1/1/1990,"",IF(Main[[#This Row],[Class]]="C",WORKDAY(Main[[#This Row],[Tech Start Date]],28),IF(Main[[#This Row],[Class]]="B", WORKDAY(Main[[#This Row],[Tech Start Date]],19),IF(Main[[#This Row],[Class]]="A",WORKDAY(Main[[#This Row],[Tech Start Date]],9),""))))</f>
        <v/>
      </c>
      <c r="Q1289" s="89"/>
      <c r="R1289" s="121">
        <v>40999</v>
      </c>
      <c r="S1289" s="99" t="s">
        <v>17</v>
      </c>
      <c r="T1289" s="76" t="s">
        <v>4</v>
      </c>
      <c r="U1289" s="99" t="s">
        <v>29</v>
      </c>
      <c r="V1289" s="99" t="s">
        <v>1916</v>
      </c>
      <c r="W1289" s="99" t="s">
        <v>1918</v>
      </c>
      <c r="X1289" s="99" t="s">
        <v>2821</v>
      </c>
      <c r="Y1289" s="73" t="s">
        <v>2942</v>
      </c>
      <c r="Z1289" s="73" t="s">
        <v>415</v>
      </c>
      <c r="AA1289" s="99" t="s">
        <v>2821</v>
      </c>
    </row>
    <row r="1290" spans="1:27" ht="17.25" customHeight="1">
      <c r="A1290" s="65" t="str">
        <f>IF(priority(Main[[#This Row],[Comments]])&lt;&gt;0, priority(Main[[#This Row],[Comments]]),"")</f>
        <v/>
      </c>
      <c r="B1290" s="60" t="s">
        <v>3356</v>
      </c>
      <c r="C1290" s="105" t="s">
        <v>2350</v>
      </c>
      <c r="D1290" s="74" t="s">
        <v>3328</v>
      </c>
      <c r="E1290" s="89"/>
      <c r="F1290" s="89">
        <v>41030</v>
      </c>
      <c r="G1290" s="65" t="str">
        <f>IF(stdProdLT(Main[[#This Row],[Comments]])=0.1,"N/A",IF(stdProdLT(Main[[#This Row],[Comments]])=0,"",TRIM(stdProdLT(Main[[#This Row],[Comments]]))))</f>
        <v/>
      </c>
      <c r="H1290" s="98" t="str">
        <f>IF(Main[[#This Row],[Std. Prod. Lead Time]]="N/A", "",IF(AND(Main[[#This Row],[In Stock Date]]&lt;&gt;"",Main[[#This Row],[Revised Due Date]]&lt;&gt;"",Main[[#This Row],[In Stock Date]]&lt;&gt;""),Main[[#This Row],[In Stock Date]]-Main[[#This Row],[Revised Due Date]],""))</f>
        <v/>
      </c>
      <c r="I1290" s="110" t="s">
        <v>4</v>
      </c>
      <c r="J1290" s="99" t="s">
        <v>4</v>
      </c>
      <c r="K1290" s="99" t="s">
        <v>4</v>
      </c>
      <c r="L1290" s="89"/>
      <c r="M1290" s="75" t="str">
        <f>IF(Main[[#This Row],[Tech Start Date]]&lt;1/1/1990,"",IF(Main[[#This Row],[Class]]="C",WORKDAY(Main[[#This Row],[Tech Start Date]],9),IF(Main[[#This Row],[Class]]="B", WORKDAY(Main[[#This Row],[Tech Start Date]],6),IF(Main[[#This Row],[Class]]="A",WORKDAY(Main[[#This Row],[Tech Start Date]],2),""))))</f>
        <v/>
      </c>
      <c r="N1290" s="75" t="str">
        <f>IF(Main[[#This Row],[Tech Start Date]]&lt;1/1/1990,"",IF(Main[[#This Row],[Class]]="C",WORKDAY(Main[[#This Row],[Tech Start Date]],19),IF(Main[[#This Row],[Class]]="B", WORKDAY(Main[[#This Row],[Tech Start Date]],12),IF(Main[[#This Row],[Class]]="A",WORKDAY(Main[[#This Row],[Tech Start Date]],4),""))))</f>
        <v/>
      </c>
      <c r="O1290" s="75" t="str">
        <f>IF(Main[[#This Row],[Tech Start Date]]&lt;1/1/1990,"",IF(Main[[#This Row],[Class]]="C",WORKDAY(Main[[#This Row],[Tech Start Date]],23),IF(Main[[#This Row],[Class]]="B", WORKDAY(Main[[#This Row],[Tech Start Date]],15),IF(Main[[#This Row],[Class]]="A",WORKDAY(Main[[#This Row],[Tech Start Date]],5),""))))</f>
        <v/>
      </c>
      <c r="P1290" s="75" t="str">
        <f>IF(Main[[#This Row],[Tech Start Date]]&lt;1/1/1990,"",IF(Main[[#This Row],[Class]]="C",WORKDAY(Main[[#This Row],[Tech Start Date]],28),IF(Main[[#This Row],[Class]]="B", WORKDAY(Main[[#This Row],[Tech Start Date]],19),IF(Main[[#This Row],[Class]]="A",WORKDAY(Main[[#This Row],[Tech Start Date]],9),""))))</f>
        <v/>
      </c>
      <c r="Q1290" s="89">
        <v>40890</v>
      </c>
      <c r="R1290" s="121"/>
      <c r="S1290" s="99" t="s">
        <v>11</v>
      </c>
      <c r="T1290" s="76" t="s">
        <v>4</v>
      </c>
      <c r="U1290" s="99" t="s">
        <v>12</v>
      </c>
      <c r="V1290" s="99" t="s">
        <v>1923</v>
      </c>
      <c r="W1290" s="99" t="s">
        <v>1921</v>
      </c>
      <c r="X1290" s="99" t="s">
        <v>2837</v>
      </c>
      <c r="Y1290" s="73" t="s">
        <v>4</v>
      </c>
      <c r="Z1290" s="73" t="s">
        <v>4</v>
      </c>
      <c r="AA1290" s="99" t="s">
        <v>2837</v>
      </c>
    </row>
    <row r="1291" spans="1:27" ht="17.25" customHeight="1">
      <c r="A1291" s="65" t="str">
        <f>IF(priority(Main[[#This Row],[Comments]])&lt;&gt;0, priority(Main[[#This Row],[Comments]]),"")</f>
        <v/>
      </c>
      <c r="B1291" s="60" t="s">
        <v>2160</v>
      </c>
      <c r="C1291" s="105" t="s">
        <v>4</v>
      </c>
      <c r="D1291" s="74" t="s">
        <v>2581</v>
      </c>
      <c r="E1291" s="89">
        <v>40780.676446759258</v>
      </c>
      <c r="F1291" s="89"/>
      <c r="G1291" s="65" t="str">
        <f>IF(stdProdLT(Main[[#This Row],[Comments]])=0.1,"N/A",IF(stdProdLT(Main[[#This Row],[Comments]])=0,"",TRIM(stdProdLT(Main[[#This Row],[Comments]]))))</f>
        <v/>
      </c>
      <c r="H1291" s="98" t="str">
        <f>IF(Main[[#This Row],[Std. Prod. Lead Time]]="N/A", "",IF(AND(Main[[#This Row],[In Stock Date]]&lt;&gt;"",Main[[#This Row],[Revised Due Date]]&lt;&gt;"",Main[[#This Row],[In Stock Date]]&lt;&gt;""),Main[[#This Row],[In Stock Date]]-Main[[#This Row],[Revised Due Date]],""))</f>
        <v/>
      </c>
      <c r="I1291" s="110" t="s">
        <v>4</v>
      </c>
      <c r="J1291" s="99" t="s">
        <v>4</v>
      </c>
      <c r="K1291" s="99" t="s">
        <v>4</v>
      </c>
      <c r="L1291" s="89"/>
      <c r="M1291" s="75" t="str">
        <f>IF(Main[[#This Row],[Tech Start Date]]&lt;1/1/1990,"",IF(Main[[#This Row],[Class]]="C",WORKDAY(Main[[#This Row],[Tech Start Date]],9),IF(Main[[#This Row],[Class]]="B", WORKDAY(Main[[#This Row],[Tech Start Date]],6),IF(Main[[#This Row],[Class]]="A",WORKDAY(Main[[#This Row],[Tech Start Date]],2),""))))</f>
        <v/>
      </c>
      <c r="N1291" s="75" t="str">
        <f>IF(Main[[#This Row],[Tech Start Date]]&lt;1/1/1990,"",IF(Main[[#This Row],[Class]]="C",WORKDAY(Main[[#This Row],[Tech Start Date]],19),IF(Main[[#This Row],[Class]]="B", WORKDAY(Main[[#This Row],[Tech Start Date]],12),IF(Main[[#This Row],[Class]]="A",WORKDAY(Main[[#This Row],[Tech Start Date]],4),""))))</f>
        <v/>
      </c>
      <c r="O1291" s="75" t="str">
        <f>IF(Main[[#This Row],[Tech Start Date]]&lt;1/1/1990,"",IF(Main[[#This Row],[Class]]="C",WORKDAY(Main[[#This Row],[Tech Start Date]],23),IF(Main[[#This Row],[Class]]="B", WORKDAY(Main[[#This Row],[Tech Start Date]],15),IF(Main[[#This Row],[Class]]="A",WORKDAY(Main[[#This Row],[Tech Start Date]],5),""))))</f>
        <v/>
      </c>
      <c r="P1291" s="75" t="str">
        <f>IF(Main[[#This Row],[Tech Start Date]]&lt;1/1/1990,"",IF(Main[[#This Row],[Class]]="C",WORKDAY(Main[[#This Row],[Tech Start Date]],28),IF(Main[[#This Row],[Class]]="B", WORKDAY(Main[[#This Row],[Tech Start Date]],19),IF(Main[[#This Row],[Class]]="A",WORKDAY(Main[[#This Row],[Tech Start Date]],9),""))))</f>
        <v/>
      </c>
      <c r="Q1291" s="89">
        <v>40787</v>
      </c>
      <c r="R1291" s="121"/>
      <c r="S1291" s="99" t="s">
        <v>6</v>
      </c>
      <c r="T1291" s="76" t="s">
        <v>4</v>
      </c>
      <c r="U1291" s="99" t="s">
        <v>7</v>
      </c>
      <c r="V1291" s="99" t="s">
        <v>1913</v>
      </c>
      <c r="W1291" s="99" t="s">
        <v>1921</v>
      </c>
      <c r="X1291" s="99" t="s">
        <v>2815</v>
      </c>
      <c r="Y1291" s="73" t="s">
        <v>2930</v>
      </c>
      <c r="Z1291" s="73" t="s">
        <v>4</v>
      </c>
      <c r="AA1291" s="99" t="s">
        <v>2815</v>
      </c>
    </row>
    <row r="1292" spans="1:27" ht="17.25" customHeight="1">
      <c r="A1292" s="65" t="str">
        <f>IF(priority(Main[[#This Row],[Comments]])&lt;&gt;0, priority(Main[[#This Row],[Comments]]),"")</f>
        <v/>
      </c>
      <c r="B1292" s="60" t="s">
        <v>3474</v>
      </c>
      <c r="C1292" s="105" t="s">
        <v>3475</v>
      </c>
      <c r="D1292" s="74" t="s">
        <v>3476</v>
      </c>
      <c r="E1292" s="89">
        <v>40940.978842592594</v>
      </c>
      <c r="F1292" s="89">
        <v>41116</v>
      </c>
      <c r="G1292" s="65" t="str">
        <f>IF(stdProdLT(Main[[#This Row],[Comments]])=0.1,"N/A",IF(stdProdLT(Main[[#This Row],[Comments]])=0,"",TRIM(stdProdLT(Main[[#This Row],[Comments]]))))</f>
        <v>140</v>
      </c>
      <c r="H1292" s="98" t="str">
        <f>IF(Main[[#This Row],[Std. Prod. Lead Time]]="N/A", "",IF(AND(Main[[#This Row],[In Stock Date]]&lt;&gt;"",Main[[#This Row],[Revised Due Date]]&lt;&gt;"",Main[[#This Row],[In Stock Date]]&lt;&gt;""),Main[[#This Row],[In Stock Date]]-Main[[#This Row],[Revised Due Date]],""))</f>
        <v/>
      </c>
      <c r="I1292" s="110" t="s">
        <v>4</v>
      </c>
      <c r="J1292" s="99" t="s">
        <v>4</v>
      </c>
      <c r="K1292" s="99" t="s">
        <v>4</v>
      </c>
      <c r="L1292" s="89"/>
      <c r="M1292" s="75" t="str">
        <f>IF(Main[[#This Row],[Tech Start Date]]&lt;1/1/1990,"",IF(Main[[#This Row],[Class]]="C",WORKDAY(Main[[#This Row],[Tech Start Date]],9),IF(Main[[#This Row],[Class]]="B", WORKDAY(Main[[#This Row],[Tech Start Date]],6),IF(Main[[#This Row],[Class]]="A",WORKDAY(Main[[#This Row],[Tech Start Date]],2),""))))</f>
        <v/>
      </c>
      <c r="N1292" s="75" t="str">
        <f>IF(Main[[#This Row],[Tech Start Date]]&lt;1/1/1990,"",IF(Main[[#This Row],[Class]]="C",WORKDAY(Main[[#This Row],[Tech Start Date]],19),IF(Main[[#This Row],[Class]]="B", WORKDAY(Main[[#This Row],[Tech Start Date]],12),IF(Main[[#This Row],[Class]]="A",WORKDAY(Main[[#This Row],[Tech Start Date]],4),""))))</f>
        <v/>
      </c>
      <c r="O1292" s="75" t="str">
        <f>IF(Main[[#This Row],[Tech Start Date]]&lt;1/1/1990,"",IF(Main[[#This Row],[Class]]="C",WORKDAY(Main[[#This Row],[Tech Start Date]],23),IF(Main[[#This Row],[Class]]="B", WORKDAY(Main[[#This Row],[Tech Start Date]],15),IF(Main[[#This Row],[Class]]="A",WORKDAY(Main[[#This Row],[Tech Start Date]],5),""))))</f>
        <v/>
      </c>
      <c r="P1292" s="75" t="str">
        <f>IF(Main[[#This Row],[Tech Start Date]]&lt;1/1/1990,"",IF(Main[[#This Row],[Class]]="C",WORKDAY(Main[[#This Row],[Tech Start Date]],28),IF(Main[[#This Row],[Class]]="B", WORKDAY(Main[[#This Row],[Tech Start Date]],19),IF(Main[[#This Row],[Class]]="A",WORKDAY(Main[[#This Row],[Tech Start Date]],9),""))))</f>
        <v/>
      </c>
      <c r="Q1292" s="89">
        <v>40976</v>
      </c>
      <c r="R1292" s="121"/>
      <c r="S1292" s="99" t="s">
        <v>11</v>
      </c>
      <c r="T1292" s="76" t="s">
        <v>3570</v>
      </c>
      <c r="U1292" s="99" t="s">
        <v>694</v>
      </c>
      <c r="V1292" s="99" t="s">
        <v>1923</v>
      </c>
      <c r="W1292" s="99" t="s">
        <v>1921</v>
      </c>
      <c r="X1292" s="99" t="s">
        <v>3477</v>
      </c>
      <c r="Y1292" s="73" t="s">
        <v>4</v>
      </c>
      <c r="Z1292" s="73" t="s">
        <v>4</v>
      </c>
      <c r="AA1292" s="99" t="s">
        <v>3477</v>
      </c>
    </row>
    <row r="1293" spans="1:27" ht="17.25" customHeight="1">
      <c r="A1293" s="65" t="str">
        <f>IF(priority(Main[[#This Row],[Comments]])&lt;&gt;0, priority(Main[[#This Row],[Comments]]),"")</f>
        <v/>
      </c>
      <c r="B1293" s="60" t="s">
        <v>2571</v>
      </c>
      <c r="C1293" s="105" t="s">
        <v>4</v>
      </c>
      <c r="D1293" s="59" t="s">
        <v>2773</v>
      </c>
      <c r="E1293" s="89">
        <v>40870.475462962961</v>
      </c>
      <c r="F1293" s="89"/>
      <c r="G1293" s="65" t="str">
        <f>IF(stdProdLT(Main[[#This Row],[Comments]])=0.1,"N/A",IF(stdProdLT(Main[[#This Row],[Comments]])=0,"",TRIM(stdProdLT(Main[[#This Row],[Comments]]))))</f>
        <v/>
      </c>
      <c r="H1293" s="98" t="str">
        <f>IF(Main[[#This Row],[Std. Prod. Lead Time]]="N/A", "",IF(AND(Main[[#This Row],[In Stock Date]]&lt;&gt;"",Main[[#This Row],[Revised Due Date]]&lt;&gt;"",Main[[#This Row],[In Stock Date]]&lt;&gt;""),Main[[#This Row],[In Stock Date]]-Main[[#This Row],[Revised Due Date]],""))</f>
        <v/>
      </c>
      <c r="I1293" s="110" t="s">
        <v>429</v>
      </c>
      <c r="J1293" s="99" t="s">
        <v>28</v>
      </c>
      <c r="K1293" s="100" t="s">
        <v>1920</v>
      </c>
      <c r="L1293" s="89"/>
      <c r="M1293" s="75" t="str">
        <f>IF(Main[[#This Row],[Tech Start Date]]&lt;1/1/1990,"",IF(Main[[#This Row],[Class]]="C",WORKDAY(Main[[#This Row],[Tech Start Date]],9),IF(Main[[#This Row],[Class]]="B", WORKDAY(Main[[#This Row],[Tech Start Date]],6),IF(Main[[#This Row],[Class]]="A",WORKDAY(Main[[#This Row],[Tech Start Date]],2),""))))</f>
        <v/>
      </c>
      <c r="N1293" s="75" t="str">
        <f>IF(Main[[#This Row],[Tech Start Date]]&lt;1/1/1990,"",IF(Main[[#This Row],[Class]]="C",WORKDAY(Main[[#This Row],[Tech Start Date]],19),IF(Main[[#This Row],[Class]]="B", WORKDAY(Main[[#This Row],[Tech Start Date]],12),IF(Main[[#This Row],[Class]]="A",WORKDAY(Main[[#This Row],[Tech Start Date]],4),""))))</f>
        <v/>
      </c>
      <c r="O1293" s="75" t="str">
        <f>IF(Main[[#This Row],[Tech Start Date]]&lt;1/1/1990,"",IF(Main[[#This Row],[Class]]="C",WORKDAY(Main[[#This Row],[Tech Start Date]],23),IF(Main[[#This Row],[Class]]="B", WORKDAY(Main[[#This Row],[Tech Start Date]],15),IF(Main[[#This Row],[Class]]="A",WORKDAY(Main[[#This Row],[Tech Start Date]],5),""))))</f>
        <v/>
      </c>
      <c r="P1293" s="75" t="str">
        <f>IF(Main[[#This Row],[Tech Start Date]]&lt;1/1/1990,"",IF(Main[[#This Row],[Class]]="C",WORKDAY(Main[[#This Row],[Tech Start Date]],28),IF(Main[[#This Row],[Class]]="B", WORKDAY(Main[[#This Row],[Tech Start Date]],19),IF(Main[[#This Row],[Class]]="A",WORKDAY(Main[[#This Row],[Tech Start Date]],9),""))))</f>
        <v/>
      </c>
      <c r="Q1293" s="89">
        <v>40905</v>
      </c>
      <c r="R1293" s="121"/>
      <c r="S1293" s="99" t="s">
        <v>6</v>
      </c>
      <c r="T1293" s="76" t="s">
        <v>4</v>
      </c>
      <c r="U1293" s="99" t="s">
        <v>29</v>
      </c>
      <c r="V1293" s="99" t="s">
        <v>1916</v>
      </c>
      <c r="W1293" s="99" t="s">
        <v>1917</v>
      </c>
      <c r="X1293" s="99" t="s">
        <v>2047</v>
      </c>
      <c r="Y1293" s="73" t="s">
        <v>3054</v>
      </c>
      <c r="Z1293" s="73" t="s">
        <v>30</v>
      </c>
      <c r="AA1293" s="99" t="s">
        <v>2889</v>
      </c>
    </row>
    <row r="1294" spans="1:27" ht="17.25" customHeight="1">
      <c r="A1294" s="65" t="str">
        <f>IF(priority(Main[[#This Row],[Comments]])&lt;&gt;0, priority(Main[[#This Row],[Comments]]),"")</f>
        <v/>
      </c>
      <c r="B1294" s="60" t="s">
        <v>2212</v>
      </c>
      <c r="C1294" s="105" t="s">
        <v>4</v>
      </c>
      <c r="D1294" s="74" t="s">
        <v>2213</v>
      </c>
      <c r="E1294" s="89"/>
      <c r="F1294" s="89"/>
      <c r="G1294" s="65" t="str">
        <f>IF(stdProdLT(Main[[#This Row],[Comments]])=0.1,"N/A",IF(stdProdLT(Main[[#This Row],[Comments]])=0,"",TRIM(stdProdLT(Main[[#This Row],[Comments]]))))</f>
        <v/>
      </c>
      <c r="H1294" s="98" t="str">
        <f>IF(Main[[#This Row],[Std. Prod. Lead Time]]="N/A", "",IF(AND(Main[[#This Row],[In Stock Date]]&lt;&gt;"",Main[[#This Row],[Revised Due Date]]&lt;&gt;"",Main[[#This Row],[In Stock Date]]&lt;&gt;""),Main[[#This Row],[In Stock Date]]-Main[[#This Row],[Revised Due Date]],""))</f>
        <v/>
      </c>
      <c r="I1294" s="110" t="s">
        <v>530</v>
      </c>
      <c r="J1294" s="99" t="s">
        <v>28</v>
      </c>
      <c r="K1294" s="100" t="s">
        <v>1922</v>
      </c>
      <c r="L1294" s="89"/>
      <c r="M1294" s="75" t="str">
        <f>IF(Main[[#This Row],[Tech Start Date]]&lt;1/1/1990,"",IF(Main[[#This Row],[Class]]="C",WORKDAY(Main[[#This Row],[Tech Start Date]],9),IF(Main[[#This Row],[Class]]="B", WORKDAY(Main[[#This Row],[Tech Start Date]],6),IF(Main[[#This Row],[Class]]="A",WORKDAY(Main[[#This Row],[Tech Start Date]],2),""))))</f>
        <v/>
      </c>
      <c r="N1294" s="75" t="str">
        <f>IF(Main[[#This Row],[Tech Start Date]]&lt;1/1/1990,"",IF(Main[[#This Row],[Class]]="C",WORKDAY(Main[[#This Row],[Tech Start Date]],19),IF(Main[[#This Row],[Class]]="B", WORKDAY(Main[[#This Row],[Tech Start Date]],12),IF(Main[[#This Row],[Class]]="A",WORKDAY(Main[[#This Row],[Tech Start Date]],4),""))))</f>
        <v/>
      </c>
      <c r="O1294" s="75" t="str">
        <f>IF(Main[[#This Row],[Tech Start Date]]&lt;1/1/1990,"",IF(Main[[#This Row],[Class]]="C",WORKDAY(Main[[#This Row],[Tech Start Date]],23),IF(Main[[#This Row],[Class]]="B", WORKDAY(Main[[#This Row],[Tech Start Date]],15),IF(Main[[#This Row],[Class]]="A",WORKDAY(Main[[#This Row],[Tech Start Date]],5),""))))</f>
        <v/>
      </c>
      <c r="P1294" s="75" t="str">
        <f>IF(Main[[#This Row],[Tech Start Date]]&lt;1/1/1990,"",IF(Main[[#This Row],[Class]]="C",WORKDAY(Main[[#This Row],[Tech Start Date]],28),IF(Main[[#This Row],[Class]]="B", WORKDAY(Main[[#This Row],[Tech Start Date]],19),IF(Main[[#This Row],[Class]]="A",WORKDAY(Main[[#This Row],[Tech Start Date]],9),""))))</f>
        <v/>
      </c>
      <c r="Q1294" s="89"/>
      <c r="R1294" s="121"/>
      <c r="S1294" s="99" t="s">
        <v>6</v>
      </c>
      <c r="T1294" s="76" t="s">
        <v>4</v>
      </c>
      <c r="U1294" s="99" t="s">
        <v>14</v>
      </c>
      <c r="V1294" s="99" t="s">
        <v>1916</v>
      </c>
      <c r="W1294" s="99" t="s">
        <v>1917</v>
      </c>
      <c r="X1294" s="99" t="s">
        <v>2813</v>
      </c>
      <c r="Y1294" s="73" t="s">
        <v>2926</v>
      </c>
      <c r="Z1294" s="73" t="s">
        <v>30</v>
      </c>
      <c r="AA1294" s="99" t="s">
        <v>2813</v>
      </c>
    </row>
    <row r="1295" spans="1:27" ht="17.25" customHeight="1">
      <c r="A1295" s="65" t="str">
        <f>IF(priority(Main[[#This Row],[Comments]])&lt;&gt;0, priority(Main[[#This Row],[Comments]]),"")</f>
        <v/>
      </c>
      <c r="B1295" s="60" t="s">
        <v>2573</v>
      </c>
      <c r="C1295" s="105" t="s">
        <v>4</v>
      </c>
      <c r="D1295" s="74" t="s">
        <v>2574</v>
      </c>
      <c r="E1295" s="89"/>
      <c r="F1295" s="89"/>
      <c r="G1295" s="65" t="str">
        <f>IF(stdProdLT(Main[[#This Row],[Comments]])=0.1,"N/A",IF(stdProdLT(Main[[#This Row],[Comments]])=0,"",TRIM(stdProdLT(Main[[#This Row],[Comments]]))))</f>
        <v/>
      </c>
      <c r="H1295" s="98" t="str">
        <f>IF(Main[[#This Row],[Std. Prod. Lead Time]]="N/A", "",IF(AND(Main[[#This Row],[In Stock Date]]&lt;&gt;"",Main[[#This Row],[Revised Due Date]]&lt;&gt;"",Main[[#This Row],[In Stock Date]]&lt;&gt;""),Main[[#This Row],[In Stock Date]]-Main[[#This Row],[Revised Due Date]],""))</f>
        <v/>
      </c>
      <c r="I1295" s="110" t="s">
        <v>4</v>
      </c>
      <c r="J1295" s="99" t="s">
        <v>4</v>
      </c>
      <c r="K1295" s="99" t="s">
        <v>4</v>
      </c>
      <c r="L1295" s="89"/>
      <c r="M1295" s="75" t="str">
        <f>IF(Main[[#This Row],[Tech Start Date]]&lt;1/1/1990,"",IF(Main[[#This Row],[Class]]="C",WORKDAY(Main[[#This Row],[Tech Start Date]],9),IF(Main[[#This Row],[Class]]="B", WORKDAY(Main[[#This Row],[Tech Start Date]],6),IF(Main[[#This Row],[Class]]="A",WORKDAY(Main[[#This Row],[Tech Start Date]],2),""))))</f>
        <v/>
      </c>
      <c r="N1295" s="75" t="str">
        <f>IF(Main[[#This Row],[Tech Start Date]]&lt;1/1/1990,"",IF(Main[[#This Row],[Class]]="C",WORKDAY(Main[[#This Row],[Tech Start Date]],19),IF(Main[[#This Row],[Class]]="B", WORKDAY(Main[[#This Row],[Tech Start Date]],12),IF(Main[[#This Row],[Class]]="A",WORKDAY(Main[[#This Row],[Tech Start Date]],4),""))))</f>
        <v/>
      </c>
      <c r="O1295" s="75" t="str">
        <f>IF(Main[[#This Row],[Tech Start Date]]&lt;1/1/1990,"",IF(Main[[#This Row],[Class]]="C",WORKDAY(Main[[#This Row],[Tech Start Date]],23),IF(Main[[#This Row],[Class]]="B", WORKDAY(Main[[#This Row],[Tech Start Date]],15),IF(Main[[#This Row],[Class]]="A",WORKDAY(Main[[#This Row],[Tech Start Date]],5),""))))</f>
        <v/>
      </c>
      <c r="P1295" s="75" t="str">
        <f>IF(Main[[#This Row],[Tech Start Date]]&lt;1/1/1990,"",IF(Main[[#This Row],[Class]]="C",WORKDAY(Main[[#This Row],[Tech Start Date]],28),IF(Main[[#This Row],[Class]]="B", WORKDAY(Main[[#This Row],[Tech Start Date]],19),IF(Main[[#This Row],[Class]]="A",WORKDAY(Main[[#This Row],[Tech Start Date]],9),""))))</f>
        <v/>
      </c>
      <c r="Q1295" s="89"/>
      <c r="R1295" s="121"/>
      <c r="S1295" s="99" t="s">
        <v>6</v>
      </c>
      <c r="T1295" s="76" t="s">
        <v>4</v>
      </c>
      <c r="U1295" s="99" t="s">
        <v>12</v>
      </c>
      <c r="V1295" s="99" t="s">
        <v>1916</v>
      </c>
      <c r="W1295" s="99" t="s">
        <v>1918</v>
      </c>
      <c r="X1295" s="99" t="s">
        <v>2835</v>
      </c>
      <c r="Y1295" s="73" t="s">
        <v>2965</v>
      </c>
      <c r="Z1295" s="73" t="s">
        <v>4</v>
      </c>
      <c r="AA1295" s="99" t="s">
        <v>2835</v>
      </c>
    </row>
    <row r="1296" spans="1:27" ht="17.25" customHeight="1">
      <c r="A1296" s="65" t="str">
        <f>IF(priority(Main[[#This Row],[Comments]])&lt;&gt;0, priority(Main[[#This Row],[Comments]]),"")</f>
        <v/>
      </c>
      <c r="B1296" s="60" t="s">
        <v>3705</v>
      </c>
      <c r="C1296" s="105" t="s">
        <v>2350</v>
      </c>
      <c r="D1296" s="74" t="s">
        <v>3706</v>
      </c>
      <c r="E1296" s="89"/>
      <c r="F1296" s="89">
        <v>41105</v>
      </c>
      <c r="G1296" s="65" t="str">
        <f>IF(stdProdLT(Main[[#This Row],[Comments]])=0.1,"N/A",IF(stdProdLT(Main[[#This Row],[Comments]])=0,"",TRIM(stdProdLT(Main[[#This Row],[Comments]]))))</f>
        <v/>
      </c>
      <c r="H1296" s="98" t="str">
        <f>IF(Main[[#This Row],[Std. Prod. Lead Time]]="N/A", "",IF(AND(Main[[#This Row],[In Stock Date]]&lt;&gt;"",Main[[#This Row],[Revised Due Date]]&lt;&gt;"",Main[[#This Row],[In Stock Date]]&lt;&gt;""),Main[[#This Row],[In Stock Date]]-Main[[#This Row],[Revised Due Date]],""))</f>
        <v/>
      </c>
      <c r="I1296" s="110" t="s">
        <v>4</v>
      </c>
      <c r="J1296" s="99" t="s">
        <v>4</v>
      </c>
      <c r="K1296" s="99" t="s">
        <v>4</v>
      </c>
      <c r="L1296" s="89"/>
      <c r="M1296" s="75" t="str">
        <f>IF(Main[[#This Row],[Tech Start Date]]&lt;1/1/1990,"",IF(Main[[#This Row],[Class]]="C",WORKDAY(Main[[#This Row],[Tech Start Date]],9),IF(Main[[#This Row],[Class]]="B", WORKDAY(Main[[#This Row],[Tech Start Date]],6),IF(Main[[#This Row],[Class]]="A",WORKDAY(Main[[#This Row],[Tech Start Date]],2),""))))</f>
        <v/>
      </c>
      <c r="N1296" s="75" t="str">
        <f>IF(Main[[#This Row],[Tech Start Date]]&lt;1/1/1990,"",IF(Main[[#This Row],[Class]]="C",WORKDAY(Main[[#This Row],[Tech Start Date]],19),IF(Main[[#This Row],[Class]]="B", WORKDAY(Main[[#This Row],[Tech Start Date]],12),IF(Main[[#This Row],[Class]]="A",WORKDAY(Main[[#This Row],[Tech Start Date]],4),""))))</f>
        <v/>
      </c>
      <c r="O1296" s="75" t="str">
        <f>IF(Main[[#This Row],[Tech Start Date]]&lt;1/1/1990,"",IF(Main[[#This Row],[Class]]="C",WORKDAY(Main[[#This Row],[Tech Start Date]],23),IF(Main[[#This Row],[Class]]="B", WORKDAY(Main[[#This Row],[Tech Start Date]],15),IF(Main[[#This Row],[Class]]="A",WORKDAY(Main[[#This Row],[Tech Start Date]],5),""))))</f>
        <v/>
      </c>
      <c r="P1296" s="75" t="str">
        <f>IF(Main[[#This Row],[Tech Start Date]]&lt;1/1/1990,"",IF(Main[[#This Row],[Class]]="C",WORKDAY(Main[[#This Row],[Tech Start Date]],28),IF(Main[[#This Row],[Class]]="B", WORKDAY(Main[[#This Row],[Tech Start Date]],19),IF(Main[[#This Row],[Class]]="A",WORKDAY(Main[[#This Row],[Tech Start Date]],9),""))))</f>
        <v/>
      </c>
      <c r="Q1296" s="89">
        <v>40965</v>
      </c>
      <c r="R1296" s="121"/>
      <c r="S1296" s="99" t="s">
        <v>11</v>
      </c>
      <c r="T1296" s="76" t="s">
        <v>4</v>
      </c>
      <c r="U1296" s="99" t="s">
        <v>12</v>
      </c>
      <c r="V1296" s="99" t="s">
        <v>1914</v>
      </c>
      <c r="W1296" s="99" t="s">
        <v>1919</v>
      </c>
      <c r="X1296" s="99" t="s">
        <v>2837</v>
      </c>
      <c r="Y1296" s="73" t="s">
        <v>4</v>
      </c>
      <c r="Z1296" s="73" t="s">
        <v>4</v>
      </c>
      <c r="AA1296" s="99" t="s">
        <v>2837</v>
      </c>
    </row>
    <row r="1297" spans="1:27" ht="17.25" customHeight="1">
      <c r="A1297" s="65" t="str">
        <f>IF(priority(Main[[#This Row],[Comments]])&lt;&gt;0, priority(Main[[#This Row],[Comments]]),"")</f>
        <v/>
      </c>
      <c r="B1297" s="60" t="s">
        <v>3287</v>
      </c>
      <c r="C1297" s="105" t="s">
        <v>4</v>
      </c>
      <c r="D1297" s="74" t="s">
        <v>3288</v>
      </c>
      <c r="E1297" s="89">
        <v>40934.462071759262</v>
      </c>
      <c r="F1297" s="89"/>
      <c r="G1297" s="65" t="str">
        <f>IF(stdProdLT(Main[[#This Row],[Comments]])=0.1,"N/A",IF(stdProdLT(Main[[#This Row],[Comments]])=0,"",TRIM(stdProdLT(Main[[#This Row],[Comments]]))))</f>
        <v/>
      </c>
      <c r="H1297" s="98" t="str">
        <f>IF(Main[[#This Row],[Std. Prod. Lead Time]]="N/A", "",IF(AND(Main[[#This Row],[In Stock Date]]&lt;&gt;"",Main[[#This Row],[Revised Due Date]]&lt;&gt;"",Main[[#This Row],[In Stock Date]]&lt;&gt;""),Main[[#This Row],[In Stock Date]]-Main[[#This Row],[Revised Due Date]],""))</f>
        <v/>
      </c>
      <c r="I1297" s="110" t="s">
        <v>4</v>
      </c>
      <c r="J1297" s="99" t="s">
        <v>4</v>
      </c>
      <c r="K1297" s="99" t="s">
        <v>4</v>
      </c>
      <c r="L1297" s="89"/>
      <c r="M1297" s="75" t="str">
        <f>IF(Main[[#This Row],[Tech Start Date]]&lt;1/1/1990,"",IF(Main[[#This Row],[Class]]="C",WORKDAY(Main[[#This Row],[Tech Start Date]],9),IF(Main[[#This Row],[Class]]="B", WORKDAY(Main[[#This Row],[Tech Start Date]],6),IF(Main[[#This Row],[Class]]="A",WORKDAY(Main[[#This Row],[Tech Start Date]],2),""))))</f>
        <v/>
      </c>
      <c r="N1297" s="75" t="str">
        <f>IF(Main[[#This Row],[Tech Start Date]]&lt;1/1/1990,"",IF(Main[[#This Row],[Class]]="C",WORKDAY(Main[[#This Row],[Tech Start Date]],19),IF(Main[[#This Row],[Class]]="B", WORKDAY(Main[[#This Row],[Tech Start Date]],12),IF(Main[[#This Row],[Class]]="A",WORKDAY(Main[[#This Row],[Tech Start Date]],4),""))))</f>
        <v/>
      </c>
      <c r="O1297" s="75" t="str">
        <f>IF(Main[[#This Row],[Tech Start Date]]&lt;1/1/1990,"",IF(Main[[#This Row],[Class]]="C",WORKDAY(Main[[#This Row],[Tech Start Date]],23),IF(Main[[#This Row],[Class]]="B", WORKDAY(Main[[#This Row],[Tech Start Date]],15),IF(Main[[#This Row],[Class]]="A",WORKDAY(Main[[#This Row],[Tech Start Date]],5),""))))</f>
        <v/>
      </c>
      <c r="P1297" s="75" t="str">
        <f>IF(Main[[#This Row],[Tech Start Date]]&lt;1/1/1990,"",IF(Main[[#This Row],[Class]]="C",WORKDAY(Main[[#This Row],[Tech Start Date]],28),IF(Main[[#This Row],[Class]]="B", WORKDAY(Main[[#This Row],[Tech Start Date]],19),IF(Main[[#This Row],[Class]]="A",WORKDAY(Main[[#This Row],[Tech Start Date]],9),""))))</f>
        <v/>
      </c>
      <c r="Q1297" s="89"/>
      <c r="R1297" s="121"/>
      <c r="S1297" s="99" t="s">
        <v>6</v>
      </c>
      <c r="T1297" s="76" t="s">
        <v>4</v>
      </c>
      <c r="U1297" s="99" t="s">
        <v>29</v>
      </c>
      <c r="V1297" s="99" t="s">
        <v>1913</v>
      </c>
      <c r="W1297" s="99" t="s">
        <v>1917</v>
      </c>
      <c r="X1297" s="99" t="s">
        <v>937</v>
      </c>
      <c r="Y1297" s="73" t="s">
        <v>2978</v>
      </c>
      <c r="Z1297" s="73" t="s">
        <v>4</v>
      </c>
      <c r="AA1297" s="99" t="s">
        <v>937</v>
      </c>
    </row>
    <row r="1298" spans="1:27" ht="17.25" customHeight="1">
      <c r="A1298" s="65" t="str">
        <f>IF(priority(Main[[#This Row],[Comments]])&lt;&gt;0, priority(Main[[#This Row],[Comments]]),"")</f>
        <v/>
      </c>
      <c r="B1298" s="60" t="s">
        <v>1740</v>
      </c>
      <c r="C1298" s="105" t="s">
        <v>37</v>
      </c>
      <c r="D1298" s="74" t="s">
        <v>2576</v>
      </c>
      <c r="E1298" s="89">
        <v>40682.487210648149</v>
      </c>
      <c r="F1298" s="89"/>
      <c r="G1298" s="65" t="str">
        <f>IF(stdProdLT(Main[[#This Row],[Comments]])=0.1,"N/A",IF(stdProdLT(Main[[#This Row],[Comments]])=0,"",TRIM(stdProdLT(Main[[#This Row],[Comments]]))))</f>
        <v/>
      </c>
      <c r="H1298" s="98" t="str">
        <f>IF(Main[[#This Row],[Std. Prod. Lead Time]]="N/A", "",IF(AND(Main[[#This Row],[In Stock Date]]&lt;&gt;"",Main[[#This Row],[Revised Due Date]]&lt;&gt;"",Main[[#This Row],[In Stock Date]]&lt;&gt;""),Main[[#This Row],[In Stock Date]]-Main[[#This Row],[Revised Due Date]],""))</f>
        <v/>
      </c>
      <c r="I1298" s="110" t="s">
        <v>4</v>
      </c>
      <c r="J1298" s="99" t="s">
        <v>4</v>
      </c>
      <c r="K1298" s="99" t="s">
        <v>4</v>
      </c>
      <c r="L1298" s="89"/>
      <c r="M1298" s="75" t="str">
        <f>IF(Main[[#This Row],[Tech Start Date]]&lt;1/1/1990,"",IF(Main[[#This Row],[Class]]="C",WORKDAY(Main[[#This Row],[Tech Start Date]],9),IF(Main[[#This Row],[Class]]="B", WORKDAY(Main[[#This Row],[Tech Start Date]],6),IF(Main[[#This Row],[Class]]="A",WORKDAY(Main[[#This Row],[Tech Start Date]],2),""))))</f>
        <v/>
      </c>
      <c r="N1298" s="75" t="str">
        <f>IF(Main[[#This Row],[Tech Start Date]]&lt;1/1/1990,"",IF(Main[[#This Row],[Class]]="C",WORKDAY(Main[[#This Row],[Tech Start Date]],19),IF(Main[[#This Row],[Class]]="B", WORKDAY(Main[[#This Row],[Tech Start Date]],12),IF(Main[[#This Row],[Class]]="A",WORKDAY(Main[[#This Row],[Tech Start Date]],4),""))))</f>
        <v/>
      </c>
      <c r="O1298" s="75" t="str">
        <f>IF(Main[[#This Row],[Tech Start Date]]&lt;1/1/1990,"",IF(Main[[#This Row],[Class]]="C",WORKDAY(Main[[#This Row],[Tech Start Date]],23),IF(Main[[#This Row],[Class]]="B", WORKDAY(Main[[#This Row],[Tech Start Date]],15),IF(Main[[#This Row],[Class]]="A",WORKDAY(Main[[#This Row],[Tech Start Date]],5),""))))</f>
        <v/>
      </c>
      <c r="P1298" s="75" t="str">
        <f>IF(Main[[#This Row],[Tech Start Date]]&lt;1/1/1990,"",IF(Main[[#This Row],[Class]]="C",WORKDAY(Main[[#This Row],[Tech Start Date]],28),IF(Main[[#This Row],[Class]]="B", WORKDAY(Main[[#This Row],[Tech Start Date]],19),IF(Main[[#This Row],[Class]]="A",WORKDAY(Main[[#This Row],[Tech Start Date]],9),""))))</f>
        <v/>
      </c>
      <c r="Q1298" s="89">
        <v>40701</v>
      </c>
      <c r="R1298" s="121"/>
      <c r="S1298" s="99" t="s">
        <v>6</v>
      </c>
      <c r="T1298" s="76" t="s">
        <v>4</v>
      </c>
      <c r="U1298" s="99" t="s">
        <v>7</v>
      </c>
      <c r="V1298" s="99" t="s">
        <v>1913</v>
      </c>
      <c r="W1298" s="99" t="s">
        <v>1924</v>
      </c>
      <c r="X1298" s="99" t="s">
        <v>970</v>
      </c>
      <c r="Y1298" s="73" t="s">
        <v>3091</v>
      </c>
      <c r="Z1298" s="73" t="s">
        <v>4</v>
      </c>
      <c r="AA1298" s="99" t="s">
        <v>970</v>
      </c>
    </row>
    <row r="1299" spans="1:27" ht="17.25" customHeight="1">
      <c r="A1299" s="65" t="str">
        <f>IF(priority(Main[[#This Row],[Comments]])&lt;&gt;0, priority(Main[[#This Row],[Comments]]),"")</f>
        <v/>
      </c>
      <c r="B1299" s="60" t="s">
        <v>1624</v>
      </c>
      <c r="C1299" s="105" t="s">
        <v>4</v>
      </c>
      <c r="D1299" s="74" t="s">
        <v>700</v>
      </c>
      <c r="E1299" s="89">
        <v>40218.669039351851</v>
      </c>
      <c r="F1299" s="89"/>
      <c r="G1299" s="65" t="str">
        <f>IF(stdProdLT(Main[[#This Row],[Comments]])=0.1,"N/A",IF(stdProdLT(Main[[#This Row],[Comments]])=0,"",TRIM(stdProdLT(Main[[#This Row],[Comments]]))))</f>
        <v/>
      </c>
      <c r="H1299" s="98" t="str">
        <f>IF(Main[[#This Row],[Std. Prod. Lead Time]]="N/A", "",IF(AND(Main[[#This Row],[In Stock Date]]&lt;&gt;"",Main[[#This Row],[Revised Due Date]]&lt;&gt;"",Main[[#This Row],[In Stock Date]]&lt;&gt;""),Main[[#This Row],[In Stock Date]]-Main[[#This Row],[Revised Due Date]],""))</f>
        <v/>
      </c>
      <c r="I1299" s="110" t="s">
        <v>4</v>
      </c>
      <c r="J1299" s="99" t="s">
        <v>4</v>
      </c>
      <c r="K1299" s="100" t="s">
        <v>4</v>
      </c>
      <c r="L1299" s="89"/>
      <c r="M1299" s="75" t="str">
        <f>IF(Main[[#This Row],[Tech Start Date]]&lt;1/1/1990,"",IF(Main[[#This Row],[Class]]="C",WORKDAY(Main[[#This Row],[Tech Start Date]],9),IF(Main[[#This Row],[Class]]="B", WORKDAY(Main[[#This Row],[Tech Start Date]],6),IF(Main[[#This Row],[Class]]="A",WORKDAY(Main[[#This Row],[Tech Start Date]],2),""))))</f>
        <v/>
      </c>
      <c r="N1299" s="75" t="str">
        <f>IF(Main[[#This Row],[Tech Start Date]]&lt;1/1/1990,"",IF(Main[[#This Row],[Class]]="C",WORKDAY(Main[[#This Row],[Tech Start Date]],19),IF(Main[[#This Row],[Class]]="B", WORKDAY(Main[[#This Row],[Tech Start Date]],12),IF(Main[[#This Row],[Class]]="A",WORKDAY(Main[[#This Row],[Tech Start Date]],4),""))))</f>
        <v/>
      </c>
      <c r="O1299" s="75" t="str">
        <f>IF(Main[[#This Row],[Tech Start Date]]&lt;1/1/1990,"",IF(Main[[#This Row],[Class]]="C",WORKDAY(Main[[#This Row],[Tech Start Date]],23),IF(Main[[#This Row],[Class]]="B", WORKDAY(Main[[#This Row],[Tech Start Date]],15),IF(Main[[#This Row],[Class]]="A",WORKDAY(Main[[#This Row],[Tech Start Date]],5),""))))</f>
        <v/>
      </c>
      <c r="P1299" s="75" t="str">
        <f>IF(Main[[#This Row],[Tech Start Date]]&lt;1/1/1990,"",IF(Main[[#This Row],[Class]]="C",WORKDAY(Main[[#This Row],[Tech Start Date]],28),IF(Main[[#This Row],[Class]]="B", WORKDAY(Main[[#This Row],[Tech Start Date]],19),IF(Main[[#This Row],[Class]]="A",WORKDAY(Main[[#This Row],[Tech Start Date]],9),""))))</f>
        <v/>
      </c>
      <c r="Q1299" s="89">
        <v>40237</v>
      </c>
      <c r="R1299" s="121"/>
      <c r="S1299" s="99" t="s">
        <v>17</v>
      </c>
      <c r="T1299" s="76" t="s">
        <v>4</v>
      </c>
      <c r="U1299" s="99" t="s">
        <v>29</v>
      </c>
      <c r="V1299" s="99" t="s">
        <v>1916</v>
      </c>
      <c r="W1299" s="99" t="s">
        <v>4</v>
      </c>
      <c r="X1299" s="99" t="s">
        <v>652</v>
      </c>
      <c r="Y1299" s="73" t="s">
        <v>3120</v>
      </c>
      <c r="Z1299" s="73" t="s">
        <v>4</v>
      </c>
      <c r="AA1299" s="99" t="s">
        <v>652</v>
      </c>
    </row>
    <row r="1300" spans="1:27" ht="17.25" customHeight="1">
      <c r="A1300" s="65" t="str">
        <f>IF(priority(Main[[#This Row],[Comments]])&lt;&gt;0, priority(Main[[#This Row],[Comments]]),"")</f>
        <v/>
      </c>
      <c r="B1300" s="60" t="s">
        <v>1828</v>
      </c>
      <c r="C1300" s="105" t="s">
        <v>4</v>
      </c>
      <c r="D1300" s="74" t="s">
        <v>881</v>
      </c>
      <c r="E1300" s="89">
        <v>40284.719155092593</v>
      </c>
      <c r="F1300" s="89"/>
      <c r="G1300" s="65" t="str">
        <f>IF(stdProdLT(Main[[#This Row],[Comments]])=0.1,"N/A",IF(stdProdLT(Main[[#This Row],[Comments]])=0,"",TRIM(stdProdLT(Main[[#This Row],[Comments]]))))</f>
        <v/>
      </c>
      <c r="H1300" s="98" t="str">
        <f>IF(Main[[#This Row],[Std. Prod. Lead Time]]="N/A", "",IF(AND(Main[[#This Row],[In Stock Date]]&lt;&gt;"",Main[[#This Row],[Revised Due Date]]&lt;&gt;"",Main[[#This Row],[In Stock Date]]&lt;&gt;""),Main[[#This Row],[In Stock Date]]-Main[[#This Row],[Revised Due Date]],""))</f>
        <v/>
      </c>
      <c r="I1300" s="110" t="s">
        <v>4</v>
      </c>
      <c r="J1300" s="99" t="s">
        <v>52</v>
      </c>
      <c r="K1300" s="100" t="s">
        <v>1925</v>
      </c>
      <c r="L1300" s="89"/>
      <c r="M1300" s="75" t="str">
        <f>IF(Main[[#This Row],[Tech Start Date]]&lt;1/1/1990,"",IF(Main[[#This Row],[Class]]="C",WORKDAY(Main[[#This Row],[Tech Start Date]],9),IF(Main[[#This Row],[Class]]="B", WORKDAY(Main[[#This Row],[Tech Start Date]],6),IF(Main[[#This Row],[Class]]="A",WORKDAY(Main[[#This Row],[Tech Start Date]],2),""))))</f>
        <v/>
      </c>
      <c r="N1300" s="75" t="str">
        <f>IF(Main[[#This Row],[Tech Start Date]]&lt;1/1/1990,"",IF(Main[[#This Row],[Class]]="C",WORKDAY(Main[[#This Row],[Tech Start Date]],19),IF(Main[[#This Row],[Class]]="B", WORKDAY(Main[[#This Row],[Tech Start Date]],12),IF(Main[[#This Row],[Class]]="A",WORKDAY(Main[[#This Row],[Tech Start Date]],4),""))))</f>
        <v/>
      </c>
      <c r="O1300" s="75" t="str">
        <f>IF(Main[[#This Row],[Tech Start Date]]&lt;1/1/1990,"",IF(Main[[#This Row],[Class]]="C",WORKDAY(Main[[#This Row],[Tech Start Date]],23),IF(Main[[#This Row],[Class]]="B", WORKDAY(Main[[#This Row],[Tech Start Date]],15),IF(Main[[#This Row],[Class]]="A",WORKDAY(Main[[#This Row],[Tech Start Date]],5),""))))</f>
        <v/>
      </c>
      <c r="P1300" s="75" t="str">
        <f>IF(Main[[#This Row],[Tech Start Date]]&lt;1/1/1990,"",IF(Main[[#This Row],[Class]]="C",WORKDAY(Main[[#This Row],[Tech Start Date]],28),IF(Main[[#This Row],[Class]]="B", WORKDAY(Main[[#This Row],[Tech Start Date]],19),IF(Main[[#This Row],[Class]]="A",WORKDAY(Main[[#This Row],[Tech Start Date]],9),""))))</f>
        <v/>
      </c>
      <c r="Q1300" s="89">
        <v>40389</v>
      </c>
      <c r="R1300" s="121">
        <v>40403</v>
      </c>
      <c r="S1300" s="99" t="s">
        <v>17</v>
      </c>
      <c r="T1300" s="76" t="s">
        <v>4</v>
      </c>
      <c r="U1300" s="99" t="s">
        <v>29</v>
      </c>
      <c r="V1300" s="99" t="s">
        <v>1913</v>
      </c>
      <c r="W1300" s="99" t="s">
        <v>1927</v>
      </c>
      <c r="X1300" s="99" t="s">
        <v>2815</v>
      </c>
      <c r="Y1300" s="73" t="s">
        <v>2930</v>
      </c>
      <c r="Z1300" s="73" t="s">
        <v>129</v>
      </c>
      <c r="AA1300" s="99" t="s">
        <v>2815</v>
      </c>
    </row>
    <row r="1301" spans="1:27" ht="17.25" customHeight="1">
      <c r="A1301" s="65" t="str">
        <f>IF(priority(Main[[#This Row],[Comments]])&lt;&gt;0, priority(Main[[#This Row],[Comments]]),"")</f>
        <v/>
      </c>
      <c r="B1301" s="60" t="s">
        <v>1503</v>
      </c>
      <c r="C1301" s="105" t="s">
        <v>577</v>
      </c>
      <c r="D1301" s="74" t="s">
        <v>2577</v>
      </c>
      <c r="E1301" s="89"/>
      <c r="F1301" s="89"/>
      <c r="G1301" s="65" t="str">
        <f>IF(stdProdLT(Main[[#This Row],[Comments]])=0.1,"N/A",IF(stdProdLT(Main[[#This Row],[Comments]])=0,"",TRIM(stdProdLT(Main[[#This Row],[Comments]]))))</f>
        <v/>
      </c>
      <c r="H1301" s="98" t="str">
        <f>IF(Main[[#This Row],[Std. Prod. Lead Time]]="N/A", "",IF(AND(Main[[#This Row],[In Stock Date]]&lt;&gt;"",Main[[#This Row],[Revised Due Date]]&lt;&gt;"",Main[[#This Row],[In Stock Date]]&lt;&gt;""),Main[[#This Row],[In Stock Date]]-Main[[#This Row],[Revised Due Date]],""))</f>
        <v/>
      </c>
      <c r="I1301" s="110" t="s">
        <v>4</v>
      </c>
      <c r="J1301" s="99" t="s">
        <v>28</v>
      </c>
      <c r="K1301" s="99" t="s">
        <v>1920</v>
      </c>
      <c r="L1301" s="89"/>
      <c r="M1301" s="75" t="str">
        <f>IF(Main[[#This Row],[Tech Start Date]]&lt;1/1/1990,"",IF(Main[[#This Row],[Class]]="C",WORKDAY(Main[[#This Row],[Tech Start Date]],9),IF(Main[[#This Row],[Class]]="B", WORKDAY(Main[[#This Row],[Tech Start Date]],6),IF(Main[[#This Row],[Class]]="A",WORKDAY(Main[[#This Row],[Tech Start Date]],2),""))))</f>
        <v/>
      </c>
      <c r="N1301" s="75" t="str">
        <f>IF(Main[[#This Row],[Tech Start Date]]&lt;1/1/1990,"",IF(Main[[#This Row],[Class]]="C",WORKDAY(Main[[#This Row],[Tech Start Date]],19),IF(Main[[#This Row],[Class]]="B", WORKDAY(Main[[#This Row],[Tech Start Date]],12),IF(Main[[#This Row],[Class]]="A",WORKDAY(Main[[#This Row],[Tech Start Date]],4),""))))</f>
        <v/>
      </c>
      <c r="O1301" s="75" t="str">
        <f>IF(Main[[#This Row],[Tech Start Date]]&lt;1/1/1990,"",IF(Main[[#This Row],[Class]]="C",WORKDAY(Main[[#This Row],[Tech Start Date]],23),IF(Main[[#This Row],[Class]]="B", WORKDAY(Main[[#This Row],[Tech Start Date]],15),IF(Main[[#This Row],[Class]]="A",WORKDAY(Main[[#This Row],[Tech Start Date]],5),""))))</f>
        <v/>
      </c>
      <c r="P1301" s="75" t="str">
        <f>IF(Main[[#This Row],[Tech Start Date]]&lt;1/1/1990,"",IF(Main[[#This Row],[Class]]="C",WORKDAY(Main[[#This Row],[Tech Start Date]],28),IF(Main[[#This Row],[Class]]="B", WORKDAY(Main[[#This Row],[Tech Start Date]],19),IF(Main[[#This Row],[Class]]="A",WORKDAY(Main[[#This Row],[Tech Start Date]],9),""))))</f>
        <v/>
      </c>
      <c r="Q1301" s="89">
        <v>40486</v>
      </c>
      <c r="R1301" s="121"/>
      <c r="S1301" s="99" t="s">
        <v>6</v>
      </c>
      <c r="T1301" s="76" t="s">
        <v>4</v>
      </c>
      <c r="U1301" s="99" t="s">
        <v>14</v>
      </c>
      <c r="V1301" s="99" t="s">
        <v>1913</v>
      </c>
      <c r="W1301" s="99" t="s">
        <v>1917</v>
      </c>
      <c r="X1301" s="99" t="s">
        <v>2815</v>
      </c>
      <c r="Y1301" s="73" t="s">
        <v>2930</v>
      </c>
      <c r="Z1301" s="73" t="s">
        <v>129</v>
      </c>
      <c r="AA1301" s="99" t="s">
        <v>2815</v>
      </c>
    </row>
    <row r="1302" spans="1:27" ht="17.25" customHeight="1">
      <c r="A1302" s="65" t="str">
        <f>IF(priority(Main[[#This Row],[Comments]])&lt;&gt;0, priority(Main[[#This Row],[Comments]]),"")</f>
        <v/>
      </c>
      <c r="B1302" s="60" t="s">
        <v>2087</v>
      </c>
      <c r="C1302" s="105" t="s">
        <v>4</v>
      </c>
      <c r="D1302" s="74" t="s">
        <v>2578</v>
      </c>
      <c r="E1302" s="89">
        <v>40760.553842592592</v>
      </c>
      <c r="F1302" s="89"/>
      <c r="G1302" s="65" t="str">
        <f>IF(stdProdLT(Main[[#This Row],[Comments]])=0.1,"N/A",IF(stdProdLT(Main[[#This Row],[Comments]])=0,"",TRIM(stdProdLT(Main[[#This Row],[Comments]]))))</f>
        <v/>
      </c>
      <c r="H1302" s="98" t="str">
        <f>IF(Main[[#This Row],[Std. Prod. Lead Time]]="N/A", "",IF(AND(Main[[#This Row],[In Stock Date]]&lt;&gt;"",Main[[#This Row],[Revised Due Date]]&lt;&gt;"",Main[[#This Row],[In Stock Date]]&lt;&gt;""),Main[[#This Row],[In Stock Date]]-Main[[#This Row],[Revised Due Date]],""))</f>
        <v/>
      </c>
      <c r="I1302" s="110" t="s">
        <v>4</v>
      </c>
      <c r="J1302" s="99" t="s">
        <v>4</v>
      </c>
      <c r="K1302" s="99" t="s">
        <v>4</v>
      </c>
      <c r="L1302" s="89"/>
      <c r="M1302" s="75" t="str">
        <f>IF(Main[[#This Row],[Tech Start Date]]&lt;1/1/1990,"",IF(Main[[#This Row],[Class]]="C",WORKDAY(Main[[#This Row],[Tech Start Date]],9),IF(Main[[#This Row],[Class]]="B", WORKDAY(Main[[#This Row],[Tech Start Date]],6),IF(Main[[#This Row],[Class]]="A",WORKDAY(Main[[#This Row],[Tech Start Date]],2),""))))</f>
        <v/>
      </c>
      <c r="N1302" s="75" t="str">
        <f>IF(Main[[#This Row],[Tech Start Date]]&lt;1/1/1990,"",IF(Main[[#This Row],[Class]]="C",WORKDAY(Main[[#This Row],[Tech Start Date]],19),IF(Main[[#This Row],[Class]]="B", WORKDAY(Main[[#This Row],[Tech Start Date]],12),IF(Main[[#This Row],[Class]]="A",WORKDAY(Main[[#This Row],[Tech Start Date]],4),""))))</f>
        <v/>
      </c>
      <c r="O1302" s="75" t="str">
        <f>IF(Main[[#This Row],[Tech Start Date]]&lt;1/1/1990,"",IF(Main[[#This Row],[Class]]="C",WORKDAY(Main[[#This Row],[Tech Start Date]],23),IF(Main[[#This Row],[Class]]="B", WORKDAY(Main[[#This Row],[Tech Start Date]],15),IF(Main[[#This Row],[Class]]="A",WORKDAY(Main[[#This Row],[Tech Start Date]],5),""))))</f>
        <v/>
      </c>
      <c r="P1302" s="75" t="str">
        <f>IF(Main[[#This Row],[Tech Start Date]]&lt;1/1/1990,"",IF(Main[[#This Row],[Class]]="C",WORKDAY(Main[[#This Row],[Tech Start Date]],28),IF(Main[[#This Row],[Class]]="B", WORKDAY(Main[[#This Row],[Tech Start Date]],19),IF(Main[[#This Row],[Class]]="A",WORKDAY(Main[[#This Row],[Tech Start Date]],9),""))))</f>
        <v/>
      </c>
      <c r="Q1302" s="89"/>
      <c r="R1302" s="121"/>
      <c r="S1302" s="99" t="s">
        <v>6</v>
      </c>
      <c r="T1302" s="76" t="s">
        <v>4</v>
      </c>
      <c r="U1302" s="99" t="s">
        <v>7</v>
      </c>
      <c r="V1302" s="99" t="s">
        <v>1913</v>
      </c>
      <c r="W1302" s="99" t="s">
        <v>1917</v>
      </c>
      <c r="X1302" s="99" t="s">
        <v>306</v>
      </c>
      <c r="Y1302" s="73" t="s">
        <v>4</v>
      </c>
      <c r="Z1302" s="73" t="s">
        <v>4</v>
      </c>
      <c r="AA1302" s="99" t="s">
        <v>4</v>
      </c>
    </row>
    <row r="1303" spans="1:27" ht="17.25" customHeight="1">
      <c r="A1303" s="65" t="str">
        <f>IF(priority(Main[[#This Row],[Comments]])&lt;&gt;0, priority(Main[[#This Row],[Comments]]),"")</f>
        <v/>
      </c>
      <c r="B1303" s="60" t="s">
        <v>1112</v>
      </c>
      <c r="C1303" s="105" t="s">
        <v>161</v>
      </c>
      <c r="D1303" s="74" t="s">
        <v>162</v>
      </c>
      <c r="E1303" s="89"/>
      <c r="F1303" s="89">
        <v>40238</v>
      </c>
      <c r="G1303" s="65" t="str">
        <f>IF(stdProdLT(Main[[#This Row],[Comments]])=0.1,"N/A",IF(stdProdLT(Main[[#This Row],[Comments]])=0,"",TRIM(stdProdLT(Main[[#This Row],[Comments]]))))</f>
        <v/>
      </c>
      <c r="H1303" s="98" t="str">
        <f>IF(Main[[#This Row],[Std. Prod. Lead Time]]="N/A", "",IF(AND(Main[[#This Row],[In Stock Date]]&lt;&gt;"",Main[[#This Row],[Revised Due Date]]&lt;&gt;"",Main[[#This Row],[In Stock Date]]&lt;&gt;""),Main[[#This Row],[In Stock Date]]-Main[[#This Row],[Revised Due Date]],""))</f>
        <v/>
      </c>
      <c r="I1303" s="110" t="s">
        <v>4</v>
      </c>
      <c r="J1303" s="99" t="s">
        <v>4</v>
      </c>
      <c r="K1303" s="99" t="s">
        <v>4</v>
      </c>
      <c r="L1303" s="89"/>
      <c r="M1303" s="75" t="str">
        <f>IF(Main[[#This Row],[Tech Start Date]]&lt;1/1/1990,"",IF(Main[[#This Row],[Class]]="C",WORKDAY(Main[[#This Row],[Tech Start Date]],9),IF(Main[[#This Row],[Class]]="B", WORKDAY(Main[[#This Row],[Tech Start Date]],6),IF(Main[[#This Row],[Class]]="A",WORKDAY(Main[[#This Row],[Tech Start Date]],2),""))))</f>
        <v/>
      </c>
      <c r="N1303" s="75" t="str">
        <f>IF(Main[[#This Row],[Tech Start Date]]&lt;1/1/1990,"",IF(Main[[#This Row],[Class]]="C",WORKDAY(Main[[#This Row],[Tech Start Date]],19),IF(Main[[#This Row],[Class]]="B", WORKDAY(Main[[#This Row],[Tech Start Date]],12),IF(Main[[#This Row],[Class]]="A",WORKDAY(Main[[#This Row],[Tech Start Date]],4),""))))</f>
        <v/>
      </c>
      <c r="O1303" s="75" t="str">
        <f>IF(Main[[#This Row],[Tech Start Date]]&lt;1/1/1990,"",IF(Main[[#This Row],[Class]]="C",WORKDAY(Main[[#This Row],[Tech Start Date]],23),IF(Main[[#This Row],[Class]]="B", WORKDAY(Main[[#This Row],[Tech Start Date]],15),IF(Main[[#This Row],[Class]]="A",WORKDAY(Main[[#This Row],[Tech Start Date]],5),""))))</f>
        <v/>
      </c>
      <c r="P1303" s="75" t="str">
        <f>IF(Main[[#This Row],[Tech Start Date]]&lt;1/1/1990,"",IF(Main[[#This Row],[Class]]="C",WORKDAY(Main[[#This Row],[Tech Start Date]],28),IF(Main[[#This Row],[Class]]="B", WORKDAY(Main[[#This Row],[Tech Start Date]],19),IF(Main[[#This Row],[Class]]="A",WORKDAY(Main[[#This Row],[Tech Start Date]],9),""))))</f>
        <v/>
      </c>
      <c r="Q1303" s="89">
        <v>40167</v>
      </c>
      <c r="R1303" s="121"/>
      <c r="S1303" s="99" t="s">
        <v>17</v>
      </c>
      <c r="T1303" s="76" t="s">
        <v>4</v>
      </c>
      <c r="U1303" s="99" t="s">
        <v>14</v>
      </c>
      <c r="V1303" s="99" t="s">
        <v>1916</v>
      </c>
      <c r="W1303" s="99" t="s">
        <v>1921</v>
      </c>
      <c r="X1303" s="99" t="s">
        <v>50</v>
      </c>
      <c r="Y1303" s="73" t="s">
        <v>2937</v>
      </c>
      <c r="Z1303" s="73" t="s">
        <v>852</v>
      </c>
      <c r="AA1303" s="99" t="s">
        <v>2818</v>
      </c>
    </row>
    <row r="1304" spans="1:27" ht="17.25" customHeight="1">
      <c r="A1304" s="65" t="str">
        <f>IF(priority(Main[[#This Row],[Comments]])&lt;&gt;0, priority(Main[[#This Row],[Comments]]),"")</f>
        <v/>
      </c>
      <c r="B1304" s="60" t="s">
        <v>3179</v>
      </c>
      <c r="C1304" s="105" t="s">
        <v>31</v>
      </c>
      <c r="D1304" s="74" t="s">
        <v>3180</v>
      </c>
      <c r="E1304" s="89"/>
      <c r="F1304" s="89">
        <v>41122</v>
      </c>
      <c r="G1304" s="65" t="str">
        <f>IF(stdProdLT(Main[[#This Row],[Comments]])=0.1,"N/A",IF(stdProdLT(Main[[#This Row],[Comments]])=0,"",TRIM(stdProdLT(Main[[#This Row],[Comments]]))))</f>
        <v/>
      </c>
      <c r="H1304" s="98" t="str">
        <f>IF(Main[[#This Row],[Std. Prod. Lead Time]]="N/A", "",IF(AND(Main[[#This Row],[In Stock Date]]&lt;&gt;"",Main[[#This Row],[Revised Due Date]]&lt;&gt;"",Main[[#This Row],[In Stock Date]]&lt;&gt;""),Main[[#This Row],[In Stock Date]]-Main[[#This Row],[Revised Due Date]],""))</f>
        <v/>
      </c>
      <c r="I1304" s="110" t="s">
        <v>4</v>
      </c>
      <c r="J1304" s="99" t="s">
        <v>4</v>
      </c>
      <c r="K1304" s="99" t="s">
        <v>4</v>
      </c>
      <c r="L1304" s="89"/>
      <c r="M1304" s="75" t="str">
        <f>IF(Main[[#This Row],[Tech Start Date]]&lt;1/1/1990,"",IF(Main[[#This Row],[Class]]="C",WORKDAY(Main[[#This Row],[Tech Start Date]],9),IF(Main[[#This Row],[Class]]="B", WORKDAY(Main[[#This Row],[Tech Start Date]],6),IF(Main[[#This Row],[Class]]="A",WORKDAY(Main[[#This Row],[Tech Start Date]],2),""))))</f>
        <v/>
      </c>
      <c r="N1304" s="75" t="str">
        <f>IF(Main[[#This Row],[Tech Start Date]]&lt;1/1/1990,"",IF(Main[[#This Row],[Class]]="C",WORKDAY(Main[[#This Row],[Tech Start Date]],19),IF(Main[[#This Row],[Class]]="B", WORKDAY(Main[[#This Row],[Tech Start Date]],12),IF(Main[[#This Row],[Class]]="A",WORKDAY(Main[[#This Row],[Tech Start Date]],4),""))))</f>
        <v/>
      </c>
      <c r="O1304" s="75" t="str">
        <f>IF(Main[[#This Row],[Tech Start Date]]&lt;1/1/1990,"",IF(Main[[#This Row],[Class]]="C",WORKDAY(Main[[#This Row],[Tech Start Date]],23),IF(Main[[#This Row],[Class]]="B", WORKDAY(Main[[#This Row],[Tech Start Date]],15),IF(Main[[#This Row],[Class]]="A",WORKDAY(Main[[#This Row],[Tech Start Date]],5),""))))</f>
        <v/>
      </c>
      <c r="P1304" s="75" t="str">
        <f>IF(Main[[#This Row],[Tech Start Date]]&lt;1/1/1990,"",IF(Main[[#This Row],[Class]]="C",WORKDAY(Main[[#This Row],[Tech Start Date]],28),IF(Main[[#This Row],[Class]]="B", WORKDAY(Main[[#This Row],[Tech Start Date]],19),IF(Main[[#This Row],[Class]]="A",WORKDAY(Main[[#This Row],[Tech Start Date]],9),""))))</f>
        <v/>
      </c>
      <c r="Q1304" s="89">
        <v>40940</v>
      </c>
      <c r="R1304" s="121"/>
      <c r="S1304" s="99" t="s">
        <v>11</v>
      </c>
      <c r="T1304" s="76" t="s">
        <v>4</v>
      </c>
      <c r="U1304" s="99" t="s">
        <v>12</v>
      </c>
      <c r="V1304" s="99" t="s">
        <v>1916</v>
      </c>
      <c r="W1304" s="99" t="s">
        <v>1924</v>
      </c>
      <c r="X1304" s="99" t="s">
        <v>2840</v>
      </c>
      <c r="Y1304" s="73" t="s">
        <v>4</v>
      </c>
      <c r="Z1304" s="73" t="s">
        <v>4</v>
      </c>
      <c r="AA1304" s="99" t="s">
        <v>2840</v>
      </c>
    </row>
    <row r="1305" spans="1:27" ht="17.25" customHeight="1">
      <c r="A1305" s="65" t="str">
        <f>IF(priority(Main[[#This Row],[Comments]])&lt;&gt;0, priority(Main[[#This Row],[Comments]]),"")</f>
        <v/>
      </c>
      <c r="B1305" s="60" t="s">
        <v>2778</v>
      </c>
      <c r="C1305" s="105" t="s">
        <v>4</v>
      </c>
      <c r="D1305" s="74" t="s">
        <v>2779</v>
      </c>
      <c r="E1305" s="89">
        <v>40905.712777777779</v>
      </c>
      <c r="F1305" s="89"/>
      <c r="G1305" s="65" t="str">
        <f>IF(stdProdLT(Main[[#This Row],[Comments]])=0.1,"N/A",IF(stdProdLT(Main[[#This Row],[Comments]])=0,"",TRIM(stdProdLT(Main[[#This Row],[Comments]]))))</f>
        <v/>
      </c>
      <c r="H1305" s="98" t="str">
        <f>IF(Main[[#This Row],[Std. Prod. Lead Time]]="N/A", "",IF(AND(Main[[#This Row],[In Stock Date]]&lt;&gt;"",Main[[#This Row],[Revised Due Date]]&lt;&gt;"",Main[[#This Row],[In Stock Date]]&lt;&gt;""),Main[[#This Row],[In Stock Date]]-Main[[#This Row],[Revised Due Date]],""))</f>
        <v/>
      </c>
      <c r="I1305" s="110" t="s">
        <v>4</v>
      </c>
      <c r="J1305" s="99" t="s">
        <v>4</v>
      </c>
      <c r="K1305" s="99" t="s">
        <v>4</v>
      </c>
      <c r="L1305" s="89"/>
      <c r="M1305" s="75" t="str">
        <f>IF(Main[[#This Row],[Tech Start Date]]&lt;1/1/1990,"",IF(Main[[#This Row],[Class]]="C",WORKDAY(Main[[#This Row],[Tech Start Date]],9),IF(Main[[#This Row],[Class]]="B", WORKDAY(Main[[#This Row],[Tech Start Date]],6),IF(Main[[#This Row],[Class]]="A",WORKDAY(Main[[#This Row],[Tech Start Date]],2),""))))</f>
        <v/>
      </c>
      <c r="N1305" s="75" t="str">
        <f>IF(Main[[#This Row],[Tech Start Date]]&lt;1/1/1990,"",IF(Main[[#This Row],[Class]]="C",WORKDAY(Main[[#This Row],[Tech Start Date]],19),IF(Main[[#This Row],[Class]]="B", WORKDAY(Main[[#This Row],[Tech Start Date]],12),IF(Main[[#This Row],[Class]]="A",WORKDAY(Main[[#This Row],[Tech Start Date]],4),""))))</f>
        <v/>
      </c>
      <c r="O1305" s="75" t="str">
        <f>IF(Main[[#This Row],[Tech Start Date]]&lt;1/1/1990,"",IF(Main[[#This Row],[Class]]="C",WORKDAY(Main[[#This Row],[Tech Start Date]],23),IF(Main[[#This Row],[Class]]="B", WORKDAY(Main[[#This Row],[Tech Start Date]],15),IF(Main[[#This Row],[Class]]="A",WORKDAY(Main[[#This Row],[Tech Start Date]],5),""))))</f>
        <v/>
      </c>
      <c r="P1305" s="75" t="str">
        <f>IF(Main[[#This Row],[Tech Start Date]]&lt;1/1/1990,"",IF(Main[[#This Row],[Class]]="C",WORKDAY(Main[[#This Row],[Tech Start Date]],28),IF(Main[[#This Row],[Class]]="B", WORKDAY(Main[[#This Row],[Tech Start Date]],19),IF(Main[[#This Row],[Class]]="A",WORKDAY(Main[[#This Row],[Tech Start Date]],9),""))))</f>
        <v/>
      </c>
      <c r="Q1305" s="89">
        <v>40939</v>
      </c>
      <c r="R1305" s="121"/>
      <c r="S1305" s="99" t="s">
        <v>6</v>
      </c>
      <c r="T1305" s="76" t="s">
        <v>4</v>
      </c>
      <c r="U1305" s="99" t="s">
        <v>7</v>
      </c>
      <c r="V1305" s="99" t="s">
        <v>1913</v>
      </c>
      <c r="W1305" s="99" t="s">
        <v>4</v>
      </c>
      <c r="X1305" s="99" t="s">
        <v>2813</v>
      </c>
      <c r="Y1305" s="73" t="s">
        <v>2926</v>
      </c>
      <c r="Z1305" s="73" t="s">
        <v>4</v>
      </c>
      <c r="AA1305" s="99" t="s">
        <v>2813</v>
      </c>
    </row>
    <row r="1306" spans="1:27" ht="17.25" customHeight="1">
      <c r="A1306" s="65" t="str">
        <f>IF(priority(Main[[#This Row],[Comments]])&lt;&gt;0, priority(Main[[#This Row],[Comments]]),"")</f>
        <v/>
      </c>
      <c r="B1306" s="60" t="s">
        <v>2570</v>
      </c>
      <c r="C1306" s="105" t="s">
        <v>4</v>
      </c>
      <c r="D1306" s="74" t="s">
        <v>2780</v>
      </c>
      <c r="E1306" s="89">
        <v>40870.473611111112</v>
      </c>
      <c r="F1306" s="89"/>
      <c r="G1306" s="65" t="str">
        <f>IF(stdProdLT(Main[[#This Row],[Comments]])=0.1,"N/A",IF(stdProdLT(Main[[#This Row],[Comments]])=0,"",TRIM(stdProdLT(Main[[#This Row],[Comments]]))))</f>
        <v/>
      </c>
      <c r="H1306" s="98" t="str">
        <f>IF(Main[[#This Row],[Std. Prod. Lead Time]]="N/A", "",IF(AND(Main[[#This Row],[In Stock Date]]&lt;&gt;"",Main[[#This Row],[Revised Due Date]]&lt;&gt;"",Main[[#This Row],[In Stock Date]]&lt;&gt;""),Main[[#This Row],[In Stock Date]]-Main[[#This Row],[Revised Due Date]],""))</f>
        <v/>
      </c>
      <c r="I1306" s="110" t="s">
        <v>429</v>
      </c>
      <c r="J1306" s="99" t="s">
        <v>28</v>
      </c>
      <c r="K1306" s="99" t="s">
        <v>1922</v>
      </c>
      <c r="L1306" s="89"/>
      <c r="M1306" s="75" t="str">
        <f>IF(Main[[#This Row],[Tech Start Date]]&lt;1/1/1990,"",IF(Main[[#This Row],[Class]]="C",WORKDAY(Main[[#This Row],[Tech Start Date]],9),IF(Main[[#This Row],[Class]]="B", WORKDAY(Main[[#This Row],[Tech Start Date]],6),IF(Main[[#This Row],[Class]]="A",WORKDAY(Main[[#This Row],[Tech Start Date]],2),""))))</f>
        <v/>
      </c>
      <c r="N1306" s="75" t="str">
        <f>IF(Main[[#This Row],[Tech Start Date]]&lt;1/1/1990,"",IF(Main[[#This Row],[Class]]="C",WORKDAY(Main[[#This Row],[Tech Start Date]],19),IF(Main[[#This Row],[Class]]="B", WORKDAY(Main[[#This Row],[Tech Start Date]],12),IF(Main[[#This Row],[Class]]="A",WORKDAY(Main[[#This Row],[Tech Start Date]],4),""))))</f>
        <v/>
      </c>
      <c r="O1306" s="75" t="str">
        <f>IF(Main[[#This Row],[Tech Start Date]]&lt;1/1/1990,"",IF(Main[[#This Row],[Class]]="C",WORKDAY(Main[[#This Row],[Tech Start Date]],23),IF(Main[[#This Row],[Class]]="B", WORKDAY(Main[[#This Row],[Tech Start Date]],15),IF(Main[[#This Row],[Class]]="A",WORKDAY(Main[[#This Row],[Tech Start Date]],5),""))))</f>
        <v/>
      </c>
      <c r="P1306" s="75" t="str">
        <f>IF(Main[[#This Row],[Tech Start Date]]&lt;1/1/1990,"",IF(Main[[#This Row],[Class]]="C",WORKDAY(Main[[#This Row],[Tech Start Date]],28),IF(Main[[#This Row],[Class]]="B", WORKDAY(Main[[#This Row],[Tech Start Date]],19),IF(Main[[#This Row],[Class]]="A",WORKDAY(Main[[#This Row],[Tech Start Date]],9),""))))</f>
        <v/>
      </c>
      <c r="Q1306" s="89">
        <v>40905</v>
      </c>
      <c r="R1306" s="121"/>
      <c r="S1306" s="99" t="s">
        <v>6</v>
      </c>
      <c r="T1306" s="76" t="s">
        <v>4</v>
      </c>
      <c r="U1306" s="99" t="s">
        <v>29</v>
      </c>
      <c r="V1306" s="99" t="s">
        <v>1916</v>
      </c>
      <c r="W1306" s="99" t="s">
        <v>1917</v>
      </c>
      <c r="X1306" s="99" t="s">
        <v>2047</v>
      </c>
      <c r="Y1306" s="73" t="s">
        <v>3054</v>
      </c>
      <c r="Z1306" s="73" t="s">
        <v>30</v>
      </c>
      <c r="AA1306" s="99" t="s">
        <v>2889</v>
      </c>
    </row>
    <row r="1307" spans="1:27" ht="17.25" customHeight="1">
      <c r="A1307" s="65" t="str">
        <f>IF(priority(Main[[#This Row],[Comments]])&lt;&gt;0, priority(Main[[#This Row],[Comments]]),"")</f>
        <v/>
      </c>
      <c r="B1307" s="60" t="s">
        <v>1037</v>
      </c>
      <c r="C1307" s="105" t="s">
        <v>33</v>
      </c>
      <c r="D1307" s="74" t="s">
        <v>3710</v>
      </c>
      <c r="E1307" s="89">
        <v>40345.428090277775</v>
      </c>
      <c r="F1307" s="89"/>
      <c r="G1307" s="65" t="str">
        <f>IF(stdProdLT(Main[[#This Row],[Comments]])=0.1,"N/A",IF(stdProdLT(Main[[#This Row],[Comments]])=0,"",TRIM(stdProdLT(Main[[#This Row],[Comments]]))))</f>
        <v/>
      </c>
      <c r="H1307" s="98" t="str">
        <f>IF(Main[[#This Row],[Std. Prod. Lead Time]]="N/A", "",IF(AND(Main[[#This Row],[In Stock Date]]&lt;&gt;"",Main[[#This Row],[Revised Due Date]]&lt;&gt;"",Main[[#This Row],[In Stock Date]]&lt;&gt;""),Main[[#This Row],[In Stock Date]]-Main[[#This Row],[Revised Due Date]],""))</f>
        <v/>
      </c>
      <c r="I1307" s="110" t="s">
        <v>969</v>
      </c>
      <c r="J1307" s="99" t="s">
        <v>28</v>
      </c>
      <c r="K1307" s="99" t="s">
        <v>4</v>
      </c>
      <c r="L1307" s="89"/>
      <c r="M1307" s="75" t="str">
        <f>IF(Main[[#This Row],[Tech Start Date]]&lt;1/1/1990,"",IF(Main[[#This Row],[Class]]="C",WORKDAY(Main[[#This Row],[Tech Start Date]],9),IF(Main[[#This Row],[Class]]="B", WORKDAY(Main[[#This Row],[Tech Start Date]],6),IF(Main[[#This Row],[Class]]="A",WORKDAY(Main[[#This Row],[Tech Start Date]],2),""))))</f>
        <v/>
      </c>
      <c r="N1307" s="75" t="str">
        <f>IF(Main[[#This Row],[Tech Start Date]]&lt;1/1/1990,"",IF(Main[[#This Row],[Class]]="C",WORKDAY(Main[[#This Row],[Tech Start Date]],19),IF(Main[[#This Row],[Class]]="B", WORKDAY(Main[[#This Row],[Tech Start Date]],12),IF(Main[[#This Row],[Class]]="A",WORKDAY(Main[[#This Row],[Tech Start Date]],4),""))))</f>
        <v/>
      </c>
      <c r="O1307" s="75" t="str">
        <f>IF(Main[[#This Row],[Tech Start Date]]&lt;1/1/1990,"",IF(Main[[#This Row],[Class]]="C",WORKDAY(Main[[#This Row],[Tech Start Date]],23),IF(Main[[#This Row],[Class]]="B", WORKDAY(Main[[#This Row],[Tech Start Date]],15),IF(Main[[#This Row],[Class]]="A",WORKDAY(Main[[#This Row],[Tech Start Date]],5),""))))</f>
        <v/>
      </c>
      <c r="P1307" s="75" t="str">
        <f>IF(Main[[#This Row],[Tech Start Date]]&lt;1/1/1990,"",IF(Main[[#This Row],[Class]]="C",WORKDAY(Main[[#This Row],[Tech Start Date]],28),IF(Main[[#This Row],[Class]]="B", WORKDAY(Main[[#This Row],[Tech Start Date]],19),IF(Main[[#This Row],[Class]]="A",WORKDAY(Main[[#This Row],[Tech Start Date]],9),""))))</f>
        <v/>
      </c>
      <c r="Q1307" s="89">
        <v>40384</v>
      </c>
      <c r="R1307" s="121">
        <v>41029</v>
      </c>
      <c r="S1307" s="99" t="s">
        <v>17</v>
      </c>
      <c r="T1307" s="76" t="s">
        <v>2316</v>
      </c>
      <c r="U1307" s="99" t="s">
        <v>29</v>
      </c>
      <c r="V1307" s="99" t="s">
        <v>1913</v>
      </c>
      <c r="W1307" s="99" t="s">
        <v>1918</v>
      </c>
      <c r="X1307" s="99" t="s">
        <v>2869</v>
      </c>
      <c r="Y1307" s="73" t="s">
        <v>3015</v>
      </c>
      <c r="Z1307" s="73" t="s">
        <v>129</v>
      </c>
      <c r="AA1307" s="99" t="s">
        <v>2869</v>
      </c>
    </row>
    <row r="1308" spans="1:27" ht="17.25" customHeight="1">
      <c r="A1308" s="65" t="str">
        <f>IF(priority(Main[[#This Row],[Comments]])&lt;&gt;0, priority(Main[[#This Row],[Comments]]),"")</f>
        <v/>
      </c>
      <c r="B1308" s="60" t="s">
        <v>3546</v>
      </c>
      <c r="C1308" s="105" t="s">
        <v>4017</v>
      </c>
      <c r="D1308" s="74" t="s">
        <v>4018</v>
      </c>
      <c r="E1308" s="89">
        <v>40969.645277777781</v>
      </c>
      <c r="F1308" s="89">
        <v>41044</v>
      </c>
      <c r="G1308" s="65" t="str">
        <f>IF(stdProdLT(Main[[#This Row],[Comments]])=0.1,"N/A",IF(stdProdLT(Main[[#This Row],[Comments]])=0,"",TRIM(stdProdLT(Main[[#This Row],[Comments]]))))</f>
        <v>126</v>
      </c>
      <c r="H1308" s="98" t="str">
        <f>IF(Main[[#This Row],[Std. Prod. Lead Time]]="N/A", "",IF(AND(Main[[#This Row],[In Stock Date]]&lt;&gt;"",Main[[#This Row],[Revised Due Date]]&lt;&gt;"",Main[[#This Row],[In Stock Date]]&lt;&gt;""),Main[[#This Row],[In Stock Date]]-Main[[#This Row],[Revised Due Date]],""))</f>
        <v/>
      </c>
      <c r="I1308" s="110" t="s">
        <v>4</v>
      </c>
      <c r="J1308" s="99" t="s">
        <v>4</v>
      </c>
      <c r="K1308" s="99" t="s">
        <v>4</v>
      </c>
      <c r="L1308" s="89"/>
      <c r="M1308" s="75" t="str">
        <f>IF(Main[[#This Row],[Tech Start Date]]&lt;1/1/1990,"",IF(Main[[#This Row],[Class]]="C",WORKDAY(Main[[#This Row],[Tech Start Date]],9),IF(Main[[#This Row],[Class]]="B", WORKDAY(Main[[#This Row],[Tech Start Date]],6),IF(Main[[#This Row],[Class]]="A",WORKDAY(Main[[#This Row],[Tech Start Date]],2),""))))</f>
        <v/>
      </c>
      <c r="N1308" s="75" t="str">
        <f>IF(Main[[#This Row],[Tech Start Date]]&lt;1/1/1990,"",IF(Main[[#This Row],[Class]]="C",WORKDAY(Main[[#This Row],[Tech Start Date]],19),IF(Main[[#This Row],[Class]]="B", WORKDAY(Main[[#This Row],[Tech Start Date]],12),IF(Main[[#This Row],[Class]]="A",WORKDAY(Main[[#This Row],[Tech Start Date]],4),""))))</f>
        <v/>
      </c>
      <c r="O1308" s="75" t="str">
        <f>IF(Main[[#This Row],[Tech Start Date]]&lt;1/1/1990,"",IF(Main[[#This Row],[Class]]="C",WORKDAY(Main[[#This Row],[Tech Start Date]],23),IF(Main[[#This Row],[Class]]="B", WORKDAY(Main[[#This Row],[Tech Start Date]],15),IF(Main[[#This Row],[Class]]="A",WORKDAY(Main[[#This Row],[Tech Start Date]],5),""))))</f>
        <v/>
      </c>
      <c r="P1308" s="75" t="str">
        <f>IF(Main[[#This Row],[Tech Start Date]]&lt;1/1/1990,"",IF(Main[[#This Row],[Class]]="C",WORKDAY(Main[[#This Row],[Tech Start Date]],28),IF(Main[[#This Row],[Class]]="B", WORKDAY(Main[[#This Row],[Tech Start Date]],19),IF(Main[[#This Row],[Class]]="A",WORKDAY(Main[[#This Row],[Tech Start Date]],9),""))))</f>
        <v/>
      </c>
      <c r="Q1308" s="89"/>
      <c r="R1308" s="121"/>
      <c r="S1308" s="99" t="s">
        <v>11</v>
      </c>
      <c r="T1308" s="76" t="s">
        <v>4019</v>
      </c>
      <c r="U1308" s="99" t="s">
        <v>7</v>
      </c>
      <c r="V1308" s="99" t="s">
        <v>1913</v>
      </c>
      <c r="W1308" s="99" t="s">
        <v>1921</v>
      </c>
      <c r="X1308" s="99" t="s">
        <v>3464</v>
      </c>
      <c r="Y1308" s="73" t="s">
        <v>3478</v>
      </c>
      <c r="Z1308" s="73" t="s">
        <v>4</v>
      </c>
      <c r="AA1308" s="99" t="s">
        <v>3464</v>
      </c>
    </row>
    <row r="1309" spans="1:27" ht="17.25" customHeight="1">
      <c r="A1309" s="65" t="str">
        <f>IF(priority(Main[[#This Row],[Comments]])&lt;&gt;0, priority(Main[[#This Row],[Comments]]),"")</f>
        <v/>
      </c>
      <c r="B1309" s="60" t="s">
        <v>3266</v>
      </c>
      <c r="C1309" s="105" t="s">
        <v>4</v>
      </c>
      <c r="D1309" s="74" t="s">
        <v>3711</v>
      </c>
      <c r="E1309" s="89">
        <v>40932.302083333336</v>
      </c>
      <c r="F1309" s="89"/>
      <c r="G1309" s="65" t="str">
        <f>IF(stdProdLT(Main[[#This Row],[Comments]])=0.1,"N/A",IF(stdProdLT(Main[[#This Row],[Comments]])=0,"",TRIM(stdProdLT(Main[[#This Row],[Comments]]))))</f>
        <v/>
      </c>
      <c r="H1309" s="98" t="str">
        <f>IF(Main[[#This Row],[Std. Prod. Lead Time]]="N/A", "",IF(AND(Main[[#This Row],[In Stock Date]]&lt;&gt;"",Main[[#This Row],[Revised Due Date]]&lt;&gt;"",Main[[#This Row],[In Stock Date]]&lt;&gt;""),Main[[#This Row],[In Stock Date]]-Main[[#This Row],[Revised Due Date]],""))</f>
        <v/>
      </c>
      <c r="I1309" s="110" t="s">
        <v>69</v>
      </c>
      <c r="J1309" s="99" t="s">
        <v>70</v>
      </c>
      <c r="K1309" s="99" t="s">
        <v>1922</v>
      </c>
      <c r="L1309" s="89"/>
      <c r="M1309" s="75" t="str">
        <f>IF(Main[[#This Row],[Tech Start Date]]&lt;1/1/1990,"",IF(Main[[#This Row],[Class]]="C",WORKDAY(Main[[#This Row],[Tech Start Date]],9),IF(Main[[#This Row],[Class]]="B", WORKDAY(Main[[#This Row],[Tech Start Date]],6),IF(Main[[#This Row],[Class]]="A",WORKDAY(Main[[#This Row],[Tech Start Date]],2),""))))</f>
        <v/>
      </c>
      <c r="N1309" s="75" t="str">
        <f>IF(Main[[#This Row],[Tech Start Date]]&lt;1/1/1990,"",IF(Main[[#This Row],[Class]]="C",WORKDAY(Main[[#This Row],[Tech Start Date]],19),IF(Main[[#This Row],[Class]]="B", WORKDAY(Main[[#This Row],[Tech Start Date]],12),IF(Main[[#This Row],[Class]]="A",WORKDAY(Main[[#This Row],[Tech Start Date]],4),""))))</f>
        <v/>
      </c>
      <c r="O1309" s="75" t="str">
        <f>IF(Main[[#This Row],[Tech Start Date]]&lt;1/1/1990,"",IF(Main[[#This Row],[Class]]="C",WORKDAY(Main[[#This Row],[Tech Start Date]],23),IF(Main[[#This Row],[Class]]="B", WORKDAY(Main[[#This Row],[Tech Start Date]],15),IF(Main[[#This Row],[Class]]="A",WORKDAY(Main[[#This Row],[Tech Start Date]],5),""))))</f>
        <v/>
      </c>
      <c r="P1309" s="75" t="str">
        <f>IF(Main[[#This Row],[Tech Start Date]]&lt;1/1/1990,"",IF(Main[[#This Row],[Class]]="C",WORKDAY(Main[[#This Row],[Tech Start Date]],28),IF(Main[[#This Row],[Class]]="B", WORKDAY(Main[[#This Row],[Tech Start Date]],19),IF(Main[[#This Row],[Class]]="A",WORKDAY(Main[[#This Row],[Tech Start Date]],9),""))))</f>
        <v/>
      </c>
      <c r="Q1309" s="89">
        <v>40999</v>
      </c>
      <c r="R1309" s="121"/>
      <c r="S1309" s="99" t="s">
        <v>6</v>
      </c>
      <c r="T1309" s="76" t="s">
        <v>4</v>
      </c>
      <c r="U1309" s="99" t="s">
        <v>29</v>
      </c>
      <c r="V1309" s="99" t="s">
        <v>1916</v>
      </c>
      <c r="W1309" s="99" t="s">
        <v>1917</v>
      </c>
      <c r="X1309" s="99" t="s">
        <v>2897</v>
      </c>
      <c r="Y1309" s="73" t="s">
        <v>3077</v>
      </c>
      <c r="Z1309" s="73" t="s">
        <v>30</v>
      </c>
      <c r="AA1309" s="99" t="s">
        <v>2897</v>
      </c>
    </row>
    <row r="1310" spans="1:27" ht="17.25" customHeight="1">
      <c r="A1310" s="65" t="str">
        <f>IF(priority(Main[[#This Row],[Comments]])&lt;&gt;0, priority(Main[[#This Row],[Comments]]),"")</f>
        <v/>
      </c>
      <c r="B1310" s="60" t="s">
        <v>3712</v>
      </c>
      <c r="C1310" s="105" t="s">
        <v>4</v>
      </c>
      <c r="D1310" s="74" t="s">
        <v>3713</v>
      </c>
      <c r="E1310" s="89">
        <v>40961.570833333331</v>
      </c>
      <c r="F1310" s="89"/>
      <c r="G1310" s="65" t="str">
        <f>IF(stdProdLT(Main[[#This Row],[Comments]])=0.1,"N/A",IF(stdProdLT(Main[[#This Row],[Comments]])=0,"",TRIM(stdProdLT(Main[[#This Row],[Comments]]))))</f>
        <v/>
      </c>
      <c r="H1310" s="98" t="str">
        <f>IF(Main[[#This Row],[Std. Prod. Lead Time]]="N/A", "",IF(AND(Main[[#This Row],[In Stock Date]]&lt;&gt;"",Main[[#This Row],[Revised Due Date]]&lt;&gt;"",Main[[#This Row],[In Stock Date]]&lt;&gt;""),Main[[#This Row],[In Stock Date]]-Main[[#This Row],[Revised Due Date]],""))</f>
        <v/>
      </c>
      <c r="I1310" s="110" t="s">
        <v>2047</v>
      </c>
      <c r="J1310" s="99" t="s">
        <v>28</v>
      </c>
      <c r="K1310" s="100" t="s">
        <v>1922</v>
      </c>
      <c r="L1310" s="89"/>
      <c r="M1310" s="75" t="str">
        <f>IF(Main[[#This Row],[Tech Start Date]]&lt;1/1/1990,"",IF(Main[[#This Row],[Class]]="C",WORKDAY(Main[[#This Row],[Tech Start Date]],9),IF(Main[[#This Row],[Class]]="B", WORKDAY(Main[[#This Row],[Tech Start Date]],6),IF(Main[[#This Row],[Class]]="A",WORKDAY(Main[[#This Row],[Tech Start Date]],2),""))))</f>
        <v/>
      </c>
      <c r="N1310" s="75" t="str">
        <f>IF(Main[[#This Row],[Tech Start Date]]&lt;1/1/1990,"",IF(Main[[#This Row],[Class]]="C",WORKDAY(Main[[#This Row],[Tech Start Date]],19),IF(Main[[#This Row],[Class]]="B", WORKDAY(Main[[#This Row],[Tech Start Date]],12),IF(Main[[#This Row],[Class]]="A",WORKDAY(Main[[#This Row],[Tech Start Date]],4),""))))</f>
        <v/>
      </c>
      <c r="O1310" s="75" t="str">
        <f>IF(Main[[#This Row],[Tech Start Date]]&lt;1/1/1990,"",IF(Main[[#This Row],[Class]]="C",WORKDAY(Main[[#This Row],[Tech Start Date]],23),IF(Main[[#This Row],[Class]]="B", WORKDAY(Main[[#This Row],[Tech Start Date]],15),IF(Main[[#This Row],[Class]]="A",WORKDAY(Main[[#This Row],[Tech Start Date]],5),""))))</f>
        <v/>
      </c>
      <c r="P1310" s="75" t="str">
        <f>IF(Main[[#This Row],[Tech Start Date]]&lt;1/1/1990,"",IF(Main[[#This Row],[Class]]="C",WORKDAY(Main[[#This Row],[Tech Start Date]],28),IF(Main[[#This Row],[Class]]="B", WORKDAY(Main[[#This Row],[Tech Start Date]],19),IF(Main[[#This Row],[Class]]="A",WORKDAY(Main[[#This Row],[Tech Start Date]],9),""))))</f>
        <v/>
      </c>
      <c r="Q1310" s="89"/>
      <c r="R1310" s="121"/>
      <c r="S1310" s="99" t="s">
        <v>6</v>
      </c>
      <c r="T1310" s="76" t="s">
        <v>4</v>
      </c>
      <c r="U1310" s="99" t="s">
        <v>29</v>
      </c>
      <c r="V1310" s="99" t="s">
        <v>1916</v>
      </c>
      <c r="W1310" s="99" t="s">
        <v>1917</v>
      </c>
      <c r="X1310" s="99" t="s">
        <v>2835</v>
      </c>
      <c r="Y1310" s="73" t="s">
        <v>2965</v>
      </c>
      <c r="Z1310" s="73" t="s">
        <v>30</v>
      </c>
      <c r="AA1310" s="99" t="s">
        <v>2835</v>
      </c>
    </row>
    <row r="1311" spans="1:27" ht="17.25" customHeight="1">
      <c r="A1311" s="65" t="str">
        <f>IF(priority(Main[[#This Row],[Comments]])&lt;&gt;0, priority(Main[[#This Row],[Comments]]),"")</f>
        <v/>
      </c>
      <c r="B1311" s="60" t="s">
        <v>3483</v>
      </c>
      <c r="C1311" s="105" t="s">
        <v>4</v>
      </c>
      <c r="D1311" s="74" t="s">
        <v>3484</v>
      </c>
      <c r="E1311" s="89"/>
      <c r="F1311" s="89"/>
      <c r="G1311" s="65" t="str">
        <f>IF(stdProdLT(Main[[#This Row],[Comments]])=0.1,"N/A",IF(stdProdLT(Main[[#This Row],[Comments]])=0,"",TRIM(stdProdLT(Main[[#This Row],[Comments]]))))</f>
        <v/>
      </c>
      <c r="H1311" s="98" t="str">
        <f>IF(Main[[#This Row],[Std. Prod. Lead Time]]="N/A", "",IF(AND(Main[[#This Row],[In Stock Date]]&lt;&gt;"",Main[[#This Row],[Revised Due Date]]&lt;&gt;"",Main[[#This Row],[In Stock Date]]&lt;&gt;""),Main[[#This Row],[In Stock Date]]-Main[[#This Row],[Revised Due Date]],""))</f>
        <v/>
      </c>
      <c r="I1311" s="110" t="s">
        <v>530</v>
      </c>
      <c r="J1311" s="99" t="s">
        <v>28</v>
      </c>
      <c r="K1311" s="99" t="s">
        <v>1922</v>
      </c>
      <c r="L1311" s="89"/>
      <c r="M1311" s="75" t="str">
        <f>IF(Main[[#This Row],[Tech Start Date]]&lt;1/1/1990,"",IF(Main[[#This Row],[Class]]="C",WORKDAY(Main[[#This Row],[Tech Start Date]],9),IF(Main[[#This Row],[Class]]="B", WORKDAY(Main[[#This Row],[Tech Start Date]],6),IF(Main[[#This Row],[Class]]="A",WORKDAY(Main[[#This Row],[Tech Start Date]],2),""))))</f>
        <v/>
      </c>
      <c r="N1311" s="75" t="str">
        <f>IF(Main[[#This Row],[Tech Start Date]]&lt;1/1/1990,"",IF(Main[[#This Row],[Class]]="C",WORKDAY(Main[[#This Row],[Tech Start Date]],19),IF(Main[[#This Row],[Class]]="B", WORKDAY(Main[[#This Row],[Tech Start Date]],12),IF(Main[[#This Row],[Class]]="A",WORKDAY(Main[[#This Row],[Tech Start Date]],4),""))))</f>
        <v/>
      </c>
      <c r="O1311" s="75" t="str">
        <f>IF(Main[[#This Row],[Tech Start Date]]&lt;1/1/1990,"",IF(Main[[#This Row],[Class]]="C",WORKDAY(Main[[#This Row],[Tech Start Date]],23),IF(Main[[#This Row],[Class]]="B", WORKDAY(Main[[#This Row],[Tech Start Date]],15),IF(Main[[#This Row],[Class]]="A",WORKDAY(Main[[#This Row],[Tech Start Date]],5),""))))</f>
        <v/>
      </c>
      <c r="P1311" s="75" t="str">
        <f>IF(Main[[#This Row],[Tech Start Date]]&lt;1/1/1990,"",IF(Main[[#This Row],[Class]]="C",WORKDAY(Main[[#This Row],[Tech Start Date]],28),IF(Main[[#This Row],[Class]]="B", WORKDAY(Main[[#This Row],[Tech Start Date]],19),IF(Main[[#This Row],[Class]]="A",WORKDAY(Main[[#This Row],[Tech Start Date]],9),""))))</f>
        <v/>
      </c>
      <c r="Q1311" s="89">
        <v>40970</v>
      </c>
      <c r="R1311" s="121"/>
      <c r="S1311" s="99" t="s">
        <v>6</v>
      </c>
      <c r="T1311" s="76" t="s">
        <v>4</v>
      </c>
      <c r="U1311" s="99" t="s">
        <v>14</v>
      </c>
      <c r="V1311" s="99" t="s">
        <v>1916</v>
      </c>
      <c r="W1311" s="99" t="s">
        <v>1917</v>
      </c>
      <c r="X1311" s="99" t="s">
        <v>2816</v>
      </c>
      <c r="Y1311" s="73" t="s">
        <v>2932</v>
      </c>
      <c r="Z1311" s="73" t="s">
        <v>30</v>
      </c>
      <c r="AA1311" s="99" t="s">
        <v>2816</v>
      </c>
    </row>
    <row r="1312" spans="1:27" ht="17.25" customHeight="1">
      <c r="A1312" s="65" t="str">
        <f>IF(priority(Main[[#This Row],[Comments]])&lt;&gt;0, priority(Main[[#This Row],[Comments]]),"")</f>
        <v/>
      </c>
      <c r="B1312" s="60" t="s">
        <v>2734</v>
      </c>
      <c r="C1312" s="105" t="s">
        <v>4</v>
      </c>
      <c r="D1312" s="74" t="s">
        <v>2735</v>
      </c>
      <c r="E1312" s="89">
        <v>40897.524594907409</v>
      </c>
      <c r="F1312" s="89"/>
      <c r="G1312" s="65" t="str">
        <f>IF(stdProdLT(Main[[#This Row],[Comments]])=0.1,"N/A",IF(stdProdLT(Main[[#This Row],[Comments]])=0,"",TRIM(stdProdLT(Main[[#This Row],[Comments]]))))</f>
        <v/>
      </c>
      <c r="H1312" s="98" t="str">
        <f>IF(Main[[#This Row],[Std. Prod. Lead Time]]="N/A", "",IF(AND(Main[[#This Row],[In Stock Date]]&lt;&gt;"",Main[[#This Row],[Revised Due Date]]&lt;&gt;"",Main[[#This Row],[In Stock Date]]&lt;&gt;""),Main[[#This Row],[In Stock Date]]-Main[[#This Row],[Revised Due Date]],""))</f>
        <v/>
      </c>
      <c r="I1312" s="110" t="s">
        <v>69</v>
      </c>
      <c r="J1312" s="99" t="s">
        <v>28</v>
      </c>
      <c r="K1312" s="100" t="s">
        <v>1922</v>
      </c>
      <c r="L1312" s="89"/>
      <c r="M1312" s="75" t="str">
        <f>IF(Main[[#This Row],[Tech Start Date]]&lt;1/1/1990,"",IF(Main[[#This Row],[Class]]="C",WORKDAY(Main[[#This Row],[Tech Start Date]],9),IF(Main[[#This Row],[Class]]="B", WORKDAY(Main[[#This Row],[Tech Start Date]],6),IF(Main[[#This Row],[Class]]="A",WORKDAY(Main[[#This Row],[Tech Start Date]],2),""))))</f>
        <v/>
      </c>
      <c r="N1312" s="75" t="str">
        <f>IF(Main[[#This Row],[Tech Start Date]]&lt;1/1/1990,"",IF(Main[[#This Row],[Class]]="C",WORKDAY(Main[[#This Row],[Tech Start Date]],19),IF(Main[[#This Row],[Class]]="B", WORKDAY(Main[[#This Row],[Tech Start Date]],12),IF(Main[[#This Row],[Class]]="A",WORKDAY(Main[[#This Row],[Tech Start Date]],4),""))))</f>
        <v/>
      </c>
      <c r="O1312" s="75" t="str">
        <f>IF(Main[[#This Row],[Tech Start Date]]&lt;1/1/1990,"",IF(Main[[#This Row],[Class]]="C",WORKDAY(Main[[#This Row],[Tech Start Date]],23),IF(Main[[#This Row],[Class]]="B", WORKDAY(Main[[#This Row],[Tech Start Date]],15),IF(Main[[#This Row],[Class]]="A",WORKDAY(Main[[#This Row],[Tech Start Date]],5),""))))</f>
        <v/>
      </c>
      <c r="P1312" s="75" t="str">
        <f>IF(Main[[#This Row],[Tech Start Date]]&lt;1/1/1990,"",IF(Main[[#This Row],[Class]]="C",WORKDAY(Main[[#This Row],[Tech Start Date]],28),IF(Main[[#This Row],[Class]]="B", WORKDAY(Main[[#This Row],[Tech Start Date]],19),IF(Main[[#This Row],[Class]]="A",WORKDAY(Main[[#This Row],[Tech Start Date]],9),""))))</f>
        <v/>
      </c>
      <c r="Q1312" s="89">
        <v>40966</v>
      </c>
      <c r="R1312" s="121"/>
      <c r="S1312" s="99" t="s">
        <v>6</v>
      </c>
      <c r="T1312" s="76" t="s">
        <v>4</v>
      </c>
      <c r="U1312" s="99" t="s">
        <v>29</v>
      </c>
      <c r="V1312" s="99" t="s">
        <v>1923</v>
      </c>
      <c r="W1312" s="99" t="s">
        <v>1917</v>
      </c>
      <c r="X1312" s="99" t="s">
        <v>2860</v>
      </c>
      <c r="Y1312" s="73" t="s">
        <v>2994</v>
      </c>
      <c r="Z1312" s="73" t="s">
        <v>30</v>
      </c>
      <c r="AA1312" s="99" t="s">
        <v>2860</v>
      </c>
    </row>
    <row r="1313" spans="1:27" ht="17.25" customHeight="1">
      <c r="A1313" s="65" t="str">
        <f>IF(priority(Main[[#This Row],[Comments]])&lt;&gt;0, priority(Main[[#This Row],[Comments]]),"")</f>
        <v/>
      </c>
      <c r="B1313" s="60" t="s">
        <v>3274</v>
      </c>
      <c r="C1313" s="105" t="s">
        <v>4</v>
      </c>
      <c r="D1313" s="74" t="s">
        <v>3714</v>
      </c>
      <c r="E1313" s="89">
        <v>40932.643865740742</v>
      </c>
      <c r="F1313" s="89"/>
      <c r="G1313" s="65" t="str">
        <f>IF(stdProdLT(Main[[#This Row],[Comments]])=0.1,"N/A",IF(stdProdLT(Main[[#This Row],[Comments]])=0,"",TRIM(stdProdLT(Main[[#This Row],[Comments]]))))</f>
        <v/>
      </c>
      <c r="H1313" s="98" t="str">
        <f>IF(Main[[#This Row],[Std. Prod. Lead Time]]="N/A", "",IF(AND(Main[[#This Row],[In Stock Date]]&lt;&gt;"",Main[[#This Row],[Revised Due Date]]&lt;&gt;"",Main[[#This Row],[In Stock Date]]&lt;&gt;""),Main[[#This Row],[In Stock Date]]-Main[[#This Row],[Revised Due Date]],""))</f>
        <v/>
      </c>
      <c r="I1313" s="110" t="s">
        <v>69</v>
      </c>
      <c r="J1313" s="99" t="s">
        <v>4</v>
      </c>
      <c r="K1313" s="99" t="s">
        <v>4</v>
      </c>
      <c r="L1313" s="89"/>
      <c r="M1313" s="75" t="str">
        <f>IF(Main[[#This Row],[Tech Start Date]]&lt;1/1/1990,"",IF(Main[[#This Row],[Class]]="C",WORKDAY(Main[[#This Row],[Tech Start Date]],9),IF(Main[[#This Row],[Class]]="B", WORKDAY(Main[[#This Row],[Tech Start Date]],6),IF(Main[[#This Row],[Class]]="A",WORKDAY(Main[[#This Row],[Tech Start Date]],2),""))))</f>
        <v/>
      </c>
      <c r="N1313" s="75" t="str">
        <f>IF(Main[[#This Row],[Tech Start Date]]&lt;1/1/1990,"",IF(Main[[#This Row],[Class]]="C",WORKDAY(Main[[#This Row],[Tech Start Date]],19),IF(Main[[#This Row],[Class]]="B", WORKDAY(Main[[#This Row],[Tech Start Date]],12),IF(Main[[#This Row],[Class]]="A",WORKDAY(Main[[#This Row],[Tech Start Date]],4),""))))</f>
        <v/>
      </c>
      <c r="O1313" s="75" t="str">
        <f>IF(Main[[#This Row],[Tech Start Date]]&lt;1/1/1990,"",IF(Main[[#This Row],[Class]]="C",WORKDAY(Main[[#This Row],[Tech Start Date]],23),IF(Main[[#This Row],[Class]]="B", WORKDAY(Main[[#This Row],[Tech Start Date]],15),IF(Main[[#This Row],[Class]]="A",WORKDAY(Main[[#This Row],[Tech Start Date]],5),""))))</f>
        <v/>
      </c>
      <c r="P1313" s="75" t="str">
        <f>IF(Main[[#This Row],[Tech Start Date]]&lt;1/1/1990,"",IF(Main[[#This Row],[Class]]="C",WORKDAY(Main[[#This Row],[Tech Start Date]],28),IF(Main[[#This Row],[Class]]="B", WORKDAY(Main[[#This Row],[Tech Start Date]],19),IF(Main[[#This Row],[Class]]="A",WORKDAY(Main[[#This Row],[Tech Start Date]],9),""))))</f>
        <v/>
      </c>
      <c r="Q1313" s="89">
        <v>40968</v>
      </c>
      <c r="R1313" s="121"/>
      <c r="S1313" s="99" t="s">
        <v>6</v>
      </c>
      <c r="T1313" s="76" t="s">
        <v>4</v>
      </c>
      <c r="U1313" s="99" t="s">
        <v>29</v>
      </c>
      <c r="V1313" s="99" t="s">
        <v>1923</v>
      </c>
      <c r="W1313" s="99" t="s">
        <v>1917</v>
      </c>
      <c r="X1313" s="99" t="s">
        <v>2813</v>
      </c>
      <c r="Y1313" s="73" t="s">
        <v>2926</v>
      </c>
      <c r="Z1313" s="73" t="s">
        <v>30</v>
      </c>
      <c r="AA1313" s="99" t="s">
        <v>2813</v>
      </c>
    </row>
    <row r="1314" spans="1:27" ht="17.25" customHeight="1">
      <c r="A1314" s="65" t="str">
        <f>IF(priority(Main[[#This Row],[Comments]])&lt;&gt;0, priority(Main[[#This Row],[Comments]]),"")</f>
        <v/>
      </c>
      <c r="B1314" s="60" t="s">
        <v>3715</v>
      </c>
      <c r="C1314" s="105" t="s">
        <v>4</v>
      </c>
      <c r="D1314" s="74" t="s">
        <v>3716</v>
      </c>
      <c r="E1314" s="89">
        <v>40961.263599537036</v>
      </c>
      <c r="F1314" s="89"/>
      <c r="G1314" s="65" t="str">
        <f>IF(stdProdLT(Main[[#This Row],[Comments]])=0.1,"N/A",IF(stdProdLT(Main[[#This Row],[Comments]])=0,"",TRIM(stdProdLT(Main[[#This Row],[Comments]]))))</f>
        <v/>
      </c>
      <c r="H1314" s="98" t="str">
        <f>IF(Main[[#This Row],[Std. Prod. Lead Time]]="N/A", "",IF(AND(Main[[#This Row],[In Stock Date]]&lt;&gt;"",Main[[#This Row],[Revised Due Date]]&lt;&gt;"",Main[[#This Row],[In Stock Date]]&lt;&gt;""),Main[[#This Row],[In Stock Date]]-Main[[#This Row],[Revised Due Date]],""))</f>
        <v/>
      </c>
      <c r="I1314" s="110" t="s">
        <v>4</v>
      </c>
      <c r="J1314" s="99" t="s">
        <v>4</v>
      </c>
      <c r="K1314" s="100" t="s">
        <v>4</v>
      </c>
      <c r="L1314" s="89"/>
      <c r="M1314" s="75" t="str">
        <f>IF(Main[[#This Row],[Tech Start Date]]&lt;1/1/1990,"",IF(Main[[#This Row],[Class]]="C",WORKDAY(Main[[#This Row],[Tech Start Date]],9),IF(Main[[#This Row],[Class]]="B", WORKDAY(Main[[#This Row],[Tech Start Date]],6),IF(Main[[#This Row],[Class]]="A",WORKDAY(Main[[#This Row],[Tech Start Date]],2),""))))</f>
        <v/>
      </c>
      <c r="N1314" s="75" t="str">
        <f>IF(Main[[#This Row],[Tech Start Date]]&lt;1/1/1990,"",IF(Main[[#This Row],[Class]]="C",WORKDAY(Main[[#This Row],[Tech Start Date]],19),IF(Main[[#This Row],[Class]]="B", WORKDAY(Main[[#This Row],[Tech Start Date]],12),IF(Main[[#This Row],[Class]]="A",WORKDAY(Main[[#This Row],[Tech Start Date]],4),""))))</f>
        <v/>
      </c>
      <c r="O1314" s="75" t="str">
        <f>IF(Main[[#This Row],[Tech Start Date]]&lt;1/1/1990,"",IF(Main[[#This Row],[Class]]="C",WORKDAY(Main[[#This Row],[Tech Start Date]],23),IF(Main[[#This Row],[Class]]="B", WORKDAY(Main[[#This Row],[Tech Start Date]],15),IF(Main[[#This Row],[Class]]="A",WORKDAY(Main[[#This Row],[Tech Start Date]],5),""))))</f>
        <v/>
      </c>
      <c r="P1314" s="75" t="str">
        <f>IF(Main[[#This Row],[Tech Start Date]]&lt;1/1/1990,"",IF(Main[[#This Row],[Class]]="C",WORKDAY(Main[[#This Row],[Tech Start Date]],28),IF(Main[[#This Row],[Class]]="B", WORKDAY(Main[[#This Row],[Tech Start Date]],19),IF(Main[[#This Row],[Class]]="A",WORKDAY(Main[[#This Row],[Tech Start Date]],9),""))))</f>
        <v/>
      </c>
      <c r="Q1314" s="89">
        <v>40990</v>
      </c>
      <c r="R1314" s="121"/>
      <c r="S1314" s="99" t="s">
        <v>6</v>
      </c>
      <c r="T1314" s="76" t="s">
        <v>4</v>
      </c>
      <c r="U1314" s="99" t="s">
        <v>7</v>
      </c>
      <c r="V1314" s="99" t="s">
        <v>1913</v>
      </c>
      <c r="W1314" s="99" t="s">
        <v>4</v>
      </c>
      <c r="X1314" s="99" t="s">
        <v>2816</v>
      </c>
      <c r="Y1314" s="73" t="s">
        <v>2932</v>
      </c>
      <c r="Z1314" s="73" t="s">
        <v>4</v>
      </c>
      <c r="AA1314" s="99" t="s">
        <v>2816</v>
      </c>
    </row>
    <row r="1315" spans="1:27" ht="17.25" customHeight="1">
      <c r="A1315" s="65" t="str">
        <f>IF(priority(Main[[#This Row],[Comments]])&lt;&gt;0, priority(Main[[#This Row],[Comments]]),"")</f>
        <v/>
      </c>
      <c r="B1315" s="60" t="s">
        <v>2671</v>
      </c>
      <c r="C1315" s="105" t="s">
        <v>4</v>
      </c>
      <c r="D1315" s="74" t="s">
        <v>3717</v>
      </c>
      <c r="E1315" s="89">
        <v>40882.142546296294</v>
      </c>
      <c r="F1315" s="89"/>
      <c r="G1315" s="65" t="str">
        <f>IF(stdProdLT(Main[[#This Row],[Comments]])=0.1,"N/A",IF(stdProdLT(Main[[#This Row],[Comments]])=0,"",TRIM(stdProdLT(Main[[#This Row],[Comments]]))))</f>
        <v/>
      </c>
      <c r="H1315" s="98" t="str">
        <f>IF(Main[[#This Row],[Std. Prod. Lead Time]]="N/A", "",IF(AND(Main[[#This Row],[In Stock Date]]&lt;&gt;"",Main[[#This Row],[Revised Due Date]]&lt;&gt;"",Main[[#This Row],[In Stock Date]]&lt;&gt;""),Main[[#This Row],[In Stock Date]]-Main[[#This Row],[Revised Due Date]],""))</f>
        <v/>
      </c>
      <c r="I1315" s="110" t="s">
        <v>69</v>
      </c>
      <c r="J1315" s="99" t="s">
        <v>70</v>
      </c>
      <c r="K1315" s="99" t="s">
        <v>1922</v>
      </c>
      <c r="L1315" s="89"/>
      <c r="M1315" s="75" t="str">
        <f>IF(Main[[#This Row],[Tech Start Date]]&lt;1/1/1990,"",IF(Main[[#This Row],[Class]]="C",WORKDAY(Main[[#This Row],[Tech Start Date]],9),IF(Main[[#This Row],[Class]]="B", WORKDAY(Main[[#This Row],[Tech Start Date]],6),IF(Main[[#This Row],[Class]]="A",WORKDAY(Main[[#This Row],[Tech Start Date]],2),""))))</f>
        <v/>
      </c>
      <c r="N1315" s="75" t="str">
        <f>IF(Main[[#This Row],[Tech Start Date]]&lt;1/1/1990,"",IF(Main[[#This Row],[Class]]="C",WORKDAY(Main[[#This Row],[Tech Start Date]],19),IF(Main[[#This Row],[Class]]="B", WORKDAY(Main[[#This Row],[Tech Start Date]],12),IF(Main[[#This Row],[Class]]="A",WORKDAY(Main[[#This Row],[Tech Start Date]],4),""))))</f>
        <v/>
      </c>
      <c r="O1315" s="75" t="str">
        <f>IF(Main[[#This Row],[Tech Start Date]]&lt;1/1/1990,"",IF(Main[[#This Row],[Class]]="C",WORKDAY(Main[[#This Row],[Tech Start Date]],23),IF(Main[[#This Row],[Class]]="B", WORKDAY(Main[[#This Row],[Tech Start Date]],15),IF(Main[[#This Row],[Class]]="A",WORKDAY(Main[[#This Row],[Tech Start Date]],5),""))))</f>
        <v/>
      </c>
      <c r="P1315" s="75" t="str">
        <f>IF(Main[[#This Row],[Tech Start Date]]&lt;1/1/1990,"",IF(Main[[#This Row],[Class]]="C",WORKDAY(Main[[#This Row],[Tech Start Date]],28),IF(Main[[#This Row],[Class]]="B", WORKDAY(Main[[#This Row],[Tech Start Date]],19),IF(Main[[#This Row],[Class]]="A",WORKDAY(Main[[#This Row],[Tech Start Date]],9),""))))</f>
        <v/>
      </c>
      <c r="Q1315" s="89">
        <v>40913</v>
      </c>
      <c r="R1315" s="121"/>
      <c r="S1315" s="99" t="s">
        <v>6</v>
      </c>
      <c r="T1315" s="76" t="s">
        <v>4</v>
      </c>
      <c r="U1315" s="99" t="s">
        <v>29</v>
      </c>
      <c r="V1315" s="99" t="s">
        <v>1916</v>
      </c>
      <c r="W1315" s="99" t="s">
        <v>1917</v>
      </c>
      <c r="X1315" s="99" t="s">
        <v>2816</v>
      </c>
      <c r="Y1315" s="73" t="s">
        <v>2932</v>
      </c>
      <c r="Z1315" s="73" t="s">
        <v>30</v>
      </c>
      <c r="AA1315" s="99" t="s">
        <v>2816</v>
      </c>
    </row>
    <row r="1316" spans="1:27" ht="17.25" customHeight="1">
      <c r="A1316" s="65" t="str">
        <f>IF(priority(Main[[#This Row],[Comments]])&lt;&gt;0, priority(Main[[#This Row],[Comments]]),"")</f>
        <v/>
      </c>
      <c r="B1316" s="60" t="s">
        <v>2672</v>
      </c>
      <c r="C1316" s="105" t="s">
        <v>4</v>
      </c>
      <c r="D1316" s="74" t="s">
        <v>3718</v>
      </c>
      <c r="E1316" s="89">
        <v>40882.367037037038</v>
      </c>
      <c r="F1316" s="89"/>
      <c r="G1316" s="65" t="str">
        <f>IF(stdProdLT(Main[[#This Row],[Comments]])=0.1,"N/A",IF(stdProdLT(Main[[#This Row],[Comments]])=0,"",TRIM(stdProdLT(Main[[#This Row],[Comments]]))))</f>
        <v/>
      </c>
      <c r="H1316" s="98" t="str">
        <f>IF(Main[[#This Row],[Std. Prod. Lead Time]]="N/A", "",IF(AND(Main[[#This Row],[In Stock Date]]&lt;&gt;"",Main[[#This Row],[Revised Due Date]]&lt;&gt;"",Main[[#This Row],[In Stock Date]]&lt;&gt;""),Main[[#This Row],[In Stock Date]]-Main[[#This Row],[Revised Due Date]],""))</f>
        <v/>
      </c>
      <c r="I1316" s="110" t="s">
        <v>69</v>
      </c>
      <c r="J1316" s="99" t="s">
        <v>70</v>
      </c>
      <c r="K1316" s="99" t="s">
        <v>1922</v>
      </c>
      <c r="L1316" s="89"/>
      <c r="M1316" s="75" t="str">
        <f>IF(Main[[#This Row],[Tech Start Date]]&lt;1/1/1990,"",IF(Main[[#This Row],[Class]]="C",WORKDAY(Main[[#This Row],[Tech Start Date]],9),IF(Main[[#This Row],[Class]]="B", WORKDAY(Main[[#This Row],[Tech Start Date]],6),IF(Main[[#This Row],[Class]]="A",WORKDAY(Main[[#This Row],[Tech Start Date]],2),""))))</f>
        <v/>
      </c>
      <c r="N1316" s="75" t="str">
        <f>IF(Main[[#This Row],[Tech Start Date]]&lt;1/1/1990,"",IF(Main[[#This Row],[Class]]="C",WORKDAY(Main[[#This Row],[Tech Start Date]],19),IF(Main[[#This Row],[Class]]="B", WORKDAY(Main[[#This Row],[Tech Start Date]],12),IF(Main[[#This Row],[Class]]="A",WORKDAY(Main[[#This Row],[Tech Start Date]],4),""))))</f>
        <v/>
      </c>
      <c r="O1316" s="75" t="str">
        <f>IF(Main[[#This Row],[Tech Start Date]]&lt;1/1/1990,"",IF(Main[[#This Row],[Class]]="C",WORKDAY(Main[[#This Row],[Tech Start Date]],23),IF(Main[[#This Row],[Class]]="B", WORKDAY(Main[[#This Row],[Tech Start Date]],15),IF(Main[[#This Row],[Class]]="A",WORKDAY(Main[[#This Row],[Tech Start Date]],5),""))))</f>
        <v/>
      </c>
      <c r="P1316" s="75" t="str">
        <f>IF(Main[[#This Row],[Tech Start Date]]&lt;1/1/1990,"",IF(Main[[#This Row],[Class]]="C",WORKDAY(Main[[#This Row],[Tech Start Date]],28),IF(Main[[#This Row],[Class]]="B", WORKDAY(Main[[#This Row],[Tech Start Date]],19),IF(Main[[#This Row],[Class]]="A",WORKDAY(Main[[#This Row],[Tech Start Date]],9),""))))</f>
        <v/>
      </c>
      <c r="Q1316" s="89">
        <v>40928</v>
      </c>
      <c r="R1316" s="121"/>
      <c r="S1316" s="99" t="s">
        <v>6</v>
      </c>
      <c r="T1316" s="76" t="s">
        <v>4</v>
      </c>
      <c r="U1316" s="99" t="s">
        <v>29</v>
      </c>
      <c r="V1316" s="99" t="s">
        <v>1916</v>
      </c>
      <c r="W1316" s="99" t="s">
        <v>1917</v>
      </c>
      <c r="X1316" s="99" t="s">
        <v>2812</v>
      </c>
      <c r="Y1316" s="73" t="s">
        <v>2923</v>
      </c>
      <c r="Z1316" s="73" t="s">
        <v>30</v>
      </c>
      <c r="AA1316" s="99" t="s">
        <v>2812</v>
      </c>
    </row>
    <row r="1317" spans="1:27" ht="17.25" customHeight="1">
      <c r="A1317" s="65" t="str">
        <f>IF(priority(Main[[#This Row],[Comments]])&lt;&gt;0, priority(Main[[#This Row],[Comments]]),"")</f>
        <v/>
      </c>
      <c r="B1317" s="60" t="s">
        <v>3719</v>
      </c>
      <c r="C1317" s="105" t="s">
        <v>79</v>
      </c>
      <c r="D1317" s="74" t="s">
        <v>3720</v>
      </c>
      <c r="E1317" s="89"/>
      <c r="F1317" s="89">
        <v>41004</v>
      </c>
      <c r="G1317" s="65" t="str">
        <f>IF(stdProdLT(Main[[#This Row],[Comments]])=0.1,"N/A",IF(stdProdLT(Main[[#This Row],[Comments]])=0,"",TRIM(stdProdLT(Main[[#This Row],[Comments]]))))</f>
        <v/>
      </c>
      <c r="H1317" s="98" t="str">
        <f>IF(Main[[#This Row],[Std. Prod. Lead Time]]="N/A", "",IF(AND(Main[[#This Row],[In Stock Date]]&lt;&gt;"",Main[[#This Row],[Revised Due Date]]&lt;&gt;"",Main[[#This Row],[In Stock Date]]&lt;&gt;""),Main[[#This Row],[In Stock Date]]-Main[[#This Row],[Revised Due Date]],""))</f>
        <v/>
      </c>
      <c r="I1317" s="110" t="s">
        <v>4</v>
      </c>
      <c r="J1317" s="99" t="s">
        <v>4</v>
      </c>
      <c r="K1317" s="99" t="s">
        <v>4</v>
      </c>
      <c r="L1317" s="89"/>
      <c r="M1317" s="75" t="str">
        <f>IF(Main[[#This Row],[Tech Start Date]]&lt;1/1/1990,"",IF(Main[[#This Row],[Class]]="C",WORKDAY(Main[[#This Row],[Tech Start Date]],9),IF(Main[[#This Row],[Class]]="B", WORKDAY(Main[[#This Row],[Tech Start Date]],6),IF(Main[[#This Row],[Class]]="A",WORKDAY(Main[[#This Row],[Tech Start Date]],2),""))))</f>
        <v/>
      </c>
      <c r="N1317" s="75" t="str">
        <f>IF(Main[[#This Row],[Tech Start Date]]&lt;1/1/1990,"",IF(Main[[#This Row],[Class]]="C",WORKDAY(Main[[#This Row],[Tech Start Date]],19),IF(Main[[#This Row],[Class]]="B", WORKDAY(Main[[#This Row],[Tech Start Date]],12),IF(Main[[#This Row],[Class]]="A",WORKDAY(Main[[#This Row],[Tech Start Date]],4),""))))</f>
        <v/>
      </c>
      <c r="O1317" s="75" t="str">
        <f>IF(Main[[#This Row],[Tech Start Date]]&lt;1/1/1990,"",IF(Main[[#This Row],[Class]]="C",WORKDAY(Main[[#This Row],[Tech Start Date]],23),IF(Main[[#This Row],[Class]]="B", WORKDAY(Main[[#This Row],[Tech Start Date]],15),IF(Main[[#This Row],[Class]]="A",WORKDAY(Main[[#This Row],[Tech Start Date]],5),""))))</f>
        <v/>
      </c>
      <c r="P1317" s="75" t="str">
        <f>IF(Main[[#This Row],[Tech Start Date]]&lt;1/1/1990,"",IF(Main[[#This Row],[Class]]="C",WORKDAY(Main[[#This Row],[Tech Start Date]],28),IF(Main[[#This Row],[Class]]="B", WORKDAY(Main[[#This Row],[Tech Start Date]],19),IF(Main[[#This Row],[Class]]="A",WORKDAY(Main[[#This Row],[Tech Start Date]],9),""))))</f>
        <v/>
      </c>
      <c r="Q1317" s="89">
        <v>40960</v>
      </c>
      <c r="R1317" s="121"/>
      <c r="S1317" s="99" t="s">
        <v>11</v>
      </c>
      <c r="T1317" s="76" t="s">
        <v>4</v>
      </c>
      <c r="U1317" s="99" t="s">
        <v>12</v>
      </c>
      <c r="V1317" s="99" t="s">
        <v>1913</v>
      </c>
      <c r="W1317" s="99" t="s">
        <v>1919</v>
      </c>
      <c r="X1317" s="99" t="s">
        <v>2899</v>
      </c>
      <c r="Y1317" s="73" t="s">
        <v>2937</v>
      </c>
      <c r="Z1317" s="73" t="s">
        <v>4</v>
      </c>
      <c r="AA1317" s="99" t="s">
        <v>2818</v>
      </c>
    </row>
    <row r="1318" spans="1:27" ht="17.25" customHeight="1">
      <c r="A1318" s="65" t="str">
        <f>IF(priority(Main[[#This Row],[Comments]])&lt;&gt;0, priority(Main[[#This Row],[Comments]]),"")</f>
        <v/>
      </c>
      <c r="B1318" s="60" t="s">
        <v>2723</v>
      </c>
      <c r="C1318" s="105" t="s">
        <v>4</v>
      </c>
      <c r="D1318" s="74" t="s">
        <v>2724</v>
      </c>
      <c r="E1318" s="89"/>
      <c r="F1318" s="89"/>
      <c r="G1318" s="65" t="str">
        <f>IF(stdProdLT(Main[[#This Row],[Comments]])=0.1,"N/A",IF(stdProdLT(Main[[#This Row],[Comments]])=0,"",TRIM(stdProdLT(Main[[#This Row],[Comments]]))))</f>
        <v/>
      </c>
      <c r="H1318" s="98" t="str">
        <f>IF(Main[[#This Row],[Std. Prod. Lead Time]]="N/A", "",IF(AND(Main[[#This Row],[In Stock Date]]&lt;&gt;"",Main[[#This Row],[Revised Due Date]]&lt;&gt;"",Main[[#This Row],[In Stock Date]]&lt;&gt;""),Main[[#This Row],[In Stock Date]]-Main[[#This Row],[Revised Due Date]],""))</f>
        <v/>
      </c>
      <c r="I1318" s="110" t="s">
        <v>4</v>
      </c>
      <c r="J1318" s="99" t="s">
        <v>4</v>
      </c>
      <c r="K1318" s="99" t="s">
        <v>4</v>
      </c>
      <c r="L1318" s="89"/>
      <c r="M1318" s="75" t="str">
        <f>IF(Main[[#This Row],[Tech Start Date]]&lt;1/1/1990,"",IF(Main[[#This Row],[Class]]="C",WORKDAY(Main[[#This Row],[Tech Start Date]],9),IF(Main[[#This Row],[Class]]="B", WORKDAY(Main[[#This Row],[Tech Start Date]],6),IF(Main[[#This Row],[Class]]="A",WORKDAY(Main[[#This Row],[Tech Start Date]],2),""))))</f>
        <v/>
      </c>
      <c r="N1318" s="75" t="str">
        <f>IF(Main[[#This Row],[Tech Start Date]]&lt;1/1/1990,"",IF(Main[[#This Row],[Class]]="C",WORKDAY(Main[[#This Row],[Tech Start Date]],19),IF(Main[[#This Row],[Class]]="B", WORKDAY(Main[[#This Row],[Tech Start Date]],12),IF(Main[[#This Row],[Class]]="A",WORKDAY(Main[[#This Row],[Tech Start Date]],4),""))))</f>
        <v/>
      </c>
      <c r="O1318" s="75" t="str">
        <f>IF(Main[[#This Row],[Tech Start Date]]&lt;1/1/1990,"",IF(Main[[#This Row],[Class]]="C",WORKDAY(Main[[#This Row],[Tech Start Date]],23),IF(Main[[#This Row],[Class]]="B", WORKDAY(Main[[#This Row],[Tech Start Date]],15),IF(Main[[#This Row],[Class]]="A",WORKDAY(Main[[#This Row],[Tech Start Date]],5),""))))</f>
        <v/>
      </c>
      <c r="P1318" s="75" t="str">
        <f>IF(Main[[#This Row],[Tech Start Date]]&lt;1/1/1990,"",IF(Main[[#This Row],[Class]]="C",WORKDAY(Main[[#This Row],[Tech Start Date]],28),IF(Main[[#This Row],[Class]]="B", WORKDAY(Main[[#This Row],[Tech Start Date]],19),IF(Main[[#This Row],[Class]]="A",WORKDAY(Main[[#This Row],[Tech Start Date]],9),""))))</f>
        <v/>
      </c>
      <c r="Q1318" s="89"/>
      <c r="R1318" s="121"/>
      <c r="S1318" s="99" t="s">
        <v>6</v>
      </c>
      <c r="T1318" s="76" t="s">
        <v>4</v>
      </c>
      <c r="U1318" s="99" t="s">
        <v>14</v>
      </c>
      <c r="V1318" s="99" t="s">
        <v>1913</v>
      </c>
      <c r="W1318" s="99" t="s">
        <v>1917</v>
      </c>
      <c r="X1318" s="99" t="s">
        <v>2896</v>
      </c>
      <c r="Y1318" s="73" t="s">
        <v>3075</v>
      </c>
      <c r="Z1318" s="73" t="s">
        <v>4</v>
      </c>
      <c r="AA1318" s="99" t="s">
        <v>2896</v>
      </c>
    </row>
    <row r="1319" spans="1:27" ht="17.25" customHeight="1">
      <c r="A1319" s="65" t="str">
        <f>IF(priority(Main[[#This Row],[Comments]])&lt;&gt;0, priority(Main[[#This Row],[Comments]]),"")</f>
        <v/>
      </c>
      <c r="B1319" s="60" t="s">
        <v>2776</v>
      </c>
      <c r="C1319" s="105" t="s">
        <v>4</v>
      </c>
      <c r="D1319" s="74" t="s">
        <v>2777</v>
      </c>
      <c r="E1319" s="89">
        <v>40913.323819444442</v>
      </c>
      <c r="F1319" s="89"/>
      <c r="G1319" s="65" t="str">
        <f>IF(stdProdLT(Main[[#This Row],[Comments]])=0.1,"N/A",IF(stdProdLT(Main[[#This Row],[Comments]])=0,"",TRIM(stdProdLT(Main[[#This Row],[Comments]]))))</f>
        <v/>
      </c>
      <c r="H1319" s="98" t="str">
        <f>IF(Main[[#This Row],[Std. Prod. Lead Time]]="N/A", "",IF(AND(Main[[#This Row],[In Stock Date]]&lt;&gt;"",Main[[#This Row],[Revised Due Date]]&lt;&gt;"",Main[[#This Row],[In Stock Date]]&lt;&gt;""),Main[[#This Row],[In Stock Date]]-Main[[#This Row],[Revised Due Date]],""))</f>
        <v/>
      </c>
      <c r="I1319" s="110" t="s">
        <v>4</v>
      </c>
      <c r="J1319" s="99" t="s">
        <v>4</v>
      </c>
      <c r="K1319" s="99" t="s">
        <v>4</v>
      </c>
      <c r="L1319" s="89"/>
      <c r="M1319" s="75" t="str">
        <f>IF(Main[[#This Row],[Tech Start Date]]&lt;1/1/1990,"",IF(Main[[#This Row],[Class]]="C",WORKDAY(Main[[#This Row],[Tech Start Date]],9),IF(Main[[#This Row],[Class]]="B", WORKDAY(Main[[#This Row],[Tech Start Date]],6),IF(Main[[#This Row],[Class]]="A",WORKDAY(Main[[#This Row],[Tech Start Date]],2),""))))</f>
        <v/>
      </c>
      <c r="N1319" s="75" t="str">
        <f>IF(Main[[#This Row],[Tech Start Date]]&lt;1/1/1990,"",IF(Main[[#This Row],[Class]]="C",WORKDAY(Main[[#This Row],[Tech Start Date]],19),IF(Main[[#This Row],[Class]]="B", WORKDAY(Main[[#This Row],[Tech Start Date]],12),IF(Main[[#This Row],[Class]]="A",WORKDAY(Main[[#This Row],[Tech Start Date]],4),""))))</f>
        <v/>
      </c>
      <c r="O1319" s="75" t="str">
        <f>IF(Main[[#This Row],[Tech Start Date]]&lt;1/1/1990,"",IF(Main[[#This Row],[Class]]="C",WORKDAY(Main[[#This Row],[Tech Start Date]],23),IF(Main[[#This Row],[Class]]="B", WORKDAY(Main[[#This Row],[Tech Start Date]],15),IF(Main[[#This Row],[Class]]="A",WORKDAY(Main[[#This Row],[Tech Start Date]],5),""))))</f>
        <v/>
      </c>
      <c r="P1319" s="75" t="str">
        <f>IF(Main[[#This Row],[Tech Start Date]]&lt;1/1/1990,"",IF(Main[[#This Row],[Class]]="C",WORKDAY(Main[[#This Row],[Tech Start Date]],28),IF(Main[[#This Row],[Class]]="B", WORKDAY(Main[[#This Row],[Tech Start Date]],19),IF(Main[[#This Row],[Class]]="A",WORKDAY(Main[[#This Row],[Tech Start Date]],9),""))))</f>
        <v/>
      </c>
      <c r="Q1319" s="89">
        <v>40945</v>
      </c>
      <c r="R1319" s="121"/>
      <c r="S1319" s="99" t="s">
        <v>6</v>
      </c>
      <c r="T1319" s="76" t="s">
        <v>4</v>
      </c>
      <c r="U1319" s="99" t="s">
        <v>7</v>
      </c>
      <c r="V1319" s="99" t="s">
        <v>1913</v>
      </c>
      <c r="W1319" s="99" t="s">
        <v>4</v>
      </c>
      <c r="X1319" s="99" t="s">
        <v>2813</v>
      </c>
      <c r="Y1319" s="73" t="s">
        <v>2926</v>
      </c>
      <c r="Z1319" s="73" t="s">
        <v>4</v>
      </c>
      <c r="AA1319" s="99" t="s">
        <v>2813</v>
      </c>
    </row>
    <row r="1320" spans="1:27" ht="17.25" customHeight="1">
      <c r="A1320" s="65" t="str">
        <f>IF(priority(Main[[#This Row],[Comments]])&lt;&gt;0, priority(Main[[#This Row],[Comments]]),"")</f>
        <v/>
      </c>
      <c r="B1320" s="60" t="s">
        <v>2310</v>
      </c>
      <c r="C1320" s="105" t="s">
        <v>2298</v>
      </c>
      <c r="D1320" s="74" t="s">
        <v>2299</v>
      </c>
      <c r="E1320" s="89"/>
      <c r="F1320" s="89">
        <v>40544</v>
      </c>
      <c r="G1320" s="65" t="str">
        <f>IF(stdProdLT(Main[[#This Row],[Comments]])=0.1,"N/A",IF(stdProdLT(Main[[#This Row],[Comments]])=0,"",TRIM(stdProdLT(Main[[#This Row],[Comments]]))))</f>
        <v/>
      </c>
      <c r="H1320" s="98" t="str">
        <f>IF(Main[[#This Row],[Std. Prod. Lead Time]]="N/A", "",IF(AND(Main[[#This Row],[In Stock Date]]&lt;&gt;"",Main[[#This Row],[Revised Due Date]]&lt;&gt;"",Main[[#This Row],[In Stock Date]]&lt;&gt;""),Main[[#This Row],[In Stock Date]]-Main[[#This Row],[Revised Due Date]],""))</f>
        <v/>
      </c>
      <c r="I1320" s="110" t="s">
        <v>4</v>
      </c>
      <c r="J1320" s="99" t="s">
        <v>4</v>
      </c>
      <c r="K1320" s="99" t="s">
        <v>4</v>
      </c>
      <c r="L1320" s="89"/>
      <c r="M1320" s="75" t="str">
        <f>IF(Main[[#This Row],[Tech Start Date]]&lt;1/1/1990,"",IF(Main[[#This Row],[Class]]="C",WORKDAY(Main[[#This Row],[Tech Start Date]],9),IF(Main[[#This Row],[Class]]="B", WORKDAY(Main[[#This Row],[Tech Start Date]],6),IF(Main[[#This Row],[Class]]="A",WORKDAY(Main[[#This Row],[Tech Start Date]],2),""))))</f>
        <v/>
      </c>
      <c r="N1320" s="75" t="str">
        <f>IF(Main[[#This Row],[Tech Start Date]]&lt;1/1/1990,"",IF(Main[[#This Row],[Class]]="C",WORKDAY(Main[[#This Row],[Tech Start Date]],19),IF(Main[[#This Row],[Class]]="B", WORKDAY(Main[[#This Row],[Tech Start Date]],12),IF(Main[[#This Row],[Class]]="A",WORKDAY(Main[[#This Row],[Tech Start Date]],4),""))))</f>
        <v/>
      </c>
      <c r="O1320" s="75" t="str">
        <f>IF(Main[[#This Row],[Tech Start Date]]&lt;1/1/1990,"",IF(Main[[#This Row],[Class]]="C",WORKDAY(Main[[#This Row],[Tech Start Date]],23),IF(Main[[#This Row],[Class]]="B", WORKDAY(Main[[#This Row],[Tech Start Date]],15),IF(Main[[#This Row],[Class]]="A",WORKDAY(Main[[#This Row],[Tech Start Date]],5),""))))</f>
        <v/>
      </c>
      <c r="P1320" s="75" t="str">
        <f>IF(Main[[#This Row],[Tech Start Date]]&lt;1/1/1990,"",IF(Main[[#This Row],[Class]]="C",WORKDAY(Main[[#This Row],[Tech Start Date]],28),IF(Main[[#This Row],[Class]]="B", WORKDAY(Main[[#This Row],[Tech Start Date]],19),IF(Main[[#This Row],[Class]]="A",WORKDAY(Main[[#This Row],[Tech Start Date]],9),""))))</f>
        <v/>
      </c>
      <c r="Q1320" s="89"/>
      <c r="R1320" s="121"/>
      <c r="S1320" s="99" t="s">
        <v>11</v>
      </c>
      <c r="T1320" s="76" t="s">
        <v>4</v>
      </c>
      <c r="U1320" s="99" t="s">
        <v>12</v>
      </c>
      <c r="V1320" s="99" t="s">
        <v>1916</v>
      </c>
      <c r="W1320" s="99" t="s">
        <v>1921</v>
      </c>
      <c r="X1320" s="99" t="s">
        <v>2906</v>
      </c>
      <c r="Y1320" s="73" t="s">
        <v>3129</v>
      </c>
      <c r="Z1320" s="73" t="s">
        <v>4</v>
      </c>
      <c r="AA1320" s="99" t="s">
        <v>3458</v>
      </c>
    </row>
    <row r="1321" spans="1:27" ht="17.25" customHeight="1">
      <c r="A1321" s="65" t="str">
        <f>IF(priority(Main[[#This Row],[Comments]])&lt;&gt;0, priority(Main[[#This Row],[Comments]]),"")</f>
        <v/>
      </c>
      <c r="B1321" s="60" t="s">
        <v>1092</v>
      </c>
      <c r="C1321" s="105" t="s">
        <v>4</v>
      </c>
      <c r="D1321" s="74" t="s">
        <v>3730</v>
      </c>
      <c r="E1321" s="89">
        <v>40086.707800925928</v>
      </c>
      <c r="F1321" s="89"/>
      <c r="G1321" s="65" t="str">
        <f>IF(stdProdLT(Main[[#This Row],[Comments]])=0.1,"N/A",IF(stdProdLT(Main[[#This Row],[Comments]])=0,"",TRIM(stdProdLT(Main[[#This Row],[Comments]]))))</f>
        <v/>
      </c>
      <c r="H1321" s="98" t="str">
        <f>IF(Main[[#This Row],[Std. Prod. Lead Time]]="N/A", "",IF(AND(Main[[#This Row],[In Stock Date]]&lt;&gt;"",Main[[#This Row],[Revised Due Date]]&lt;&gt;"",Main[[#This Row],[In Stock Date]]&lt;&gt;""),Main[[#This Row],[In Stock Date]]-Main[[#This Row],[Revised Due Date]],""))</f>
        <v/>
      </c>
      <c r="I1321" s="110" t="s">
        <v>907</v>
      </c>
      <c r="J1321" s="99" t="s">
        <v>4</v>
      </c>
      <c r="K1321" s="99" t="s">
        <v>1925</v>
      </c>
      <c r="L1321" s="89"/>
      <c r="M1321" s="75" t="str">
        <f>IF(Main[[#This Row],[Tech Start Date]]&lt;1/1/1990,"",IF(Main[[#This Row],[Class]]="C",WORKDAY(Main[[#This Row],[Tech Start Date]],9),IF(Main[[#This Row],[Class]]="B", WORKDAY(Main[[#This Row],[Tech Start Date]],6),IF(Main[[#This Row],[Class]]="A",WORKDAY(Main[[#This Row],[Tech Start Date]],2),""))))</f>
        <v/>
      </c>
      <c r="N1321" s="75" t="str">
        <f>IF(Main[[#This Row],[Tech Start Date]]&lt;1/1/1990,"",IF(Main[[#This Row],[Class]]="C",WORKDAY(Main[[#This Row],[Tech Start Date]],19),IF(Main[[#This Row],[Class]]="B", WORKDAY(Main[[#This Row],[Tech Start Date]],12),IF(Main[[#This Row],[Class]]="A",WORKDAY(Main[[#This Row],[Tech Start Date]],4),""))))</f>
        <v/>
      </c>
      <c r="O1321" s="75" t="str">
        <f>IF(Main[[#This Row],[Tech Start Date]]&lt;1/1/1990,"",IF(Main[[#This Row],[Class]]="C",WORKDAY(Main[[#This Row],[Tech Start Date]],23),IF(Main[[#This Row],[Class]]="B", WORKDAY(Main[[#This Row],[Tech Start Date]],15),IF(Main[[#This Row],[Class]]="A",WORKDAY(Main[[#This Row],[Tech Start Date]],5),""))))</f>
        <v/>
      </c>
      <c r="P1321" s="75" t="str">
        <f>IF(Main[[#This Row],[Tech Start Date]]&lt;1/1/1990,"",IF(Main[[#This Row],[Class]]="C",WORKDAY(Main[[#This Row],[Tech Start Date]],28),IF(Main[[#This Row],[Class]]="B", WORKDAY(Main[[#This Row],[Tech Start Date]],19),IF(Main[[#This Row],[Class]]="A",WORKDAY(Main[[#This Row],[Tech Start Date]],9),""))))</f>
        <v/>
      </c>
      <c r="Q1321" s="89">
        <v>41005</v>
      </c>
      <c r="R1321" s="121">
        <v>41005</v>
      </c>
      <c r="S1321" s="99" t="s">
        <v>17</v>
      </c>
      <c r="T1321" s="76" t="s">
        <v>4</v>
      </c>
      <c r="U1321" s="99" t="s">
        <v>29</v>
      </c>
      <c r="V1321" s="99" t="s">
        <v>1913</v>
      </c>
      <c r="W1321" s="99" t="s">
        <v>1918</v>
      </c>
      <c r="X1321" s="99" t="s">
        <v>129</v>
      </c>
      <c r="Y1321" s="73" t="s">
        <v>2927</v>
      </c>
      <c r="Z1321" s="73" t="s">
        <v>877</v>
      </c>
      <c r="AA1321" s="99" t="s">
        <v>129</v>
      </c>
    </row>
    <row r="1322" spans="1:27" ht="17.25" customHeight="1">
      <c r="A1322" s="65" t="str">
        <f>IF(priority(Main[[#This Row],[Comments]])&lt;&gt;0, priority(Main[[#This Row],[Comments]]),"")</f>
        <v/>
      </c>
      <c r="B1322" s="60" t="s">
        <v>2742</v>
      </c>
      <c r="C1322" s="105" t="s">
        <v>2743</v>
      </c>
      <c r="D1322" s="74" t="s">
        <v>3721</v>
      </c>
      <c r="E1322" s="89">
        <v>40883.362615740742</v>
      </c>
      <c r="F1322" s="89"/>
      <c r="G1322" s="65" t="str">
        <f>IF(stdProdLT(Main[[#This Row],[Comments]])=0.1,"N/A",IF(stdProdLT(Main[[#This Row],[Comments]])=0,"",TRIM(stdProdLT(Main[[#This Row],[Comments]]))))</f>
        <v/>
      </c>
      <c r="H1322" s="98" t="str">
        <f>IF(Main[[#This Row],[Std. Prod. Lead Time]]="N/A", "",IF(AND(Main[[#This Row],[In Stock Date]]&lt;&gt;"",Main[[#This Row],[Revised Due Date]]&lt;&gt;"",Main[[#This Row],[In Stock Date]]&lt;&gt;""),Main[[#This Row],[In Stock Date]]-Main[[#This Row],[Revised Due Date]],""))</f>
        <v/>
      </c>
      <c r="I1322" s="110" t="s">
        <v>4</v>
      </c>
      <c r="J1322" s="99" t="s">
        <v>4</v>
      </c>
      <c r="K1322" s="99" t="s">
        <v>4</v>
      </c>
      <c r="L1322" s="89"/>
      <c r="M1322" s="75" t="str">
        <f>IF(Main[[#This Row],[Tech Start Date]]&lt;1/1/1990,"",IF(Main[[#This Row],[Class]]="C",WORKDAY(Main[[#This Row],[Tech Start Date]],9),IF(Main[[#This Row],[Class]]="B", WORKDAY(Main[[#This Row],[Tech Start Date]],6),IF(Main[[#This Row],[Class]]="A",WORKDAY(Main[[#This Row],[Tech Start Date]],2),""))))</f>
        <v/>
      </c>
      <c r="N1322" s="75" t="str">
        <f>IF(Main[[#This Row],[Tech Start Date]]&lt;1/1/1990,"",IF(Main[[#This Row],[Class]]="C",WORKDAY(Main[[#This Row],[Tech Start Date]],19),IF(Main[[#This Row],[Class]]="B", WORKDAY(Main[[#This Row],[Tech Start Date]],12),IF(Main[[#This Row],[Class]]="A",WORKDAY(Main[[#This Row],[Tech Start Date]],4),""))))</f>
        <v/>
      </c>
      <c r="O1322" s="75" t="str">
        <f>IF(Main[[#This Row],[Tech Start Date]]&lt;1/1/1990,"",IF(Main[[#This Row],[Class]]="C",WORKDAY(Main[[#This Row],[Tech Start Date]],23),IF(Main[[#This Row],[Class]]="B", WORKDAY(Main[[#This Row],[Tech Start Date]],15),IF(Main[[#This Row],[Class]]="A",WORKDAY(Main[[#This Row],[Tech Start Date]],5),""))))</f>
        <v/>
      </c>
      <c r="P1322" s="75" t="str">
        <f>IF(Main[[#This Row],[Tech Start Date]]&lt;1/1/1990,"",IF(Main[[#This Row],[Class]]="C",WORKDAY(Main[[#This Row],[Tech Start Date]],28),IF(Main[[#This Row],[Class]]="B", WORKDAY(Main[[#This Row],[Tech Start Date]],19),IF(Main[[#This Row],[Class]]="A",WORKDAY(Main[[#This Row],[Tech Start Date]],9),""))))</f>
        <v/>
      </c>
      <c r="Q1322" s="89"/>
      <c r="R1322" s="121"/>
      <c r="S1322" s="99" t="s">
        <v>17</v>
      </c>
      <c r="T1322" s="76" t="s">
        <v>4</v>
      </c>
      <c r="U1322" s="99" t="s">
        <v>7</v>
      </c>
      <c r="V1322" s="99" t="s">
        <v>1916</v>
      </c>
      <c r="W1322" s="99" t="s">
        <v>1918</v>
      </c>
      <c r="X1322" s="99" t="s">
        <v>652</v>
      </c>
      <c r="Y1322" s="73" t="s">
        <v>3120</v>
      </c>
      <c r="Z1322" s="73" t="s">
        <v>4</v>
      </c>
      <c r="AA1322" s="99" t="s">
        <v>652</v>
      </c>
    </row>
    <row r="1323" spans="1:27" ht="17.25" customHeight="1">
      <c r="A1323" s="65" t="str">
        <f>IF(priority(Main[[#This Row],[Comments]])&lt;&gt;0, priority(Main[[#This Row],[Comments]]),"")</f>
        <v/>
      </c>
      <c r="B1323" s="60" t="s">
        <v>3722</v>
      </c>
      <c r="C1323" s="105" t="s">
        <v>2350</v>
      </c>
      <c r="D1323" s="74" t="s">
        <v>3723</v>
      </c>
      <c r="E1323" s="89"/>
      <c r="F1323" s="89">
        <v>41014</v>
      </c>
      <c r="G1323" s="65" t="str">
        <f>IF(stdProdLT(Main[[#This Row],[Comments]])=0.1,"N/A",IF(stdProdLT(Main[[#This Row],[Comments]])=0,"",TRIM(stdProdLT(Main[[#This Row],[Comments]]))))</f>
        <v/>
      </c>
      <c r="H1323" s="98" t="str">
        <f>IF(Main[[#This Row],[Std. Prod. Lead Time]]="N/A", "",IF(AND(Main[[#This Row],[In Stock Date]]&lt;&gt;"",Main[[#This Row],[Revised Due Date]]&lt;&gt;"",Main[[#This Row],[In Stock Date]]&lt;&gt;""),Main[[#This Row],[In Stock Date]]-Main[[#This Row],[Revised Due Date]],""))</f>
        <v/>
      </c>
      <c r="I1323" s="110" t="s">
        <v>4</v>
      </c>
      <c r="J1323" s="99" t="s">
        <v>4</v>
      </c>
      <c r="K1323" s="99" t="s">
        <v>4</v>
      </c>
      <c r="L1323" s="89"/>
      <c r="M1323" s="75" t="str">
        <f>IF(Main[[#This Row],[Tech Start Date]]&lt;1/1/1990,"",IF(Main[[#This Row],[Class]]="C",WORKDAY(Main[[#This Row],[Tech Start Date]],9),IF(Main[[#This Row],[Class]]="B", WORKDAY(Main[[#This Row],[Tech Start Date]],6),IF(Main[[#This Row],[Class]]="A",WORKDAY(Main[[#This Row],[Tech Start Date]],2),""))))</f>
        <v/>
      </c>
      <c r="N1323" s="75" t="str">
        <f>IF(Main[[#This Row],[Tech Start Date]]&lt;1/1/1990,"",IF(Main[[#This Row],[Class]]="C",WORKDAY(Main[[#This Row],[Tech Start Date]],19),IF(Main[[#This Row],[Class]]="B", WORKDAY(Main[[#This Row],[Tech Start Date]],12),IF(Main[[#This Row],[Class]]="A",WORKDAY(Main[[#This Row],[Tech Start Date]],4),""))))</f>
        <v/>
      </c>
      <c r="O1323" s="75" t="str">
        <f>IF(Main[[#This Row],[Tech Start Date]]&lt;1/1/1990,"",IF(Main[[#This Row],[Class]]="C",WORKDAY(Main[[#This Row],[Tech Start Date]],23),IF(Main[[#This Row],[Class]]="B", WORKDAY(Main[[#This Row],[Tech Start Date]],15),IF(Main[[#This Row],[Class]]="A",WORKDAY(Main[[#This Row],[Tech Start Date]],5),""))))</f>
        <v/>
      </c>
      <c r="P1323" s="75" t="str">
        <f>IF(Main[[#This Row],[Tech Start Date]]&lt;1/1/1990,"",IF(Main[[#This Row],[Class]]="C",WORKDAY(Main[[#This Row],[Tech Start Date]],28),IF(Main[[#This Row],[Class]]="B", WORKDAY(Main[[#This Row],[Tech Start Date]],19),IF(Main[[#This Row],[Class]]="A",WORKDAY(Main[[#This Row],[Tech Start Date]],9),""))))</f>
        <v/>
      </c>
      <c r="Q1323" s="89">
        <v>40916</v>
      </c>
      <c r="R1323" s="121"/>
      <c r="S1323" s="99" t="s">
        <v>11</v>
      </c>
      <c r="T1323" s="76" t="s">
        <v>4</v>
      </c>
      <c r="U1323" s="99" t="s">
        <v>12</v>
      </c>
      <c r="V1323" s="99" t="s">
        <v>1923</v>
      </c>
      <c r="W1323" s="99" t="s">
        <v>1921</v>
      </c>
      <c r="X1323" s="99" t="s">
        <v>2837</v>
      </c>
      <c r="Y1323" s="73" t="s">
        <v>4</v>
      </c>
      <c r="Z1323" s="73" t="s">
        <v>4</v>
      </c>
      <c r="AA1323" s="99" t="s">
        <v>2837</v>
      </c>
    </row>
    <row r="1324" spans="1:27" ht="17.25" customHeight="1">
      <c r="A1324" s="65" t="str">
        <f>IF(priority(Main[[#This Row],[Comments]])&lt;&gt;0, priority(Main[[#This Row],[Comments]]),"")</f>
        <v/>
      </c>
      <c r="B1324" s="60" t="s">
        <v>3724</v>
      </c>
      <c r="C1324" s="105" t="s">
        <v>2350</v>
      </c>
      <c r="D1324" s="74" t="s">
        <v>3725</v>
      </c>
      <c r="E1324" s="89"/>
      <c r="F1324" s="89">
        <v>41014</v>
      </c>
      <c r="G1324" s="65" t="str">
        <f>IF(stdProdLT(Main[[#This Row],[Comments]])=0.1,"N/A",IF(stdProdLT(Main[[#This Row],[Comments]])=0,"",TRIM(stdProdLT(Main[[#This Row],[Comments]]))))</f>
        <v/>
      </c>
      <c r="H1324" s="98" t="str">
        <f>IF(Main[[#This Row],[Std. Prod. Lead Time]]="N/A", "",IF(AND(Main[[#This Row],[In Stock Date]]&lt;&gt;"",Main[[#This Row],[Revised Due Date]]&lt;&gt;"",Main[[#This Row],[In Stock Date]]&lt;&gt;""),Main[[#This Row],[In Stock Date]]-Main[[#This Row],[Revised Due Date]],""))</f>
        <v/>
      </c>
      <c r="I1324" s="110" t="s">
        <v>4</v>
      </c>
      <c r="J1324" s="99" t="s">
        <v>4</v>
      </c>
      <c r="K1324" s="99" t="s">
        <v>4</v>
      </c>
      <c r="L1324" s="89"/>
      <c r="M1324" s="75" t="str">
        <f>IF(Main[[#This Row],[Tech Start Date]]&lt;1/1/1990,"",IF(Main[[#This Row],[Class]]="C",WORKDAY(Main[[#This Row],[Tech Start Date]],9),IF(Main[[#This Row],[Class]]="B", WORKDAY(Main[[#This Row],[Tech Start Date]],6),IF(Main[[#This Row],[Class]]="A",WORKDAY(Main[[#This Row],[Tech Start Date]],2),""))))</f>
        <v/>
      </c>
      <c r="N1324" s="75" t="str">
        <f>IF(Main[[#This Row],[Tech Start Date]]&lt;1/1/1990,"",IF(Main[[#This Row],[Class]]="C",WORKDAY(Main[[#This Row],[Tech Start Date]],19),IF(Main[[#This Row],[Class]]="B", WORKDAY(Main[[#This Row],[Tech Start Date]],12),IF(Main[[#This Row],[Class]]="A",WORKDAY(Main[[#This Row],[Tech Start Date]],4),""))))</f>
        <v/>
      </c>
      <c r="O1324" s="75" t="str">
        <f>IF(Main[[#This Row],[Tech Start Date]]&lt;1/1/1990,"",IF(Main[[#This Row],[Class]]="C",WORKDAY(Main[[#This Row],[Tech Start Date]],23),IF(Main[[#This Row],[Class]]="B", WORKDAY(Main[[#This Row],[Tech Start Date]],15),IF(Main[[#This Row],[Class]]="A",WORKDAY(Main[[#This Row],[Tech Start Date]],5),""))))</f>
        <v/>
      </c>
      <c r="P1324" s="75" t="str">
        <f>IF(Main[[#This Row],[Tech Start Date]]&lt;1/1/1990,"",IF(Main[[#This Row],[Class]]="C",WORKDAY(Main[[#This Row],[Tech Start Date]],28),IF(Main[[#This Row],[Class]]="B", WORKDAY(Main[[#This Row],[Tech Start Date]],19),IF(Main[[#This Row],[Class]]="A",WORKDAY(Main[[#This Row],[Tech Start Date]],9),""))))</f>
        <v/>
      </c>
      <c r="Q1324" s="89">
        <v>40916</v>
      </c>
      <c r="R1324" s="121"/>
      <c r="S1324" s="99" t="s">
        <v>11</v>
      </c>
      <c r="T1324" s="76" t="s">
        <v>4</v>
      </c>
      <c r="U1324" s="99" t="s">
        <v>12</v>
      </c>
      <c r="V1324" s="99" t="s">
        <v>1923</v>
      </c>
      <c r="W1324" s="99" t="s">
        <v>1918</v>
      </c>
      <c r="X1324" s="99" t="s">
        <v>2837</v>
      </c>
      <c r="Y1324" s="73" t="s">
        <v>4</v>
      </c>
      <c r="Z1324" s="73" t="s">
        <v>4</v>
      </c>
      <c r="AA1324" s="99" t="s">
        <v>2837</v>
      </c>
    </row>
    <row r="1325" spans="1:27" ht="17.25" customHeight="1">
      <c r="A1325" s="65" t="str">
        <f>IF(priority(Main[[#This Row],[Comments]])&lt;&gt;0, priority(Main[[#This Row],[Comments]]),"")</f>
        <v/>
      </c>
      <c r="B1325" s="60" t="s">
        <v>2539</v>
      </c>
      <c r="C1325" s="105" t="s">
        <v>4</v>
      </c>
      <c r="D1325" s="74" t="s">
        <v>2540</v>
      </c>
      <c r="E1325" s="89">
        <v>40834.332835648151</v>
      </c>
      <c r="F1325" s="89"/>
      <c r="G1325" s="65" t="str">
        <f>IF(stdProdLT(Main[[#This Row],[Comments]])=0.1,"N/A",IF(stdProdLT(Main[[#This Row],[Comments]])=0,"",TRIM(stdProdLT(Main[[#This Row],[Comments]]))))</f>
        <v/>
      </c>
      <c r="H1325" s="98" t="str">
        <f>IF(Main[[#This Row],[Std. Prod. Lead Time]]="N/A", "",IF(AND(Main[[#This Row],[In Stock Date]]&lt;&gt;"",Main[[#This Row],[Revised Due Date]]&lt;&gt;"",Main[[#This Row],[In Stock Date]]&lt;&gt;""),Main[[#This Row],[In Stock Date]]-Main[[#This Row],[Revised Due Date]],""))</f>
        <v/>
      </c>
      <c r="I1325" s="110" t="s">
        <v>883</v>
      </c>
      <c r="J1325" s="99" t="s">
        <v>51</v>
      </c>
      <c r="K1325" s="99" t="s">
        <v>4</v>
      </c>
      <c r="L1325" s="89"/>
      <c r="M1325" s="75" t="str">
        <f>IF(Main[[#This Row],[Tech Start Date]]&lt;1/1/1990,"",IF(Main[[#This Row],[Class]]="C",WORKDAY(Main[[#This Row],[Tech Start Date]],9),IF(Main[[#This Row],[Class]]="B", WORKDAY(Main[[#This Row],[Tech Start Date]],6),IF(Main[[#This Row],[Class]]="A",WORKDAY(Main[[#This Row],[Tech Start Date]],2),""))))</f>
        <v/>
      </c>
      <c r="N1325" s="75" t="str">
        <f>IF(Main[[#This Row],[Tech Start Date]]&lt;1/1/1990,"",IF(Main[[#This Row],[Class]]="C",WORKDAY(Main[[#This Row],[Tech Start Date]],19),IF(Main[[#This Row],[Class]]="B", WORKDAY(Main[[#This Row],[Tech Start Date]],12),IF(Main[[#This Row],[Class]]="A",WORKDAY(Main[[#This Row],[Tech Start Date]],4),""))))</f>
        <v/>
      </c>
      <c r="O1325" s="75" t="str">
        <f>IF(Main[[#This Row],[Tech Start Date]]&lt;1/1/1990,"",IF(Main[[#This Row],[Class]]="C",WORKDAY(Main[[#This Row],[Tech Start Date]],23),IF(Main[[#This Row],[Class]]="B", WORKDAY(Main[[#This Row],[Tech Start Date]],15),IF(Main[[#This Row],[Class]]="A",WORKDAY(Main[[#This Row],[Tech Start Date]],5),""))))</f>
        <v/>
      </c>
      <c r="P1325" s="75" t="str">
        <f>IF(Main[[#This Row],[Tech Start Date]]&lt;1/1/1990,"",IF(Main[[#This Row],[Class]]="C",WORKDAY(Main[[#This Row],[Tech Start Date]],28),IF(Main[[#This Row],[Class]]="B", WORKDAY(Main[[#This Row],[Tech Start Date]],19),IF(Main[[#This Row],[Class]]="A",WORKDAY(Main[[#This Row],[Tech Start Date]],9),""))))</f>
        <v/>
      </c>
      <c r="Q1325" s="89"/>
      <c r="R1325" s="121"/>
      <c r="S1325" s="99" t="s">
        <v>6</v>
      </c>
      <c r="T1325" s="76" t="s">
        <v>4</v>
      </c>
      <c r="U1325" s="99" t="s">
        <v>29</v>
      </c>
      <c r="V1325" s="99" t="s">
        <v>1916</v>
      </c>
      <c r="W1325" s="99" t="s">
        <v>1917</v>
      </c>
      <c r="X1325" s="99" t="s">
        <v>399</v>
      </c>
      <c r="Y1325" s="73" t="s">
        <v>4</v>
      </c>
      <c r="Z1325" s="73" t="s">
        <v>4</v>
      </c>
      <c r="AA1325" s="99" t="s">
        <v>306</v>
      </c>
    </row>
    <row r="1326" spans="1:27" ht="17.25" customHeight="1">
      <c r="A1326" s="65" t="str">
        <f>IF(priority(Main[[#This Row],[Comments]])&lt;&gt;0, priority(Main[[#This Row],[Comments]]),"")</f>
        <v/>
      </c>
      <c r="B1326" s="60" t="s">
        <v>3726</v>
      </c>
      <c r="C1326" s="105" t="s">
        <v>148</v>
      </c>
      <c r="D1326" s="74" t="s">
        <v>3727</v>
      </c>
      <c r="E1326" s="89">
        <v>40967.383240740739</v>
      </c>
      <c r="F1326" s="89">
        <v>41096</v>
      </c>
      <c r="G1326" s="65" t="str">
        <f>IF(stdProdLT(Main[[#This Row],[Comments]])=0.1,"N/A",IF(stdProdLT(Main[[#This Row],[Comments]])=0,"",TRIM(stdProdLT(Main[[#This Row],[Comments]]))))</f>
        <v/>
      </c>
      <c r="H1326" s="98" t="str">
        <f>IF(Main[[#This Row],[Std. Prod. Lead Time]]="N/A", "",IF(AND(Main[[#This Row],[In Stock Date]]&lt;&gt;"",Main[[#This Row],[Revised Due Date]]&lt;&gt;"",Main[[#This Row],[In Stock Date]]&lt;&gt;""),Main[[#This Row],[In Stock Date]]-Main[[#This Row],[Revised Due Date]],""))</f>
        <v/>
      </c>
      <c r="I1326" s="110" t="s">
        <v>4</v>
      </c>
      <c r="J1326" s="99" t="s">
        <v>4</v>
      </c>
      <c r="K1326" s="99" t="s">
        <v>4</v>
      </c>
      <c r="L1326" s="89"/>
      <c r="M1326" s="75" t="str">
        <f>IF(Main[[#This Row],[Tech Start Date]]&lt;1/1/1990,"",IF(Main[[#This Row],[Class]]="C",WORKDAY(Main[[#This Row],[Tech Start Date]],9),IF(Main[[#This Row],[Class]]="B", WORKDAY(Main[[#This Row],[Tech Start Date]],6),IF(Main[[#This Row],[Class]]="A",WORKDAY(Main[[#This Row],[Tech Start Date]],2),""))))</f>
        <v/>
      </c>
      <c r="N1326" s="75" t="str">
        <f>IF(Main[[#This Row],[Tech Start Date]]&lt;1/1/1990,"",IF(Main[[#This Row],[Class]]="C",WORKDAY(Main[[#This Row],[Tech Start Date]],19),IF(Main[[#This Row],[Class]]="B", WORKDAY(Main[[#This Row],[Tech Start Date]],12),IF(Main[[#This Row],[Class]]="A",WORKDAY(Main[[#This Row],[Tech Start Date]],4),""))))</f>
        <v/>
      </c>
      <c r="O1326" s="75" t="str">
        <f>IF(Main[[#This Row],[Tech Start Date]]&lt;1/1/1990,"",IF(Main[[#This Row],[Class]]="C",WORKDAY(Main[[#This Row],[Tech Start Date]],23),IF(Main[[#This Row],[Class]]="B", WORKDAY(Main[[#This Row],[Tech Start Date]],15),IF(Main[[#This Row],[Class]]="A",WORKDAY(Main[[#This Row],[Tech Start Date]],5),""))))</f>
        <v/>
      </c>
      <c r="P1326" s="75" t="str">
        <f>IF(Main[[#This Row],[Tech Start Date]]&lt;1/1/1990,"",IF(Main[[#This Row],[Class]]="C",WORKDAY(Main[[#This Row],[Tech Start Date]],28),IF(Main[[#This Row],[Class]]="B", WORKDAY(Main[[#This Row],[Tech Start Date]],19),IF(Main[[#This Row],[Class]]="A",WORKDAY(Main[[#This Row],[Tech Start Date]],9),""))))</f>
        <v/>
      </c>
      <c r="Q1326" s="89"/>
      <c r="R1326" s="121"/>
      <c r="S1326" s="99" t="s">
        <v>11</v>
      </c>
      <c r="T1326" s="76" t="s">
        <v>4</v>
      </c>
      <c r="U1326" s="99" t="s">
        <v>7</v>
      </c>
      <c r="V1326" s="99" t="s">
        <v>1916</v>
      </c>
      <c r="W1326" s="99" t="s">
        <v>1921</v>
      </c>
      <c r="X1326" s="99" t="s">
        <v>50</v>
      </c>
      <c r="Y1326" s="73" t="s">
        <v>3729</v>
      </c>
      <c r="Z1326" s="73" t="s">
        <v>4</v>
      </c>
      <c r="AA1326" s="99" t="s">
        <v>3728</v>
      </c>
    </row>
    <row r="1327" spans="1:27" ht="17.25" customHeight="1">
      <c r="A1327" s="65" t="str">
        <f>IF(priority(Main[[#This Row],[Comments]])&lt;&gt;0, priority(Main[[#This Row],[Comments]]),"")</f>
        <v/>
      </c>
      <c r="B1327" s="60" t="s">
        <v>2453</v>
      </c>
      <c r="C1327" s="105" t="s">
        <v>4</v>
      </c>
      <c r="D1327" s="74" t="s">
        <v>2454</v>
      </c>
      <c r="E1327" s="89">
        <v>40855.432083333333</v>
      </c>
      <c r="F1327" s="89">
        <v>40877</v>
      </c>
      <c r="G1327" s="65" t="str">
        <f>IF(stdProdLT(Main[[#This Row],[Comments]])=0.1,"N/A",IF(stdProdLT(Main[[#This Row],[Comments]])=0,"",TRIM(stdProdLT(Main[[#This Row],[Comments]]))))</f>
        <v/>
      </c>
      <c r="H1327" s="98" t="str">
        <f>IF(Main[[#This Row],[Std. Prod. Lead Time]]="N/A", "",IF(AND(Main[[#This Row],[In Stock Date]]&lt;&gt;"",Main[[#This Row],[Revised Due Date]]&lt;&gt;"",Main[[#This Row],[In Stock Date]]&lt;&gt;""),Main[[#This Row],[In Stock Date]]-Main[[#This Row],[Revised Due Date]],""))</f>
        <v/>
      </c>
      <c r="I1327" s="110" t="s">
        <v>4</v>
      </c>
      <c r="J1327" s="99" t="s">
        <v>4</v>
      </c>
      <c r="K1327" s="99" t="s">
        <v>4</v>
      </c>
      <c r="L1327" s="89"/>
      <c r="M1327" s="75" t="str">
        <f>IF(Main[[#This Row],[Tech Start Date]]&lt;1/1/1990,"",IF(Main[[#This Row],[Class]]="C",WORKDAY(Main[[#This Row],[Tech Start Date]],9),IF(Main[[#This Row],[Class]]="B", WORKDAY(Main[[#This Row],[Tech Start Date]],6),IF(Main[[#This Row],[Class]]="A",WORKDAY(Main[[#This Row],[Tech Start Date]],2),""))))</f>
        <v/>
      </c>
      <c r="N1327" s="75" t="str">
        <f>IF(Main[[#This Row],[Tech Start Date]]&lt;1/1/1990,"",IF(Main[[#This Row],[Class]]="C",WORKDAY(Main[[#This Row],[Tech Start Date]],19),IF(Main[[#This Row],[Class]]="B", WORKDAY(Main[[#This Row],[Tech Start Date]],12),IF(Main[[#This Row],[Class]]="A",WORKDAY(Main[[#This Row],[Tech Start Date]],4),""))))</f>
        <v/>
      </c>
      <c r="O1327" s="75" t="str">
        <f>IF(Main[[#This Row],[Tech Start Date]]&lt;1/1/1990,"",IF(Main[[#This Row],[Class]]="C",WORKDAY(Main[[#This Row],[Tech Start Date]],23),IF(Main[[#This Row],[Class]]="B", WORKDAY(Main[[#This Row],[Tech Start Date]],15),IF(Main[[#This Row],[Class]]="A",WORKDAY(Main[[#This Row],[Tech Start Date]],5),""))))</f>
        <v/>
      </c>
      <c r="P1327" s="75" t="str">
        <f>IF(Main[[#This Row],[Tech Start Date]]&lt;1/1/1990,"",IF(Main[[#This Row],[Class]]="C",WORKDAY(Main[[#This Row],[Tech Start Date]],28),IF(Main[[#This Row],[Class]]="B", WORKDAY(Main[[#This Row],[Tech Start Date]],19),IF(Main[[#This Row],[Class]]="A",WORKDAY(Main[[#This Row],[Tech Start Date]],9),""))))</f>
        <v/>
      </c>
      <c r="Q1327" s="89">
        <v>40865</v>
      </c>
      <c r="R1327" s="121"/>
      <c r="S1327" s="99" t="s">
        <v>11</v>
      </c>
      <c r="T1327" s="76" t="s">
        <v>4</v>
      </c>
      <c r="U1327" s="99" t="s">
        <v>7</v>
      </c>
      <c r="V1327" s="99" t="s">
        <v>2279</v>
      </c>
      <c r="W1327" s="99" t="s">
        <v>1921</v>
      </c>
      <c r="X1327" s="99" t="s">
        <v>2907</v>
      </c>
      <c r="Y1327" s="73" t="s">
        <v>3130</v>
      </c>
      <c r="Z1327" s="73" t="s">
        <v>4</v>
      </c>
      <c r="AA1327" s="99" t="s">
        <v>3459</v>
      </c>
    </row>
    <row r="1328" spans="1:27" ht="17.25" customHeight="1">
      <c r="A1328" s="65" t="str">
        <f>IF(priority(Main[[#This Row],[Comments]])&lt;&gt;0, priority(Main[[#This Row],[Comments]]),"")</f>
        <v/>
      </c>
      <c r="B1328" s="60" t="s">
        <v>2480</v>
      </c>
      <c r="C1328" s="105" t="s">
        <v>4</v>
      </c>
      <c r="D1328" s="74" t="s">
        <v>2481</v>
      </c>
      <c r="E1328" s="89">
        <v>40864.625219907408</v>
      </c>
      <c r="F1328" s="89"/>
      <c r="G1328" s="65" t="str">
        <f>IF(stdProdLT(Main[[#This Row],[Comments]])=0.1,"N/A",IF(stdProdLT(Main[[#This Row],[Comments]])=0,"",TRIM(stdProdLT(Main[[#This Row],[Comments]]))))</f>
        <v/>
      </c>
      <c r="H1328" s="98" t="str">
        <f>IF(Main[[#This Row],[Std. Prod. Lead Time]]="N/A", "",IF(AND(Main[[#This Row],[In Stock Date]]&lt;&gt;"",Main[[#This Row],[Revised Due Date]]&lt;&gt;"",Main[[#This Row],[In Stock Date]]&lt;&gt;""),Main[[#This Row],[In Stock Date]]-Main[[#This Row],[Revised Due Date]],""))</f>
        <v/>
      </c>
      <c r="I1328" s="110" t="s">
        <v>4</v>
      </c>
      <c r="J1328" s="99" t="s">
        <v>4</v>
      </c>
      <c r="K1328" s="99" t="s">
        <v>4</v>
      </c>
      <c r="L1328" s="89"/>
      <c r="M1328" s="75" t="str">
        <f>IF(Main[[#This Row],[Tech Start Date]]&lt;1/1/1990,"",IF(Main[[#This Row],[Class]]="C",WORKDAY(Main[[#This Row],[Tech Start Date]],9),IF(Main[[#This Row],[Class]]="B", WORKDAY(Main[[#This Row],[Tech Start Date]],6),IF(Main[[#This Row],[Class]]="A",WORKDAY(Main[[#This Row],[Tech Start Date]],2),""))))</f>
        <v/>
      </c>
      <c r="N1328" s="75" t="str">
        <f>IF(Main[[#This Row],[Tech Start Date]]&lt;1/1/1990,"",IF(Main[[#This Row],[Class]]="C",WORKDAY(Main[[#This Row],[Tech Start Date]],19),IF(Main[[#This Row],[Class]]="B", WORKDAY(Main[[#This Row],[Tech Start Date]],12),IF(Main[[#This Row],[Class]]="A",WORKDAY(Main[[#This Row],[Tech Start Date]],4),""))))</f>
        <v/>
      </c>
      <c r="O1328" s="75" t="str">
        <f>IF(Main[[#This Row],[Tech Start Date]]&lt;1/1/1990,"",IF(Main[[#This Row],[Class]]="C",WORKDAY(Main[[#This Row],[Tech Start Date]],23),IF(Main[[#This Row],[Class]]="B", WORKDAY(Main[[#This Row],[Tech Start Date]],15),IF(Main[[#This Row],[Class]]="A",WORKDAY(Main[[#This Row],[Tech Start Date]],5),""))))</f>
        <v/>
      </c>
      <c r="P1328" s="75" t="str">
        <f>IF(Main[[#This Row],[Tech Start Date]]&lt;1/1/1990,"",IF(Main[[#This Row],[Class]]="C",WORKDAY(Main[[#This Row],[Tech Start Date]],28),IF(Main[[#This Row],[Class]]="B", WORKDAY(Main[[#This Row],[Tech Start Date]],19),IF(Main[[#This Row],[Class]]="A",WORKDAY(Main[[#This Row],[Tech Start Date]],9),""))))</f>
        <v/>
      </c>
      <c r="Q1328" s="89"/>
      <c r="R1328" s="121"/>
      <c r="S1328" s="99" t="s">
        <v>17</v>
      </c>
      <c r="T1328" s="76" t="s">
        <v>4</v>
      </c>
      <c r="U1328" s="99" t="s">
        <v>7</v>
      </c>
      <c r="V1328" s="99" t="s">
        <v>1914</v>
      </c>
      <c r="W1328" s="99" t="s">
        <v>1917</v>
      </c>
      <c r="X1328" s="99" t="s">
        <v>2860</v>
      </c>
      <c r="Y1328" s="73" t="s">
        <v>2994</v>
      </c>
      <c r="Z1328" s="73" t="s">
        <v>4</v>
      </c>
      <c r="AA1328" s="99" t="s">
        <v>2860</v>
      </c>
    </row>
    <row r="1329" spans="1:27" ht="17.25" customHeight="1">
      <c r="A1329" s="65" t="str">
        <f>IF(priority(Main[[#This Row],[Comments]])&lt;&gt;0, priority(Main[[#This Row],[Comments]]),"")</f>
        <v/>
      </c>
      <c r="B1329" s="60" t="s">
        <v>2228</v>
      </c>
      <c r="C1329" s="105" t="s">
        <v>4</v>
      </c>
      <c r="D1329" s="74" t="s">
        <v>2567</v>
      </c>
      <c r="E1329" s="89">
        <v>40798.47016203704</v>
      </c>
      <c r="F1329" s="89"/>
      <c r="G1329" s="65" t="str">
        <f>IF(stdProdLT(Main[[#This Row],[Comments]])=0.1,"N/A",IF(stdProdLT(Main[[#This Row],[Comments]])=0,"",TRIM(stdProdLT(Main[[#This Row],[Comments]]))))</f>
        <v/>
      </c>
      <c r="H1329" s="98" t="str">
        <f>IF(Main[[#This Row],[Std. Prod. Lead Time]]="N/A", "",IF(AND(Main[[#This Row],[In Stock Date]]&lt;&gt;"",Main[[#This Row],[Revised Due Date]]&lt;&gt;"",Main[[#This Row],[In Stock Date]]&lt;&gt;""),Main[[#This Row],[In Stock Date]]-Main[[#This Row],[Revised Due Date]],""))</f>
        <v/>
      </c>
      <c r="I1329" s="110" t="s">
        <v>130</v>
      </c>
      <c r="J1329" s="99" t="s">
        <v>28</v>
      </c>
      <c r="K1329" s="99" t="s">
        <v>1922</v>
      </c>
      <c r="L1329" s="89"/>
      <c r="M1329" s="75" t="str">
        <f>IF(Main[[#This Row],[Tech Start Date]]&lt;1/1/1990,"",IF(Main[[#This Row],[Class]]="C",WORKDAY(Main[[#This Row],[Tech Start Date]],9),IF(Main[[#This Row],[Class]]="B", WORKDAY(Main[[#This Row],[Tech Start Date]],6),IF(Main[[#This Row],[Class]]="A",WORKDAY(Main[[#This Row],[Tech Start Date]],2),""))))</f>
        <v/>
      </c>
      <c r="N1329" s="75" t="str">
        <f>IF(Main[[#This Row],[Tech Start Date]]&lt;1/1/1990,"",IF(Main[[#This Row],[Class]]="C",WORKDAY(Main[[#This Row],[Tech Start Date]],19),IF(Main[[#This Row],[Class]]="B", WORKDAY(Main[[#This Row],[Tech Start Date]],12),IF(Main[[#This Row],[Class]]="A",WORKDAY(Main[[#This Row],[Tech Start Date]],4),""))))</f>
        <v/>
      </c>
      <c r="O1329" s="75" t="str">
        <f>IF(Main[[#This Row],[Tech Start Date]]&lt;1/1/1990,"",IF(Main[[#This Row],[Class]]="C",WORKDAY(Main[[#This Row],[Tech Start Date]],23),IF(Main[[#This Row],[Class]]="B", WORKDAY(Main[[#This Row],[Tech Start Date]],15),IF(Main[[#This Row],[Class]]="A",WORKDAY(Main[[#This Row],[Tech Start Date]],5),""))))</f>
        <v/>
      </c>
      <c r="P1329" s="75" t="str">
        <f>IF(Main[[#This Row],[Tech Start Date]]&lt;1/1/1990,"",IF(Main[[#This Row],[Class]]="C",WORKDAY(Main[[#This Row],[Tech Start Date]],28),IF(Main[[#This Row],[Class]]="B", WORKDAY(Main[[#This Row],[Tech Start Date]],19),IF(Main[[#This Row],[Class]]="A",WORKDAY(Main[[#This Row],[Tech Start Date]],9),""))))</f>
        <v/>
      </c>
      <c r="Q1329" s="89">
        <v>40847</v>
      </c>
      <c r="R1329" s="121"/>
      <c r="S1329" s="99" t="s">
        <v>6</v>
      </c>
      <c r="T1329" s="76" t="s">
        <v>4</v>
      </c>
      <c r="U1329" s="99" t="s">
        <v>29</v>
      </c>
      <c r="V1329" s="99" t="s">
        <v>1916</v>
      </c>
      <c r="W1329" s="99" t="s">
        <v>1917</v>
      </c>
      <c r="X1329" s="99" t="s">
        <v>30</v>
      </c>
      <c r="Y1329" s="73" t="s">
        <v>3131</v>
      </c>
      <c r="Z1329" s="73" t="s">
        <v>30</v>
      </c>
      <c r="AA1329" s="99" t="s">
        <v>3460</v>
      </c>
    </row>
    <row r="1330" spans="1:27" ht="17.25" customHeight="1">
      <c r="A1330" s="65" t="str">
        <f>IF(priority(Main[[#This Row],[Comments]])&lt;&gt;0, priority(Main[[#This Row],[Comments]]),"")</f>
        <v/>
      </c>
      <c r="B1330" s="60" t="s">
        <v>1600</v>
      </c>
      <c r="C1330" s="105" t="s">
        <v>275</v>
      </c>
      <c r="D1330" s="74" t="s">
        <v>676</v>
      </c>
      <c r="E1330" s="89">
        <v>40500.611724537041</v>
      </c>
      <c r="F1330" s="89">
        <v>40444</v>
      </c>
      <c r="G1330" s="65" t="str">
        <f>IF(stdProdLT(Main[[#This Row],[Comments]])=0.1,"N/A",IF(stdProdLT(Main[[#This Row],[Comments]])=0,"",TRIM(stdProdLT(Main[[#This Row],[Comments]]))))</f>
        <v/>
      </c>
      <c r="H1330" s="98">
        <f>IF(Main[[#This Row],[Std. Prod. Lead Time]]="N/A", "",IF(AND(Main[[#This Row],[In Stock Date]]&lt;&gt;"",Main[[#This Row],[Revised Due Date]]&lt;&gt;"",Main[[#This Row],[In Stock Date]]&lt;&gt;""),Main[[#This Row],[In Stock Date]]-Main[[#This Row],[Revised Due Date]],""))</f>
        <v>-349</v>
      </c>
      <c r="I1330" s="110" t="s">
        <v>4</v>
      </c>
      <c r="J1330" s="99" t="s">
        <v>4</v>
      </c>
      <c r="K1330" s="99" t="s">
        <v>4</v>
      </c>
      <c r="L1330" s="89"/>
      <c r="M1330" s="75" t="str">
        <f>IF(Main[[#This Row],[Tech Start Date]]&lt;1/1/1990,"",IF(Main[[#This Row],[Class]]="C",WORKDAY(Main[[#This Row],[Tech Start Date]],9),IF(Main[[#This Row],[Class]]="B", WORKDAY(Main[[#This Row],[Tech Start Date]],6),IF(Main[[#This Row],[Class]]="A",WORKDAY(Main[[#This Row],[Tech Start Date]],2),""))))</f>
        <v/>
      </c>
      <c r="N1330" s="75" t="str">
        <f>IF(Main[[#This Row],[Tech Start Date]]&lt;1/1/1990,"",IF(Main[[#This Row],[Class]]="C",WORKDAY(Main[[#This Row],[Tech Start Date]],19),IF(Main[[#This Row],[Class]]="B", WORKDAY(Main[[#This Row],[Tech Start Date]],12),IF(Main[[#This Row],[Class]]="A",WORKDAY(Main[[#This Row],[Tech Start Date]],4),""))))</f>
        <v/>
      </c>
      <c r="O1330" s="75" t="str">
        <f>IF(Main[[#This Row],[Tech Start Date]]&lt;1/1/1990,"",IF(Main[[#This Row],[Class]]="C",WORKDAY(Main[[#This Row],[Tech Start Date]],23),IF(Main[[#This Row],[Class]]="B", WORKDAY(Main[[#This Row],[Tech Start Date]],15),IF(Main[[#This Row],[Class]]="A",WORKDAY(Main[[#This Row],[Tech Start Date]],5),""))))</f>
        <v/>
      </c>
      <c r="P1330" s="75" t="str">
        <f>IF(Main[[#This Row],[Tech Start Date]]&lt;1/1/1990,"",IF(Main[[#This Row],[Class]]="C",WORKDAY(Main[[#This Row],[Tech Start Date]],28),IF(Main[[#This Row],[Class]]="B", WORKDAY(Main[[#This Row],[Tech Start Date]],19),IF(Main[[#This Row],[Class]]="A",WORKDAY(Main[[#This Row],[Tech Start Date]],9),""))))</f>
        <v/>
      </c>
      <c r="Q1330" s="89">
        <v>40262</v>
      </c>
      <c r="R1330" s="121">
        <v>40793</v>
      </c>
      <c r="S1330" s="99" t="s">
        <v>17</v>
      </c>
      <c r="T1330" s="76" t="s">
        <v>4</v>
      </c>
      <c r="U1330" s="99" t="s">
        <v>29</v>
      </c>
      <c r="V1330" s="99" t="s">
        <v>1916</v>
      </c>
      <c r="W1330" s="99" t="s">
        <v>1918</v>
      </c>
      <c r="X1330" s="99" t="s">
        <v>306</v>
      </c>
      <c r="Y1330" s="73" t="s">
        <v>4</v>
      </c>
      <c r="Z1330" s="73" t="s">
        <v>4</v>
      </c>
      <c r="AA1330" s="99" t="s">
        <v>65</v>
      </c>
    </row>
    <row r="1331" spans="1:27" ht="17.25" customHeight="1">
      <c r="A1331" s="65" t="str">
        <f>IF(priority(Main[[#This Row],[Comments]])&lt;&gt;0, priority(Main[[#This Row],[Comments]]),"")</f>
        <v/>
      </c>
      <c r="B1331" s="60" t="s">
        <v>2349</v>
      </c>
      <c r="C1331" s="105" t="s">
        <v>2350</v>
      </c>
      <c r="D1331" s="74" t="s">
        <v>2351</v>
      </c>
      <c r="E1331" s="89"/>
      <c r="F1331" s="89">
        <v>41008</v>
      </c>
      <c r="G1331" s="65" t="str">
        <f>IF(stdProdLT(Main[[#This Row],[Comments]])=0.1,"N/A",IF(stdProdLT(Main[[#This Row],[Comments]])=0,"",TRIM(stdProdLT(Main[[#This Row],[Comments]]))))</f>
        <v/>
      </c>
      <c r="H1331" s="98" t="str">
        <f>IF(Main[[#This Row],[Std. Prod. Lead Time]]="N/A", "",IF(AND(Main[[#This Row],[In Stock Date]]&lt;&gt;"",Main[[#This Row],[Revised Due Date]]&lt;&gt;"",Main[[#This Row],[In Stock Date]]&lt;&gt;""),Main[[#This Row],[In Stock Date]]-Main[[#This Row],[Revised Due Date]],""))</f>
        <v/>
      </c>
      <c r="I1331" s="110" t="s">
        <v>4</v>
      </c>
      <c r="J1331" s="99" t="s">
        <v>4</v>
      </c>
      <c r="K1331" s="99" t="s">
        <v>4</v>
      </c>
      <c r="L1331" s="89"/>
      <c r="M1331" s="75" t="str">
        <f>IF(Main[[#This Row],[Tech Start Date]]&lt;1/1/1990,"",IF(Main[[#This Row],[Class]]="C",WORKDAY(Main[[#This Row],[Tech Start Date]],9),IF(Main[[#This Row],[Class]]="B", WORKDAY(Main[[#This Row],[Tech Start Date]],6),IF(Main[[#This Row],[Class]]="A",WORKDAY(Main[[#This Row],[Tech Start Date]],2),""))))</f>
        <v/>
      </c>
      <c r="N1331" s="75" t="str">
        <f>IF(Main[[#This Row],[Tech Start Date]]&lt;1/1/1990,"",IF(Main[[#This Row],[Class]]="C",WORKDAY(Main[[#This Row],[Tech Start Date]],19),IF(Main[[#This Row],[Class]]="B", WORKDAY(Main[[#This Row],[Tech Start Date]],12),IF(Main[[#This Row],[Class]]="A",WORKDAY(Main[[#This Row],[Tech Start Date]],4),""))))</f>
        <v/>
      </c>
      <c r="O1331" s="75" t="str">
        <f>IF(Main[[#This Row],[Tech Start Date]]&lt;1/1/1990,"",IF(Main[[#This Row],[Class]]="C",WORKDAY(Main[[#This Row],[Tech Start Date]],23),IF(Main[[#This Row],[Class]]="B", WORKDAY(Main[[#This Row],[Tech Start Date]],15),IF(Main[[#This Row],[Class]]="A",WORKDAY(Main[[#This Row],[Tech Start Date]],5),""))))</f>
        <v/>
      </c>
      <c r="P1331" s="75" t="str">
        <f>IF(Main[[#This Row],[Tech Start Date]]&lt;1/1/1990,"",IF(Main[[#This Row],[Class]]="C",WORKDAY(Main[[#This Row],[Tech Start Date]],28),IF(Main[[#This Row],[Class]]="B", WORKDAY(Main[[#This Row],[Tech Start Date]],19),IF(Main[[#This Row],[Class]]="A",WORKDAY(Main[[#This Row],[Tech Start Date]],9),""))))</f>
        <v/>
      </c>
      <c r="Q1331" s="89">
        <v>40826</v>
      </c>
      <c r="R1331" s="121"/>
      <c r="S1331" s="99" t="s">
        <v>11</v>
      </c>
      <c r="T1331" s="76" t="s">
        <v>4</v>
      </c>
      <c r="U1331" s="99" t="s">
        <v>12</v>
      </c>
      <c r="V1331" s="99" t="s">
        <v>1916</v>
      </c>
      <c r="W1331" s="99" t="s">
        <v>1919</v>
      </c>
      <c r="X1331" s="99" t="s">
        <v>2837</v>
      </c>
      <c r="Y1331" s="73" t="s">
        <v>4</v>
      </c>
      <c r="Z1331" s="73" t="s">
        <v>4</v>
      </c>
      <c r="AA1331" s="99" t="s">
        <v>2837</v>
      </c>
    </row>
    <row r="1332" spans="1:27" ht="17.25" customHeight="1">
      <c r="A1332" s="65" t="str">
        <f>IF(priority(Main[[#This Row],[Comments]])&lt;&gt;0, priority(Main[[#This Row],[Comments]]),"")</f>
        <v/>
      </c>
      <c r="B1332" s="60" t="s">
        <v>2582</v>
      </c>
      <c r="C1332" s="105" t="s">
        <v>4</v>
      </c>
      <c r="D1332" s="74" t="s">
        <v>2583</v>
      </c>
      <c r="E1332" s="89">
        <v>40843.713865740741</v>
      </c>
      <c r="F1332" s="89"/>
      <c r="G1332" s="65" t="str">
        <f>IF(stdProdLT(Main[[#This Row],[Comments]])=0.1,"N/A",IF(stdProdLT(Main[[#This Row],[Comments]])=0,"",TRIM(stdProdLT(Main[[#This Row],[Comments]]))))</f>
        <v/>
      </c>
      <c r="H1332" s="98" t="str">
        <f>IF(Main[[#This Row],[Std. Prod. Lead Time]]="N/A", "",IF(AND(Main[[#This Row],[In Stock Date]]&lt;&gt;"",Main[[#This Row],[Revised Due Date]]&lt;&gt;"",Main[[#This Row],[In Stock Date]]&lt;&gt;""),Main[[#This Row],[In Stock Date]]-Main[[#This Row],[Revised Due Date]],""))</f>
        <v/>
      </c>
      <c r="I1332" s="110" t="s">
        <v>4</v>
      </c>
      <c r="J1332" s="99" t="s">
        <v>51</v>
      </c>
      <c r="K1332" s="99" t="s">
        <v>4</v>
      </c>
      <c r="L1332" s="89"/>
      <c r="M1332" s="75" t="str">
        <f>IF(Main[[#This Row],[Tech Start Date]]&lt;1/1/1990,"",IF(Main[[#This Row],[Class]]="C",WORKDAY(Main[[#This Row],[Tech Start Date]],9),IF(Main[[#This Row],[Class]]="B", WORKDAY(Main[[#This Row],[Tech Start Date]],6),IF(Main[[#This Row],[Class]]="A",WORKDAY(Main[[#This Row],[Tech Start Date]],2),""))))</f>
        <v/>
      </c>
      <c r="N1332" s="75" t="str">
        <f>IF(Main[[#This Row],[Tech Start Date]]&lt;1/1/1990,"",IF(Main[[#This Row],[Class]]="C",WORKDAY(Main[[#This Row],[Tech Start Date]],19),IF(Main[[#This Row],[Class]]="B", WORKDAY(Main[[#This Row],[Tech Start Date]],12),IF(Main[[#This Row],[Class]]="A",WORKDAY(Main[[#This Row],[Tech Start Date]],4),""))))</f>
        <v/>
      </c>
      <c r="O1332" s="75" t="str">
        <f>IF(Main[[#This Row],[Tech Start Date]]&lt;1/1/1990,"",IF(Main[[#This Row],[Class]]="C",WORKDAY(Main[[#This Row],[Tech Start Date]],23),IF(Main[[#This Row],[Class]]="B", WORKDAY(Main[[#This Row],[Tech Start Date]],15),IF(Main[[#This Row],[Class]]="A",WORKDAY(Main[[#This Row],[Tech Start Date]],5),""))))</f>
        <v/>
      </c>
      <c r="P1332" s="75" t="str">
        <f>IF(Main[[#This Row],[Tech Start Date]]&lt;1/1/1990,"",IF(Main[[#This Row],[Class]]="C",WORKDAY(Main[[#This Row],[Tech Start Date]],28),IF(Main[[#This Row],[Class]]="B", WORKDAY(Main[[#This Row],[Tech Start Date]],19),IF(Main[[#This Row],[Class]]="A",WORKDAY(Main[[#This Row],[Tech Start Date]],9),""))))</f>
        <v/>
      </c>
      <c r="Q1332" s="89"/>
      <c r="R1332" s="121"/>
      <c r="S1332" s="99" t="s">
        <v>6</v>
      </c>
      <c r="T1332" s="76" t="s">
        <v>2407</v>
      </c>
      <c r="U1332" s="99" t="s">
        <v>534</v>
      </c>
      <c r="V1332" s="99" t="s">
        <v>1913</v>
      </c>
      <c r="W1332" s="99" t="s">
        <v>1919</v>
      </c>
      <c r="X1332" s="99" t="s">
        <v>306</v>
      </c>
      <c r="Y1332" s="73" t="s">
        <v>4</v>
      </c>
      <c r="Z1332" s="73" t="s">
        <v>4</v>
      </c>
      <c r="AA1332" s="99" t="s">
        <v>2833</v>
      </c>
    </row>
    <row r="1333" spans="1:27" ht="17.25" customHeight="1">
      <c r="A1333" s="65" t="str">
        <f>IF(priority(Main[[#This Row],[Comments]])&lt;&gt;0, priority(Main[[#This Row],[Comments]]),"")</f>
        <v/>
      </c>
      <c r="B1333" s="60" t="s">
        <v>2291</v>
      </c>
      <c r="C1333" s="105" t="s">
        <v>4</v>
      </c>
      <c r="D1333" s="74" t="s">
        <v>2292</v>
      </c>
      <c r="E1333" s="89">
        <v>40815.373611111114</v>
      </c>
      <c r="F1333" s="89"/>
      <c r="G1333" s="65" t="str">
        <f>IF(stdProdLT(Main[[#This Row],[Comments]])=0.1,"N/A",IF(stdProdLT(Main[[#This Row],[Comments]])=0,"",TRIM(stdProdLT(Main[[#This Row],[Comments]]))))</f>
        <v/>
      </c>
      <c r="H1333" s="98" t="str">
        <f>IF(Main[[#This Row],[Std. Prod. Lead Time]]="N/A", "",IF(AND(Main[[#This Row],[In Stock Date]]&lt;&gt;"",Main[[#This Row],[Revised Due Date]]&lt;&gt;"",Main[[#This Row],[In Stock Date]]&lt;&gt;""),Main[[#This Row],[In Stock Date]]-Main[[#This Row],[Revised Due Date]],""))</f>
        <v/>
      </c>
      <c r="I1333" s="110" t="s">
        <v>4</v>
      </c>
      <c r="J1333" s="99" t="s">
        <v>4</v>
      </c>
      <c r="K1333" s="99" t="s">
        <v>4</v>
      </c>
      <c r="L1333" s="89"/>
      <c r="M1333" s="75" t="str">
        <f>IF(Main[[#This Row],[Tech Start Date]]&lt;1/1/1990,"",IF(Main[[#This Row],[Class]]="C",WORKDAY(Main[[#This Row],[Tech Start Date]],9),IF(Main[[#This Row],[Class]]="B", WORKDAY(Main[[#This Row],[Tech Start Date]],6),IF(Main[[#This Row],[Class]]="A",WORKDAY(Main[[#This Row],[Tech Start Date]],2),""))))</f>
        <v/>
      </c>
      <c r="N1333" s="75" t="str">
        <f>IF(Main[[#This Row],[Tech Start Date]]&lt;1/1/1990,"",IF(Main[[#This Row],[Class]]="C",WORKDAY(Main[[#This Row],[Tech Start Date]],19),IF(Main[[#This Row],[Class]]="B", WORKDAY(Main[[#This Row],[Tech Start Date]],12),IF(Main[[#This Row],[Class]]="A",WORKDAY(Main[[#This Row],[Tech Start Date]],4),""))))</f>
        <v/>
      </c>
      <c r="O1333" s="75" t="str">
        <f>IF(Main[[#This Row],[Tech Start Date]]&lt;1/1/1990,"",IF(Main[[#This Row],[Class]]="C",WORKDAY(Main[[#This Row],[Tech Start Date]],23),IF(Main[[#This Row],[Class]]="B", WORKDAY(Main[[#This Row],[Tech Start Date]],15),IF(Main[[#This Row],[Class]]="A",WORKDAY(Main[[#This Row],[Tech Start Date]],5),""))))</f>
        <v/>
      </c>
      <c r="P1333" s="75" t="str">
        <f>IF(Main[[#This Row],[Tech Start Date]]&lt;1/1/1990,"",IF(Main[[#This Row],[Class]]="C",WORKDAY(Main[[#This Row],[Tech Start Date]],28),IF(Main[[#This Row],[Class]]="B", WORKDAY(Main[[#This Row],[Tech Start Date]],19),IF(Main[[#This Row],[Class]]="A",WORKDAY(Main[[#This Row],[Tech Start Date]],9),""))))</f>
        <v/>
      </c>
      <c r="Q1333" s="89"/>
      <c r="R1333" s="121"/>
      <c r="S1333" s="99" t="s">
        <v>6</v>
      </c>
      <c r="T1333" s="76" t="s">
        <v>4</v>
      </c>
      <c r="U1333" s="99" t="s">
        <v>29</v>
      </c>
      <c r="V1333" s="99" t="s">
        <v>1916</v>
      </c>
      <c r="W1333" s="99" t="s">
        <v>1917</v>
      </c>
      <c r="X1333" s="99" t="s">
        <v>102</v>
      </c>
      <c r="Y1333" s="73" t="s">
        <v>3132</v>
      </c>
      <c r="Z1333" s="73" t="s">
        <v>4</v>
      </c>
      <c r="AA1333" s="99" t="s">
        <v>3407</v>
      </c>
    </row>
    <row r="1334" spans="1:27" ht="17.25" customHeight="1">
      <c r="A1334" s="65" t="str">
        <f>IF(priority(Main[[#This Row],[Comments]])&lt;&gt;0, priority(Main[[#This Row],[Comments]]),"")</f>
        <v/>
      </c>
      <c r="B1334" s="60" t="s">
        <v>2584</v>
      </c>
      <c r="C1334" s="105" t="s">
        <v>4</v>
      </c>
      <c r="D1334" s="74" t="s">
        <v>2585</v>
      </c>
      <c r="E1334" s="89"/>
      <c r="F1334" s="89"/>
      <c r="G1334" s="65" t="str">
        <f>IF(stdProdLT(Main[[#This Row],[Comments]])=0.1,"N/A",IF(stdProdLT(Main[[#This Row],[Comments]])=0,"",TRIM(stdProdLT(Main[[#This Row],[Comments]]))))</f>
        <v/>
      </c>
      <c r="H1334" s="98" t="str">
        <f>IF(Main[[#This Row],[Std. Prod. Lead Time]]="N/A", "",IF(AND(Main[[#This Row],[In Stock Date]]&lt;&gt;"",Main[[#This Row],[Revised Due Date]]&lt;&gt;"",Main[[#This Row],[In Stock Date]]&lt;&gt;""),Main[[#This Row],[In Stock Date]]-Main[[#This Row],[Revised Due Date]],""))</f>
        <v/>
      </c>
      <c r="I1334" s="110" t="s">
        <v>4</v>
      </c>
      <c r="J1334" s="99" t="s">
        <v>4</v>
      </c>
      <c r="K1334" s="99" t="s">
        <v>4</v>
      </c>
      <c r="L1334" s="89"/>
      <c r="M1334" s="75" t="str">
        <f>IF(Main[[#This Row],[Tech Start Date]]&lt;1/1/1990,"",IF(Main[[#This Row],[Class]]="C",WORKDAY(Main[[#This Row],[Tech Start Date]],9),IF(Main[[#This Row],[Class]]="B", WORKDAY(Main[[#This Row],[Tech Start Date]],6),IF(Main[[#This Row],[Class]]="A",WORKDAY(Main[[#This Row],[Tech Start Date]],2),""))))</f>
        <v/>
      </c>
      <c r="N1334" s="75" t="str">
        <f>IF(Main[[#This Row],[Tech Start Date]]&lt;1/1/1990,"",IF(Main[[#This Row],[Class]]="C",WORKDAY(Main[[#This Row],[Tech Start Date]],19),IF(Main[[#This Row],[Class]]="B", WORKDAY(Main[[#This Row],[Tech Start Date]],12),IF(Main[[#This Row],[Class]]="A",WORKDAY(Main[[#This Row],[Tech Start Date]],4),""))))</f>
        <v/>
      </c>
      <c r="O1334" s="75" t="str">
        <f>IF(Main[[#This Row],[Tech Start Date]]&lt;1/1/1990,"",IF(Main[[#This Row],[Class]]="C",WORKDAY(Main[[#This Row],[Tech Start Date]],23),IF(Main[[#This Row],[Class]]="B", WORKDAY(Main[[#This Row],[Tech Start Date]],15),IF(Main[[#This Row],[Class]]="A",WORKDAY(Main[[#This Row],[Tech Start Date]],5),""))))</f>
        <v/>
      </c>
      <c r="P1334" s="75" t="str">
        <f>IF(Main[[#This Row],[Tech Start Date]]&lt;1/1/1990,"",IF(Main[[#This Row],[Class]]="C",WORKDAY(Main[[#This Row],[Tech Start Date]],28),IF(Main[[#This Row],[Class]]="B", WORKDAY(Main[[#This Row],[Tech Start Date]],19),IF(Main[[#This Row],[Class]]="A",WORKDAY(Main[[#This Row],[Tech Start Date]],9),""))))</f>
        <v/>
      </c>
      <c r="Q1334" s="89"/>
      <c r="R1334" s="121"/>
      <c r="S1334" s="99" t="s">
        <v>11</v>
      </c>
      <c r="T1334" s="76" t="s">
        <v>4</v>
      </c>
      <c r="U1334" s="99" t="s">
        <v>14</v>
      </c>
      <c r="V1334" s="99" t="s">
        <v>1916</v>
      </c>
      <c r="W1334" s="99" t="s">
        <v>1921</v>
      </c>
      <c r="X1334" s="99" t="s">
        <v>306</v>
      </c>
      <c r="Y1334" s="73" t="s">
        <v>4</v>
      </c>
      <c r="Z1334" s="73" t="s">
        <v>4</v>
      </c>
      <c r="AA1334" s="99" t="s">
        <v>4</v>
      </c>
    </row>
    <row r="1335" spans="1:27" ht="17.25" customHeight="1">
      <c r="A1335" s="65" t="str">
        <f>IF(priority(Main[[#This Row],[Comments]])&lt;&gt;0, priority(Main[[#This Row],[Comments]]),"")</f>
        <v/>
      </c>
      <c r="B1335" s="60" t="s">
        <v>2280</v>
      </c>
      <c r="C1335" s="105" t="s">
        <v>67</v>
      </c>
      <c r="D1335" s="74" t="s">
        <v>2281</v>
      </c>
      <c r="E1335" s="89"/>
      <c r="F1335" s="89">
        <v>41075</v>
      </c>
      <c r="G1335" s="65" t="str">
        <f>IF(stdProdLT(Main[[#This Row],[Comments]])=0.1,"N/A",IF(stdProdLT(Main[[#This Row],[Comments]])=0,"",TRIM(stdProdLT(Main[[#This Row],[Comments]]))))</f>
        <v/>
      </c>
      <c r="H1335" s="98" t="str">
        <f>IF(Main[[#This Row],[Std. Prod. Lead Time]]="N/A", "",IF(AND(Main[[#This Row],[In Stock Date]]&lt;&gt;"",Main[[#This Row],[Revised Due Date]]&lt;&gt;"",Main[[#This Row],[In Stock Date]]&lt;&gt;""),Main[[#This Row],[In Stock Date]]-Main[[#This Row],[Revised Due Date]],""))</f>
        <v/>
      </c>
      <c r="I1335" s="110" t="s">
        <v>4</v>
      </c>
      <c r="J1335" s="99" t="s">
        <v>4</v>
      </c>
      <c r="K1335" s="99" t="s">
        <v>4</v>
      </c>
      <c r="L1335" s="89"/>
      <c r="M1335" s="75" t="str">
        <f>IF(Main[[#This Row],[Tech Start Date]]&lt;1/1/1990,"",IF(Main[[#This Row],[Class]]="C",WORKDAY(Main[[#This Row],[Tech Start Date]],9),IF(Main[[#This Row],[Class]]="B", WORKDAY(Main[[#This Row],[Tech Start Date]],6),IF(Main[[#This Row],[Class]]="A",WORKDAY(Main[[#This Row],[Tech Start Date]],2),""))))</f>
        <v/>
      </c>
      <c r="N1335" s="75" t="str">
        <f>IF(Main[[#This Row],[Tech Start Date]]&lt;1/1/1990,"",IF(Main[[#This Row],[Class]]="C",WORKDAY(Main[[#This Row],[Tech Start Date]],19),IF(Main[[#This Row],[Class]]="B", WORKDAY(Main[[#This Row],[Tech Start Date]],12),IF(Main[[#This Row],[Class]]="A",WORKDAY(Main[[#This Row],[Tech Start Date]],4),""))))</f>
        <v/>
      </c>
      <c r="O1335" s="75" t="str">
        <f>IF(Main[[#This Row],[Tech Start Date]]&lt;1/1/1990,"",IF(Main[[#This Row],[Class]]="C",WORKDAY(Main[[#This Row],[Tech Start Date]],23),IF(Main[[#This Row],[Class]]="B", WORKDAY(Main[[#This Row],[Tech Start Date]],15),IF(Main[[#This Row],[Class]]="A",WORKDAY(Main[[#This Row],[Tech Start Date]],5),""))))</f>
        <v/>
      </c>
      <c r="P1335" s="75" t="str">
        <f>IF(Main[[#This Row],[Tech Start Date]]&lt;1/1/1990,"",IF(Main[[#This Row],[Class]]="C",WORKDAY(Main[[#This Row],[Tech Start Date]],28),IF(Main[[#This Row],[Class]]="B", WORKDAY(Main[[#This Row],[Tech Start Date]],19),IF(Main[[#This Row],[Class]]="A",WORKDAY(Main[[#This Row],[Tech Start Date]],9),""))))</f>
        <v/>
      </c>
      <c r="Q1335" s="89">
        <v>40908</v>
      </c>
      <c r="R1335" s="121"/>
      <c r="S1335" s="99" t="s">
        <v>17</v>
      </c>
      <c r="T1335" s="76" t="s">
        <v>4</v>
      </c>
      <c r="U1335" s="99" t="s">
        <v>14</v>
      </c>
      <c r="V1335" s="99" t="s">
        <v>1923</v>
      </c>
      <c r="W1335" s="99" t="s">
        <v>1924</v>
      </c>
      <c r="X1335" s="99" t="s">
        <v>553</v>
      </c>
      <c r="Y1335" s="73" t="s">
        <v>2946</v>
      </c>
      <c r="Z1335" s="73" t="s">
        <v>4</v>
      </c>
      <c r="AA1335" s="99" t="s">
        <v>553</v>
      </c>
    </row>
    <row r="1336" spans="1:27" ht="17.25" customHeight="1">
      <c r="A1336" s="65" t="str">
        <f>IF(priority(Main[[#This Row],[Comments]])&lt;&gt;0, priority(Main[[#This Row],[Comments]]),"")</f>
        <v/>
      </c>
      <c r="B1336" s="60" t="s">
        <v>2594</v>
      </c>
      <c r="C1336" s="105" t="s">
        <v>4</v>
      </c>
      <c r="D1336" s="74" t="s">
        <v>2595</v>
      </c>
      <c r="E1336" s="89">
        <v>40877.273229166669</v>
      </c>
      <c r="F1336" s="89"/>
      <c r="G1336" s="65" t="str">
        <f>IF(stdProdLT(Main[[#This Row],[Comments]])=0.1,"N/A",IF(stdProdLT(Main[[#This Row],[Comments]])=0,"",TRIM(stdProdLT(Main[[#This Row],[Comments]]))))</f>
        <v/>
      </c>
      <c r="H1336" s="98" t="str">
        <f>IF(Main[[#This Row],[Std. Prod. Lead Time]]="N/A", "",IF(AND(Main[[#This Row],[In Stock Date]]&lt;&gt;"",Main[[#This Row],[Revised Due Date]]&lt;&gt;"",Main[[#This Row],[In Stock Date]]&lt;&gt;""),Main[[#This Row],[In Stock Date]]-Main[[#This Row],[Revised Due Date]],""))</f>
        <v/>
      </c>
      <c r="I1336" s="110" t="s">
        <v>69</v>
      </c>
      <c r="J1336" s="99" t="s">
        <v>70</v>
      </c>
      <c r="K1336" s="99" t="s">
        <v>1922</v>
      </c>
      <c r="L1336" s="89"/>
      <c r="M1336" s="75" t="str">
        <f>IF(Main[[#This Row],[Tech Start Date]]&lt;1/1/1990,"",IF(Main[[#This Row],[Class]]="C",WORKDAY(Main[[#This Row],[Tech Start Date]],9),IF(Main[[#This Row],[Class]]="B", WORKDAY(Main[[#This Row],[Tech Start Date]],6),IF(Main[[#This Row],[Class]]="A",WORKDAY(Main[[#This Row],[Tech Start Date]],2),""))))</f>
        <v/>
      </c>
      <c r="N1336" s="75" t="str">
        <f>IF(Main[[#This Row],[Tech Start Date]]&lt;1/1/1990,"",IF(Main[[#This Row],[Class]]="C",WORKDAY(Main[[#This Row],[Tech Start Date]],19),IF(Main[[#This Row],[Class]]="B", WORKDAY(Main[[#This Row],[Tech Start Date]],12),IF(Main[[#This Row],[Class]]="A",WORKDAY(Main[[#This Row],[Tech Start Date]],4),""))))</f>
        <v/>
      </c>
      <c r="O1336" s="75" t="str">
        <f>IF(Main[[#This Row],[Tech Start Date]]&lt;1/1/1990,"",IF(Main[[#This Row],[Class]]="C",WORKDAY(Main[[#This Row],[Tech Start Date]],23),IF(Main[[#This Row],[Class]]="B", WORKDAY(Main[[#This Row],[Tech Start Date]],15),IF(Main[[#This Row],[Class]]="A",WORKDAY(Main[[#This Row],[Tech Start Date]],5),""))))</f>
        <v/>
      </c>
      <c r="P1336" s="75" t="str">
        <f>IF(Main[[#This Row],[Tech Start Date]]&lt;1/1/1990,"",IF(Main[[#This Row],[Class]]="C",WORKDAY(Main[[#This Row],[Tech Start Date]],28),IF(Main[[#This Row],[Class]]="B", WORKDAY(Main[[#This Row],[Tech Start Date]],19),IF(Main[[#This Row],[Class]]="A",WORKDAY(Main[[#This Row],[Tech Start Date]],9),""))))</f>
        <v/>
      </c>
      <c r="Q1336" s="89">
        <v>40906</v>
      </c>
      <c r="R1336" s="121"/>
      <c r="S1336" s="99" t="s">
        <v>6</v>
      </c>
      <c r="T1336" s="76" t="s">
        <v>4</v>
      </c>
      <c r="U1336" s="99" t="s">
        <v>29</v>
      </c>
      <c r="V1336" s="99" t="s">
        <v>1916</v>
      </c>
      <c r="W1336" s="99" t="s">
        <v>1917</v>
      </c>
      <c r="X1336" s="99" t="s">
        <v>30</v>
      </c>
      <c r="Y1336" s="73" t="s">
        <v>3133</v>
      </c>
      <c r="Z1336" s="73" t="s">
        <v>30</v>
      </c>
      <c r="AA1336" s="99" t="s">
        <v>3461</v>
      </c>
    </row>
    <row r="1337" spans="1:27" ht="17.25" customHeight="1">
      <c r="A1337" s="65" t="str">
        <f>IF(priority(Main[[#This Row],[Comments]])&lt;&gt;0, priority(Main[[#This Row],[Comments]]),"")</f>
        <v/>
      </c>
      <c r="B1337" s="60" t="s">
        <v>2714</v>
      </c>
      <c r="C1337" s="105" t="s">
        <v>4</v>
      </c>
      <c r="D1337" s="74" t="s">
        <v>3229</v>
      </c>
      <c r="E1337" s="89"/>
      <c r="F1337" s="89"/>
      <c r="G1337" s="65" t="str">
        <f>IF(stdProdLT(Main[[#This Row],[Comments]])=0.1,"N/A",IF(stdProdLT(Main[[#This Row],[Comments]])=0,"",TRIM(stdProdLT(Main[[#This Row],[Comments]]))))</f>
        <v/>
      </c>
      <c r="H1337" s="98" t="str">
        <f>IF(Main[[#This Row],[Std. Prod. Lead Time]]="N/A", "",IF(AND(Main[[#This Row],[In Stock Date]]&lt;&gt;"",Main[[#This Row],[Revised Due Date]]&lt;&gt;"",Main[[#This Row],[In Stock Date]]&lt;&gt;""),Main[[#This Row],[In Stock Date]]-Main[[#This Row],[Revised Due Date]],""))</f>
        <v/>
      </c>
      <c r="I1337" s="110" t="s">
        <v>2204</v>
      </c>
      <c r="J1337" s="99" t="s">
        <v>75</v>
      </c>
      <c r="K1337" s="99" t="s">
        <v>1922</v>
      </c>
      <c r="L1337" s="89"/>
      <c r="M1337" s="75" t="str">
        <f>IF(Main[[#This Row],[Tech Start Date]]&lt;1/1/1990,"",IF(Main[[#This Row],[Class]]="C",WORKDAY(Main[[#This Row],[Tech Start Date]],9),IF(Main[[#This Row],[Class]]="B", WORKDAY(Main[[#This Row],[Tech Start Date]],6),IF(Main[[#This Row],[Class]]="A",WORKDAY(Main[[#This Row],[Tech Start Date]],2),""))))</f>
        <v/>
      </c>
      <c r="N1337" s="75" t="str">
        <f>IF(Main[[#This Row],[Tech Start Date]]&lt;1/1/1990,"",IF(Main[[#This Row],[Class]]="C",WORKDAY(Main[[#This Row],[Tech Start Date]],19),IF(Main[[#This Row],[Class]]="B", WORKDAY(Main[[#This Row],[Tech Start Date]],12),IF(Main[[#This Row],[Class]]="A",WORKDAY(Main[[#This Row],[Tech Start Date]],4),""))))</f>
        <v/>
      </c>
      <c r="O1337" s="75" t="str">
        <f>IF(Main[[#This Row],[Tech Start Date]]&lt;1/1/1990,"",IF(Main[[#This Row],[Class]]="C",WORKDAY(Main[[#This Row],[Tech Start Date]],23),IF(Main[[#This Row],[Class]]="B", WORKDAY(Main[[#This Row],[Tech Start Date]],15),IF(Main[[#This Row],[Class]]="A",WORKDAY(Main[[#This Row],[Tech Start Date]],5),""))))</f>
        <v/>
      </c>
      <c r="P1337" s="75" t="str">
        <f>IF(Main[[#This Row],[Tech Start Date]]&lt;1/1/1990,"",IF(Main[[#This Row],[Class]]="C",WORKDAY(Main[[#This Row],[Tech Start Date]],28),IF(Main[[#This Row],[Class]]="B", WORKDAY(Main[[#This Row],[Tech Start Date]],19),IF(Main[[#This Row],[Class]]="A",WORKDAY(Main[[#This Row],[Tech Start Date]],9),""))))</f>
        <v/>
      </c>
      <c r="Q1337" s="89">
        <v>40939</v>
      </c>
      <c r="R1337" s="121"/>
      <c r="S1337" s="99" t="s">
        <v>6</v>
      </c>
      <c r="T1337" s="76" t="s">
        <v>4</v>
      </c>
      <c r="U1337" s="99" t="s">
        <v>14</v>
      </c>
      <c r="V1337" s="99" t="s">
        <v>1916</v>
      </c>
      <c r="W1337" s="99" t="s">
        <v>1917</v>
      </c>
      <c r="X1337" s="99" t="s">
        <v>2813</v>
      </c>
      <c r="Y1337" s="73" t="s">
        <v>2926</v>
      </c>
      <c r="Z1337" s="73" t="s">
        <v>30</v>
      </c>
      <c r="AA1337" s="99" t="s">
        <v>2813</v>
      </c>
    </row>
    <row r="1338" spans="1:27" ht="17.25" customHeight="1">
      <c r="A1338" s="65" t="str">
        <f>IF(priority(Main[[#This Row],[Comments]])&lt;&gt;0, priority(Main[[#This Row],[Comments]]),"")</f>
        <v/>
      </c>
      <c r="B1338" s="60" t="s">
        <v>3289</v>
      </c>
      <c r="C1338" s="105" t="s">
        <v>4</v>
      </c>
      <c r="D1338" s="74" t="s">
        <v>3290</v>
      </c>
      <c r="E1338" s="89"/>
      <c r="F1338" s="89"/>
      <c r="G1338" s="65" t="str">
        <f>IF(stdProdLT(Main[[#This Row],[Comments]])=0.1,"N/A",IF(stdProdLT(Main[[#This Row],[Comments]])=0,"",TRIM(stdProdLT(Main[[#This Row],[Comments]]))))</f>
        <v/>
      </c>
      <c r="H1338" s="98" t="str">
        <f>IF(Main[[#This Row],[Std. Prod. Lead Time]]="N/A", "",IF(AND(Main[[#This Row],[In Stock Date]]&lt;&gt;"",Main[[#This Row],[Revised Due Date]]&lt;&gt;"",Main[[#This Row],[In Stock Date]]&lt;&gt;""),Main[[#This Row],[In Stock Date]]-Main[[#This Row],[Revised Due Date]],""))</f>
        <v/>
      </c>
      <c r="I1338" s="110" t="s">
        <v>4</v>
      </c>
      <c r="J1338" s="99" t="s">
        <v>4</v>
      </c>
      <c r="K1338" s="99" t="s">
        <v>4</v>
      </c>
      <c r="L1338" s="89"/>
      <c r="M1338" s="75" t="str">
        <f>IF(Main[[#This Row],[Tech Start Date]]&lt;1/1/1990,"",IF(Main[[#This Row],[Class]]="C",WORKDAY(Main[[#This Row],[Tech Start Date]],9),IF(Main[[#This Row],[Class]]="B", WORKDAY(Main[[#This Row],[Tech Start Date]],6),IF(Main[[#This Row],[Class]]="A",WORKDAY(Main[[#This Row],[Tech Start Date]],2),""))))</f>
        <v/>
      </c>
      <c r="N1338" s="75" t="str">
        <f>IF(Main[[#This Row],[Tech Start Date]]&lt;1/1/1990,"",IF(Main[[#This Row],[Class]]="C",WORKDAY(Main[[#This Row],[Tech Start Date]],19),IF(Main[[#This Row],[Class]]="B", WORKDAY(Main[[#This Row],[Tech Start Date]],12),IF(Main[[#This Row],[Class]]="A",WORKDAY(Main[[#This Row],[Tech Start Date]],4),""))))</f>
        <v/>
      </c>
      <c r="O1338" s="75" t="str">
        <f>IF(Main[[#This Row],[Tech Start Date]]&lt;1/1/1990,"",IF(Main[[#This Row],[Class]]="C",WORKDAY(Main[[#This Row],[Tech Start Date]],23),IF(Main[[#This Row],[Class]]="B", WORKDAY(Main[[#This Row],[Tech Start Date]],15),IF(Main[[#This Row],[Class]]="A",WORKDAY(Main[[#This Row],[Tech Start Date]],5),""))))</f>
        <v/>
      </c>
      <c r="P1338" s="75" t="str">
        <f>IF(Main[[#This Row],[Tech Start Date]]&lt;1/1/1990,"",IF(Main[[#This Row],[Class]]="C",WORKDAY(Main[[#This Row],[Tech Start Date]],28),IF(Main[[#This Row],[Class]]="B", WORKDAY(Main[[#This Row],[Tech Start Date]],19),IF(Main[[#This Row],[Class]]="A",WORKDAY(Main[[#This Row],[Tech Start Date]],9),""))))</f>
        <v/>
      </c>
      <c r="Q1338" s="89">
        <v>40969</v>
      </c>
      <c r="R1338" s="121"/>
      <c r="S1338" s="99" t="s">
        <v>11</v>
      </c>
      <c r="T1338" s="76" t="s">
        <v>4</v>
      </c>
      <c r="U1338" s="99" t="s">
        <v>14</v>
      </c>
      <c r="V1338" s="99" t="s">
        <v>1916</v>
      </c>
      <c r="W1338" s="99" t="s">
        <v>1918</v>
      </c>
      <c r="X1338" s="99" t="s">
        <v>553</v>
      </c>
      <c r="Y1338" s="73" t="s">
        <v>2946</v>
      </c>
      <c r="Z1338" s="73" t="s">
        <v>4</v>
      </c>
      <c r="AA1338" s="99" t="s">
        <v>553</v>
      </c>
    </row>
    <row r="1339" spans="1:27" ht="17.25" customHeight="1">
      <c r="A1339" s="65" t="str">
        <f>IF(priority(Main[[#This Row],[Comments]])&lt;&gt;0, priority(Main[[#This Row],[Comments]]),"")</f>
        <v/>
      </c>
      <c r="B1339" s="60" t="s">
        <v>1477</v>
      </c>
      <c r="C1339" s="105" t="s">
        <v>4</v>
      </c>
      <c r="D1339" s="74" t="s">
        <v>358</v>
      </c>
      <c r="E1339" s="89">
        <v>40926.591666666667</v>
      </c>
      <c r="F1339" s="89"/>
      <c r="G1339" s="65" t="str">
        <f>IF(stdProdLT(Main[[#This Row],[Comments]])=0.1,"N/A",IF(stdProdLT(Main[[#This Row],[Comments]])=0,"",TRIM(stdProdLT(Main[[#This Row],[Comments]]))))</f>
        <v/>
      </c>
      <c r="H1339" s="98" t="str">
        <f>IF(Main[[#This Row],[Std. Prod. Lead Time]]="N/A", "",IF(AND(Main[[#This Row],[In Stock Date]]&lt;&gt;"",Main[[#This Row],[Revised Due Date]]&lt;&gt;"",Main[[#This Row],[In Stock Date]]&lt;&gt;""),Main[[#This Row],[In Stock Date]]-Main[[#This Row],[Revised Due Date]],""))</f>
        <v/>
      </c>
      <c r="I1339" s="110" t="s">
        <v>530</v>
      </c>
      <c r="J1339" s="99" t="s">
        <v>28</v>
      </c>
      <c r="K1339" s="99" t="s">
        <v>1922</v>
      </c>
      <c r="L1339" s="89"/>
      <c r="M1339" s="75" t="str">
        <f>IF(Main[[#This Row],[Tech Start Date]]&lt;1/1/1990,"",IF(Main[[#This Row],[Class]]="C",WORKDAY(Main[[#This Row],[Tech Start Date]],9),IF(Main[[#This Row],[Class]]="B", WORKDAY(Main[[#This Row],[Tech Start Date]],6),IF(Main[[#This Row],[Class]]="A",WORKDAY(Main[[#This Row],[Tech Start Date]],2),""))))</f>
        <v/>
      </c>
      <c r="N1339" s="75" t="str">
        <f>IF(Main[[#This Row],[Tech Start Date]]&lt;1/1/1990,"",IF(Main[[#This Row],[Class]]="C",WORKDAY(Main[[#This Row],[Tech Start Date]],19),IF(Main[[#This Row],[Class]]="B", WORKDAY(Main[[#This Row],[Tech Start Date]],12),IF(Main[[#This Row],[Class]]="A",WORKDAY(Main[[#This Row],[Tech Start Date]],4),""))))</f>
        <v/>
      </c>
      <c r="O1339" s="75" t="str">
        <f>IF(Main[[#This Row],[Tech Start Date]]&lt;1/1/1990,"",IF(Main[[#This Row],[Class]]="C",WORKDAY(Main[[#This Row],[Tech Start Date]],23),IF(Main[[#This Row],[Class]]="B", WORKDAY(Main[[#This Row],[Tech Start Date]],15),IF(Main[[#This Row],[Class]]="A",WORKDAY(Main[[#This Row],[Tech Start Date]],5),""))))</f>
        <v/>
      </c>
      <c r="P1339" s="75" t="str">
        <f>IF(Main[[#This Row],[Tech Start Date]]&lt;1/1/1990,"",IF(Main[[#This Row],[Class]]="C",WORKDAY(Main[[#This Row],[Tech Start Date]],28),IF(Main[[#This Row],[Class]]="B", WORKDAY(Main[[#This Row],[Tech Start Date]],19),IF(Main[[#This Row],[Class]]="A",WORKDAY(Main[[#This Row],[Tech Start Date]],9),""))))</f>
        <v/>
      </c>
      <c r="Q1339" s="89">
        <v>40746</v>
      </c>
      <c r="R1339" s="121"/>
      <c r="S1339" s="99" t="s">
        <v>6</v>
      </c>
      <c r="T1339" s="76" t="s">
        <v>4</v>
      </c>
      <c r="U1339" s="99" t="s">
        <v>29</v>
      </c>
      <c r="V1339" s="99" t="s">
        <v>1916</v>
      </c>
      <c r="W1339" s="99" t="s">
        <v>1917</v>
      </c>
      <c r="X1339" s="99" t="s">
        <v>2813</v>
      </c>
      <c r="Y1339" s="73" t="s">
        <v>2926</v>
      </c>
      <c r="Z1339" s="73" t="s">
        <v>30</v>
      </c>
      <c r="AA1339" s="99" t="s">
        <v>2813</v>
      </c>
    </row>
    <row r="1340" spans="1:27" ht="17.25" customHeight="1">
      <c r="A1340" s="65" t="str">
        <f>IF(priority(Main[[#This Row],[Comments]])&lt;&gt;0, priority(Main[[#This Row],[Comments]]),"")</f>
        <v/>
      </c>
      <c r="B1340" s="60" t="s">
        <v>2803</v>
      </c>
      <c r="C1340" s="105" t="s">
        <v>4</v>
      </c>
      <c r="D1340" s="74" t="s">
        <v>2804</v>
      </c>
      <c r="E1340" s="89">
        <v>40918.365578703706</v>
      </c>
      <c r="F1340" s="89"/>
      <c r="G1340" s="65" t="str">
        <f>IF(stdProdLT(Main[[#This Row],[Comments]])=0.1,"N/A",IF(stdProdLT(Main[[#This Row],[Comments]])=0,"",TRIM(stdProdLT(Main[[#This Row],[Comments]]))))</f>
        <v/>
      </c>
      <c r="H1340" s="98" t="str">
        <f>IF(Main[[#This Row],[Std. Prod. Lead Time]]="N/A", "",IF(AND(Main[[#This Row],[In Stock Date]]&lt;&gt;"",Main[[#This Row],[Revised Due Date]]&lt;&gt;"",Main[[#This Row],[In Stock Date]]&lt;&gt;""),Main[[#This Row],[In Stock Date]]-Main[[#This Row],[Revised Due Date]],""))</f>
        <v/>
      </c>
      <c r="I1340" s="110" t="s">
        <v>4</v>
      </c>
      <c r="J1340" s="99" t="s">
        <v>4</v>
      </c>
      <c r="K1340" s="99" t="s">
        <v>4</v>
      </c>
      <c r="L1340" s="89"/>
      <c r="M1340" s="75" t="str">
        <f>IF(Main[[#This Row],[Tech Start Date]]&lt;1/1/1990,"",IF(Main[[#This Row],[Class]]="C",WORKDAY(Main[[#This Row],[Tech Start Date]],9),IF(Main[[#This Row],[Class]]="B", WORKDAY(Main[[#This Row],[Tech Start Date]],6),IF(Main[[#This Row],[Class]]="A",WORKDAY(Main[[#This Row],[Tech Start Date]],2),""))))</f>
        <v/>
      </c>
      <c r="N1340" s="75" t="str">
        <f>IF(Main[[#This Row],[Tech Start Date]]&lt;1/1/1990,"",IF(Main[[#This Row],[Class]]="C",WORKDAY(Main[[#This Row],[Tech Start Date]],19),IF(Main[[#This Row],[Class]]="B", WORKDAY(Main[[#This Row],[Tech Start Date]],12),IF(Main[[#This Row],[Class]]="A",WORKDAY(Main[[#This Row],[Tech Start Date]],4),""))))</f>
        <v/>
      </c>
      <c r="O1340" s="75" t="str">
        <f>IF(Main[[#This Row],[Tech Start Date]]&lt;1/1/1990,"",IF(Main[[#This Row],[Class]]="C",WORKDAY(Main[[#This Row],[Tech Start Date]],23),IF(Main[[#This Row],[Class]]="B", WORKDAY(Main[[#This Row],[Tech Start Date]],15),IF(Main[[#This Row],[Class]]="A",WORKDAY(Main[[#This Row],[Tech Start Date]],5),""))))</f>
        <v/>
      </c>
      <c r="P1340" s="75" t="str">
        <f>IF(Main[[#This Row],[Tech Start Date]]&lt;1/1/1990,"",IF(Main[[#This Row],[Class]]="C",WORKDAY(Main[[#This Row],[Tech Start Date]],28),IF(Main[[#This Row],[Class]]="B", WORKDAY(Main[[#This Row],[Tech Start Date]],19),IF(Main[[#This Row],[Class]]="A",WORKDAY(Main[[#This Row],[Tech Start Date]],9),""))))</f>
        <v/>
      </c>
      <c r="Q1340" s="89">
        <v>40925</v>
      </c>
      <c r="R1340" s="121"/>
      <c r="S1340" s="99" t="s">
        <v>6</v>
      </c>
      <c r="T1340" s="76" t="s">
        <v>4</v>
      </c>
      <c r="U1340" s="99" t="s">
        <v>7</v>
      </c>
      <c r="V1340" s="99" t="s">
        <v>1913</v>
      </c>
      <c r="W1340" s="99" t="s">
        <v>4</v>
      </c>
      <c r="X1340" s="99" t="s">
        <v>2813</v>
      </c>
      <c r="Y1340" s="73" t="s">
        <v>2926</v>
      </c>
      <c r="Z1340" s="73" t="s">
        <v>4</v>
      </c>
      <c r="AA1340" s="99" t="s">
        <v>2813</v>
      </c>
    </row>
    <row r="1341" spans="1:27" ht="17.25" customHeight="1">
      <c r="A1341" s="65" t="str">
        <f>IF(priority(Main[[#This Row],[Comments]])&lt;&gt;0, priority(Main[[#This Row],[Comments]]),"")</f>
        <v/>
      </c>
      <c r="B1341" s="60" t="s">
        <v>3181</v>
      </c>
      <c r="C1341" s="105" t="s">
        <v>31</v>
      </c>
      <c r="D1341" s="74" t="s">
        <v>3182</v>
      </c>
      <c r="E1341" s="89"/>
      <c r="F1341" s="89">
        <v>41122</v>
      </c>
      <c r="G1341" s="65" t="str">
        <f>IF(stdProdLT(Main[[#This Row],[Comments]])=0.1,"N/A",IF(stdProdLT(Main[[#This Row],[Comments]])=0,"",TRIM(stdProdLT(Main[[#This Row],[Comments]]))))</f>
        <v/>
      </c>
      <c r="H1341" s="98" t="str">
        <f>IF(Main[[#This Row],[Std. Prod. Lead Time]]="N/A", "",IF(AND(Main[[#This Row],[In Stock Date]]&lt;&gt;"",Main[[#This Row],[Revised Due Date]]&lt;&gt;"",Main[[#This Row],[In Stock Date]]&lt;&gt;""),Main[[#This Row],[In Stock Date]]-Main[[#This Row],[Revised Due Date]],""))</f>
        <v/>
      </c>
      <c r="I1341" s="110" t="s">
        <v>4</v>
      </c>
      <c r="J1341" s="99" t="s">
        <v>4</v>
      </c>
      <c r="K1341" s="100" t="s">
        <v>4</v>
      </c>
      <c r="L1341" s="89"/>
      <c r="M1341" s="75" t="str">
        <f>IF(Main[[#This Row],[Tech Start Date]]&lt;1/1/1990,"",IF(Main[[#This Row],[Class]]="C",WORKDAY(Main[[#This Row],[Tech Start Date]],9),IF(Main[[#This Row],[Class]]="B", WORKDAY(Main[[#This Row],[Tech Start Date]],6),IF(Main[[#This Row],[Class]]="A",WORKDAY(Main[[#This Row],[Tech Start Date]],2),""))))</f>
        <v/>
      </c>
      <c r="N1341" s="75" t="str">
        <f>IF(Main[[#This Row],[Tech Start Date]]&lt;1/1/1990,"",IF(Main[[#This Row],[Class]]="C",WORKDAY(Main[[#This Row],[Tech Start Date]],19),IF(Main[[#This Row],[Class]]="B", WORKDAY(Main[[#This Row],[Tech Start Date]],12),IF(Main[[#This Row],[Class]]="A",WORKDAY(Main[[#This Row],[Tech Start Date]],4),""))))</f>
        <v/>
      </c>
      <c r="O1341" s="75" t="str">
        <f>IF(Main[[#This Row],[Tech Start Date]]&lt;1/1/1990,"",IF(Main[[#This Row],[Class]]="C",WORKDAY(Main[[#This Row],[Tech Start Date]],23),IF(Main[[#This Row],[Class]]="B", WORKDAY(Main[[#This Row],[Tech Start Date]],15),IF(Main[[#This Row],[Class]]="A",WORKDAY(Main[[#This Row],[Tech Start Date]],5),""))))</f>
        <v/>
      </c>
      <c r="P1341" s="75" t="str">
        <f>IF(Main[[#This Row],[Tech Start Date]]&lt;1/1/1990,"",IF(Main[[#This Row],[Class]]="C",WORKDAY(Main[[#This Row],[Tech Start Date]],28),IF(Main[[#This Row],[Class]]="B", WORKDAY(Main[[#This Row],[Tech Start Date]],19),IF(Main[[#This Row],[Class]]="A",WORKDAY(Main[[#This Row],[Tech Start Date]],9),""))))</f>
        <v/>
      </c>
      <c r="Q1341" s="89">
        <v>40940</v>
      </c>
      <c r="R1341" s="121"/>
      <c r="S1341" s="99" t="s">
        <v>11</v>
      </c>
      <c r="T1341" s="76" t="s">
        <v>4</v>
      </c>
      <c r="U1341" s="99" t="s">
        <v>12</v>
      </c>
      <c r="V1341" s="99" t="s">
        <v>1916</v>
      </c>
      <c r="W1341" s="99" t="s">
        <v>1924</v>
      </c>
      <c r="X1341" s="99" t="s">
        <v>2840</v>
      </c>
      <c r="Y1341" s="73" t="s">
        <v>4</v>
      </c>
      <c r="Z1341" s="73" t="s">
        <v>4</v>
      </c>
      <c r="AA1341" s="99" t="s">
        <v>2840</v>
      </c>
    </row>
    <row r="1342" spans="1:27" ht="17.25" customHeight="1">
      <c r="A1342" s="65" t="str">
        <f>IF(priority(Main[[#This Row],[Comments]])&lt;&gt;0, priority(Main[[#This Row],[Comments]]),"")</f>
        <v/>
      </c>
      <c r="B1342" s="60" t="s">
        <v>3202</v>
      </c>
      <c r="C1342" s="105" t="s">
        <v>4</v>
      </c>
      <c r="D1342" s="74" t="s">
        <v>3358</v>
      </c>
      <c r="E1342" s="89">
        <v>40921.54005787037</v>
      </c>
      <c r="F1342" s="89"/>
      <c r="G1342" s="65" t="str">
        <f>IF(stdProdLT(Main[[#This Row],[Comments]])=0.1,"N/A",IF(stdProdLT(Main[[#This Row],[Comments]])=0,"",TRIM(stdProdLT(Main[[#This Row],[Comments]]))))</f>
        <v/>
      </c>
      <c r="H1342" s="98" t="str">
        <f>IF(Main[[#This Row],[Std. Prod. Lead Time]]="N/A", "",IF(AND(Main[[#This Row],[In Stock Date]]&lt;&gt;"",Main[[#This Row],[Revised Due Date]]&lt;&gt;"",Main[[#This Row],[In Stock Date]]&lt;&gt;""),Main[[#This Row],[In Stock Date]]-Main[[#This Row],[Revised Due Date]],""))</f>
        <v/>
      </c>
      <c r="I1342" s="110" t="s">
        <v>912</v>
      </c>
      <c r="J1342" s="99" t="s">
        <v>52</v>
      </c>
      <c r="K1342" s="99" t="s">
        <v>4</v>
      </c>
      <c r="L1342" s="89"/>
      <c r="M1342" s="75" t="str">
        <f>IF(Main[[#This Row],[Tech Start Date]]&lt;1/1/1990,"",IF(Main[[#This Row],[Class]]="C",WORKDAY(Main[[#This Row],[Tech Start Date]],9),IF(Main[[#This Row],[Class]]="B", WORKDAY(Main[[#This Row],[Tech Start Date]],6),IF(Main[[#This Row],[Class]]="A",WORKDAY(Main[[#This Row],[Tech Start Date]],2),""))))</f>
        <v/>
      </c>
      <c r="N1342" s="75" t="str">
        <f>IF(Main[[#This Row],[Tech Start Date]]&lt;1/1/1990,"",IF(Main[[#This Row],[Class]]="C",WORKDAY(Main[[#This Row],[Tech Start Date]],19),IF(Main[[#This Row],[Class]]="B", WORKDAY(Main[[#This Row],[Tech Start Date]],12),IF(Main[[#This Row],[Class]]="A",WORKDAY(Main[[#This Row],[Tech Start Date]],4),""))))</f>
        <v/>
      </c>
      <c r="O1342" s="75" t="str">
        <f>IF(Main[[#This Row],[Tech Start Date]]&lt;1/1/1990,"",IF(Main[[#This Row],[Class]]="C",WORKDAY(Main[[#This Row],[Tech Start Date]],23),IF(Main[[#This Row],[Class]]="B", WORKDAY(Main[[#This Row],[Tech Start Date]],15),IF(Main[[#This Row],[Class]]="A",WORKDAY(Main[[#This Row],[Tech Start Date]],5),""))))</f>
        <v/>
      </c>
      <c r="P1342" s="75" t="str">
        <f>IF(Main[[#This Row],[Tech Start Date]]&lt;1/1/1990,"",IF(Main[[#This Row],[Class]]="C",WORKDAY(Main[[#This Row],[Tech Start Date]],28),IF(Main[[#This Row],[Class]]="B", WORKDAY(Main[[#This Row],[Tech Start Date]],19),IF(Main[[#This Row],[Class]]="A",WORKDAY(Main[[#This Row],[Tech Start Date]],9),""))))</f>
        <v/>
      </c>
      <c r="Q1342" s="89"/>
      <c r="R1342" s="121"/>
      <c r="S1342" s="99" t="s">
        <v>6</v>
      </c>
      <c r="T1342" s="76" t="s">
        <v>4</v>
      </c>
      <c r="U1342" s="99" t="s">
        <v>29</v>
      </c>
      <c r="V1342" s="99" t="s">
        <v>1913</v>
      </c>
      <c r="W1342" s="99" t="s">
        <v>1917</v>
      </c>
      <c r="X1342" s="99" t="s">
        <v>937</v>
      </c>
      <c r="Y1342" s="73" t="s">
        <v>2978</v>
      </c>
      <c r="Z1342" s="73" t="s">
        <v>4</v>
      </c>
      <c r="AA1342" s="99" t="s">
        <v>937</v>
      </c>
    </row>
    <row r="1343" spans="1:27" ht="17.25" customHeight="1">
      <c r="A1343" s="65" t="str">
        <f>IF(priority(Main[[#This Row],[Comments]])&lt;&gt;0, priority(Main[[#This Row],[Comments]]),"")</f>
        <v/>
      </c>
      <c r="B1343" s="60" t="s">
        <v>3739</v>
      </c>
      <c r="C1343" s="105" t="s">
        <v>47</v>
      </c>
      <c r="D1343" s="74" t="s">
        <v>3740</v>
      </c>
      <c r="E1343" s="89">
        <v>40961.495104166665</v>
      </c>
      <c r="F1343" s="89"/>
      <c r="G1343" s="65" t="str">
        <f>IF(stdProdLT(Main[[#This Row],[Comments]])=0.1,"N/A",IF(stdProdLT(Main[[#This Row],[Comments]])=0,"",TRIM(stdProdLT(Main[[#This Row],[Comments]]))))</f>
        <v/>
      </c>
      <c r="H1343" s="98" t="str">
        <f>IF(Main[[#This Row],[Std. Prod. Lead Time]]="N/A", "",IF(AND(Main[[#This Row],[In Stock Date]]&lt;&gt;"",Main[[#This Row],[Revised Due Date]]&lt;&gt;"",Main[[#This Row],[In Stock Date]]&lt;&gt;""),Main[[#This Row],[In Stock Date]]-Main[[#This Row],[Revised Due Date]],""))</f>
        <v/>
      </c>
      <c r="I1343" s="110" t="s">
        <v>4</v>
      </c>
      <c r="J1343" s="99" t="s">
        <v>4</v>
      </c>
      <c r="K1343" s="99" t="s">
        <v>4</v>
      </c>
      <c r="L1343" s="89"/>
      <c r="M1343" s="75" t="str">
        <f>IF(Main[[#This Row],[Tech Start Date]]&lt;1/1/1990,"",IF(Main[[#This Row],[Class]]="C",WORKDAY(Main[[#This Row],[Tech Start Date]],9),IF(Main[[#This Row],[Class]]="B", WORKDAY(Main[[#This Row],[Tech Start Date]],6),IF(Main[[#This Row],[Class]]="A",WORKDAY(Main[[#This Row],[Tech Start Date]],2),""))))</f>
        <v/>
      </c>
      <c r="N1343" s="75" t="str">
        <f>IF(Main[[#This Row],[Tech Start Date]]&lt;1/1/1990,"",IF(Main[[#This Row],[Class]]="C",WORKDAY(Main[[#This Row],[Tech Start Date]],19),IF(Main[[#This Row],[Class]]="B", WORKDAY(Main[[#This Row],[Tech Start Date]],12),IF(Main[[#This Row],[Class]]="A",WORKDAY(Main[[#This Row],[Tech Start Date]],4),""))))</f>
        <v/>
      </c>
      <c r="O1343" s="75" t="str">
        <f>IF(Main[[#This Row],[Tech Start Date]]&lt;1/1/1990,"",IF(Main[[#This Row],[Class]]="C",WORKDAY(Main[[#This Row],[Tech Start Date]],23),IF(Main[[#This Row],[Class]]="B", WORKDAY(Main[[#This Row],[Tech Start Date]],15),IF(Main[[#This Row],[Class]]="A",WORKDAY(Main[[#This Row],[Tech Start Date]],5),""))))</f>
        <v/>
      </c>
      <c r="P1343" s="75" t="str">
        <f>IF(Main[[#This Row],[Tech Start Date]]&lt;1/1/1990,"",IF(Main[[#This Row],[Class]]="C",WORKDAY(Main[[#This Row],[Tech Start Date]],28),IF(Main[[#This Row],[Class]]="B", WORKDAY(Main[[#This Row],[Tech Start Date]],19),IF(Main[[#This Row],[Class]]="A",WORKDAY(Main[[#This Row],[Tech Start Date]],9),""))))</f>
        <v/>
      </c>
      <c r="Q1343" s="89"/>
      <c r="R1343" s="121"/>
      <c r="S1343" s="99" t="s">
        <v>6</v>
      </c>
      <c r="T1343" s="76" t="s">
        <v>4</v>
      </c>
      <c r="U1343" s="99" t="s">
        <v>29</v>
      </c>
      <c r="V1343" s="99" t="s">
        <v>2279</v>
      </c>
      <c r="W1343" s="99" t="s">
        <v>1917</v>
      </c>
      <c r="X1343" s="99" t="s">
        <v>2835</v>
      </c>
      <c r="Y1343" s="73" t="s">
        <v>2965</v>
      </c>
      <c r="Z1343" s="73" t="s">
        <v>4</v>
      </c>
      <c r="AA1343" s="99" t="s">
        <v>2835</v>
      </c>
    </row>
    <row r="1344" spans="1:27" ht="17.25" customHeight="1">
      <c r="A1344" s="65" t="str">
        <f>IF(priority(Main[[#This Row],[Comments]])&lt;&gt;0, priority(Main[[#This Row],[Comments]]),"")</f>
        <v/>
      </c>
      <c r="B1344" s="60" t="s">
        <v>2296</v>
      </c>
      <c r="C1344" s="105" t="s">
        <v>4</v>
      </c>
      <c r="D1344" s="74" t="s">
        <v>2588</v>
      </c>
      <c r="E1344" s="89">
        <v>40820.42082175926</v>
      </c>
      <c r="F1344" s="89"/>
      <c r="G1344" s="65" t="str">
        <f>IF(stdProdLT(Main[[#This Row],[Comments]])=0.1,"N/A",IF(stdProdLT(Main[[#This Row],[Comments]])=0,"",TRIM(stdProdLT(Main[[#This Row],[Comments]]))))</f>
        <v/>
      </c>
      <c r="H1344" s="98" t="str">
        <f>IF(Main[[#This Row],[Std. Prod. Lead Time]]="N/A", "",IF(AND(Main[[#This Row],[In Stock Date]]&lt;&gt;"",Main[[#This Row],[Revised Due Date]]&lt;&gt;"",Main[[#This Row],[In Stock Date]]&lt;&gt;""),Main[[#This Row],[In Stock Date]]-Main[[#This Row],[Revised Due Date]],""))</f>
        <v/>
      </c>
      <c r="I1344" s="110" t="s">
        <v>561</v>
      </c>
      <c r="J1344" s="99" t="s">
        <v>21</v>
      </c>
      <c r="K1344" s="99" t="s">
        <v>4</v>
      </c>
      <c r="L1344" s="89"/>
      <c r="M1344" s="75" t="str">
        <f>IF(Main[[#This Row],[Tech Start Date]]&lt;1/1/1990,"",IF(Main[[#This Row],[Class]]="C",WORKDAY(Main[[#This Row],[Tech Start Date]],9),IF(Main[[#This Row],[Class]]="B", WORKDAY(Main[[#This Row],[Tech Start Date]],6),IF(Main[[#This Row],[Class]]="A",WORKDAY(Main[[#This Row],[Tech Start Date]],2),""))))</f>
        <v/>
      </c>
      <c r="N1344" s="75" t="str">
        <f>IF(Main[[#This Row],[Tech Start Date]]&lt;1/1/1990,"",IF(Main[[#This Row],[Class]]="C",WORKDAY(Main[[#This Row],[Tech Start Date]],19),IF(Main[[#This Row],[Class]]="B", WORKDAY(Main[[#This Row],[Tech Start Date]],12),IF(Main[[#This Row],[Class]]="A",WORKDAY(Main[[#This Row],[Tech Start Date]],4),""))))</f>
        <v/>
      </c>
      <c r="O1344" s="75" t="str">
        <f>IF(Main[[#This Row],[Tech Start Date]]&lt;1/1/1990,"",IF(Main[[#This Row],[Class]]="C",WORKDAY(Main[[#This Row],[Tech Start Date]],23),IF(Main[[#This Row],[Class]]="B", WORKDAY(Main[[#This Row],[Tech Start Date]],15),IF(Main[[#This Row],[Class]]="A",WORKDAY(Main[[#This Row],[Tech Start Date]],5),""))))</f>
        <v/>
      </c>
      <c r="P1344" s="75" t="str">
        <f>IF(Main[[#This Row],[Tech Start Date]]&lt;1/1/1990,"",IF(Main[[#This Row],[Class]]="C",WORKDAY(Main[[#This Row],[Tech Start Date]],28),IF(Main[[#This Row],[Class]]="B", WORKDAY(Main[[#This Row],[Tech Start Date]],19),IF(Main[[#This Row],[Class]]="A",WORKDAY(Main[[#This Row],[Tech Start Date]],9),""))))</f>
        <v/>
      </c>
      <c r="Q1344" s="89"/>
      <c r="R1344" s="121">
        <v>40840</v>
      </c>
      <c r="S1344" s="99" t="s">
        <v>6</v>
      </c>
      <c r="T1344" s="76" t="s">
        <v>4</v>
      </c>
      <c r="U1344" s="99" t="s">
        <v>29</v>
      </c>
      <c r="V1344" s="99" t="s">
        <v>1913</v>
      </c>
      <c r="W1344" s="99" t="s">
        <v>1921</v>
      </c>
      <c r="X1344" s="99" t="s">
        <v>50</v>
      </c>
      <c r="Y1344" s="73" t="s">
        <v>2953</v>
      </c>
      <c r="Z1344" s="73" t="s">
        <v>4</v>
      </c>
      <c r="AA1344" s="99" t="s">
        <v>2822</v>
      </c>
    </row>
    <row r="1345" spans="1:27" ht="17.25" customHeight="1">
      <c r="A1345" s="65" t="str">
        <f>IF(priority(Main[[#This Row],[Comments]])&lt;&gt;0, priority(Main[[#This Row],[Comments]]),"")</f>
        <v/>
      </c>
      <c r="B1345" s="60" t="s">
        <v>3547</v>
      </c>
      <c r="C1345" s="105" t="s">
        <v>4</v>
      </c>
      <c r="D1345" s="74" t="s">
        <v>3548</v>
      </c>
      <c r="E1345" s="89">
        <v>40945.679675925923</v>
      </c>
      <c r="F1345" s="89"/>
      <c r="G1345" s="65" t="str">
        <f>IF(stdProdLT(Main[[#This Row],[Comments]])=0.1,"N/A",IF(stdProdLT(Main[[#This Row],[Comments]])=0,"",TRIM(stdProdLT(Main[[#This Row],[Comments]]))))</f>
        <v/>
      </c>
      <c r="H1345" s="98" t="str">
        <f>IF(Main[[#This Row],[Std. Prod. Lead Time]]="N/A", "",IF(AND(Main[[#This Row],[In Stock Date]]&lt;&gt;"",Main[[#This Row],[Revised Due Date]]&lt;&gt;"",Main[[#This Row],[In Stock Date]]&lt;&gt;""),Main[[#This Row],[In Stock Date]]-Main[[#This Row],[Revised Due Date]],""))</f>
        <v/>
      </c>
      <c r="I1345" s="110" t="s">
        <v>4</v>
      </c>
      <c r="J1345" s="99" t="s">
        <v>4</v>
      </c>
      <c r="K1345" s="99" t="s">
        <v>4</v>
      </c>
      <c r="L1345" s="89"/>
      <c r="M1345" s="75" t="str">
        <f>IF(Main[[#This Row],[Tech Start Date]]&lt;1/1/1990,"",IF(Main[[#This Row],[Class]]="C",WORKDAY(Main[[#This Row],[Tech Start Date]],9),IF(Main[[#This Row],[Class]]="B", WORKDAY(Main[[#This Row],[Tech Start Date]],6),IF(Main[[#This Row],[Class]]="A",WORKDAY(Main[[#This Row],[Tech Start Date]],2),""))))</f>
        <v/>
      </c>
      <c r="N1345" s="75" t="str">
        <f>IF(Main[[#This Row],[Tech Start Date]]&lt;1/1/1990,"",IF(Main[[#This Row],[Class]]="C",WORKDAY(Main[[#This Row],[Tech Start Date]],19),IF(Main[[#This Row],[Class]]="B", WORKDAY(Main[[#This Row],[Tech Start Date]],12),IF(Main[[#This Row],[Class]]="A",WORKDAY(Main[[#This Row],[Tech Start Date]],4),""))))</f>
        <v/>
      </c>
      <c r="O1345" s="75" t="str">
        <f>IF(Main[[#This Row],[Tech Start Date]]&lt;1/1/1990,"",IF(Main[[#This Row],[Class]]="C",WORKDAY(Main[[#This Row],[Tech Start Date]],23),IF(Main[[#This Row],[Class]]="B", WORKDAY(Main[[#This Row],[Tech Start Date]],15),IF(Main[[#This Row],[Class]]="A",WORKDAY(Main[[#This Row],[Tech Start Date]],5),""))))</f>
        <v/>
      </c>
      <c r="P1345" s="75" t="str">
        <f>IF(Main[[#This Row],[Tech Start Date]]&lt;1/1/1990,"",IF(Main[[#This Row],[Class]]="C",WORKDAY(Main[[#This Row],[Tech Start Date]],28),IF(Main[[#This Row],[Class]]="B", WORKDAY(Main[[#This Row],[Tech Start Date]],19),IF(Main[[#This Row],[Class]]="A",WORKDAY(Main[[#This Row],[Tech Start Date]],9),""))))</f>
        <v/>
      </c>
      <c r="Q1345" s="89"/>
      <c r="R1345" s="121"/>
      <c r="S1345" s="99" t="s">
        <v>4</v>
      </c>
      <c r="T1345" s="76" t="s">
        <v>4</v>
      </c>
      <c r="U1345" s="99" t="s">
        <v>7</v>
      </c>
      <c r="V1345" s="99" t="s">
        <v>1913</v>
      </c>
      <c r="W1345" s="99" t="s">
        <v>4</v>
      </c>
      <c r="X1345" s="99" t="s">
        <v>3549</v>
      </c>
      <c r="Y1345" s="73" t="s">
        <v>3550</v>
      </c>
      <c r="Z1345" s="73" t="s">
        <v>4</v>
      </c>
      <c r="AA1345" s="99" t="s">
        <v>3549</v>
      </c>
    </row>
    <row r="1346" spans="1:27" ht="17.25" customHeight="1">
      <c r="A1346" s="65" t="str">
        <f>IF(priority(Main[[#This Row],[Comments]])&lt;&gt;0, priority(Main[[#This Row],[Comments]]),"")</f>
        <v/>
      </c>
      <c r="B1346" s="60" t="s">
        <v>3265</v>
      </c>
      <c r="C1346" s="105" t="s">
        <v>4</v>
      </c>
      <c r="D1346" s="74" t="s">
        <v>3741</v>
      </c>
      <c r="E1346" s="89">
        <v>40935.663275462961</v>
      </c>
      <c r="F1346" s="89"/>
      <c r="G1346" s="65" t="str">
        <f>IF(stdProdLT(Main[[#This Row],[Comments]])=0.1,"N/A",IF(stdProdLT(Main[[#This Row],[Comments]])=0,"",TRIM(stdProdLT(Main[[#This Row],[Comments]]))))</f>
        <v/>
      </c>
      <c r="H1346" s="98" t="str">
        <f>IF(Main[[#This Row],[Std. Prod. Lead Time]]="N/A", "",IF(AND(Main[[#This Row],[In Stock Date]]&lt;&gt;"",Main[[#This Row],[Revised Due Date]]&lt;&gt;"",Main[[#This Row],[In Stock Date]]&lt;&gt;""),Main[[#This Row],[In Stock Date]]-Main[[#This Row],[Revised Due Date]],""))</f>
        <v/>
      </c>
      <c r="I1346" s="110" t="s">
        <v>2047</v>
      </c>
      <c r="J1346" s="99" t="s">
        <v>28</v>
      </c>
      <c r="K1346" s="99" t="s">
        <v>1922</v>
      </c>
      <c r="L1346" s="89"/>
      <c r="M1346" s="75" t="str">
        <f>IF(Main[[#This Row],[Tech Start Date]]&lt;1/1/1990,"",IF(Main[[#This Row],[Class]]="C",WORKDAY(Main[[#This Row],[Tech Start Date]],9),IF(Main[[#This Row],[Class]]="B", WORKDAY(Main[[#This Row],[Tech Start Date]],6),IF(Main[[#This Row],[Class]]="A",WORKDAY(Main[[#This Row],[Tech Start Date]],2),""))))</f>
        <v/>
      </c>
      <c r="N1346" s="75" t="str">
        <f>IF(Main[[#This Row],[Tech Start Date]]&lt;1/1/1990,"",IF(Main[[#This Row],[Class]]="C",WORKDAY(Main[[#This Row],[Tech Start Date]],19),IF(Main[[#This Row],[Class]]="B", WORKDAY(Main[[#This Row],[Tech Start Date]],12),IF(Main[[#This Row],[Class]]="A",WORKDAY(Main[[#This Row],[Tech Start Date]],4),""))))</f>
        <v/>
      </c>
      <c r="O1346" s="75" t="str">
        <f>IF(Main[[#This Row],[Tech Start Date]]&lt;1/1/1990,"",IF(Main[[#This Row],[Class]]="C",WORKDAY(Main[[#This Row],[Tech Start Date]],23),IF(Main[[#This Row],[Class]]="B", WORKDAY(Main[[#This Row],[Tech Start Date]],15),IF(Main[[#This Row],[Class]]="A",WORKDAY(Main[[#This Row],[Tech Start Date]],5),""))))</f>
        <v/>
      </c>
      <c r="P1346" s="75" t="str">
        <f>IF(Main[[#This Row],[Tech Start Date]]&lt;1/1/1990,"",IF(Main[[#This Row],[Class]]="C",WORKDAY(Main[[#This Row],[Tech Start Date]],28),IF(Main[[#This Row],[Class]]="B", WORKDAY(Main[[#This Row],[Tech Start Date]],19),IF(Main[[#This Row],[Class]]="A",WORKDAY(Main[[#This Row],[Tech Start Date]],9),""))))</f>
        <v/>
      </c>
      <c r="Q1346" s="89">
        <v>41015</v>
      </c>
      <c r="R1346" s="121"/>
      <c r="S1346" s="99" t="s">
        <v>6</v>
      </c>
      <c r="T1346" s="76" t="s">
        <v>4</v>
      </c>
      <c r="U1346" s="99" t="s">
        <v>29</v>
      </c>
      <c r="V1346" s="99" t="s">
        <v>1916</v>
      </c>
      <c r="W1346" s="99" t="s">
        <v>1917</v>
      </c>
      <c r="X1346" s="99" t="s">
        <v>2835</v>
      </c>
      <c r="Y1346" s="73" t="s">
        <v>2965</v>
      </c>
      <c r="Z1346" s="73" t="s">
        <v>30</v>
      </c>
      <c r="AA1346" s="99" t="s">
        <v>2835</v>
      </c>
    </row>
    <row r="1347" spans="1:27" ht="17.25" customHeight="1">
      <c r="A1347" s="65" t="str">
        <f>IF(priority(Main[[#This Row],[Comments]])&lt;&gt;0, priority(Main[[#This Row],[Comments]]),"")</f>
        <v/>
      </c>
      <c r="B1347" s="60" t="s">
        <v>3527</v>
      </c>
      <c r="C1347" s="105" t="s">
        <v>53</v>
      </c>
      <c r="D1347" s="74" t="s">
        <v>3528</v>
      </c>
      <c r="E1347" s="89">
        <v>40960.929155092592</v>
      </c>
      <c r="F1347" s="89"/>
      <c r="G1347" s="65" t="str">
        <f>IF(stdProdLT(Main[[#This Row],[Comments]])=0.1,"N/A",IF(stdProdLT(Main[[#This Row],[Comments]])=0,"",TRIM(stdProdLT(Main[[#This Row],[Comments]]))))</f>
        <v>112</v>
      </c>
      <c r="H1347" s="98" t="str">
        <f>IF(Main[[#This Row],[Std. Prod. Lead Time]]="N/A", "",IF(AND(Main[[#This Row],[In Stock Date]]&lt;&gt;"",Main[[#This Row],[Revised Due Date]]&lt;&gt;"",Main[[#This Row],[In Stock Date]]&lt;&gt;""),Main[[#This Row],[In Stock Date]]-Main[[#This Row],[Revised Due Date]],""))</f>
        <v/>
      </c>
      <c r="I1347" s="110" t="s">
        <v>4</v>
      </c>
      <c r="J1347" s="99" t="s">
        <v>4</v>
      </c>
      <c r="K1347" s="99" t="s">
        <v>4</v>
      </c>
      <c r="L1347" s="89"/>
      <c r="M1347" s="75" t="str">
        <f>IF(Main[[#This Row],[Tech Start Date]]&lt;1/1/1990,"",IF(Main[[#This Row],[Class]]="C",WORKDAY(Main[[#This Row],[Tech Start Date]],9),IF(Main[[#This Row],[Class]]="B", WORKDAY(Main[[#This Row],[Tech Start Date]],6),IF(Main[[#This Row],[Class]]="A",WORKDAY(Main[[#This Row],[Tech Start Date]],2),""))))</f>
        <v/>
      </c>
      <c r="N1347" s="75" t="str">
        <f>IF(Main[[#This Row],[Tech Start Date]]&lt;1/1/1990,"",IF(Main[[#This Row],[Class]]="C",WORKDAY(Main[[#This Row],[Tech Start Date]],19),IF(Main[[#This Row],[Class]]="B", WORKDAY(Main[[#This Row],[Tech Start Date]],12),IF(Main[[#This Row],[Class]]="A",WORKDAY(Main[[#This Row],[Tech Start Date]],4),""))))</f>
        <v/>
      </c>
      <c r="O1347" s="75" t="str">
        <f>IF(Main[[#This Row],[Tech Start Date]]&lt;1/1/1990,"",IF(Main[[#This Row],[Class]]="C",WORKDAY(Main[[#This Row],[Tech Start Date]],23),IF(Main[[#This Row],[Class]]="B", WORKDAY(Main[[#This Row],[Tech Start Date]],15),IF(Main[[#This Row],[Class]]="A",WORKDAY(Main[[#This Row],[Tech Start Date]],5),""))))</f>
        <v/>
      </c>
      <c r="P1347" s="75" t="str">
        <f>IF(Main[[#This Row],[Tech Start Date]]&lt;1/1/1990,"",IF(Main[[#This Row],[Class]]="C",WORKDAY(Main[[#This Row],[Tech Start Date]],28),IF(Main[[#This Row],[Class]]="B", WORKDAY(Main[[#This Row],[Tech Start Date]],19),IF(Main[[#This Row],[Class]]="A",WORKDAY(Main[[#This Row],[Tech Start Date]],9),""))))</f>
        <v/>
      </c>
      <c r="Q1347" s="89">
        <v>40956</v>
      </c>
      <c r="R1347" s="121"/>
      <c r="S1347" s="99" t="s">
        <v>11</v>
      </c>
      <c r="T1347" s="76" t="s">
        <v>3742</v>
      </c>
      <c r="U1347" s="99" t="s">
        <v>694</v>
      </c>
      <c r="V1347" s="99" t="s">
        <v>1916</v>
      </c>
      <c r="W1347" s="99" t="s">
        <v>1915</v>
      </c>
      <c r="X1347" s="99" t="s">
        <v>3529</v>
      </c>
      <c r="Y1347" s="73" t="s">
        <v>4</v>
      </c>
      <c r="Z1347" s="73" t="s">
        <v>4</v>
      </c>
      <c r="AA1347" s="99" t="s">
        <v>3529</v>
      </c>
    </row>
    <row r="1348" spans="1:27" ht="17.25" customHeight="1">
      <c r="A1348" s="65" t="str">
        <f>IF(priority(Main[[#This Row],[Comments]])&lt;&gt;0, priority(Main[[#This Row],[Comments]]),"")</f>
        <v/>
      </c>
      <c r="B1348" s="60" t="s">
        <v>1604</v>
      </c>
      <c r="C1348" s="105" t="s">
        <v>4</v>
      </c>
      <c r="D1348" s="74" t="s">
        <v>3979</v>
      </c>
      <c r="E1348" s="89">
        <v>40666.673935185187</v>
      </c>
      <c r="F1348" s="89"/>
      <c r="G1348" s="65" t="str">
        <f>IF(stdProdLT(Main[[#This Row],[Comments]])=0.1,"N/A",IF(stdProdLT(Main[[#This Row],[Comments]])=0,"",TRIM(stdProdLT(Main[[#This Row],[Comments]]))))</f>
        <v/>
      </c>
      <c r="H1348" s="98" t="str">
        <f>IF(Main[[#This Row],[Std. Prod. Lead Time]]="N/A", "",IF(AND(Main[[#This Row],[In Stock Date]]&lt;&gt;"",Main[[#This Row],[Revised Due Date]]&lt;&gt;"",Main[[#This Row],[In Stock Date]]&lt;&gt;""),Main[[#This Row],[In Stock Date]]-Main[[#This Row],[Revised Due Date]],""))</f>
        <v/>
      </c>
      <c r="I1348" s="110" t="s">
        <v>2204</v>
      </c>
      <c r="J1348" s="99" t="s">
        <v>51</v>
      </c>
      <c r="K1348" s="99" t="s">
        <v>1922</v>
      </c>
      <c r="L1348" s="89"/>
      <c r="M1348" s="75" t="str">
        <f>IF(Main[[#This Row],[Tech Start Date]]&lt;1/1/1990,"",IF(Main[[#This Row],[Class]]="C",WORKDAY(Main[[#This Row],[Tech Start Date]],9),IF(Main[[#This Row],[Class]]="B", WORKDAY(Main[[#This Row],[Tech Start Date]],6),IF(Main[[#This Row],[Class]]="A",WORKDAY(Main[[#This Row],[Tech Start Date]],2),""))))</f>
        <v/>
      </c>
      <c r="N1348" s="75" t="str">
        <f>IF(Main[[#This Row],[Tech Start Date]]&lt;1/1/1990,"",IF(Main[[#This Row],[Class]]="C",WORKDAY(Main[[#This Row],[Tech Start Date]],19),IF(Main[[#This Row],[Class]]="B", WORKDAY(Main[[#This Row],[Tech Start Date]],12),IF(Main[[#This Row],[Class]]="A",WORKDAY(Main[[#This Row],[Tech Start Date]],4),""))))</f>
        <v/>
      </c>
      <c r="O1348" s="75" t="str">
        <f>IF(Main[[#This Row],[Tech Start Date]]&lt;1/1/1990,"",IF(Main[[#This Row],[Class]]="C",WORKDAY(Main[[#This Row],[Tech Start Date]],23),IF(Main[[#This Row],[Class]]="B", WORKDAY(Main[[#This Row],[Tech Start Date]],15),IF(Main[[#This Row],[Class]]="A",WORKDAY(Main[[#This Row],[Tech Start Date]],5),""))))</f>
        <v/>
      </c>
      <c r="P1348" s="75" t="str">
        <f>IF(Main[[#This Row],[Tech Start Date]]&lt;1/1/1990,"",IF(Main[[#This Row],[Class]]="C",WORKDAY(Main[[#This Row],[Tech Start Date]],28),IF(Main[[#This Row],[Class]]="B", WORKDAY(Main[[#This Row],[Tech Start Date]],19),IF(Main[[#This Row],[Class]]="A",WORKDAY(Main[[#This Row],[Tech Start Date]],9),""))))</f>
        <v/>
      </c>
      <c r="Q1348" s="89"/>
      <c r="R1348" s="121"/>
      <c r="S1348" s="99" t="s">
        <v>6</v>
      </c>
      <c r="T1348" s="76" t="s">
        <v>4</v>
      </c>
      <c r="U1348" s="99" t="s">
        <v>29</v>
      </c>
      <c r="V1348" s="99" t="s">
        <v>1916</v>
      </c>
      <c r="W1348" s="99" t="s">
        <v>1917</v>
      </c>
      <c r="X1348" s="99" t="s">
        <v>74</v>
      </c>
      <c r="Y1348" s="73" t="s">
        <v>3025</v>
      </c>
      <c r="Z1348" s="73" t="s">
        <v>415</v>
      </c>
      <c r="AA1348" s="99" t="s">
        <v>74</v>
      </c>
    </row>
    <row r="1349" spans="1:27" ht="17.25" customHeight="1">
      <c r="A1349" s="65" t="str">
        <f>IF(priority(Main[[#This Row],[Comments]])&lt;&gt;0, priority(Main[[#This Row],[Comments]]),"")</f>
        <v/>
      </c>
      <c r="B1349" s="60" t="s">
        <v>3363</v>
      </c>
      <c r="C1349" s="105" t="s">
        <v>4</v>
      </c>
      <c r="D1349" s="74" t="s">
        <v>3743</v>
      </c>
      <c r="E1349" s="89">
        <v>40940.228032407409</v>
      </c>
      <c r="F1349" s="89"/>
      <c r="G1349" s="65" t="str">
        <f>IF(stdProdLT(Main[[#This Row],[Comments]])=0.1,"N/A",IF(stdProdLT(Main[[#This Row],[Comments]])=0,"",TRIM(stdProdLT(Main[[#This Row],[Comments]]))))</f>
        <v/>
      </c>
      <c r="H1349" s="98" t="str">
        <f>IF(Main[[#This Row],[Std. Prod. Lead Time]]="N/A", "",IF(AND(Main[[#This Row],[In Stock Date]]&lt;&gt;"",Main[[#This Row],[Revised Due Date]]&lt;&gt;"",Main[[#This Row],[In Stock Date]]&lt;&gt;""),Main[[#This Row],[In Stock Date]]-Main[[#This Row],[Revised Due Date]],""))</f>
        <v/>
      </c>
      <c r="I1349" s="110" t="s">
        <v>69</v>
      </c>
      <c r="J1349" s="99" t="s">
        <v>70</v>
      </c>
      <c r="K1349" s="99" t="s">
        <v>4</v>
      </c>
      <c r="L1349" s="89"/>
      <c r="M1349" s="75" t="str">
        <f>IF(Main[[#This Row],[Tech Start Date]]&lt;1/1/1990,"",IF(Main[[#This Row],[Class]]="C",WORKDAY(Main[[#This Row],[Tech Start Date]],9),IF(Main[[#This Row],[Class]]="B", WORKDAY(Main[[#This Row],[Tech Start Date]],6),IF(Main[[#This Row],[Class]]="A",WORKDAY(Main[[#This Row],[Tech Start Date]],2),""))))</f>
        <v/>
      </c>
      <c r="N1349" s="75" t="str">
        <f>IF(Main[[#This Row],[Tech Start Date]]&lt;1/1/1990,"",IF(Main[[#This Row],[Class]]="C",WORKDAY(Main[[#This Row],[Tech Start Date]],19),IF(Main[[#This Row],[Class]]="B", WORKDAY(Main[[#This Row],[Tech Start Date]],12),IF(Main[[#This Row],[Class]]="A",WORKDAY(Main[[#This Row],[Tech Start Date]],4),""))))</f>
        <v/>
      </c>
      <c r="O1349" s="75" t="str">
        <f>IF(Main[[#This Row],[Tech Start Date]]&lt;1/1/1990,"",IF(Main[[#This Row],[Class]]="C",WORKDAY(Main[[#This Row],[Tech Start Date]],23),IF(Main[[#This Row],[Class]]="B", WORKDAY(Main[[#This Row],[Tech Start Date]],15),IF(Main[[#This Row],[Class]]="A",WORKDAY(Main[[#This Row],[Tech Start Date]],5),""))))</f>
        <v/>
      </c>
      <c r="P1349" s="75" t="str">
        <f>IF(Main[[#This Row],[Tech Start Date]]&lt;1/1/1990,"",IF(Main[[#This Row],[Class]]="C",WORKDAY(Main[[#This Row],[Tech Start Date]],28),IF(Main[[#This Row],[Class]]="B", WORKDAY(Main[[#This Row],[Tech Start Date]],19),IF(Main[[#This Row],[Class]]="A",WORKDAY(Main[[#This Row],[Tech Start Date]],9),""))))</f>
        <v/>
      </c>
      <c r="Q1349" s="89">
        <v>40969</v>
      </c>
      <c r="R1349" s="121"/>
      <c r="S1349" s="99" t="s">
        <v>6</v>
      </c>
      <c r="T1349" s="76" t="s">
        <v>4</v>
      </c>
      <c r="U1349" s="99" t="s">
        <v>29</v>
      </c>
      <c r="V1349" s="99" t="s">
        <v>1916</v>
      </c>
      <c r="W1349" s="99" t="s">
        <v>4</v>
      </c>
      <c r="X1349" s="99" t="s">
        <v>2816</v>
      </c>
      <c r="Y1349" s="73" t="s">
        <v>2932</v>
      </c>
      <c r="Z1349" s="73" t="s">
        <v>4</v>
      </c>
      <c r="AA1349" s="99" t="s">
        <v>2816</v>
      </c>
    </row>
    <row r="1350" spans="1:27" ht="17.25" customHeight="1">
      <c r="A1350" s="65" t="str">
        <f>IF(priority(Main[[#This Row],[Comments]])&lt;&gt;0, priority(Main[[#This Row],[Comments]]),"")</f>
        <v/>
      </c>
      <c r="B1350" s="60" t="s">
        <v>2590</v>
      </c>
      <c r="C1350" s="105" t="s">
        <v>4</v>
      </c>
      <c r="D1350" s="74" t="s">
        <v>2591</v>
      </c>
      <c r="E1350" s="89">
        <v>40868.429988425924</v>
      </c>
      <c r="F1350" s="89"/>
      <c r="G1350" s="65" t="str">
        <f>IF(stdProdLT(Main[[#This Row],[Comments]])=0.1,"N/A",IF(stdProdLT(Main[[#This Row],[Comments]])=0,"",TRIM(stdProdLT(Main[[#This Row],[Comments]]))))</f>
        <v/>
      </c>
      <c r="H1350" s="98" t="str">
        <f>IF(Main[[#This Row],[Std. Prod. Lead Time]]="N/A", "",IF(AND(Main[[#This Row],[In Stock Date]]&lt;&gt;"",Main[[#This Row],[Revised Due Date]]&lt;&gt;"",Main[[#This Row],[In Stock Date]]&lt;&gt;""),Main[[#This Row],[In Stock Date]]-Main[[#This Row],[Revised Due Date]],""))</f>
        <v/>
      </c>
      <c r="I1350" s="110" t="s">
        <v>239</v>
      </c>
      <c r="J1350" s="99" t="s">
        <v>21</v>
      </c>
      <c r="K1350" s="99" t="s">
        <v>4</v>
      </c>
      <c r="L1350" s="89"/>
      <c r="M1350" s="75" t="str">
        <f>IF(Main[[#This Row],[Tech Start Date]]&lt;1/1/1990,"",IF(Main[[#This Row],[Class]]="C",WORKDAY(Main[[#This Row],[Tech Start Date]],9),IF(Main[[#This Row],[Class]]="B", WORKDAY(Main[[#This Row],[Tech Start Date]],6),IF(Main[[#This Row],[Class]]="A",WORKDAY(Main[[#This Row],[Tech Start Date]],2),""))))</f>
        <v/>
      </c>
      <c r="N1350" s="75" t="str">
        <f>IF(Main[[#This Row],[Tech Start Date]]&lt;1/1/1990,"",IF(Main[[#This Row],[Class]]="C",WORKDAY(Main[[#This Row],[Tech Start Date]],19),IF(Main[[#This Row],[Class]]="B", WORKDAY(Main[[#This Row],[Tech Start Date]],12),IF(Main[[#This Row],[Class]]="A",WORKDAY(Main[[#This Row],[Tech Start Date]],4),""))))</f>
        <v/>
      </c>
      <c r="O1350" s="75" t="str">
        <f>IF(Main[[#This Row],[Tech Start Date]]&lt;1/1/1990,"",IF(Main[[#This Row],[Class]]="C",WORKDAY(Main[[#This Row],[Tech Start Date]],23),IF(Main[[#This Row],[Class]]="B", WORKDAY(Main[[#This Row],[Tech Start Date]],15),IF(Main[[#This Row],[Class]]="A",WORKDAY(Main[[#This Row],[Tech Start Date]],5),""))))</f>
        <v/>
      </c>
      <c r="P1350" s="75" t="str">
        <f>IF(Main[[#This Row],[Tech Start Date]]&lt;1/1/1990,"",IF(Main[[#This Row],[Class]]="C",WORKDAY(Main[[#This Row],[Tech Start Date]],28),IF(Main[[#This Row],[Class]]="B", WORKDAY(Main[[#This Row],[Tech Start Date]],19),IF(Main[[#This Row],[Class]]="A",WORKDAY(Main[[#This Row],[Tech Start Date]],9),""))))</f>
        <v/>
      </c>
      <c r="Q1350" s="89">
        <v>40877</v>
      </c>
      <c r="R1350" s="121"/>
      <c r="S1350" s="99" t="s">
        <v>6</v>
      </c>
      <c r="T1350" s="76" t="s">
        <v>4</v>
      </c>
      <c r="U1350" s="99" t="s">
        <v>29</v>
      </c>
      <c r="V1350" s="99" t="s">
        <v>1916</v>
      </c>
      <c r="W1350" s="99" t="s">
        <v>1917</v>
      </c>
      <c r="X1350" s="99" t="s">
        <v>239</v>
      </c>
      <c r="Y1350" s="73" t="s">
        <v>3134</v>
      </c>
      <c r="Z1350" s="73" t="s">
        <v>239</v>
      </c>
      <c r="AA1350" s="99" t="s">
        <v>239</v>
      </c>
    </row>
    <row r="1351" spans="1:27" ht="17.25" customHeight="1">
      <c r="A1351" s="65" t="str">
        <f>IF(priority(Main[[#This Row],[Comments]])&lt;&gt;0, priority(Main[[#This Row],[Comments]]),"")</f>
        <v/>
      </c>
      <c r="B1351" s="60" t="s">
        <v>2592</v>
      </c>
      <c r="C1351" s="105" t="s">
        <v>4</v>
      </c>
      <c r="D1351" s="74" t="s">
        <v>2784</v>
      </c>
      <c r="E1351" s="89">
        <v>40870.471666666665</v>
      </c>
      <c r="F1351" s="89"/>
      <c r="G1351" s="65" t="str">
        <f>IF(stdProdLT(Main[[#This Row],[Comments]])=0.1,"N/A",IF(stdProdLT(Main[[#This Row],[Comments]])=0,"",TRIM(stdProdLT(Main[[#This Row],[Comments]]))))</f>
        <v/>
      </c>
      <c r="H1351" s="98" t="str">
        <f>IF(Main[[#This Row],[Std. Prod. Lead Time]]="N/A", "",IF(AND(Main[[#This Row],[In Stock Date]]&lt;&gt;"",Main[[#This Row],[Revised Due Date]]&lt;&gt;"",Main[[#This Row],[In Stock Date]]&lt;&gt;""),Main[[#This Row],[In Stock Date]]-Main[[#This Row],[Revised Due Date]],""))</f>
        <v/>
      </c>
      <c r="I1351" s="110" t="s">
        <v>4</v>
      </c>
      <c r="J1351" s="99" t="s">
        <v>28</v>
      </c>
      <c r="K1351" s="99" t="s">
        <v>1922</v>
      </c>
      <c r="L1351" s="89"/>
      <c r="M1351" s="75" t="str">
        <f>IF(Main[[#This Row],[Tech Start Date]]&lt;1/1/1990,"",IF(Main[[#This Row],[Class]]="C",WORKDAY(Main[[#This Row],[Tech Start Date]],9),IF(Main[[#This Row],[Class]]="B", WORKDAY(Main[[#This Row],[Tech Start Date]],6),IF(Main[[#This Row],[Class]]="A",WORKDAY(Main[[#This Row],[Tech Start Date]],2),""))))</f>
        <v/>
      </c>
      <c r="N1351" s="75" t="str">
        <f>IF(Main[[#This Row],[Tech Start Date]]&lt;1/1/1990,"",IF(Main[[#This Row],[Class]]="C",WORKDAY(Main[[#This Row],[Tech Start Date]],19),IF(Main[[#This Row],[Class]]="B", WORKDAY(Main[[#This Row],[Tech Start Date]],12),IF(Main[[#This Row],[Class]]="A",WORKDAY(Main[[#This Row],[Tech Start Date]],4),""))))</f>
        <v/>
      </c>
      <c r="O1351" s="75" t="str">
        <f>IF(Main[[#This Row],[Tech Start Date]]&lt;1/1/1990,"",IF(Main[[#This Row],[Class]]="C",WORKDAY(Main[[#This Row],[Tech Start Date]],23),IF(Main[[#This Row],[Class]]="B", WORKDAY(Main[[#This Row],[Tech Start Date]],15),IF(Main[[#This Row],[Class]]="A",WORKDAY(Main[[#This Row],[Tech Start Date]],5),""))))</f>
        <v/>
      </c>
      <c r="P1351" s="75" t="str">
        <f>IF(Main[[#This Row],[Tech Start Date]]&lt;1/1/1990,"",IF(Main[[#This Row],[Class]]="C",WORKDAY(Main[[#This Row],[Tech Start Date]],28),IF(Main[[#This Row],[Class]]="B", WORKDAY(Main[[#This Row],[Tech Start Date]],19),IF(Main[[#This Row],[Class]]="A",WORKDAY(Main[[#This Row],[Tech Start Date]],9),""))))</f>
        <v/>
      </c>
      <c r="Q1351" s="89">
        <v>40905</v>
      </c>
      <c r="R1351" s="121"/>
      <c r="S1351" s="99" t="s">
        <v>6</v>
      </c>
      <c r="T1351" s="76" t="s">
        <v>4</v>
      </c>
      <c r="U1351" s="99" t="s">
        <v>29</v>
      </c>
      <c r="V1351" s="99" t="s">
        <v>1916</v>
      </c>
      <c r="W1351" s="99" t="s">
        <v>1917</v>
      </c>
      <c r="X1351" s="99" t="s">
        <v>2047</v>
      </c>
      <c r="Y1351" s="73" t="s">
        <v>3054</v>
      </c>
      <c r="Z1351" s="73" t="s">
        <v>30</v>
      </c>
      <c r="AA1351" s="99" t="s">
        <v>2889</v>
      </c>
    </row>
    <row r="1352" spans="1:27" ht="17.25" customHeight="1">
      <c r="A1352" s="65" t="str">
        <f>IF(priority(Main[[#This Row],[Comments]])&lt;&gt;0, priority(Main[[#This Row],[Comments]]),"")</f>
        <v/>
      </c>
      <c r="B1352" s="60" t="s">
        <v>1673</v>
      </c>
      <c r="C1352" s="105" t="s">
        <v>37</v>
      </c>
      <c r="D1352" s="74" t="s">
        <v>2593</v>
      </c>
      <c r="E1352" s="89">
        <v>40681.624918981484</v>
      </c>
      <c r="F1352" s="89"/>
      <c r="G1352" s="65" t="str">
        <f>IF(stdProdLT(Main[[#This Row],[Comments]])=0.1,"N/A",IF(stdProdLT(Main[[#This Row],[Comments]])=0,"",TRIM(stdProdLT(Main[[#This Row],[Comments]]))))</f>
        <v/>
      </c>
      <c r="H1352" s="98" t="str">
        <f>IF(Main[[#This Row],[Std. Prod. Lead Time]]="N/A", "",IF(AND(Main[[#This Row],[In Stock Date]]&lt;&gt;"",Main[[#This Row],[Revised Due Date]]&lt;&gt;"",Main[[#This Row],[In Stock Date]]&lt;&gt;""),Main[[#This Row],[In Stock Date]]-Main[[#This Row],[Revised Due Date]],""))</f>
        <v/>
      </c>
      <c r="I1352" s="110" t="s">
        <v>4</v>
      </c>
      <c r="J1352" s="99" t="s">
        <v>4</v>
      </c>
      <c r="K1352" s="99" t="s">
        <v>4</v>
      </c>
      <c r="L1352" s="89"/>
      <c r="M1352" s="75" t="str">
        <f>IF(Main[[#This Row],[Tech Start Date]]&lt;1/1/1990,"",IF(Main[[#This Row],[Class]]="C",WORKDAY(Main[[#This Row],[Tech Start Date]],9),IF(Main[[#This Row],[Class]]="B", WORKDAY(Main[[#This Row],[Tech Start Date]],6),IF(Main[[#This Row],[Class]]="A",WORKDAY(Main[[#This Row],[Tech Start Date]],2),""))))</f>
        <v/>
      </c>
      <c r="N1352" s="75" t="str">
        <f>IF(Main[[#This Row],[Tech Start Date]]&lt;1/1/1990,"",IF(Main[[#This Row],[Class]]="C",WORKDAY(Main[[#This Row],[Tech Start Date]],19),IF(Main[[#This Row],[Class]]="B", WORKDAY(Main[[#This Row],[Tech Start Date]],12),IF(Main[[#This Row],[Class]]="A",WORKDAY(Main[[#This Row],[Tech Start Date]],4),""))))</f>
        <v/>
      </c>
      <c r="O1352" s="75" t="str">
        <f>IF(Main[[#This Row],[Tech Start Date]]&lt;1/1/1990,"",IF(Main[[#This Row],[Class]]="C",WORKDAY(Main[[#This Row],[Tech Start Date]],23),IF(Main[[#This Row],[Class]]="B", WORKDAY(Main[[#This Row],[Tech Start Date]],15),IF(Main[[#This Row],[Class]]="A",WORKDAY(Main[[#This Row],[Tech Start Date]],5),""))))</f>
        <v/>
      </c>
      <c r="P1352" s="75" t="str">
        <f>IF(Main[[#This Row],[Tech Start Date]]&lt;1/1/1990,"",IF(Main[[#This Row],[Class]]="C",WORKDAY(Main[[#This Row],[Tech Start Date]],28),IF(Main[[#This Row],[Class]]="B", WORKDAY(Main[[#This Row],[Tech Start Date]],19),IF(Main[[#This Row],[Class]]="A",WORKDAY(Main[[#This Row],[Tech Start Date]],9),""))))</f>
        <v/>
      </c>
      <c r="Q1352" s="89"/>
      <c r="R1352" s="121"/>
      <c r="S1352" s="99" t="s">
        <v>6</v>
      </c>
      <c r="T1352" s="76" t="s">
        <v>4</v>
      </c>
      <c r="U1352" s="99" t="s">
        <v>534</v>
      </c>
      <c r="V1352" s="99" t="s">
        <v>1913</v>
      </c>
      <c r="W1352" s="99" t="s">
        <v>1924</v>
      </c>
      <c r="X1352" s="99" t="s">
        <v>970</v>
      </c>
      <c r="Y1352" s="73" t="s">
        <v>3091</v>
      </c>
      <c r="Z1352" s="73" t="s">
        <v>4</v>
      </c>
      <c r="AA1352" s="99" t="s">
        <v>970</v>
      </c>
    </row>
    <row r="1353" spans="1:27" ht="17.25" customHeight="1">
      <c r="A1353" s="65" t="str">
        <f>IF(priority(Main[[#This Row],[Comments]])&lt;&gt;0, priority(Main[[#This Row],[Comments]]),"")</f>
        <v/>
      </c>
      <c r="B1353" s="60" t="s">
        <v>2691</v>
      </c>
      <c r="C1353" s="105" t="s">
        <v>4</v>
      </c>
      <c r="D1353" s="74" t="s">
        <v>2692</v>
      </c>
      <c r="E1353" s="89">
        <v>40900.141886574071</v>
      </c>
      <c r="F1353" s="89"/>
      <c r="G1353" s="65" t="str">
        <f>IF(stdProdLT(Main[[#This Row],[Comments]])=0.1,"N/A",IF(stdProdLT(Main[[#This Row],[Comments]])=0,"",TRIM(stdProdLT(Main[[#This Row],[Comments]]))))</f>
        <v/>
      </c>
      <c r="H1353" s="98" t="str">
        <f>IF(Main[[#This Row],[Std. Prod. Lead Time]]="N/A", "",IF(AND(Main[[#This Row],[In Stock Date]]&lt;&gt;"",Main[[#This Row],[Revised Due Date]]&lt;&gt;"",Main[[#This Row],[In Stock Date]]&lt;&gt;""),Main[[#This Row],[In Stock Date]]-Main[[#This Row],[Revised Due Date]],""))</f>
        <v/>
      </c>
      <c r="I1353" s="110" t="s">
        <v>69</v>
      </c>
      <c r="J1353" s="99" t="s">
        <v>28</v>
      </c>
      <c r="K1353" s="99" t="s">
        <v>1922</v>
      </c>
      <c r="L1353" s="89"/>
      <c r="M1353" s="75" t="str">
        <f>IF(Main[[#This Row],[Tech Start Date]]&lt;1/1/1990,"",IF(Main[[#This Row],[Class]]="C",WORKDAY(Main[[#This Row],[Tech Start Date]],9),IF(Main[[#This Row],[Class]]="B", WORKDAY(Main[[#This Row],[Tech Start Date]],6),IF(Main[[#This Row],[Class]]="A",WORKDAY(Main[[#This Row],[Tech Start Date]],2),""))))</f>
        <v/>
      </c>
      <c r="N1353" s="75" t="str">
        <f>IF(Main[[#This Row],[Tech Start Date]]&lt;1/1/1990,"",IF(Main[[#This Row],[Class]]="C",WORKDAY(Main[[#This Row],[Tech Start Date]],19),IF(Main[[#This Row],[Class]]="B", WORKDAY(Main[[#This Row],[Tech Start Date]],12),IF(Main[[#This Row],[Class]]="A",WORKDAY(Main[[#This Row],[Tech Start Date]],4),""))))</f>
        <v/>
      </c>
      <c r="O1353" s="75" t="str">
        <f>IF(Main[[#This Row],[Tech Start Date]]&lt;1/1/1990,"",IF(Main[[#This Row],[Class]]="C",WORKDAY(Main[[#This Row],[Tech Start Date]],23),IF(Main[[#This Row],[Class]]="B", WORKDAY(Main[[#This Row],[Tech Start Date]],15),IF(Main[[#This Row],[Class]]="A",WORKDAY(Main[[#This Row],[Tech Start Date]],5),""))))</f>
        <v/>
      </c>
      <c r="P1353" s="75" t="str">
        <f>IF(Main[[#This Row],[Tech Start Date]]&lt;1/1/1990,"",IF(Main[[#This Row],[Class]]="C",WORKDAY(Main[[#This Row],[Tech Start Date]],28),IF(Main[[#This Row],[Class]]="B", WORKDAY(Main[[#This Row],[Tech Start Date]],19),IF(Main[[#This Row],[Class]]="A",WORKDAY(Main[[#This Row],[Tech Start Date]],9),""))))</f>
        <v/>
      </c>
      <c r="Q1353" s="89">
        <v>40931</v>
      </c>
      <c r="R1353" s="121"/>
      <c r="S1353" s="99" t="s">
        <v>6</v>
      </c>
      <c r="T1353" s="76" t="s">
        <v>4</v>
      </c>
      <c r="U1353" s="99" t="s">
        <v>29</v>
      </c>
      <c r="V1353" s="99" t="s">
        <v>1916</v>
      </c>
      <c r="W1353" s="99" t="s">
        <v>1917</v>
      </c>
      <c r="X1353" s="99" t="s">
        <v>2816</v>
      </c>
      <c r="Y1353" s="73" t="s">
        <v>2932</v>
      </c>
      <c r="Z1353" s="73" t="s">
        <v>30</v>
      </c>
      <c r="AA1353" s="99" t="s">
        <v>2816</v>
      </c>
    </row>
    <row r="1354" spans="1:27" ht="17.25" customHeight="1">
      <c r="A1354" s="65" t="str">
        <f>IF(priority(Main[[#This Row],[Comments]])&lt;&gt;0, priority(Main[[#This Row],[Comments]]),"")</f>
        <v/>
      </c>
      <c r="B1354" s="60" t="s">
        <v>3296</v>
      </c>
      <c r="C1354" s="105" t="s">
        <v>4</v>
      </c>
      <c r="D1354" s="74" t="s">
        <v>3297</v>
      </c>
      <c r="E1354" s="89">
        <v>40933.268750000003</v>
      </c>
      <c r="F1354" s="89"/>
      <c r="G1354" s="65" t="str">
        <f>IF(stdProdLT(Main[[#This Row],[Comments]])=0.1,"N/A",IF(stdProdLT(Main[[#This Row],[Comments]])=0,"",TRIM(stdProdLT(Main[[#This Row],[Comments]]))))</f>
        <v/>
      </c>
      <c r="H1354" s="98" t="str">
        <f>IF(Main[[#This Row],[Std. Prod. Lead Time]]="N/A", "",IF(AND(Main[[#This Row],[In Stock Date]]&lt;&gt;"",Main[[#This Row],[Revised Due Date]]&lt;&gt;"",Main[[#This Row],[In Stock Date]]&lt;&gt;""),Main[[#This Row],[In Stock Date]]-Main[[#This Row],[Revised Due Date]],""))</f>
        <v/>
      </c>
      <c r="I1354" s="110" t="s">
        <v>4</v>
      </c>
      <c r="J1354" s="99" t="s">
        <v>4</v>
      </c>
      <c r="K1354" s="100" t="s">
        <v>4</v>
      </c>
      <c r="L1354" s="89"/>
      <c r="M1354" s="75" t="str">
        <f>IF(Main[[#This Row],[Tech Start Date]]&lt;1/1/1990,"",IF(Main[[#This Row],[Class]]="C",WORKDAY(Main[[#This Row],[Tech Start Date]],9),IF(Main[[#This Row],[Class]]="B", WORKDAY(Main[[#This Row],[Tech Start Date]],6),IF(Main[[#This Row],[Class]]="A",WORKDAY(Main[[#This Row],[Tech Start Date]],2),""))))</f>
        <v/>
      </c>
      <c r="N1354" s="75" t="str">
        <f>IF(Main[[#This Row],[Tech Start Date]]&lt;1/1/1990,"",IF(Main[[#This Row],[Class]]="C",WORKDAY(Main[[#This Row],[Tech Start Date]],19),IF(Main[[#This Row],[Class]]="B", WORKDAY(Main[[#This Row],[Tech Start Date]],12),IF(Main[[#This Row],[Class]]="A",WORKDAY(Main[[#This Row],[Tech Start Date]],4),""))))</f>
        <v/>
      </c>
      <c r="O1354" s="75" t="str">
        <f>IF(Main[[#This Row],[Tech Start Date]]&lt;1/1/1990,"",IF(Main[[#This Row],[Class]]="C",WORKDAY(Main[[#This Row],[Tech Start Date]],23),IF(Main[[#This Row],[Class]]="B", WORKDAY(Main[[#This Row],[Tech Start Date]],15),IF(Main[[#This Row],[Class]]="A",WORKDAY(Main[[#This Row],[Tech Start Date]],5),""))))</f>
        <v/>
      </c>
      <c r="P1354" s="75" t="str">
        <f>IF(Main[[#This Row],[Tech Start Date]]&lt;1/1/1990,"",IF(Main[[#This Row],[Class]]="C",WORKDAY(Main[[#This Row],[Tech Start Date]],28),IF(Main[[#This Row],[Class]]="B", WORKDAY(Main[[#This Row],[Tech Start Date]],19),IF(Main[[#This Row],[Class]]="A",WORKDAY(Main[[#This Row],[Tech Start Date]],9),""))))</f>
        <v/>
      </c>
      <c r="Q1354" s="89">
        <v>40963</v>
      </c>
      <c r="R1354" s="121"/>
      <c r="S1354" s="99" t="s">
        <v>6</v>
      </c>
      <c r="T1354" s="76" t="s">
        <v>4</v>
      </c>
      <c r="U1354" s="99" t="s">
        <v>7</v>
      </c>
      <c r="V1354" s="99" t="s">
        <v>1913</v>
      </c>
      <c r="W1354" s="99" t="s">
        <v>4</v>
      </c>
      <c r="X1354" s="99" t="s">
        <v>2816</v>
      </c>
      <c r="Y1354" s="73" t="s">
        <v>2932</v>
      </c>
      <c r="Z1354" s="73" t="s">
        <v>4</v>
      </c>
      <c r="AA1354" s="99" t="s">
        <v>2816</v>
      </c>
    </row>
    <row r="1355" spans="1:27" ht="17.25" customHeight="1">
      <c r="A1355" s="65" t="str">
        <f>IF(priority(Main[[#This Row],[Comments]])&lt;&gt;0, priority(Main[[#This Row],[Comments]]),"")</f>
        <v/>
      </c>
      <c r="B1355" s="60" t="s">
        <v>2491</v>
      </c>
      <c r="C1355" s="105" t="s">
        <v>4</v>
      </c>
      <c r="D1355" s="74" t="s">
        <v>2492</v>
      </c>
      <c r="E1355" s="89">
        <v>40855.421446759261</v>
      </c>
      <c r="F1355" s="89"/>
      <c r="G1355" s="65" t="str">
        <f>IF(stdProdLT(Main[[#This Row],[Comments]])=0.1,"N/A",IF(stdProdLT(Main[[#This Row],[Comments]])=0,"",TRIM(stdProdLT(Main[[#This Row],[Comments]]))))</f>
        <v/>
      </c>
      <c r="H1355" s="98" t="str">
        <f>IF(Main[[#This Row],[Std. Prod. Lead Time]]="N/A", "",IF(AND(Main[[#This Row],[In Stock Date]]&lt;&gt;"",Main[[#This Row],[Revised Due Date]]&lt;&gt;"",Main[[#This Row],[In Stock Date]]&lt;&gt;""),Main[[#This Row],[In Stock Date]]-Main[[#This Row],[Revised Due Date]],""))</f>
        <v/>
      </c>
      <c r="I1355" s="110" t="s">
        <v>69</v>
      </c>
      <c r="J1355" s="99" t="s">
        <v>70</v>
      </c>
      <c r="K1355" s="99" t="s">
        <v>1925</v>
      </c>
      <c r="L1355" s="89"/>
      <c r="M1355" s="75" t="str">
        <f>IF(Main[[#This Row],[Tech Start Date]]&lt;1/1/1990,"",IF(Main[[#This Row],[Class]]="C",WORKDAY(Main[[#This Row],[Tech Start Date]],9),IF(Main[[#This Row],[Class]]="B", WORKDAY(Main[[#This Row],[Tech Start Date]],6),IF(Main[[#This Row],[Class]]="A",WORKDAY(Main[[#This Row],[Tech Start Date]],2),""))))</f>
        <v/>
      </c>
      <c r="N1355" s="75" t="str">
        <f>IF(Main[[#This Row],[Tech Start Date]]&lt;1/1/1990,"",IF(Main[[#This Row],[Class]]="C",WORKDAY(Main[[#This Row],[Tech Start Date]],19),IF(Main[[#This Row],[Class]]="B", WORKDAY(Main[[#This Row],[Tech Start Date]],12),IF(Main[[#This Row],[Class]]="A",WORKDAY(Main[[#This Row],[Tech Start Date]],4),""))))</f>
        <v/>
      </c>
      <c r="O1355" s="75" t="str">
        <f>IF(Main[[#This Row],[Tech Start Date]]&lt;1/1/1990,"",IF(Main[[#This Row],[Class]]="C",WORKDAY(Main[[#This Row],[Tech Start Date]],23),IF(Main[[#This Row],[Class]]="B", WORKDAY(Main[[#This Row],[Tech Start Date]],15),IF(Main[[#This Row],[Class]]="A",WORKDAY(Main[[#This Row],[Tech Start Date]],5),""))))</f>
        <v/>
      </c>
      <c r="P1355" s="75" t="str">
        <f>IF(Main[[#This Row],[Tech Start Date]]&lt;1/1/1990,"",IF(Main[[#This Row],[Class]]="C",WORKDAY(Main[[#This Row],[Tech Start Date]],28),IF(Main[[#This Row],[Class]]="B", WORKDAY(Main[[#This Row],[Tech Start Date]],19),IF(Main[[#This Row],[Class]]="A",WORKDAY(Main[[#This Row],[Tech Start Date]],9),""))))</f>
        <v/>
      </c>
      <c r="Q1355" s="89">
        <v>40907</v>
      </c>
      <c r="R1355" s="121"/>
      <c r="S1355" s="99" t="s">
        <v>17</v>
      </c>
      <c r="T1355" s="76" t="s">
        <v>4</v>
      </c>
      <c r="U1355" s="99" t="s">
        <v>29</v>
      </c>
      <c r="V1355" s="99" t="s">
        <v>1923</v>
      </c>
      <c r="W1355" s="99" t="s">
        <v>1915</v>
      </c>
      <c r="X1355" s="99" t="s">
        <v>2860</v>
      </c>
      <c r="Y1355" s="73" t="s">
        <v>2994</v>
      </c>
      <c r="Z1355" s="73" t="s">
        <v>30</v>
      </c>
      <c r="AA1355" s="99" t="s">
        <v>2860</v>
      </c>
    </row>
    <row r="1356" spans="1:27" ht="17.25" customHeight="1">
      <c r="A1356" s="65" t="str">
        <f>IF(priority(Main[[#This Row],[Comments]])&lt;&gt;0, priority(Main[[#This Row],[Comments]]),"")</f>
        <v/>
      </c>
      <c r="B1356" s="60" t="s">
        <v>3215</v>
      </c>
      <c r="C1356" s="105" t="s">
        <v>4</v>
      </c>
      <c r="D1356" s="74" t="s">
        <v>3747</v>
      </c>
      <c r="E1356" s="89">
        <v>40924.344918981478</v>
      </c>
      <c r="F1356" s="89"/>
      <c r="G1356" s="65" t="str">
        <f>IF(stdProdLT(Main[[#This Row],[Comments]])=0.1,"N/A",IF(stdProdLT(Main[[#This Row],[Comments]])=0,"",TRIM(stdProdLT(Main[[#This Row],[Comments]]))))</f>
        <v/>
      </c>
      <c r="H1356" s="98" t="str">
        <f>IF(Main[[#This Row],[Std. Prod. Lead Time]]="N/A", "",IF(AND(Main[[#This Row],[In Stock Date]]&lt;&gt;"",Main[[#This Row],[Revised Due Date]]&lt;&gt;"",Main[[#This Row],[In Stock Date]]&lt;&gt;""),Main[[#This Row],[In Stock Date]]-Main[[#This Row],[Revised Due Date]],""))</f>
        <v/>
      </c>
      <c r="I1356" s="110" t="s">
        <v>69</v>
      </c>
      <c r="J1356" s="99" t="s">
        <v>70</v>
      </c>
      <c r="K1356" s="99" t="s">
        <v>1922</v>
      </c>
      <c r="L1356" s="89"/>
      <c r="M1356" s="75" t="str">
        <f>IF(Main[[#This Row],[Tech Start Date]]&lt;1/1/1990,"",IF(Main[[#This Row],[Class]]="C",WORKDAY(Main[[#This Row],[Tech Start Date]],9),IF(Main[[#This Row],[Class]]="B", WORKDAY(Main[[#This Row],[Tech Start Date]],6),IF(Main[[#This Row],[Class]]="A",WORKDAY(Main[[#This Row],[Tech Start Date]],2),""))))</f>
        <v/>
      </c>
      <c r="N1356" s="75" t="str">
        <f>IF(Main[[#This Row],[Tech Start Date]]&lt;1/1/1990,"",IF(Main[[#This Row],[Class]]="C",WORKDAY(Main[[#This Row],[Tech Start Date]],19),IF(Main[[#This Row],[Class]]="B", WORKDAY(Main[[#This Row],[Tech Start Date]],12),IF(Main[[#This Row],[Class]]="A",WORKDAY(Main[[#This Row],[Tech Start Date]],4),""))))</f>
        <v/>
      </c>
      <c r="O1356" s="75" t="str">
        <f>IF(Main[[#This Row],[Tech Start Date]]&lt;1/1/1990,"",IF(Main[[#This Row],[Class]]="C",WORKDAY(Main[[#This Row],[Tech Start Date]],23),IF(Main[[#This Row],[Class]]="B", WORKDAY(Main[[#This Row],[Tech Start Date]],15),IF(Main[[#This Row],[Class]]="A",WORKDAY(Main[[#This Row],[Tech Start Date]],5),""))))</f>
        <v/>
      </c>
      <c r="P1356" s="75" t="str">
        <f>IF(Main[[#This Row],[Tech Start Date]]&lt;1/1/1990,"",IF(Main[[#This Row],[Class]]="C",WORKDAY(Main[[#This Row],[Tech Start Date]],28),IF(Main[[#This Row],[Class]]="B", WORKDAY(Main[[#This Row],[Tech Start Date]],19),IF(Main[[#This Row],[Class]]="A",WORKDAY(Main[[#This Row],[Tech Start Date]],9),""))))</f>
        <v/>
      </c>
      <c r="Q1356" s="89">
        <v>40952</v>
      </c>
      <c r="R1356" s="121"/>
      <c r="S1356" s="99" t="s">
        <v>6</v>
      </c>
      <c r="T1356" s="76" t="s">
        <v>4</v>
      </c>
      <c r="U1356" s="99" t="s">
        <v>29</v>
      </c>
      <c r="V1356" s="99" t="s">
        <v>1916</v>
      </c>
      <c r="W1356" s="99" t="s">
        <v>1917</v>
      </c>
      <c r="X1356" s="99" t="s">
        <v>2816</v>
      </c>
      <c r="Y1356" s="73" t="s">
        <v>2932</v>
      </c>
      <c r="Z1356" s="73" t="s">
        <v>30</v>
      </c>
      <c r="AA1356" s="99" t="s">
        <v>2816</v>
      </c>
    </row>
    <row r="1357" spans="1:27" ht="17.25" customHeight="1">
      <c r="A1357" s="65" t="str">
        <f>IF(priority(Main[[#This Row],[Comments]])&lt;&gt;0, priority(Main[[#This Row],[Comments]]),"")</f>
        <v/>
      </c>
      <c r="B1357" s="60" t="s">
        <v>3292</v>
      </c>
      <c r="C1357" s="105" t="s">
        <v>4</v>
      </c>
      <c r="D1357" s="74" t="s">
        <v>3748</v>
      </c>
      <c r="E1357" s="89">
        <v>40933.494502314818</v>
      </c>
      <c r="F1357" s="89"/>
      <c r="G1357" s="65" t="str">
        <f>IF(stdProdLT(Main[[#This Row],[Comments]])=0.1,"N/A",IF(stdProdLT(Main[[#This Row],[Comments]])=0,"",TRIM(stdProdLT(Main[[#This Row],[Comments]]))))</f>
        <v/>
      </c>
      <c r="H1357" s="98" t="str">
        <f>IF(Main[[#This Row],[Std. Prod. Lead Time]]="N/A", "",IF(AND(Main[[#This Row],[In Stock Date]]&lt;&gt;"",Main[[#This Row],[Revised Due Date]]&lt;&gt;"",Main[[#This Row],[In Stock Date]]&lt;&gt;""),Main[[#This Row],[In Stock Date]]-Main[[#This Row],[Revised Due Date]],""))</f>
        <v/>
      </c>
      <c r="I1357" s="110" t="s">
        <v>69</v>
      </c>
      <c r="J1357" s="99" t="s">
        <v>70</v>
      </c>
      <c r="K1357" s="99" t="s">
        <v>1922</v>
      </c>
      <c r="L1357" s="89"/>
      <c r="M1357" s="75" t="str">
        <f>IF(Main[[#This Row],[Tech Start Date]]&lt;1/1/1990,"",IF(Main[[#This Row],[Class]]="C",WORKDAY(Main[[#This Row],[Tech Start Date]],9),IF(Main[[#This Row],[Class]]="B", WORKDAY(Main[[#This Row],[Tech Start Date]],6),IF(Main[[#This Row],[Class]]="A",WORKDAY(Main[[#This Row],[Tech Start Date]],2),""))))</f>
        <v/>
      </c>
      <c r="N1357" s="75" t="str">
        <f>IF(Main[[#This Row],[Tech Start Date]]&lt;1/1/1990,"",IF(Main[[#This Row],[Class]]="C",WORKDAY(Main[[#This Row],[Tech Start Date]],19),IF(Main[[#This Row],[Class]]="B", WORKDAY(Main[[#This Row],[Tech Start Date]],12),IF(Main[[#This Row],[Class]]="A",WORKDAY(Main[[#This Row],[Tech Start Date]],4),""))))</f>
        <v/>
      </c>
      <c r="O1357" s="75" t="str">
        <f>IF(Main[[#This Row],[Tech Start Date]]&lt;1/1/1990,"",IF(Main[[#This Row],[Class]]="C",WORKDAY(Main[[#This Row],[Tech Start Date]],23),IF(Main[[#This Row],[Class]]="B", WORKDAY(Main[[#This Row],[Tech Start Date]],15),IF(Main[[#This Row],[Class]]="A",WORKDAY(Main[[#This Row],[Tech Start Date]],5),""))))</f>
        <v/>
      </c>
      <c r="P1357" s="75" t="str">
        <f>IF(Main[[#This Row],[Tech Start Date]]&lt;1/1/1990,"",IF(Main[[#This Row],[Class]]="C",WORKDAY(Main[[#This Row],[Tech Start Date]],28),IF(Main[[#This Row],[Class]]="B", WORKDAY(Main[[#This Row],[Tech Start Date]],19),IF(Main[[#This Row],[Class]]="A",WORKDAY(Main[[#This Row],[Tech Start Date]],9),""))))</f>
        <v/>
      </c>
      <c r="Q1357" s="89">
        <v>40968</v>
      </c>
      <c r="R1357" s="121"/>
      <c r="S1357" s="99" t="s">
        <v>6</v>
      </c>
      <c r="T1357" s="76" t="s">
        <v>4</v>
      </c>
      <c r="U1357" s="99" t="s">
        <v>29</v>
      </c>
      <c r="V1357" s="99" t="s">
        <v>1916</v>
      </c>
      <c r="W1357" s="99" t="s">
        <v>1917</v>
      </c>
      <c r="X1357" s="99" t="s">
        <v>2812</v>
      </c>
      <c r="Y1357" s="73" t="s">
        <v>2923</v>
      </c>
      <c r="Z1357" s="73" t="s">
        <v>30</v>
      </c>
      <c r="AA1357" s="99" t="s">
        <v>2812</v>
      </c>
    </row>
    <row r="1358" spans="1:27" ht="17.25" customHeight="1">
      <c r="A1358" s="65" t="str">
        <f>IF(priority(Main[[#This Row],[Comments]])&lt;&gt;0, priority(Main[[#This Row],[Comments]]),"")</f>
        <v/>
      </c>
      <c r="B1358" s="60" t="s">
        <v>3566</v>
      </c>
      <c r="C1358" s="105" t="s">
        <v>4</v>
      </c>
      <c r="D1358" s="74" t="s">
        <v>3567</v>
      </c>
      <c r="E1358" s="89">
        <v>40952.380486111113</v>
      </c>
      <c r="F1358" s="89"/>
      <c r="G1358" s="65" t="str">
        <f>IF(stdProdLT(Main[[#This Row],[Comments]])=0.1,"N/A",IF(stdProdLT(Main[[#This Row],[Comments]])=0,"",TRIM(stdProdLT(Main[[#This Row],[Comments]]))))</f>
        <v/>
      </c>
      <c r="H1358" s="98" t="str">
        <f>IF(Main[[#This Row],[Std. Prod. Lead Time]]="N/A", "",IF(AND(Main[[#This Row],[In Stock Date]]&lt;&gt;"",Main[[#This Row],[Revised Due Date]]&lt;&gt;"",Main[[#This Row],[In Stock Date]]&lt;&gt;""),Main[[#This Row],[In Stock Date]]-Main[[#This Row],[Revised Due Date]],""))</f>
        <v/>
      </c>
      <c r="I1358" s="110" t="s">
        <v>4</v>
      </c>
      <c r="J1358" s="99" t="s">
        <v>4</v>
      </c>
      <c r="K1358" s="99" t="s">
        <v>4</v>
      </c>
      <c r="L1358" s="89"/>
      <c r="M1358" s="75" t="str">
        <f>IF(Main[[#This Row],[Tech Start Date]]&lt;1/1/1990,"",IF(Main[[#This Row],[Class]]="C",WORKDAY(Main[[#This Row],[Tech Start Date]],9),IF(Main[[#This Row],[Class]]="B", WORKDAY(Main[[#This Row],[Tech Start Date]],6),IF(Main[[#This Row],[Class]]="A",WORKDAY(Main[[#This Row],[Tech Start Date]],2),""))))</f>
        <v/>
      </c>
      <c r="N1358" s="75" t="str">
        <f>IF(Main[[#This Row],[Tech Start Date]]&lt;1/1/1990,"",IF(Main[[#This Row],[Class]]="C",WORKDAY(Main[[#This Row],[Tech Start Date]],19),IF(Main[[#This Row],[Class]]="B", WORKDAY(Main[[#This Row],[Tech Start Date]],12),IF(Main[[#This Row],[Class]]="A",WORKDAY(Main[[#This Row],[Tech Start Date]],4),""))))</f>
        <v/>
      </c>
      <c r="O1358" s="75" t="str">
        <f>IF(Main[[#This Row],[Tech Start Date]]&lt;1/1/1990,"",IF(Main[[#This Row],[Class]]="C",WORKDAY(Main[[#This Row],[Tech Start Date]],23),IF(Main[[#This Row],[Class]]="B", WORKDAY(Main[[#This Row],[Tech Start Date]],15),IF(Main[[#This Row],[Class]]="A",WORKDAY(Main[[#This Row],[Tech Start Date]],5),""))))</f>
        <v/>
      </c>
      <c r="P1358" s="75" t="str">
        <f>IF(Main[[#This Row],[Tech Start Date]]&lt;1/1/1990,"",IF(Main[[#This Row],[Class]]="C",WORKDAY(Main[[#This Row],[Tech Start Date]],28),IF(Main[[#This Row],[Class]]="B", WORKDAY(Main[[#This Row],[Tech Start Date]],19),IF(Main[[#This Row],[Class]]="A",WORKDAY(Main[[#This Row],[Tech Start Date]],9),""))))</f>
        <v/>
      </c>
      <c r="Q1358" s="89"/>
      <c r="R1358" s="121"/>
      <c r="S1358" s="99" t="s">
        <v>6</v>
      </c>
      <c r="T1358" s="76" t="s">
        <v>4</v>
      </c>
      <c r="U1358" s="99" t="s">
        <v>7</v>
      </c>
      <c r="V1358" s="99" t="s">
        <v>1913</v>
      </c>
      <c r="W1358" s="99" t="s">
        <v>4</v>
      </c>
      <c r="X1358" s="99" t="s">
        <v>2816</v>
      </c>
      <c r="Y1358" s="73" t="s">
        <v>2932</v>
      </c>
      <c r="Z1358" s="73" t="s">
        <v>4</v>
      </c>
      <c r="AA1358" s="99" t="s">
        <v>2816</v>
      </c>
    </row>
    <row r="1359" spans="1:27" ht="17.25" customHeight="1">
      <c r="A1359" s="65" t="str">
        <f>IF(priority(Main[[#This Row],[Comments]])&lt;&gt;0, priority(Main[[#This Row],[Comments]]),"")</f>
        <v/>
      </c>
      <c r="B1359" s="60" t="s">
        <v>3749</v>
      </c>
      <c r="C1359" s="105" t="s">
        <v>31</v>
      </c>
      <c r="D1359" s="74" t="s">
        <v>3750</v>
      </c>
      <c r="E1359" s="89">
        <v>40953.054039351853</v>
      </c>
      <c r="F1359" s="89">
        <v>40968</v>
      </c>
      <c r="G1359" s="65" t="str">
        <f>IF(stdProdLT(Main[[#This Row],[Comments]])=0.1,"N/A",IF(stdProdLT(Main[[#This Row],[Comments]])=0,"",TRIM(stdProdLT(Main[[#This Row],[Comments]]))))</f>
        <v/>
      </c>
      <c r="H1359" s="98" t="str">
        <f>IF(Main[[#This Row],[Std. Prod. Lead Time]]="N/A", "",IF(AND(Main[[#This Row],[In Stock Date]]&lt;&gt;"",Main[[#This Row],[Revised Due Date]]&lt;&gt;"",Main[[#This Row],[In Stock Date]]&lt;&gt;""),Main[[#This Row],[In Stock Date]]-Main[[#This Row],[Revised Due Date]],""))</f>
        <v/>
      </c>
      <c r="I1359" s="110" t="s">
        <v>4</v>
      </c>
      <c r="J1359" s="99" t="s">
        <v>4</v>
      </c>
      <c r="K1359" s="99" t="s">
        <v>4</v>
      </c>
      <c r="L1359" s="89"/>
      <c r="M1359" s="75" t="str">
        <f>IF(Main[[#This Row],[Tech Start Date]]&lt;1/1/1990,"",IF(Main[[#This Row],[Class]]="C",WORKDAY(Main[[#This Row],[Tech Start Date]],9),IF(Main[[#This Row],[Class]]="B", WORKDAY(Main[[#This Row],[Tech Start Date]],6),IF(Main[[#This Row],[Class]]="A",WORKDAY(Main[[#This Row],[Tech Start Date]],2),""))))</f>
        <v/>
      </c>
      <c r="N1359" s="75" t="str">
        <f>IF(Main[[#This Row],[Tech Start Date]]&lt;1/1/1990,"",IF(Main[[#This Row],[Class]]="C",WORKDAY(Main[[#This Row],[Tech Start Date]],19),IF(Main[[#This Row],[Class]]="B", WORKDAY(Main[[#This Row],[Tech Start Date]],12),IF(Main[[#This Row],[Class]]="A",WORKDAY(Main[[#This Row],[Tech Start Date]],4),""))))</f>
        <v/>
      </c>
      <c r="O1359" s="75" t="str">
        <f>IF(Main[[#This Row],[Tech Start Date]]&lt;1/1/1990,"",IF(Main[[#This Row],[Class]]="C",WORKDAY(Main[[#This Row],[Tech Start Date]],23),IF(Main[[#This Row],[Class]]="B", WORKDAY(Main[[#This Row],[Tech Start Date]],15),IF(Main[[#This Row],[Class]]="A",WORKDAY(Main[[#This Row],[Tech Start Date]],5),""))))</f>
        <v/>
      </c>
      <c r="P1359" s="75" t="str">
        <f>IF(Main[[#This Row],[Tech Start Date]]&lt;1/1/1990,"",IF(Main[[#This Row],[Class]]="C",WORKDAY(Main[[#This Row],[Tech Start Date]],28),IF(Main[[#This Row],[Class]]="B", WORKDAY(Main[[#This Row],[Tech Start Date]],19),IF(Main[[#This Row],[Class]]="A",WORKDAY(Main[[#This Row],[Tech Start Date]],9),""))))</f>
        <v/>
      </c>
      <c r="Q1359" s="89">
        <v>40967</v>
      </c>
      <c r="R1359" s="121"/>
      <c r="S1359" s="99" t="s">
        <v>11</v>
      </c>
      <c r="T1359" s="76" t="s">
        <v>4</v>
      </c>
      <c r="U1359" s="99" t="s">
        <v>7</v>
      </c>
      <c r="V1359" s="99" t="s">
        <v>1928</v>
      </c>
      <c r="W1359" s="99" t="s">
        <v>1918</v>
      </c>
      <c r="X1359" s="99" t="s">
        <v>2829</v>
      </c>
      <c r="Y1359" s="73" t="s">
        <v>4</v>
      </c>
      <c r="Z1359" s="73" t="s">
        <v>2207</v>
      </c>
      <c r="AA1359" s="99" t="s">
        <v>2829</v>
      </c>
    </row>
    <row r="1360" spans="1:27" ht="17.25" customHeight="1">
      <c r="A1360" s="65" t="str">
        <f>IF(priority(Main[[#This Row],[Comments]])&lt;&gt;0, priority(Main[[#This Row],[Comments]]),"")</f>
        <v/>
      </c>
      <c r="B1360" s="60" t="s">
        <v>2596</v>
      </c>
      <c r="C1360" s="105" t="s">
        <v>31</v>
      </c>
      <c r="D1360" s="74" t="s">
        <v>2597</v>
      </c>
      <c r="E1360" s="89"/>
      <c r="F1360" s="89">
        <v>40969</v>
      </c>
      <c r="G1360" s="65" t="str">
        <f>IF(stdProdLT(Main[[#This Row],[Comments]])=0.1,"N/A",IF(stdProdLT(Main[[#This Row],[Comments]])=0,"",TRIM(stdProdLT(Main[[#This Row],[Comments]]))))</f>
        <v/>
      </c>
      <c r="H1360" s="98" t="str">
        <f>IF(Main[[#This Row],[Std. Prod. Lead Time]]="N/A", "",IF(AND(Main[[#This Row],[In Stock Date]]&lt;&gt;"",Main[[#This Row],[Revised Due Date]]&lt;&gt;"",Main[[#This Row],[In Stock Date]]&lt;&gt;""),Main[[#This Row],[In Stock Date]]-Main[[#This Row],[Revised Due Date]],""))</f>
        <v/>
      </c>
      <c r="I1360" s="110" t="s">
        <v>4</v>
      </c>
      <c r="J1360" s="99" t="s">
        <v>4</v>
      </c>
      <c r="K1360" s="99" t="s">
        <v>4</v>
      </c>
      <c r="L1360" s="89"/>
      <c r="M1360" s="75" t="str">
        <f>IF(Main[[#This Row],[Tech Start Date]]&lt;1/1/1990,"",IF(Main[[#This Row],[Class]]="C",WORKDAY(Main[[#This Row],[Tech Start Date]],9),IF(Main[[#This Row],[Class]]="B", WORKDAY(Main[[#This Row],[Tech Start Date]],6),IF(Main[[#This Row],[Class]]="A",WORKDAY(Main[[#This Row],[Tech Start Date]],2),""))))</f>
        <v/>
      </c>
      <c r="N1360" s="75" t="str">
        <f>IF(Main[[#This Row],[Tech Start Date]]&lt;1/1/1990,"",IF(Main[[#This Row],[Class]]="C",WORKDAY(Main[[#This Row],[Tech Start Date]],19),IF(Main[[#This Row],[Class]]="B", WORKDAY(Main[[#This Row],[Tech Start Date]],12),IF(Main[[#This Row],[Class]]="A",WORKDAY(Main[[#This Row],[Tech Start Date]],4),""))))</f>
        <v/>
      </c>
      <c r="O1360" s="75" t="str">
        <f>IF(Main[[#This Row],[Tech Start Date]]&lt;1/1/1990,"",IF(Main[[#This Row],[Class]]="C",WORKDAY(Main[[#This Row],[Tech Start Date]],23),IF(Main[[#This Row],[Class]]="B", WORKDAY(Main[[#This Row],[Tech Start Date]],15),IF(Main[[#This Row],[Class]]="A",WORKDAY(Main[[#This Row],[Tech Start Date]],5),""))))</f>
        <v/>
      </c>
      <c r="P1360" s="75" t="str">
        <f>IF(Main[[#This Row],[Tech Start Date]]&lt;1/1/1990,"",IF(Main[[#This Row],[Class]]="C",WORKDAY(Main[[#This Row],[Tech Start Date]],28),IF(Main[[#This Row],[Class]]="B", WORKDAY(Main[[#This Row],[Tech Start Date]],19),IF(Main[[#This Row],[Class]]="A",WORKDAY(Main[[#This Row],[Tech Start Date]],9),""))))</f>
        <v/>
      </c>
      <c r="Q1360" s="89"/>
      <c r="R1360" s="121"/>
      <c r="S1360" s="99" t="s">
        <v>11</v>
      </c>
      <c r="T1360" s="76" t="s">
        <v>4</v>
      </c>
      <c r="U1360" s="99" t="s">
        <v>14</v>
      </c>
      <c r="V1360" s="99" t="s">
        <v>1913</v>
      </c>
      <c r="W1360" s="99" t="s">
        <v>1919</v>
      </c>
      <c r="X1360" s="99" t="s">
        <v>50</v>
      </c>
      <c r="Y1360" s="73" t="s">
        <v>3083</v>
      </c>
      <c r="Z1360" s="73" t="s">
        <v>4</v>
      </c>
      <c r="AA1360" s="99" t="s">
        <v>2834</v>
      </c>
    </row>
    <row r="1361" spans="1:27" ht="17.25" customHeight="1">
      <c r="A1361" s="65" t="str">
        <f>IF(priority(Main[[#This Row],[Comments]])&lt;&gt;0, priority(Main[[#This Row],[Comments]]),"")</f>
        <v/>
      </c>
      <c r="B1361" s="60" t="s">
        <v>3734</v>
      </c>
      <c r="C1361" s="105" t="s">
        <v>4</v>
      </c>
      <c r="D1361" s="74" t="s">
        <v>3735</v>
      </c>
      <c r="E1361" s="89">
        <v>40959.601018518515</v>
      </c>
      <c r="F1361" s="89"/>
      <c r="G1361" s="65" t="str">
        <f>IF(stdProdLT(Main[[#This Row],[Comments]])=0.1,"N/A",IF(stdProdLT(Main[[#This Row],[Comments]])=0,"",TRIM(stdProdLT(Main[[#This Row],[Comments]]))))</f>
        <v/>
      </c>
      <c r="H1361" s="98" t="str">
        <f>IF(Main[[#This Row],[Std. Prod. Lead Time]]="N/A", "",IF(AND(Main[[#This Row],[In Stock Date]]&lt;&gt;"",Main[[#This Row],[Revised Due Date]]&lt;&gt;"",Main[[#This Row],[In Stock Date]]&lt;&gt;""),Main[[#This Row],[In Stock Date]]-Main[[#This Row],[Revised Due Date]],""))</f>
        <v/>
      </c>
      <c r="I1361" s="110" t="s">
        <v>561</v>
      </c>
      <c r="J1361" s="99" t="s">
        <v>28</v>
      </c>
      <c r="K1361" s="99" t="s">
        <v>4</v>
      </c>
      <c r="L1361" s="89"/>
      <c r="M1361" s="75" t="str">
        <f>IF(Main[[#This Row],[Tech Start Date]]&lt;1/1/1990,"",IF(Main[[#This Row],[Class]]="C",WORKDAY(Main[[#This Row],[Tech Start Date]],9),IF(Main[[#This Row],[Class]]="B", WORKDAY(Main[[#This Row],[Tech Start Date]],6),IF(Main[[#This Row],[Class]]="A",WORKDAY(Main[[#This Row],[Tech Start Date]],2),""))))</f>
        <v/>
      </c>
      <c r="N1361" s="75" t="str">
        <f>IF(Main[[#This Row],[Tech Start Date]]&lt;1/1/1990,"",IF(Main[[#This Row],[Class]]="C",WORKDAY(Main[[#This Row],[Tech Start Date]],19),IF(Main[[#This Row],[Class]]="B", WORKDAY(Main[[#This Row],[Tech Start Date]],12),IF(Main[[#This Row],[Class]]="A",WORKDAY(Main[[#This Row],[Tech Start Date]],4),""))))</f>
        <v/>
      </c>
      <c r="O1361" s="75" t="str">
        <f>IF(Main[[#This Row],[Tech Start Date]]&lt;1/1/1990,"",IF(Main[[#This Row],[Class]]="C",WORKDAY(Main[[#This Row],[Tech Start Date]],23),IF(Main[[#This Row],[Class]]="B", WORKDAY(Main[[#This Row],[Tech Start Date]],15),IF(Main[[#This Row],[Class]]="A",WORKDAY(Main[[#This Row],[Tech Start Date]],5),""))))</f>
        <v/>
      </c>
      <c r="P1361" s="75" t="str">
        <f>IF(Main[[#This Row],[Tech Start Date]]&lt;1/1/1990,"",IF(Main[[#This Row],[Class]]="C",WORKDAY(Main[[#This Row],[Tech Start Date]],28),IF(Main[[#This Row],[Class]]="B", WORKDAY(Main[[#This Row],[Tech Start Date]],19),IF(Main[[#This Row],[Class]]="A",WORKDAY(Main[[#This Row],[Tech Start Date]],9),""))))</f>
        <v/>
      </c>
      <c r="Q1361" s="89"/>
      <c r="R1361" s="121"/>
      <c r="S1361" s="99" t="s">
        <v>6</v>
      </c>
      <c r="T1361" s="76" t="s">
        <v>4</v>
      </c>
      <c r="U1361" s="99" t="s">
        <v>29</v>
      </c>
      <c r="V1361" s="99" t="s">
        <v>1913</v>
      </c>
      <c r="W1361" s="99" t="s">
        <v>4</v>
      </c>
      <c r="X1361" s="99" t="s">
        <v>561</v>
      </c>
      <c r="Y1361" s="73" t="s">
        <v>3050</v>
      </c>
      <c r="Z1361" s="73" t="s">
        <v>4</v>
      </c>
      <c r="AA1361" s="99" t="s">
        <v>561</v>
      </c>
    </row>
    <row r="1362" spans="1:27" ht="17.25" customHeight="1">
      <c r="A1362" s="65" t="str">
        <f>IF(priority(Main[[#This Row],[Comments]])&lt;&gt;0, priority(Main[[#This Row],[Comments]]),"")</f>
        <v/>
      </c>
      <c r="B1362" s="60" t="s">
        <v>3736</v>
      </c>
      <c r="C1362" s="105" t="s">
        <v>4</v>
      </c>
      <c r="D1362" s="74" t="s">
        <v>3737</v>
      </c>
      <c r="E1362" s="89">
        <v>40955.139027777775</v>
      </c>
      <c r="F1362" s="89"/>
      <c r="G1362" s="65" t="str">
        <f>IF(stdProdLT(Main[[#This Row],[Comments]])=0.1,"N/A",IF(stdProdLT(Main[[#This Row],[Comments]])=0,"",TRIM(stdProdLT(Main[[#This Row],[Comments]]))))</f>
        <v/>
      </c>
      <c r="H1362" s="98" t="str">
        <f>IF(Main[[#This Row],[Std. Prod. Lead Time]]="N/A", "",IF(AND(Main[[#This Row],[In Stock Date]]&lt;&gt;"",Main[[#This Row],[Revised Due Date]]&lt;&gt;"",Main[[#This Row],[In Stock Date]]&lt;&gt;""),Main[[#This Row],[In Stock Date]]-Main[[#This Row],[Revised Due Date]],""))</f>
        <v/>
      </c>
      <c r="I1362" s="110" t="s">
        <v>4</v>
      </c>
      <c r="J1362" s="99" t="s">
        <v>4</v>
      </c>
      <c r="K1362" s="99" t="s">
        <v>4</v>
      </c>
      <c r="L1362" s="89"/>
      <c r="M1362" s="75" t="str">
        <f>IF(Main[[#This Row],[Tech Start Date]]&lt;1/1/1990,"",IF(Main[[#This Row],[Class]]="C",WORKDAY(Main[[#This Row],[Tech Start Date]],9),IF(Main[[#This Row],[Class]]="B", WORKDAY(Main[[#This Row],[Tech Start Date]],6),IF(Main[[#This Row],[Class]]="A",WORKDAY(Main[[#This Row],[Tech Start Date]],2),""))))</f>
        <v/>
      </c>
      <c r="N1362" s="75" t="str">
        <f>IF(Main[[#This Row],[Tech Start Date]]&lt;1/1/1990,"",IF(Main[[#This Row],[Class]]="C",WORKDAY(Main[[#This Row],[Tech Start Date]],19),IF(Main[[#This Row],[Class]]="B", WORKDAY(Main[[#This Row],[Tech Start Date]],12),IF(Main[[#This Row],[Class]]="A",WORKDAY(Main[[#This Row],[Tech Start Date]],4),""))))</f>
        <v/>
      </c>
      <c r="O1362" s="75" t="str">
        <f>IF(Main[[#This Row],[Tech Start Date]]&lt;1/1/1990,"",IF(Main[[#This Row],[Class]]="C",WORKDAY(Main[[#This Row],[Tech Start Date]],23),IF(Main[[#This Row],[Class]]="B", WORKDAY(Main[[#This Row],[Tech Start Date]],15),IF(Main[[#This Row],[Class]]="A",WORKDAY(Main[[#This Row],[Tech Start Date]],5),""))))</f>
        <v/>
      </c>
      <c r="P1362" s="75" t="str">
        <f>IF(Main[[#This Row],[Tech Start Date]]&lt;1/1/1990,"",IF(Main[[#This Row],[Class]]="C",WORKDAY(Main[[#This Row],[Tech Start Date]],28),IF(Main[[#This Row],[Class]]="B", WORKDAY(Main[[#This Row],[Tech Start Date]],19),IF(Main[[#This Row],[Class]]="A",WORKDAY(Main[[#This Row],[Tech Start Date]],9),""))))</f>
        <v/>
      </c>
      <c r="Q1362" s="89">
        <v>40984</v>
      </c>
      <c r="R1362" s="121"/>
      <c r="S1362" s="99" t="s">
        <v>6</v>
      </c>
      <c r="T1362" s="76" t="s">
        <v>4</v>
      </c>
      <c r="U1362" s="99" t="s">
        <v>7</v>
      </c>
      <c r="V1362" s="99" t="s">
        <v>1913</v>
      </c>
      <c r="W1362" s="99" t="s">
        <v>4</v>
      </c>
      <c r="X1362" s="99" t="s">
        <v>2816</v>
      </c>
      <c r="Y1362" s="73" t="s">
        <v>2932</v>
      </c>
      <c r="Z1362" s="73" t="s">
        <v>4</v>
      </c>
      <c r="AA1362" s="99" t="s">
        <v>2816</v>
      </c>
    </row>
    <row r="1363" spans="1:27" ht="17.25" customHeight="1">
      <c r="A1363" s="65" t="str">
        <f>IF(priority(Main[[#This Row],[Comments]])&lt;&gt;0, priority(Main[[#This Row],[Comments]]),"")</f>
        <v/>
      </c>
      <c r="B1363" s="60" t="s">
        <v>2782</v>
      </c>
      <c r="C1363" s="105" t="s">
        <v>4</v>
      </c>
      <c r="D1363" s="74" t="s">
        <v>2783</v>
      </c>
      <c r="E1363" s="89">
        <v>40883.621099537035</v>
      </c>
      <c r="F1363" s="89"/>
      <c r="G1363" s="65" t="str">
        <f>IF(stdProdLT(Main[[#This Row],[Comments]])=0.1,"N/A",IF(stdProdLT(Main[[#This Row],[Comments]])=0,"",TRIM(stdProdLT(Main[[#This Row],[Comments]]))))</f>
        <v/>
      </c>
      <c r="H1363" s="98" t="str">
        <f>IF(Main[[#This Row],[Std. Prod. Lead Time]]="N/A", "",IF(AND(Main[[#This Row],[In Stock Date]]&lt;&gt;"",Main[[#This Row],[Revised Due Date]]&lt;&gt;"",Main[[#This Row],[In Stock Date]]&lt;&gt;""),Main[[#This Row],[In Stock Date]]-Main[[#This Row],[Revised Due Date]],""))</f>
        <v/>
      </c>
      <c r="I1363" s="110" t="s">
        <v>3533</v>
      </c>
      <c r="J1363" s="99" t="s">
        <v>4</v>
      </c>
      <c r="K1363" s="99" t="s">
        <v>1925</v>
      </c>
      <c r="L1363" s="89"/>
      <c r="M1363" s="75" t="str">
        <f>IF(Main[[#This Row],[Tech Start Date]]&lt;1/1/1990,"",IF(Main[[#This Row],[Class]]="C",WORKDAY(Main[[#This Row],[Tech Start Date]],9),IF(Main[[#This Row],[Class]]="B", WORKDAY(Main[[#This Row],[Tech Start Date]],6),IF(Main[[#This Row],[Class]]="A",WORKDAY(Main[[#This Row],[Tech Start Date]],2),""))))</f>
        <v/>
      </c>
      <c r="N1363" s="75" t="str">
        <f>IF(Main[[#This Row],[Tech Start Date]]&lt;1/1/1990,"",IF(Main[[#This Row],[Class]]="C",WORKDAY(Main[[#This Row],[Tech Start Date]],19),IF(Main[[#This Row],[Class]]="B", WORKDAY(Main[[#This Row],[Tech Start Date]],12),IF(Main[[#This Row],[Class]]="A",WORKDAY(Main[[#This Row],[Tech Start Date]],4),""))))</f>
        <v/>
      </c>
      <c r="O1363" s="75" t="str">
        <f>IF(Main[[#This Row],[Tech Start Date]]&lt;1/1/1990,"",IF(Main[[#This Row],[Class]]="C",WORKDAY(Main[[#This Row],[Tech Start Date]],23),IF(Main[[#This Row],[Class]]="B", WORKDAY(Main[[#This Row],[Tech Start Date]],15),IF(Main[[#This Row],[Class]]="A",WORKDAY(Main[[#This Row],[Tech Start Date]],5),""))))</f>
        <v/>
      </c>
      <c r="P1363" s="75" t="str">
        <f>IF(Main[[#This Row],[Tech Start Date]]&lt;1/1/1990,"",IF(Main[[#This Row],[Class]]="C",WORKDAY(Main[[#This Row],[Tech Start Date]],28),IF(Main[[#This Row],[Class]]="B", WORKDAY(Main[[#This Row],[Tech Start Date]],19),IF(Main[[#This Row],[Class]]="A",WORKDAY(Main[[#This Row],[Tech Start Date]],9),""))))</f>
        <v/>
      </c>
      <c r="Q1363" s="89"/>
      <c r="R1363" s="121"/>
      <c r="S1363" s="99" t="s">
        <v>17</v>
      </c>
      <c r="T1363" s="76" t="s">
        <v>4</v>
      </c>
      <c r="U1363" s="99" t="s">
        <v>29</v>
      </c>
      <c r="V1363" s="99" t="s">
        <v>1916</v>
      </c>
      <c r="W1363" s="99" t="s">
        <v>1918</v>
      </c>
      <c r="X1363" s="99" t="s">
        <v>415</v>
      </c>
      <c r="Y1363" s="73" t="s">
        <v>2969</v>
      </c>
      <c r="Z1363" s="73" t="s">
        <v>652</v>
      </c>
      <c r="AA1363" s="99" t="s">
        <v>415</v>
      </c>
    </row>
    <row r="1364" spans="1:27" ht="17.25" customHeight="1">
      <c r="A1364" s="65" t="str">
        <f>IF(priority(Main[[#This Row],[Comments]])&lt;&gt;0, priority(Main[[#This Row],[Comments]]),"")</f>
        <v/>
      </c>
      <c r="B1364" s="60" t="s">
        <v>1114</v>
      </c>
      <c r="C1364" s="105" t="s">
        <v>4</v>
      </c>
      <c r="D1364" s="74" t="s">
        <v>3738</v>
      </c>
      <c r="E1364" s="89"/>
      <c r="F1364" s="89">
        <v>40602</v>
      </c>
      <c r="G1364" s="65" t="str">
        <f>IF(stdProdLT(Main[[#This Row],[Comments]])=0.1,"N/A",IF(stdProdLT(Main[[#This Row],[Comments]])=0,"",TRIM(stdProdLT(Main[[#This Row],[Comments]]))))</f>
        <v/>
      </c>
      <c r="H1364" s="98" t="str">
        <f>IF(Main[[#This Row],[Std. Prod. Lead Time]]="N/A", "",IF(AND(Main[[#This Row],[In Stock Date]]&lt;&gt;"",Main[[#This Row],[Revised Due Date]]&lt;&gt;"",Main[[#This Row],[In Stock Date]]&lt;&gt;""),Main[[#This Row],[In Stock Date]]-Main[[#This Row],[Revised Due Date]],""))</f>
        <v/>
      </c>
      <c r="I1364" s="110" t="s">
        <v>2204</v>
      </c>
      <c r="J1364" s="99" t="s">
        <v>75</v>
      </c>
      <c r="K1364" s="99" t="s">
        <v>1922</v>
      </c>
      <c r="L1364" s="89"/>
      <c r="M1364" s="75" t="str">
        <f>IF(Main[[#This Row],[Tech Start Date]]&lt;1/1/1990,"",IF(Main[[#This Row],[Class]]="C",WORKDAY(Main[[#This Row],[Tech Start Date]],9),IF(Main[[#This Row],[Class]]="B", WORKDAY(Main[[#This Row],[Tech Start Date]],6),IF(Main[[#This Row],[Class]]="A",WORKDAY(Main[[#This Row],[Tech Start Date]],2),""))))</f>
        <v/>
      </c>
      <c r="N1364" s="75" t="str">
        <f>IF(Main[[#This Row],[Tech Start Date]]&lt;1/1/1990,"",IF(Main[[#This Row],[Class]]="C",WORKDAY(Main[[#This Row],[Tech Start Date]],19),IF(Main[[#This Row],[Class]]="B", WORKDAY(Main[[#This Row],[Tech Start Date]],12),IF(Main[[#This Row],[Class]]="A",WORKDAY(Main[[#This Row],[Tech Start Date]],4),""))))</f>
        <v/>
      </c>
      <c r="O1364" s="75" t="str">
        <f>IF(Main[[#This Row],[Tech Start Date]]&lt;1/1/1990,"",IF(Main[[#This Row],[Class]]="C",WORKDAY(Main[[#This Row],[Tech Start Date]],23),IF(Main[[#This Row],[Class]]="B", WORKDAY(Main[[#This Row],[Tech Start Date]],15),IF(Main[[#This Row],[Class]]="A",WORKDAY(Main[[#This Row],[Tech Start Date]],5),""))))</f>
        <v/>
      </c>
      <c r="P1364" s="75" t="str">
        <f>IF(Main[[#This Row],[Tech Start Date]]&lt;1/1/1990,"",IF(Main[[#This Row],[Class]]="C",WORKDAY(Main[[#This Row],[Tech Start Date]],28),IF(Main[[#This Row],[Class]]="B", WORKDAY(Main[[#This Row],[Tech Start Date]],19),IF(Main[[#This Row],[Class]]="A",WORKDAY(Main[[#This Row],[Tech Start Date]],9),""))))</f>
        <v/>
      </c>
      <c r="Q1364" s="89">
        <v>40602</v>
      </c>
      <c r="R1364" s="121"/>
      <c r="S1364" s="99" t="s">
        <v>6</v>
      </c>
      <c r="T1364" s="76" t="s">
        <v>4</v>
      </c>
      <c r="U1364" s="99" t="s">
        <v>14</v>
      </c>
      <c r="V1364" s="99" t="s">
        <v>1916</v>
      </c>
      <c r="W1364" s="99" t="s">
        <v>1915</v>
      </c>
      <c r="X1364" s="99" t="s">
        <v>30</v>
      </c>
      <c r="Y1364" s="73" t="s">
        <v>2951</v>
      </c>
      <c r="Z1364" s="73" t="s">
        <v>415</v>
      </c>
      <c r="AA1364" s="99" t="s">
        <v>30</v>
      </c>
    </row>
    <row r="1365" spans="1:27" ht="17.25" customHeight="1">
      <c r="A1365" s="65" t="str">
        <f>IF(priority(Main[[#This Row],[Comments]])&lt;&gt;0, priority(Main[[#This Row],[Comments]]),"")</f>
        <v/>
      </c>
      <c r="B1365" s="60" t="s">
        <v>3731</v>
      </c>
      <c r="C1365" s="105" t="s">
        <v>4</v>
      </c>
      <c r="D1365" s="74" t="s">
        <v>3732</v>
      </c>
      <c r="E1365" s="89">
        <v>40967.414942129632</v>
      </c>
      <c r="F1365" s="89"/>
      <c r="G1365" s="65" t="str">
        <f>IF(stdProdLT(Main[[#This Row],[Comments]])=0.1,"N/A",IF(stdProdLT(Main[[#This Row],[Comments]])=0,"",TRIM(stdProdLT(Main[[#This Row],[Comments]]))))</f>
        <v/>
      </c>
      <c r="H1365" s="98" t="str">
        <f>IF(Main[[#This Row],[Std. Prod. Lead Time]]="N/A", "",IF(AND(Main[[#This Row],[In Stock Date]]&lt;&gt;"",Main[[#This Row],[Revised Due Date]]&lt;&gt;"",Main[[#This Row],[In Stock Date]]&lt;&gt;""),Main[[#This Row],[In Stock Date]]-Main[[#This Row],[Revised Due Date]],""))</f>
        <v/>
      </c>
      <c r="I1365" s="110" t="s">
        <v>4</v>
      </c>
      <c r="J1365" s="99" t="s">
        <v>4</v>
      </c>
      <c r="K1365" s="99" t="s">
        <v>4</v>
      </c>
      <c r="L1365" s="89"/>
      <c r="M1365" s="75" t="str">
        <f>IF(Main[[#This Row],[Tech Start Date]]&lt;1/1/1990,"",IF(Main[[#This Row],[Class]]="C",WORKDAY(Main[[#This Row],[Tech Start Date]],9),IF(Main[[#This Row],[Class]]="B", WORKDAY(Main[[#This Row],[Tech Start Date]],6),IF(Main[[#This Row],[Class]]="A",WORKDAY(Main[[#This Row],[Tech Start Date]],2),""))))</f>
        <v/>
      </c>
      <c r="N1365" s="75" t="str">
        <f>IF(Main[[#This Row],[Tech Start Date]]&lt;1/1/1990,"",IF(Main[[#This Row],[Class]]="C",WORKDAY(Main[[#This Row],[Tech Start Date]],19),IF(Main[[#This Row],[Class]]="B", WORKDAY(Main[[#This Row],[Tech Start Date]],12),IF(Main[[#This Row],[Class]]="A",WORKDAY(Main[[#This Row],[Tech Start Date]],4),""))))</f>
        <v/>
      </c>
      <c r="O1365" s="75" t="str">
        <f>IF(Main[[#This Row],[Tech Start Date]]&lt;1/1/1990,"",IF(Main[[#This Row],[Class]]="C",WORKDAY(Main[[#This Row],[Tech Start Date]],23),IF(Main[[#This Row],[Class]]="B", WORKDAY(Main[[#This Row],[Tech Start Date]],15),IF(Main[[#This Row],[Class]]="A",WORKDAY(Main[[#This Row],[Tech Start Date]],5),""))))</f>
        <v/>
      </c>
      <c r="P1365" s="75" t="str">
        <f>IF(Main[[#This Row],[Tech Start Date]]&lt;1/1/1990,"",IF(Main[[#This Row],[Class]]="C",WORKDAY(Main[[#This Row],[Tech Start Date]],28),IF(Main[[#This Row],[Class]]="B", WORKDAY(Main[[#This Row],[Tech Start Date]],19),IF(Main[[#This Row],[Class]]="A",WORKDAY(Main[[#This Row],[Tech Start Date]],9),""))))</f>
        <v/>
      </c>
      <c r="Q1365" s="89">
        <v>40977</v>
      </c>
      <c r="R1365" s="121"/>
      <c r="S1365" s="99" t="s">
        <v>6</v>
      </c>
      <c r="T1365" s="76" t="s">
        <v>4</v>
      </c>
      <c r="U1365" s="99" t="s">
        <v>7</v>
      </c>
      <c r="V1365" s="99" t="s">
        <v>1916</v>
      </c>
      <c r="W1365" s="99" t="s">
        <v>1917</v>
      </c>
      <c r="X1365" s="99" t="s">
        <v>2897</v>
      </c>
      <c r="Y1365" s="73" t="s">
        <v>3077</v>
      </c>
      <c r="Z1365" s="73" t="s">
        <v>4</v>
      </c>
      <c r="AA1365" s="99" t="s">
        <v>2897</v>
      </c>
    </row>
    <row r="1366" spans="1:27" ht="17.25" customHeight="1">
      <c r="A1366" s="65" t="str">
        <f>IF(priority(Main[[#This Row],[Comments]])&lt;&gt;0, priority(Main[[#This Row],[Comments]]),"")</f>
        <v/>
      </c>
      <c r="B1366" s="60" t="s">
        <v>2545</v>
      </c>
      <c r="C1366" s="105" t="s">
        <v>2546</v>
      </c>
      <c r="D1366" s="74" t="s">
        <v>3757</v>
      </c>
      <c r="E1366" s="89">
        <v>40855.339328703703</v>
      </c>
      <c r="F1366" s="89">
        <v>40890</v>
      </c>
      <c r="G1366" s="65" t="str">
        <f>IF(stdProdLT(Main[[#This Row],[Comments]])=0.1,"N/A",IF(stdProdLT(Main[[#This Row],[Comments]])=0,"",TRIM(stdProdLT(Main[[#This Row],[Comments]]))))</f>
        <v>84</v>
      </c>
      <c r="H1366" s="98" t="str">
        <f>IF(Main[[#This Row],[Std. Prod. Lead Time]]="N/A", "",IF(AND(Main[[#This Row],[In Stock Date]]&lt;&gt;"",Main[[#This Row],[Revised Due Date]]&lt;&gt;"",Main[[#This Row],[In Stock Date]]&lt;&gt;""),Main[[#This Row],[In Stock Date]]-Main[[#This Row],[Revised Due Date]],""))</f>
        <v/>
      </c>
      <c r="I1366" s="110" t="s">
        <v>126</v>
      </c>
      <c r="J1366" s="99" t="s">
        <v>28</v>
      </c>
      <c r="K1366" s="99" t="s">
        <v>4</v>
      </c>
      <c r="L1366" s="89"/>
      <c r="M1366" s="75" t="str">
        <f>IF(Main[[#This Row],[Tech Start Date]]&lt;1/1/1990,"",IF(Main[[#This Row],[Class]]="C",WORKDAY(Main[[#This Row],[Tech Start Date]],9),IF(Main[[#This Row],[Class]]="B", WORKDAY(Main[[#This Row],[Tech Start Date]],6),IF(Main[[#This Row],[Class]]="A",WORKDAY(Main[[#This Row],[Tech Start Date]],2),""))))</f>
        <v/>
      </c>
      <c r="N1366" s="75" t="str">
        <f>IF(Main[[#This Row],[Tech Start Date]]&lt;1/1/1990,"",IF(Main[[#This Row],[Class]]="C",WORKDAY(Main[[#This Row],[Tech Start Date]],19),IF(Main[[#This Row],[Class]]="B", WORKDAY(Main[[#This Row],[Tech Start Date]],12),IF(Main[[#This Row],[Class]]="A",WORKDAY(Main[[#This Row],[Tech Start Date]],4),""))))</f>
        <v/>
      </c>
      <c r="O1366" s="75" t="str">
        <f>IF(Main[[#This Row],[Tech Start Date]]&lt;1/1/1990,"",IF(Main[[#This Row],[Class]]="C",WORKDAY(Main[[#This Row],[Tech Start Date]],23),IF(Main[[#This Row],[Class]]="B", WORKDAY(Main[[#This Row],[Tech Start Date]],15),IF(Main[[#This Row],[Class]]="A",WORKDAY(Main[[#This Row],[Tech Start Date]],5),""))))</f>
        <v/>
      </c>
      <c r="P1366" s="75" t="str">
        <f>IF(Main[[#This Row],[Tech Start Date]]&lt;1/1/1990,"",IF(Main[[#This Row],[Class]]="C",WORKDAY(Main[[#This Row],[Tech Start Date]],28),IF(Main[[#This Row],[Class]]="B", WORKDAY(Main[[#This Row],[Tech Start Date]],19),IF(Main[[#This Row],[Class]]="A",WORKDAY(Main[[#This Row],[Tech Start Date]],9),""))))</f>
        <v/>
      </c>
      <c r="Q1366" s="89">
        <v>40877</v>
      </c>
      <c r="R1366" s="121"/>
      <c r="S1366" s="99" t="s">
        <v>11</v>
      </c>
      <c r="T1366" s="76" t="s">
        <v>3758</v>
      </c>
      <c r="U1366" s="99" t="s">
        <v>534</v>
      </c>
      <c r="V1366" s="99" t="s">
        <v>1913</v>
      </c>
      <c r="W1366" s="99" t="s">
        <v>1927</v>
      </c>
      <c r="X1366" s="99" t="s">
        <v>2899</v>
      </c>
      <c r="Y1366" s="73" t="s">
        <v>3125</v>
      </c>
      <c r="Z1366" s="73" t="s">
        <v>4</v>
      </c>
      <c r="AA1366" s="99" t="s">
        <v>3457</v>
      </c>
    </row>
    <row r="1367" spans="1:27" ht="17.25" customHeight="1">
      <c r="A1367" s="65" t="str">
        <f>IF(priority(Main[[#This Row],[Comments]])&lt;&gt;0, priority(Main[[#This Row],[Comments]]),"")</f>
        <v/>
      </c>
      <c r="B1367" s="60" t="s">
        <v>3751</v>
      </c>
      <c r="C1367" s="105" t="s">
        <v>148</v>
      </c>
      <c r="D1367" s="74" t="s">
        <v>3752</v>
      </c>
      <c r="E1367" s="89">
        <v>40967.369837962964</v>
      </c>
      <c r="F1367" s="89">
        <v>41096</v>
      </c>
      <c r="G1367" s="65" t="str">
        <f>IF(stdProdLT(Main[[#This Row],[Comments]])=0.1,"N/A",IF(stdProdLT(Main[[#This Row],[Comments]])=0,"",TRIM(stdProdLT(Main[[#This Row],[Comments]]))))</f>
        <v/>
      </c>
      <c r="H1367" s="98" t="str">
        <f>IF(Main[[#This Row],[Std. Prod. Lead Time]]="N/A", "",IF(AND(Main[[#This Row],[In Stock Date]]&lt;&gt;"",Main[[#This Row],[Revised Due Date]]&lt;&gt;"",Main[[#This Row],[In Stock Date]]&lt;&gt;""),Main[[#This Row],[In Stock Date]]-Main[[#This Row],[Revised Due Date]],""))</f>
        <v/>
      </c>
      <c r="I1367" s="110" t="s">
        <v>4</v>
      </c>
      <c r="J1367" s="99" t="s">
        <v>4</v>
      </c>
      <c r="K1367" s="99" t="s">
        <v>4</v>
      </c>
      <c r="L1367" s="89"/>
      <c r="M1367" s="75" t="str">
        <f>IF(Main[[#This Row],[Tech Start Date]]&lt;1/1/1990,"",IF(Main[[#This Row],[Class]]="C",WORKDAY(Main[[#This Row],[Tech Start Date]],9),IF(Main[[#This Row],[Class]]="B", WORKDAY(Main[[#This Row],[Tech Start Date]],6),IF(Main[[#This Row],[Class]]="A",WORKDAY(Main[[#This Row],[Tech Start Date]],2),""))))</f>
        <v/>
      </c>
      <c r="N1367" s="75" t="str">
        <f>IF(Main[[#This Row],[Tech Start Date]]&lt;1/1/1990,"",IF(Main[[#This Row],[Class]]="C",WORKDAY(Main[[#This Row],[Tech Start Date]],19),IF(Main[[#This Row],[Class]]="B", WORKDAY(Main[[#This Row],[Tech Start Date]],12),IF(Main[[#This Row],[Class]]="A",WORKDAY(Main[[#This Row],[Tech Start Date]],4),""))))</f>
        <v/>
      </c>
      <c r="O1367" s="75" t="str">
        <f>IF(Main[[#This Row],[Tech Start Date]]&lt;1/1/1990,"",IF(Main[[#This Row],[Class]]="C",WORKDAY(Main[[#This Row],[Tech Start Date]],23),IF(Main[[#This Row],[Class]]="B", WORKDAY(Main[[#This Row],[Tech Start Date]],15),IF(Main[[#This Row],[Class]]="A",WORKDAY(Main[[#This Row],[Tech Start Date]],5),""))))</f>
        <v/>
      </c>
      <c r="P1367" s="75" t="str">
        <f>IF(Main[[#This Row],[Tech Start Date]]&lt;1/1/1990,"",IF(Main[[#This Row],[Class]]="C",WORKDAY(Main[[#This Row],[Tech Start Date]],28),IF(Main[[#This Row],[Class]]="B", WORKDAY(Main[[#This Row],[Tech Start Date]],19),IF(Main[[#This Row],[Class]]="A",WORKDAY(Main[[#This Row],[Tech Start Date]],9),""))))</f>
        <v/>
      </c>
      <c r="Q1367" s="89"/>
      <c r="R1367" s="121"/>
      <c r="S1367" s="99" t="s">
        <v>11</v>
      </c>
      <c r="T1367" s="76" t="s">
        <v>4</v>
      </c>
      <c r="U1367" s="99" t="s">
        <v>7</v>
      </c>
      <c r="V1367" s="99" t="s">
        <v>1916</v>
      </c>
      <c r="W1367" s="99" t="s">
        <v>1921</v>
      </c>
      <c r="X1367" s="99" t="s">
        <v>50</v>
      </c>
      <c r="Y1367" s="73" t="s">
        <v>3729</v>
      </c>
      <c r="Z1367" s="73" t="s">
        <v>4</v>
      </c>
      <c r="AA1367" s="99" t="s">
        <v>3728</v>
      </c>
    </row>
    <row r="1368" spans="1:27" ht="17.25" customHeight="1">
      <c r="A1368" s="65" t="str">
        <f>IF(priority(Main[[#This Row],[Comments]])&lt;&gt;0, priority(Main[[#This Row],[Comments]]),"")</f>
        <v/>
      </c>
      <c r="B1368" s="60" t="s">
        <v>1619</v>
      </c>
      <c r="C1368" s="105" t="s">
        <v>4</v>
      </c>
      <c r="D1368" s="74" t="s">
        <v>3753</v>
      </c>
      <c r="E1368" s="89">
        <v>40626.478958333333</v>
      </c>
      <c r="F1368" s="89"/>
      <c r="G1368" s="65" t="str">
        <f>IF(stdProdLT(Main[[#This Row],[Comments]])=0.1,"N/A",IF(stdProdLT(Main[[#This Row],[Comments]])=0,"",TRIM(stdProdLT(Main[[#This Row],[Comments]]))))</f>
        <v/>
      </c>
      <c r="H1368" s="98" t="str">
        <f>IF(Main[[#This Row],[Std. Prod. Lead Time]]="N/A", "",IF(AND(Main[[#This Row],[In Stock Date]]&lt;&gt;"",Main[[#This Row],[Revised Due Date]]&lt;&gt;"",Main[[#This Row],[In Stock Date]]&lt;&gt;""),Main[[#This Row],[In Stock Date]]-Main[[#This Row],[Revised Due Date]],""))</f>
        <v/>
      </c>
      <c r="I1368" s="110" t="s">
        <v>399</v>
      </c>
      <c r="J1368" s="99" t="s">
        <v>75</v>
      </c>
      <c r="K1368" s="99" t="s">
        <v>1922</v>
      </c>
      <c r="L1368" s="89"/>
      <c r="M1368" s="75" t="str">
        <f>IF(Main[[#This Row],[Tech Start Date]]&lt;1/1/1990,"",IF(Main[[#This Row],[Class]]="C",WORKDAY(Main[[#This Row],[Tech Start Date]],9),IF(Main[[#This Row],[Class]]="B", WORKDAY(Main[[#This Row],[Tech Start Date]],6),IF(Main[[#This Row],[Class]]="A",WORKDAY(Main[[#This Row],[Tech Start Date]],2),""))))</f>
        <v/>
      </c>
      <c r="N1368" s="75" t="str">
        <f>IF(Main[[#This Row],[Tech Start Date]]&lt;1/1/1990,"",IF(Main[[#This Row],[Class]]="C",WORKDAY(Main[[#This Row],[Tech Start Date]],19),IF(Main[[#This Row],[Class]]="B", WORKDAY(Main[[#This Row],[Tech Start Date]],12),IF(Main[[#This Row],[Class]]="A",WORKDAY(Main[[#This Row],[Tech Start Date]],4),""))))</f>
        <v/>
      </c>
      <c r="O1368" s="75" t="str">
        <f>IF(Main[[#This Row],[Tech Start Date]]&lt;1/1/1990,"",IF(Main[[#This Row],[Class]]="C",WORKDAY(Main[[#This Row],[Tech Start Date]],23),IF(Main[[#This Row],[Class]]="B", WORKDAY(Main[[#This Row],[Tech Start Date]],15),IF(Main[[#This Row],[Class]]="A",WORKDAY(Main[[#This Row],[Tech Start Date]],5),""))))</f>
        <v/>
      </c>
      <c r="P1368" s="75" t="str">
        <f>IF(Main[[#This Row],[Tech Start Date]]&lt;1/1/1990,"",IF(Main[[#This Row],[Class]]="C",WORKDAY(Main[[#This Row],[Tech Start Date]],28),IF(Main[[#This Row],[Class]]="B", WORKDAY(Main[[#This Row],[Tech Start Date]],19),IF(Main[[#This Row],[Class]]="A",WORKDAY(Main[[#This Row],[Tech Start Date]],9),""))))</f>
        <v/>
      </c>
      <c r="Q1368" s="89"/>
      <c r="R1368" s="121"/>
      <c r="S1368" s="99" t="s">
        <v>6</v>
      </c>
      <c r="T1368" s="76" t="s">
        <v>4</v>
      </c>
      <c r="U1368" s="99" t="s">
        <v>29</v>
      </c>
      <c r="V1368" s="99" t="s">
        <v>1916</v>
      </c>
      <c r="W1368" s="99" t="s">
        <v>1917</v>
      </c>
      <c r="X1368" s="99" t="s">
        <v>74</v>
      </c>
      <c r="Y1368" s="73" t="s">
        <v>3025</v>
      </c>
      <c r="Z1368" s="73" t="s">
        <v>415</v>
      </c>
      <c r="AA1368" s="99" t="s">
        <v>74</v>
      </c>
    </row>
    <row r="1369" spans="1:27" ht="17.25" customHeight="1">
      <c r="A1369" s="65" t="str">
        <f>IF(priority(Main[[#This Row],[Comments]])&lt;&gt;0, priority(Main[[#This Row],[Comments]]),"")</f>
        <v/>
      </c>
      <c r="B1369" s="60" t="s">
        <v>1590</v>
      </c>
      <c r="C1369" s="105" t="s">
        <v>4</v>
      </c>
      <c r="D1369" s="74" t="s">
        <v>3939</v>
      </c>
      <c r="E1369" s="89">
        <v>40352.416608796295</v>
      </c>
      <c r="F1369" s="89"/>
      <c r="G1369" s="65" t="str">
        <f>IF(stdProdLT(Main[[#This Row],[Comments]])=0.1,"N/A",IF(stdProdLT(Main[[#This Row],[Comments]])=0,"",TRIM(stdProdLT(Main[[#This Row],[Comments]]))))</f>
        <v/>
      </c>
      <c r="H1369" s="98" t="str">
        <f>IF(Main[[#This Row],[Std. Prod. Lead Time]]="N/A", "",IF(AND(Main[[#This Row],[In Stock Date]]&lt;&gt;"",Main[[#This Row],[Revised Due Date]]&lt;&gt;"",Main[[#This Row],[In Stock Date]]&lt;&gt;""),Main[[#This Row],[In Stock Date]]-Main[[#This Row],[Revised Due Date]],""))</f>
        <v/>
      </c>
      <c r="I1369" s="110" t="s">
        <v>708</v>
      </c>
      <c r="J1369" s="99" t="s">
        <v>28</v>
      </c>
      <c r="K1369" s="99" t="s">
        <v>1925</v>
      </c>
      <c r="L1369" s="89"/>
      <c r="M1369" s="75" t="str">
        <f>IF(Main[[#This Row],[Tech Start Date]]&lt;1/1/1990,"",IF(Main[[#This Row],[Class]]="C",WORKDAY(Main[[#This Row],[Tech Start Date]],9),IF(Main[[#This Row],[Class]]="B", WORKDAY(Main[[#This Row],[Tech Start Date]],6),IF(Main[[#This Row],[Class]]="A",WORKDAY(Main[[#This Row],[Tech Start Date]],2),""))))</f>
        <v/>
      </c>
      <c r="N1369" s="75" t="str">
        <f>IF(Main[[#This Row],[Tech Start Date]]&lt;1/1/1990,"",IF(Main[[#This Row],[Class]]="C",WORKDAY(Main[[#This Row],[Tech Start Date]],19),IF(Main[[#This Row],[Class]]="B", WORKDAY(Main[[#This Row],[Tech Start Date]],12),IF(Main[[#This Row],[Class]]="A",WORKDAY(Main[[#This Row],[Tech Start Date]],4),""))))</f>
        <v/>
      </c>
      <c r="O1369" s="75" t="str">
        <f>IF(Main[[#This Row],[Tech Start Date]]&lt;1/1/1990,"",IF(Main[[#This Row],[Class]]="C",WORKDAY(Main[[#This Row],[Tech Start Date]],23),IF(Main[[#This Row],[Class]]="B", WORKDAY(Main[[#This Row],[Tech Start Date]],15),IF(Main[[#This Row],[Class]]="A",WORKDAY(Main[[#This Row],[Tech Start Date]],5),""))))</f>
        <v/>
      </c>
      <c r="P1369" s="75" t="str">
        <f>IF(Main[[#This Row],[Tech Start Date]]&lt;1/1/1990,"",IF(Main[[#This Row],[Class]]="C",WORKDAY(Main[[#This Row],[Tech Start Date]],28),IF(Main[[#This Row],[Class]]="B", WORKDAY(Main[[#This Row],[Tech Start Date]],19),IF(Main[[#This Row],[Class]]="A",WORKDAY(Main[[#This Row],[Tech Start Date]],9),""))))</f>
        <v/>
      </c>
      <c r="Q1369" s="89">
        <v>40387</v>
      </c>
      <c r="R1369" s="121">
        <v>41011</v>
      </c>
      <c r="S1369" s="99" t="s">
        <v>17</v>
      </c>
      <c r="T1369" s="76" t="s">
        <v>2460</v>
      </c>
      <c r="U1369" s="99" t="s">
        <v>29</v>
      </c>
      <c r="V1369" s="99" t="s">
        <v>1913</v>
      </c>
      <c r="W1369" s="99" t="s">
        <v>1918</v>
      </c>
      <c r="X1369" s="99" t="s">
        <v>708</v>
      </c>
      <c r="Y1369" s="73" t="s">
        <v>2925</v>
      </c>
      <c r="Z1369" s="73" t="s">
        <v>129</v>
      </c>
      <c r="AA1369" s="99" t="s">
        <v>708</v>
      </c>
    </row>
    <row r="1370" spans="1:27" ht="17.25" customHeight="1">
      <c r="A1370" s="65" t="str">
        <f>IF(priority(Main[[#This Row],[Comments]])&lt;&gt;0, priority(Main[[#This Row],[Comments]]),"")</f>
        <v/>
      </c>
      <c r="B1370" s="60" t="s">
        <v>3257</v>
      </c>
      <c r="C1370" s="105" t="s">
        <v>4</v>
      </c>
      <c r="D1370" s="74" t="s">
        <v>3756</v>
      </c>
      <c r="E1370" s="89">
        <v>40934.394444444442</v>
      </c>
      <c r="F1370" s="89"/>
      <c r="G1370" s="65" t="str">
        <f>IF(stdProdLT(Main[[#This Row],[Comments]])=0.1,"N/A",IF(stdProdLT(Main[[#This Row],[Comments]])=0,"",TRIM(stdProdLT(Main[[#This Row],[Comments]]))))</f>
        <v/>
      </c>
      <c r="H1370" s="98" t="str">
        <f>IF(Main[[#This Row],[Std. Prod. Lead Time]]="N/A", "",IF(AND(Main[[#This Row],[In Stock Date]]&lt;&gt;"",Main[[#This Row],[Revised Due Date]]&lt;&gt;"",Main[[#This Row],[In Stock Date]]&lt;&gt;""),Main[[#This Row],[In Stock Date]]-Main[[#This Row],[Revised Due Date]],""))</f>
        <v/>
      </c>
      <c r="I1370" s="110" t="s">
        <v>69</v>
      </c>
      <c r="J1370" s="99" t="s">
        <v>70</v>
      </c>
      <c r="K1370" s="99" t="s">
        <v>1922</v>
      </c>
      <c r="L1370" s="89"/>
      <c r="M1370" s="75" t="str">
        <f>IF(Main[[#This Row],[Tech Start Date]]&lt;1/1/1990,"",IF(Main[[#This Row],[Class]]="C",WORKDAY(Main[[#This Row],[Tech Start Date]],9),IF(Main[[#This Row],[Class]]="B", WORKDAY(Main[[#This Row],[Tech Start Date]],6),IF(Main[[#This Row],[Class]]="A",WORKDAY(Main[[#This Row],[Tech Start Date]],2),""))))</f>
        <v/>
      </c>
      <c r="N1370" s="75" t="str">
        <f>IF(Main[[#This Row],[Tech Start Date]]&lt;1/1/1990,"",IF(Main[[#This Row],[Class]]="C",WORKDAY(Main[[#This Row],[Tech Start Date]],19),IF(Main[[#This Row],[Class]]="B", WORKDAY(Main[[#This Row],[Tech Start Date]],12),IF(Main[[#This Row],[Class]]="A",WORKDAY(Main[[#This Row],[Tech Start Date]],4),""))))</f>
        <v/>
      </c>
      <c r="O1370" s="75" t="str">
        <f>IF(Main[[#This Row],[Tech Start Date]]&lt;1/1/1990,"",IF(Main[[#This Row],[Class]]="C",WORKDAY(Main[[#This Row],[Tech Start Date]],23),IF(Main[[#This Row],[Class]]="B", WORKDAY(Main[[#This Row],[Tech Start Date]],15),IF(Main[[#This Row],[Class]]="A",WORKDAY(Main[[#This Row],[Tech Start Date]],5),""))))</f>
        <v/>
      </c>
      <c r="P1370" s="75" t="str">
        <f>IF(Main[[#This Row],[Tech Start Date]]&lt;1/1/1990,"",IF(Main[[#This Row],[Class]]="C",WORKDAY(Main[[#This Row],[Tech Start Date]],28),IF(Main[[#This Row],[Class]]="B", WORKDAY(Main[[#This Row],[Tech Start Date]],19),IF(Main[[#This Row],[Class]]="A",WORKDAY(Main[[#This Row],[Tech Start Date]],9),""))))</f>
        <v/>
      </c>
      <c r="Q1370" s="89">
        <v>40968</v>
      </c>
      <c r="R1370" s="121"/>
      <c r="S1370" s="99" t="s">
        <v>6</v>
      </c>
      <c r="T1370" s="76" t="s">
        <v>4</v>
      </c>
      <c r="U1370" s="99" t="s">
        <v>29</v>
      </c>
      <c r="V1370" s="99" t="s">
        <v>1916</v>
      </c>
      <c r="W1370" s="99" t="s">
        <v>1917</v>
      </c>
      <c r="X1370" s="99" t="s">
        <v>2812</v>
      </c>
      <c r="Y1370" s="73" t="s">
        <v>2923</v>
      </c>
      <c r="Z1370" s="73" t="s">
        <v>30</v>
      </c>
      <c r="AA1370" s="99" t="s">
        <v>2812</v>
      </c>
    </row>
    <row r="1371" spans="1:27" ht="17.25" customHeight="1">
      <c r="A1371" s="65" t="str">
        <f>IF(priority(Main[[#This Row],[Comments]])&lt;&gt;0, priority(Main[[#This Row],[Comments]]),"")</f>
        <v/>
      </c>
      <c r="B1371" s="60" t="s">
        <v>3754</v>
      </c>
      <c r="C1371" s="105" t="s">
        <v>4</v>
      </c>
      <c r="D1371" s="74" t="s">
        <v>3755</v>
      </c>
      <c r="E1371" s="89">
        <v>40967.485150462962</v>
      </c>
      <c r="F1371" s="89"/>
      <c r="G1371" s="65" t="str">
        <f>IF(stdProdLT(Main[[#This Row],[Comments]])=0.1,"N/A",IF(stdProdLT(Main[[#This Row],[Comments]])=0,"",TRIM(stdProdLT(Main[[#This Row],[Comments]]))))</f>
        <v/>
      </c>
      <c r="H1371" s="98" t="str">
        <f>IF(Main[[#This Row],[Std. Prod. Lead Time]]="N/A", "",IF(AND(Main[[#This Row],[In Stock Date]]&lt;&gt;"",Main[[#This Row],[Revised Due Date]]&lt;&gt;"",Main[[#This Row],[In Stock Date]]&lt;&gt;""),Main[[#This Row],[In Stock Date]]-Main[[#This Row],[Revised Due Date]],""))</f>
        <v/>
      </c>
      <c r="I1371" s="110" t="s">
        <v>2047</v>
      </c>
      <c r="J1371" s="99" t="s">
        <v>28</v>
      </c>
      <c r="K1371" s="100" t="s">
        <v>4</v>
      </c>
      <c r="L1371" s="89"/>
      <c r="M1371" s="75" t="str">
        <f>IF(Main[[#This Row],[Tech Start Date]]&lt;1/1/1990,"",IF(Main[[#This Row],[Class]]="C",WORKDAY(Main[[#This Row],[Tech Start Date]],9),IF(Main[[#This Row],[Class]]="B", WORKDAY(Main[[#This Row],[Tech Start Date]],6),IF(Main[[#This Row],[Class]]="A",WORKDAY(Main[[#This Row],[Tech Start Date]],2),""))))</f>
        <v/>
      </c>
      <c r="N1371" s="75" t="str">
        <f>IF(Main[[#This Row],[Tech Start Date]]&lt;1/1/1990,"",IF(Main[[#This Row],[Class]]="C",WORKDAY(Main[[#This Row],[Tech Start Date]],19),IF(Main[[#This Row],[Class]]="B", WORKDAY(Main[[#This Row],[Tech Start Date]],12),IF(Main[[#This Row],[Class]]="A",WORKDAY(Main[[#This Row],[Tech Start Date]],4),""))))</f>
        <v/>
      </c>
      <c r="O1371" s="75" t="str">
        <f>IF(Main[[#This Row],[Tech Start Date]]&lt;1/1/1990,"",IF(Main[[#This Row],[Class]]="C",WORKDAY(Main[[#This Row],[Tech Start Date]],23),IF(Main[[#This Row],[Class]]="B", WORKDAY(Main[[#This Row],[Tech Start Date]],15),IF(Main[[#This Row],[Class]]="A",WORKDAY(Main[[#This Row],[Tech Start Date]],5),""))))</f>
        <v/>
      </c>
      <c r="P1371" s="75" t="str">
        <f>IF(Main[[#This Row],[Tech Start Date]]&lt;1/1/1990,"",IF(Main[[#This Row],[Class]]="C",WORKDAY(Main[[#This Row],[Tech Start Date]],28),IF(Main[[#This Row],[Class]]="B", WORKDAY(Main[[#This Row],[Tech Start Date]],19),IF(Main[[#This Row],[Class]]="A",WORKDAY(Main[[#This Row],[Tech Start Date]],9),""))))</f>
        <v/>
      </c>
      <c r="Q1371" s="89">
        <v>40999</v>
      </c>
      <c r="R1371" s="121"/>
      <c r="S1371" s="99" t="s">
        <v>6</v>
      </c>
      <c r="T1371" s="76" t="s">
        <v>4</v>
      </c>
      <c r="U1371" s="99" t="s">
        <v>29</v>
      </c>
      <c r="V1371" s="99" t="s">
        <v>1916</v>
      </c>
      <c r="W1371" s="99" t="s">
        <v>1917</v>
      </c>
      <c r="X1371" s="99" t="s">
        <v>81</v>
      </c>
      <c r="Y1371" s="73" t="s">
        <v>2963</v>
      </c>
      <c r="Z1371" s="73" t="s">
        <v>81</v>
      </c>
      <c r="AA1371" s="99" t="s">
        <v>81</v>
      </c>
    </row>
    <row r="1372" spans="1:27" ht="17.25" customHeight="1">
      <c r="A1372" s="65" t="str">
        <f>IF(priority(Main[[#This Row],[Comments]])&lt;&gt;0, priority(Main[[#This Row],[Comments]]),"")</f>
        <v/>
      </c>
      <c r="B1372" s="60" t="s">
        <v>1893</v>
      </c>
      <c r="C1372" s="105" t="s">
        <v>4</v>
      </c>
      <c r="D1372" s="74" t="s">
        <v>3688</v>
      </c>
      <c r="E1372" s="89">
        <v>40203.692094907405</v>
      </c>
      <c r="F1372" s="89"/>
      <c r="G1372" s="65" t="str">
        <f>IF(stdProdLT(Main[[#This Row],[Comments]])=0.1,"N/A",IF(stdProdLT(Main[[#This Row],[Comments]])=0,"",TRIM(stdProdLT(Main[[#This Row],[Comments]]))))</f>
        <v/>
      </c>
      <c r="H1372" s="98" t="str">
        <f>IF(Main[[#This Row],[Std. Prod. Lead Time]]="N/A", "",IF(AND(Main[[#This Row],[In Stock Date]]&lt;&gt;"",Main[[#This Row],[Revised Due Date]]&lt;&gt;"",Main[[#This Row],[In Stock Date]]&lt;&gt;""),Main[[#This Row],[In Stock Date]]-Main[[#This Row],[Revised Due Date]],""))</f>
        <v/>
      </c>
      <c r="I1372" s="110" t="s">
        <v>886</v>
      </c>
      <c r="J1372" s="99" t="s">
        <v>28</v>
      </c>
      <c r="K1372" s="99" t="s">
        <v>1925</v>
      </c>
      <c r="L1372" s="89"/>
      <c r="M1372" s="75" t="str">
        <f>IF(Main[[#This Row],[Tech Start Date]]&lt;1/1/1990,"",IF(Main[[#This Row],[Class]]="C",WORKDAY(Main[[#This Row],[Tech Start Date]],9),IF(Main[[#This Row],[Class]]="B", WORKDAY(Main[[#This Row],[Tech Start Date]],6),IF(Main[[#This Row],[Class]]="A",WORKDAY(Main[[#This Row],[Tech Start Date]],2),""))))</f>
        <v/>
      </c>
      <c r="N1372" s="75" t="str">
        <f>IF(Main[[#This Row],[Tech Start Date]]&lt;1/1/1990,"",IF(Main[[#This Row],[Class]]="C",WORKDAY(Main[[#This Row],[Tech Start Date]],19),IF(Main[[#This Row],[Class]]="B", WORKDAY(Main[[#This Row],[Tech Start Date]],12),IF(Main[[#This Row],[Class]]="A",WORKDAY(Main[[#This Row],[Tech Start Date]],4),""))))</f>
        <v/>
      </c>
      <c r="O1372" s="75" t="str">
        <f>IF(Main[[#This Row],[Tech Start Date]]&lt;1/1/1990,"",IF(Main[[#This Row],[Class]]="C",WORKDAY(Main[[#This Row],[Tech Start Date]],23),IF(Main[[#This Row],[Class]]="B", WORKDAY(Main[[#This Row],[Tech Start Date]],15),IF(Main[[#This Row],[Class]]="A",WORKDAY(Main[[#This Row],[Tech Start Date]],5),""))))</f>
        <v/>
      </c>
      <c r="P1372" s="75" t="str">
        <f>IF(Main[[#This Row],[Tech Start Date]]&lt;1/1/1990,"",IF(Main[[#This Row],[Class]]="C",WORKDAY(Main[[#This Row],[Tech Start Date]],28),IF(Main[[#This Row],[Class]]="B", WORKDAY(Main[[#This Row],[Tech Start Date]],19),IF(Main[[#This Row],[Class]]="A",WORKDAY(Main[[#This Row],[Tech Start Date]],9),""))))</f>
        <v/>
      </c>
      <c r="Q1372" s="89">
        <v>40724</v>
      </c>
      <c r="R1372" s="121">
        <v>41152</v>
      </c>
      <c r="S1372" s="99" t="s">
        <v>17</v>
      </c>
      <c r="T1372" s="76" t="s">
        <v>2459</v>
      </c>
      <c r="U1372" s="99" t="s">
        <v>29</v>
      </c>
      <c r="V1372" s="99" t="s">
        <v>1913</v>
      </c>
      <c r="W1372" s="99" t="s">
        <v>1918</v>
      </c>
      <c r="X1372" s="99" t="s">
        <v>129</v>
      </c>
      <c r="Y1372" s="73" t="s">
        <v>2927</v>
      </c>
      <c r="Z1372" s="73" t="s">
        <v>129</v>
      </c>
      <c r="AA1372" s="99" t="s">
        <v>129</v>
      </c>
    </row>
    <row r="1373" spans="1:27" ht="17.25" customHeight="1">
      <c r="A1373" s="65" t="str">
        <f>IF(priority(Main[[#This Row],[Comments]])&lt;&gt;0, priority(Main[[#This Row],[Comments]]),"")</f>
        <v/>
      </c>
      <c r="B1373" s="60" t="s">
        <v>1892</v>
      </c>
      <c r="C1373" s="105" t="s">
        <v>4</v>
      </c>
      <c r="D1373" s="74" t="s">
        <v>948</v>
      </c>
      <c r="E1373" s="89">
        <v>40112.566631944443</v>
      </c>
      <c r="F1373" s="89"/>
      <c r="G1373" s="65" t="str">
        <f>IF(stdProdLT(Main[[#This Row],[Comments]])=0.1,"N/A",IF(stdProdLT(Main[[#This Row],[Comments]])=0,"",TRIM(stdProdLT(Main[[#This Row],[Comments]]))))</f>
        <v/>
      </c>
      <c r="H1373" s="98" t="str">
        <f>IF(Main[[#This Row],[Std. Prod. Lead Time]]="N/A", "",IF(AND(Main[[#This Row],[In Stock Date]]&lt;&gt;"",Main[[#This Row],[Revised Due Date]]&lt;&gt;"",Main[[#This Row],[In Stock Date]]&lt;&gt;""),Main[[#This Row],[In Stock Date]]-Main[[#This Row],[Revised Due Date]],""))</f>
        <v/>
      </c>
      <c r="I1373" s="110" t="s">
        <v>898</v>
      </c>
      <c r="J1373" s="99" t="s">
        <v>4</v>
      </c>
      <c r="K1373" s="99" t="s">
        <v>1925</v>
      </c>
      <c r="L1373" s="89"/>
      <c r="M1373" s="75" t="str">
        <f>IF(Main[[#This Row],[Tech Start Date]]&lt;1/1/1990,"",IF(Main[[#This Row],[Class]]="C",WORKDAY(Main[[#This Row],[Tech Start Date]],9),IF(Main[[#This Row],[Class]]="B", WORKDAY(Main[[#This Row],[Tech Start Date]],6),IF(Main[[#This Row],[Class]]="A",WORKDAY(Main[[#This Row],[Tech Start Date]],2),""))))</f>
        <v/>
      </c>
      <c r="N1373" s="75" t="str">
        <f>IF(Main[[#This Row],[Tech Start Date]]&lt;1/1/1990,"",IF(Main[[#This Row],[Class]]="C",WORKDAY(Main[[#This Row],[Tech Start Date]],19),IF(Main[[#This Row],[Class]]="B", WORKDAY(Main[[#This Row],[Tech Start Date]],12),IF(Main[[#This Row],[Class]]="A",WORKDAY(Main[[#This Row],[Tech Start Date]],4),""))))</f>
        <v/>
      </c>
      <c r="O1373" s="75" t="str">
        <f>IF(Main[[#This Row],[Tech Start Date]]&lt;1/1/1990,"",IF(Main[[#This Row],[Class]]="C",WORKDAY(Main[[#This Row],[Tech Start Date]],23),IF(Main[[#This Row],[Class]]="B", WORKDAY(Main[[#This Row],[Tech Start Date]],15),IF(Main[[#This Row],[Class]]="A",WORKDAY(Main[[#This Row],[Tech Start Date]],5),""))))</f>
        <v/>
      </c>
      <c r="P1373" s="75" t="str">
        <f>IF(Main[[#This Row],[Tech Start Date]]&lt;1/1/1990,"",IF(Main[[#This Row],[Class]]="C",WORKDAY(Main[[#This Row],[Tech Start Date]],28),IF(Main[[#This Row],[Class]]="B", WORKDAY(Main[[#This Row],[Tech Start Date]],19),IF(Main[[#This Row],[Class]]="A",WORKDAY(Main[[#This Row],[Tech Start Date]],9),""))))</f>
        <v/>
      </c>
      <c r="Q1373" s="89">
        <v>40564</v>
      </c>
      <c r="R1373" s="121">
        <v>41264</v>
      </c>
      <c r="S1373" s="99" t="s">
        <v>17</v>
      </c>
      <c r="T1373" s="76" t="s">
        <v>4</v>
      </c>
      <c r="U1373" s="99" t="s">
        <v>29</v>
      </c>
      <c r="V1373" s="99" t="s">
        <v>1916</v>
      </c>
      <c r="W1373" s="99" t="s">
        <v>1918</v>
      </c>
      <c r="X1373" s="99" t="s">
        <v>968</v>
      </c>
      <c r="Y1373" s="73" t="s">
        <v>3109</v>
      </c>
      <c r="Z1373" s="73" t="s">
        <v>415</v>
      </c>
      <c r="AA1373" s="99" t="s">
        <v>968</v>
      </c>
    </row>
    <row r="1374" spans="1:27" ht="17.25" customHeight="1">
      <c r="A1374" s="65" t="str">
        <f>IF(priority(Main[[#This Row],[Comments]])&lt;&gt;0, priority(Main[[#This Row],[Comments]]),"")</f>
        <v/>
      </c>
      <c r="B1374" s="60" t="s">
        <v>2600</v>
      </c>
      <c r="C1374" s="105" t="s">
        <v>2350</v>
      </c>
      <c r="D1374" s="74" t="s">
        <v>2351</v>
      </c>
      <c r="E1374" s="89"/>
      <c r="F1374" s="89">
        <v>41036</v>
      </c>
      <c r="G1374" s="65" t="str">
        <f>IF(stdProdLT(Main[[#This Row],[Comments]])=0.1,"N/A",IF(stdProdLT(Main[[#This Row],[Comments]])=0,"",TRIM(stdProdLT(Main[[#This Row],[Comments]]))))</f>
        <v/>
      </c>
      <c r="H1374" s="98" t="str">
        <f>IF(Main[[#This Row],[Std. Prod. Lead Time]]="N/A", "",IF(AND(Main[[#This Row],[In Stock Date]]&lt;&gt;"",Main[[#This Row],[Revised Due Date]]&lt;&gt;"",Main[[#This Row],[In Stock Date]]&lt;&gt;""),Main[[#This Row],[In Stock Date]]-Main[[#This Row],[Revised Due Date]],""))</f>
        <v/>
      </c>
      <c r="I1374" s="110" t="s">
        <v>4</v>
      </c>
      <c r="J1374" s="99" t="s">
        <v>4</v>
      </c>
      <c r="K1374" s="100" t="s">
        <v>4</v>
      </c>
      <c r="L1374" s="89"/>
      <c r="M1374" s="75" t="str">
        <f>IF(Main[[#This Row],[Tech Start Date]]&lt;1/1/1990,"",IF(Main[[#This Row],[Class]]="C",WORKDAY(Main[[#This Row],[Tech Start Date]],9),IF(Main[[#This Row],[Class]]="B", WORKDAY(Main[[#This Row],[Tech Start Date]],6),IF(Main[[#This Row],[Class]]="A",WORKDAY(Main[[#This Row],[Tech Start Date]],2),""))))</f>
        <v/>
      </c>
      <c r="N1374" s="75" t="str">
        <f>IF(Main[[#This Row],[Tech Start Date]]&lt;1/1/1990,"",IF(Main[[#This Row],[Class]]="C",WORKDAY(Main[[#This Row],[Tech Start Date]],19),IF(Main[[#This Row],[Class]]="B", WORKDAY(Main[[#This Row],[Tech Start Date]],12),IF(Main[[#This Row],[Class]]="A",WORKDAY(Main[[#This Row],[Tech Start Date]],4),""))))</f>
        <v/>
      </c>
      <c r="O1374" s="75" t="str">
        <f>IF(Main[[#This Row],[Tech Start Date]]&lt;1/1/1990,"",IF(Main[[#This Row],[Class]]="C",WORKDAY(Main[[#This Row],[Tech Start Date]],23),IF(Main[[#This Row],[Class]]="B", WORKDAY(Main[[#This Row],[Tech Start Date]],15),IF(Main[[#This Row],[Class]]="A",WORKDAY(Main[[#This Row],[Tech Start Date]],5),""))))</f>
        <v/>
      </c>
      <c r="P1374" s="75" t="str">
        <f>IF(Main[[#This Row],[Tech Start Date]]&lt;1/1/1990,"",IF(Main[[#This Row],[Class]]="C",WORKDAY(Main[[#This Row],[Tech Start Date]],28),IF(Main[[#This Row],[Class]]="B", WORKDAY(Main[[#This Row],[Tech Start Date]],19),IF(Main[[#This Row],[Class]]="A",WORKDAY(Main[[#This Row],[Tech Start Date]],9),""))))</f>
        <v/>
      </c>
      <c r="Q1374" s="89">
        <v>40854</v>
      </c>
      <c r="R1374" s="121"/>
      <c r="S1374" s="99" t="s">
        <v>11</v>
      </c>
      <c r="T1374" s="76" t="s">
        <v>4</v>
      </c>
      <c r="U1374" s="99" t="s">
        <v>12</v>
      </c>
      <c r="V1374" s="99" t="s">
        <v>1916</v>
      </c>
      <c r="W1374" s="99" t="s">
        <v>1919</v>
      </c>
      <c r="X1374" s="99" t="s">
        <v>2837</v>
      </c>
      <c r="Y1374" s="73" t="s">
        <v>4</v>
      </c>
      <c r="Z1374" s="73" t="s">
        <v>4</v>
      </c>
      <c r="AA1374" s="99" t="s">
        <v>2837</v>
      </c>
    </row>
    <row r="1375" spans="1:27" ht="17.25" customHeight="1">
      <c r="A1375" s="65" t="str">
        <f>IF(priority(Main[[#This Row],[Comments]])&lt;&gt;0, priority(Main[[#This Row],[Comments]]),"")</f>
        <v/>
      </c>
      <c r="B1375" s="60" t="s">
        <v>2240</v>
      </c>
      <c r="C1375" s="105" t="s">
        <v>2241</v>
      </c>
      <c r="D1375" s="74" t="s">
        <v>2242</v>
      </c>
      <c r="E1375" s="89"/>
      <c r="F1375" s="89"/>
      <c r="G1375" s="65" t="str">
        <f>IF(stdProdLT(Main[[#This Row],[Comments]])=0.1,"N/A",IF(stdProdLT(Main[[#This Row],[Comments]])=0,"",TRIM(stdProdLT(Main[[#This Row],[Comments]]))))</f>
        <v/>
      </c>
      <c r="H1375" s="98" t="str">
        <f>IF(Main[[#This Row],[Std. Prod. Lead Time]]="N/A", "",IF(AND(Main[[#This Row],[In Stock Date]]&lt;&gt;"",Main[[#This Row],[Revised Due Date]]&lt;&gt;"",Main[[#This Row],[In Stock Date]]&lt;&gt;""),Main[[#This Row],[In Stock Date]]-Main[[#This Row],[Revised Due Date]],""))</f>
        <v/>
      </c>
      <c r="I1375" s="110" t="s">
        <v>2202</v>
      </c>
      <c r="J1375" s="99" t="s">
        <v>4</v>
      </c>
      <c r="K1375" s="99" t="s">
        <v>1922</v>
      </c>
      <c r="L1375" s="89">
        <v>37622</v>
      </c>
      <c r="M1375" s="75">
        <f>IF(Main[[#This Row],[Tech Start Date]]&lt;1/1/1990,"",IF(Main[[#This Row],[Class]]="C",WORKDAY(Main[[#This Row],[Tech Start Date]],9),IF(Main[[#This Row],[Class]]="B", WORKDAY(Main[[#This Row],[Tech Start Date]],6),IF(Main[[#This Row],[Class]]="A",WORKDAY(Main[[#This Row],[Tech Start Date]],2),""))))</f>
        <v>37624</v>
      </c>
      <c r="N1375" s="75">
        <f>IF(Main[[#This Row],[Tech Start Date]]&lt;1/1/1990,"",IF(Main[[#This Row],[Class]]="C",WORKDAY(Main[[#This Row],[Tech Start Date]],19),IF(Main[[#This Row],[Class]]="B", WORKDAY(Main[[#This Row],[Tech Start Date]],12),IF(Main[[#This Row],[Class]]="A",WORKDAY(Main[[#This Row],[Tech Start Date]],4),""))))</f>
        <v>37628</v>
      </c>
      <c r="O1375" s="75">
        <f>IF(Main[[#This Row],[Tech Start Date]]&lt;1/1/1990,"",IF(Main[[#This Row],[Class]]="C",WORKDAY(Main[[#This Row],[Tech Start Date]],23),IF(Main[[#This Row],[Class]]="B", WORKDAY(Main[[#This Row],[Tech Start Date]],15),IF(Main[[#This Row],[Class]]="A",WORKDAY(Main[[#This Row],[Tech Start Date]],5),""))))</f>
        <v>37629</v>
      </c>
      <c r="P1375" s="75">
        <f>IF(Main[[#This Row],[Tech Start Date]]&lt;1/1/1990,"",IF(Main[[#This Row],[Class]]="C",WORKDAY(Main[[#This Row],[Tech Start Date]],28),IF(Main[[#This Row],[Class]]="B", WORKDAY(Main[[#This Row],[Tech Start Date]],19),IF(Main[[#This Row],[Class]]="A",WORKDAY(Main[[#This Row],[Tech Start Date]],9),""))))</f>
        <v>37635</v>
      </c>
      <c r="Q1375" s="89"/>
      <c r="R1375" s="121">
        <v>37623</v>
      </c>
      <c r="S1375" s="99" t="s">
        <v>11</v>
      </c>
      <c r="T1375" s="76" t="s">
        <v>4</v>
      </c>
      <c r="U1375" s="99" t="s">
        <v>14</v>
      </c>
      <c r="V1375" s="99" t="s">
        <v>1928</v>
      </c>
      <c r="W1375" s="99" t="s">
        <v>1921</v>
      </c>
      <c r="X1375" s="99" t="s">
        <v>2908</v>
      </c>
      <c r="Y1375" s="73" t="s">
        <v>3135</v>
      </c>
      <c r="Z1375" s="73" t="s">
        <v>4</v>
      </c>
      <c r="AA1375" s="99" t="s">
        <v>3462</v>
      </c>
    </row>
    <row r="1376" spans="1:27" ht="17.25" customHeight="1">
      <c r="A1376" s="65" t="str">
        <f>IF(priority(Main[[#This Row],[Comments]])&lt;&gt;0, priority(Main[[#This Row],[Comments]]),"")</f>
        <v/>
      </c>
      <c r="B1376" s="60" t="s">
        <v>2278</v>
      </c>
      <c r="C1376" s="105" t="s">
        <v>2200</v>
      </c>
      <c r="D1376" s="74" t="s">
        <v>2201</v>
      </c>
      <c r="E1376" s="89">
        <v>40813.570081018515</v>
      </c>
      <c r="F1376" s="89"/>
      <c r="G1376" s="65" t="str">
        <f>IF(stdProdLT(Main[[#This Row],[Comments]])=0.1,"N/A",IF(stdProdLT(Main[[#This Row],[Comments]])=0,"",TRIM(stdProdLT(Main[[#This Row],[Comments]]))))</f>
        <v/>
      </c>
      <c r="H1376" s="98" t="str">
        <f>IF(Main[[#This Row],[Std. Prod. Lead Time]]="N/A", "",IF(AND(Main[[#This Row],[In Stock Date]]&lt;&gt;"",Main[[#This Row],[Revised Due Date]]&lt;&gt;"",Main[[#This Row],[In Stock Date]]&lt;&gt;""),Main[[#This Row],[In Stock Date]]-Main[[#This Row],[Revised Due Date]],""))</f>
        <v/>
      </c>
      <c r="I1376" s="110" t="s">
        <v>2202</v>
      </c>
      <c r="J1376" s="99" t="s">
        <v>4</v>
      </c>
      <c r="K1376" s="100" t="s">
        <v>1922</v>
      </c>
      <c r="L1376" s="89">
        <v>37622</v>
      </c>
      <c r="M1376" s="75">
        <f>IF(Main[[#This Row],[Tech Start Date]]&lt;1/1/1990,"",IF(Main[[#This Row],[Class]]="C",WORKDAY(Main[[#This Row],[Tech Start Date]],9),IF(Main[[#This Row],[Class]]="B", WORKDAY(Main[[#This Row],[Tech Start Date]],6),IF(Main[[#This Row],[Class]]="A",WORKDAY(Main[[#This Row],[Tech Start Date]],2),""))))</f>
        <v>37624</v>
      </c>
      <c r="N1376" s="75">
        <f>IF(Main[[#This Row],[Tech Start Date]]&lt;1/1/1990,"",IF(Main[[#This Row],[Class]]="C",WORKDAY(Main[[#This Row],[Tech Start Date]],19),IF(Main[[#This Row],[Class]]="B", WORKDAY(Main[[#This Row],[Tech Start Date]],12),IF(Main[[#This Row],[Class]]="A",WORKDAY(Main[[#This Row],[Tech Start Date]],4),""))))</f>
        <v>37628</v>
      </c>
      <c r="O1376" s="75">
        <f>IF(Main[[#This Row],[Tech Start Date]]&lt;1/1/1990,"",IF(Main[[#This Row],[Class]]="C",WORKDAY(Main[[#This Row],[Tech Start Date]],23),IF(Main[[#This Row],[Class]]="B", WORKDAY(Main[[#This Row],[Tech Start Date]],15),IF(Main[[#This Row],[Class]]="A",WORKDAY(Main[[#This Row],[Tech Start Date]],5),""))))</f>
        <v>37629</v>
      </c>
      <c r="P1376" s="75">
        <f>IF(Main[[#This Row],[Tech Start Date]]&lt;1/1/1990,"",IF(Main[[#This Row],[Class]]="C",WORKDAY(Main[[#This Row],[Tech Start Date]],28),IF(Main[[#This Row],[Class]]="B", WORKDAY(Main[[#This Row],[Tech Start Date]],19),IF(Main[[#This Row],[Class]]="A",WORKDAY(Main[[#This Row],[Tech Start Date]],9),""))))</f>
        <v>37635</v>
      </c>
      <c r="Q1376" s="89"/>
      <c r="R1376" s="121">
        <v>37623</v>
      </c>
      <c r="S1376" s="99" t="s">
        <v>11</v>
      </c>
      <c r="T1376" s="76" t="s">
        <v>4</v>
      </c>
      <c r="U1376" s="99" t="s">
        <v>29</v>
      </c>
      <c r="V1376" s="99" t="s">
        <v>2279</v>
      </c>
      <c r="W1376" s="99" t="s">
        <v>1921</v>
      </c>
      <c r="X1376" s="99" t="s">
        <v>2202</v>
      </c>
      <c r="Y1376" s="73" t="s">
        <v>3135</v>
      </c>
      <c r="Z1376" s="73" t="s">
        <v>4</v>
      </c>
      <c r="AA1376" s="99" t="s">
        <v>3462</v>
      </c>
    </row>
    <row r="1377" spans="1:27" ht="17.25" customHeight="1">
      <c r="A1377" s="65" t="str">
        <f>IF(priority(Main[[#This Row],[Comments]])&lt;&gt;0, priority(Main[[#This Row],[Comments]]),"")</f>
        <v/>
      </c>
      <c r="B1377" s="60" t="s">
        <v>2239</v>
      </c>
      <c r="C1377" s="105" t="s">
        <v>2200</v>
      </c>
      <c r="D1377" s="74" t="s">
        <v>2201</v>
      </c>
      <c r="E1377" s="89"/>
      <c r="F1377" s="89"/>
      <c r="G1377" s="65" t="str">
        <f>IF(stdProdLT(Main[[#This Row],[Comments]])=0.1,"N/A",IF(stdProdLT(Main[[#This Row],[Comments]])=0,"",TRIM(stdProdLT(Main[[#This Row],[Comments]]))))</f>
        <v/>
      </c>
      <c r="H1377" s="98" t="str">
        <f>IF(Main[[#This Row],[Std. Prod. Lead Time]]="N/A", "",IF(AND(Main[[#This Row],[In Stock Date]]&lt;&gt;"",Main[[#This Row],[Revised Due Date]]&lt;&gt;"",Main[[#This Row],[In Stock Date]]&lt;&gt;""),Main[[#This Row],[In Stock Date]]-Main[[#This Row],[Revised Due Date]],""))</f>
        <v/>
      </c>
      <c r="I1377" s="110" t="s">
        <v>2202</v>
      </c>
      <c r="J1377" s="99" t="s">
        <v>4</v>
      </c>
      <c r="K1377" s="99" t="s">
        <v>1922</v>
      </c>
      <c r="L1377" s="89">
        <v>37622</v>
      </c>
      <c r="M1377" s="75">
        <f>IF(Main[[#This Row],[Tech Start Date]]&lt;1/1/1990,"",IF(Main[[#This Row],[Class]]="C",WORKDAY(Main[[#This Row],[Tech Start Date]],9),IF(Main[[#This Row],[Class]]="B", WORKDAY(Main[[#This Row],[Tech Start Date]],6),IF(Main[[#This Row],[Class]]="A",WORKDAY(Main[[#This Row],[Tech Start Date]],2),""))))</f>
        <v>37624</v>
      </c>
      <c r="N1377" s="75">
        <f>IF(Main[[#This Row],[Tech Start Date]]&lt;1/1/1990,"",IF(Main[[#This Row],[Class]]="C",WORKDAY(Main[[#This Row],[Tech Start Date]],19),IF(Main[[#This Row],[Class]]="B", WORKDAY(Main[[#This Row],[Tech Start Date]],12),IF(Main[[#This Row],[Class]]="A",WORKDAY(Main[[#This Row],[Tech Start Date]],4),""))))</f>
        <v>37628</v>
      </c>
      <c r="O1377" s="75">
        <f>IF(Main[[#This Row],[Tech Start Date]]&lt;1/1/1990,"",IF(Main[[#This Row],[Class]]="C",WORKDAY(Main[[#This Row],[Tech Start Date]],23),IF(Main[[#This Row],[Class]]="B", WORKDAY(Main[[#This Row],[Tech Start Date]],15),IF(Main[[#This Row],[Class]]="A",WORKDAY(Main[[#This Row],[Tech Start Date]],5),""))))</f>
        <v>37629</v>
      </c>
      <c r="P1377" s="75">
        <f>IF(Main[[#This Row],[Tech Start Date]]&lt;1/1/1990,"",IF(Main[[#This Row],[Class]]="C",WORKDAY(Main[[#This Row],[Tech Start Date]],28),IF(Main[[#This Row],[Class]]="B", WORKDAY(Main[[#This Row],[Tech Start Date]],19),IF(Main[[#This Row],[Class]]="A",WORKDAY(Main[[#This Row],[Tech Start Date]],9),""))))</f>
        <v>37635</v>
      </c>
      <c r="Q1377" s="89"/>
      <c r="R1377" s="121">
        <v>37623</v>
      </c>
      <c r="S1377" s="99" t="s">
        <v>11</v>
      </c>
      <c r="T1377" s="76" t="s">
        <v>4</v>
      </c>
      <c r="U1377" s="99" t="s">
        <v>14</v>
      </c>
      <c r="V1377" s="99" t="s">
        <v>1928</v>
      </c>
      <c r="W1377" s="99" t="s">
        <v>1921</v>
      </c>
      <c r="X1377" s="99" t="s">
        <v>2202</v>
      </c>
      <c r="Y1377" s="73" t="s">
        <v>3135</v>
      </c>
      <c r="Z1377" s="73" t="s">
        <v>4</v>
      </c>
      <c r="AA1377" s="99" t="s">
        <v>3462</v>
      </c>
    </row>
    <row r="1378" spans="1:27" ht="17.25" customHeight="1">
      <c r="A1378" s="65" t="str">
        <f>IF(priority(Main[[#This Row],[Comments]])&lt;&gt;0, priority(Main[[#This Row],[Comments]]),"")</f>
        <v/>
      </c>
      <c r="B1378" s="60" t="s">
        <v>2199</v>
      </c>
      <c r="C1378" s="105" t="s">
        <v>2200</v>
      </c>
      <c r="D1378" s="74" t="s">
        <v>2201</v>
      </c>
      <c r="E1378" s="89"/>
      <c r="F1378" s="89"/>
      <c r="G1378" s="65" t="str">
        <f>IF(stdProdLT(Main[[#This Row],[Comments]])=0.1,"N/A",IF(stdProdLT(Main[[#This Row],[Comments]])=0,"",TRIM(stdProdLT(Main[[#This Row],[Comments]]))))</f>
        <v/>
      </c>
      <c r="H1378" s="98" t="str">
        <f>IF(Main[[#This Row],[Std. Prod. Lead Time]]="N/A", "",IF(AND(Main[[#This Row],[In Stock Date]]&lt;&gt;"",Main[[#This Row],[Revised Due Date]]&lt;&gt;"",Main[[#This Row],[In Stock Date]]&lt;&gt;""),Main[[#This Row],[In Stock Date]]-Main[[#This Row],[Revised Due Date]],""))</f>
        <v/>
      </c>
      <c r="I1378" s="110" t="s">
        <v>2202</v>
      </c>
      <c r="J1378" s="99" t="s">
        <v>4</v>
      </c>
      <c r="K1378" s="99" t="s">
        <v>1922</v>
      </c>
      <c r="L1378" s="89">
        <v>37622</v>
      </c>
      <c r="M1378" s="75">
        <f>IF(Main[[#This Row],[Tech Start Date]]&lt;1/1/1990,"",IF(Main[[#This Row],[Class]]="C",WORKDAY(Main[[#This Row],[Tech Start Date]],9),IF(Main[[#This Row],[Class]]="B", WORKDAY(Main[[#This Row],[Tech Start Date]],6),IF(Main[[#This Row],[Class]]="A",WORKDAY(Main[[#This Row],[Tech Start Date]],2),""))))</f>
        <v>37624</v>
      </c>
      <c r="N1378" s="75">
        <f>IF(Main[[#This Row],[Tech Start Date]]&lt;1/1/1990,"",IF(Main[[#This Row],[Class]]="C",WORKDAY(Main[[#This Row],[Tech Start Date]],19),IF(Main[[#This Row],[Class]]="B", WORKDAY(Main[[#This Row],[Tech Start Date]],12),IF(Main[[#This Row],[Class]]="A",WORKDAY(Main[[#This Row],[Tech Start Date]],4),""))))</f>
        <v>37628</v>
      </c>
      <c r="O1378" s="75">
        <f>IF(Main[[#This Row],[Tech Start Date]]&lt;1/1/1990,"",IF(Main[[#This Row],[Class]]="C",WORKDAY(Main[[#This Row],[Tech Start Date]],23),IF(Main[[#This Row],[Class]]="B", WORKDAY(Main[[#This Row],[Tech Start Date]],15),IF(Main[[#This Row],[Class]]="A",WORKDAY(Main[[#This Row],[Tech Start Date]],5),""))))</f>
        <v>37629</v>
      </c>
      <c r="P1378" s="75">
        <f>IF(Main[[#This Row],[Tech Start Date]]&lt;1/1/1990,"",IF(Main[[#This Row],[Class]]="C",WORKDAY(Main[[#This Row],[Tech Start Date]],28),IF(Main[[#This Row],[Class]]="B", WORKDAY(Main[[#This Row],[Tech Start Date]],19),IF(Main[[#This Row],[Class]]="A",WORKDAY(Main[[#This Row],[Tech Start Date]],9),""))))</f>
        <v>37635</v>
      </c>
      <c r="Q1378" s="89"/>
      <c r="R1378" s="121">
        <v>37623</v>
      </c>
      <c r="S1378" s="99" t="s">
        <v>11</v>
      </c>
      <c r="T1378" s="76" t="s">
        <v>4</v>
      </c>
      <c r="U1378" s="99" t="s">
        <v>14</v>
      </c>
      <c r="V1378" s="99" t="s">
        <v>1928</v>
      </c>
      <c r="W1378" s="99" t="s">
        <v>1921</v>
      </c>
      <c r="X1378" s="99" t="s">
        <v>2202</v>
      </c>
      <c r="Y1378" s="73" t="s">
        <v>3135</v>
      </c>
      <c r="Z1378" s="73" t="s">
        <v>4</v>
      </c>
      <c r="AA1378" s="99" t="s">
        <v>3462</v>
      </c>
    </row>
    <row r="1379" spans="1:27" ht="17.25" customHeight="1">
      <c r="A1379" s="65" t="str">
        <f>IF(priority(Main[[#This Row],[Comments]])&lt;&gt;0, priority(Main[[#This Row],[Comments]]),"")</f>
        <v/>
      </c>
      <c r="B1379" s="60" t="s">
        <v>1809</v>
      </c>
      <c r="C1379" s="105" t="s">
        <v>855</v>
      </c>
      <c r="D1379" s="74" t="s">
        <v>859</v>
      </c>
      <c r="E1379" s="89">
        <v>40085.252314814818</v>
      </c>
      <c r="F1379" s="89">
        <v>40421</v>
      </c>
      <c r="G1379" s="65" t="str">
        <f>IF(stdProdLT(Main[[#This Row],[Comments]])=0.1,"N/A",IF(stdProdLT(Main[[#This Row],[Comments]])=0,"",TRIM(stdProdLT(Main[[#This Row],[Comments]]))))</f>
        <v/>
      </c>
      <c r="H1379" s="98">
        <f>IF(Main[[#This Row],[Std. Prod. Lead Time]]="N/A", "",IF(AND(Main[[#This Row],[In Stock Date]]&lt;&gt;"",Main[[#This Row],[Revised Due Date]]&lt;&gt;"",Main[[#This Row],[In Stock Date]]&lt;&gt;""),Main[[#This Row],[In Stock Date]]-Main[[#This Row],[Revised Due Date]],""))</f>
        <v>193</v>
      </c>
      <c r="I1379" s="110" t="s">
        <v>852</v>
      </c>
      <c r="J1379" s="99" t="s">
        <v>4</v>
      </c>
      <c r="K1379" s="99" t="s">
        <v>1925</v>
      </c>
      <c r="L1379" s="89">
        <v>40091</v>
      </c>
      <c r="M1379" s="75" t="str">
        <f>IF(Main[[#This Row],[Tech Start Date]]&lt;1/1/1990,"",IF(Main[[#This Row],[Class]]="C",WORKDAY(Main[[#This Row],[Tech Start Date]],9),IF(Main[[#This Row],[Class]]="B", WORKDAY(Main[[#This Row],[Tech Start Date]],6),IF(Main[[#This Row],[Class]]="A",WORKDAY(Main[[#This Row],[Tech Start Date]],2),""))))</f>
        <v/>
      </c>
      <c r="N1379" s="75" t="str">
        <f>IF(Main[[#This Row],[Tech Start Date]]&lt;1/1/1990,"",IF(Main[[#This Row],[Class]]="C",WORKDAY(Main[[#This Row],[Tech Start Date]],19),IF(Main[[#This Row],[Class]]="B", WORKDAY(Main[[#This Row],[Tech Start Date]],12),IF(Main[[#This Row],[Class]]="A",WORKDAY(Main[[#This Row],[Tech Start Date]],4),""))))</f>
        <v/>
      </c>
      <c r="O1379" s="75" t="str">
        <f>IF(Main[[#This Row],[Tech Start Date]]&lt;1/1/1990,"",IF(Main[[#This Row],[Class]]="C",WORKDAY(Main[[#This Row],[Tech Start Date]],23),IF(Main[[#This Row],[Class]]="B", WORKDAY(Main[[#This Row],[Tech Start Date]],15),IF(Main[[#This Row],[Class]]="A",WORKDAY(Main[[#This Row],[Tech Start Date]],5),""))))</f>
        <v/>
      </c>
      <c r="P1379" s="75" t="str">
        <f>IF(Main[[#This Row],[Tech Start Date]]&lt;1/1/1990,"",IF(Main[[#This Row],[Class]]="C",WORKDAY(Main[[#This Row],[Tech Start Date]],28),IF(Main[[#This Row],[Class]]="B", WORKDAY(Main[[#This Row],[Tech Start Date]],19),IF(Main[[#This Row],[Class]]="A",WORKDAY(Main[[#This Row],[Tech Start Date]],9),""))))</f>
        <v/>
      </c>
      <c r="Q1379" s="89">
        <v>40239</v>
      </c>
      <c r="R1379" s="121">
        <v>40228</v>
      </c>
      <c r="S1379" s="99" t="s">
        <v>17</v>
      </c>
      <c r="T1379" s="76" t="s">
        <v>4</v>
      </c>
      <c r="U1379" s="99" t="s">
        <v>29</v>
      </c>
      <c r="V1379" s="99" t="s">
        <v>1916</v>
      </c>
      <c r="W1379" s="99" t="s">
        <v>1918</v>
      </c>
      <c r="X1379" s="99" t="s">
        <v>2909</v>
      </c>
      <c r="Y1379" s="73" t="s">
        <v>4</v>
      </c>
      <c r="Z1379" s="73" t="s">
        <v>852</v>
      </c>
      <c r="AA1379" s="99" t="s">
        <v>2909</v>
      </c>
    </row>
    <row r="1380" spans="1:27" ht="17.25" customHeight="1">
      <c r="A1380" s="65" t="str">
        <f>IF(priority(Main[[#This Row],[Comments]])&lt;&gt;0, priority(Main[[#This Row],[Comments]]),"")</f>
        <v/>
      </c>
      <c r="B1380" s="60" t="s">
        <v>1802</v>
      </c>
      <c r="C1380" s="105" t="s">
        <v>93</v>
      </c>
      <c r="D1380" s="74" t="s">
        <v>850</v>
      </c>
      <c r="E1380" s="89"/>
      <c r="F1380" s="89">
        <v>40238</v>
      </c>
      <c r="G1380" s="65" t="str">
        <f>IF(stdProdLT(Main[[#This Row],[Comments]])=0.1,"N/A",IF(stdProdLT(Main[[#This Row],[Comments]])=0,"",TRIM(stdProdLT(Main[[#This Row],[Comments]]))))</f>
        <v/>
      </c>
      <c r="H1380" s="98">
        <f>IF(Main[[#This Row],[Std. Prod. Lead Time]]="N/A", "",IF(AND(Main[[#This Row],[In Stock Date]]&lt;&gt;"",Main[[#This Row],[Revised Due Date]]&lt;&gt;"",Main[[#This Row],[In Stock Date]]&lt;&gt;""),Main[[#This Row],[In Stock Date]]-Main[[#This Row],[Revised Due Date]],""))</f>
        <v>81</v>
      </c>
      <c r="I1380" s="110" t="s">
        <v>44</v>
      </c>
      <c r="J1380" s="99" t="s">
        <v>4</v>
      </c>
      <c r="K1380" s="100" t="s">
        <v>4</v>
      </c>
      <c r="L1380" s="89">
        <v>40127</v>
      </c>
      <c r="M1380" s="75" t="str">
        <f>IF(Main[[#This Row],[Tech Start Date]]&lt;1/1/1990,"",IF(Main[[#This Row],[Class]]="C",WORKDAY(Main[[#This Row],[Tech Start Date]],9),IF(Main[[#This Row],[Class]]="B", WORKDAY(Main[[#This Row],[Tech Start Date]],6),IF(Main[[#This Row],[Class]]="A",WORKDAY(Main[[#This Row],[Tech Start Date]],2),""))))</f>
        <v/>
      </c>
      <c r="N1380" s="75" t="str">
        <f>IF(Main[[#This Row],[Tech Start Date]]&lt;1/1/1990,"",IF(Main[[#This Row],[Class]]="C",WORKDAY(Main[[#This Row],[Tech Start Date]],19),IF(Main[[#This Row],[Class]]="B", WORKDAY(Main[[#This Row],[Tech Start Date]],12),IF(Main[[#This Row],[Class]]="A",WORKDAY(Main[[#This Row],[Tech Start Date]],4),""))))</f>
        <v/>
      </c>
      <c r="O1380" s="75" t="str">
        <f>IF(Main[[#This Row],[Tech Start Date]]&lt;1/1/1990,"",IF(Main[[#This Row],[Class]]="C",WORKDAY(Main[[#This Row],[Tech Start Date]],23),IF(Main[[#This Row],[Class]]="B", WORKDAY(Main[[#This Row],[Tech Start Date]],15),IF(Main[[#This Row],[Class]]="A",WORKDAY(Main[[#This Row],[Tech Start Date]],5),""))))</f>
        <v/>
      </c>
      <c r="P1380" s="75" t="str">
        <f>IF(Main[[#This Row],[Tech Start Date]]&lt;1/1/1990,"",IF(Main[[#This Row],[Class]]="C",WORKDAY(Main[[#This Row],[Tech Start Date]],28),IF(Main[[#This Row],[Class]]="B", WORKDAY(Main[[#This Row],[Tech Start Date]],19),IF(Main[[#This Row],[Class]]="A",WORKDAY(Main[[#This Row],[Tech Start Date]],9),""))))</f>
        <v/>
      </c>
      <c r="Q1380" s="89">
        <v>40223</v>
      </c>
      <c r="R1380" s="121">
        <v>40157</v>
      </c>
      <c r="S1380" s="99" t="s">
        <v>11</v>
      </c>
      <c r="T1380" s="76" t="s">
        <v>4</v>
      </c>
      <c r="U1380" s="99" t="s">
        <v>14</v>
      </c>
      <c r="V1380" s="99" t="s">
        <v>1923</v>
      </c>
      <c r="W1380" s="99" t="s">
        <v>1924</v>
      </c>
      <c r="X1380" s="99" t="s">
        <v>2839</v>
      </c>
      <c r="Y1380" s="73" t="s">
        <v>4</v>
      </c>
      <c r="Z1380" s="73" t="s">
        <v>4</v>
      </c>
      <c r="AA1380" s="99" t="s">
        <v>2839</v>
      </c>
    </row>
    <row r="1381" spans="1:27" ht="17.25" customHeight="1">
      <c r="A1381" s="65" t="str">
        <f>IF(priority(Main[[#This Row],[Comments]])&lt;&gt;0, priority(Main[[#This Row],[Comments]]),"")</f>
        <v/>
      </c>
      <c r="B1381" s="60" t="s">
        <v>1181</v>
      </c>
      <c r="C1381" s="105" t="s">
        <v>4</v>
      </c>
      <c r="D1381" s="74" t="s">
        <v>238</v>
      </c>
      <c r="E1381" s="89"/>
      <c r="F1381" s="89"/>
      <c r="G1381" s="65" t="str">
        <f>IF(stdProdLT(Main[[#This Row],[Comments]])=0.1,"N/A",IF(stdProdLT(Main[[#This Row],[Comments]])=0,"",TRIM(stdProdLT(Main[[#This Row],[Comments]]))))</f>
        <v/>
      </c>
      <c r="H1381" s="98" t="str">
        <f>IF(Main[[#This Row],[Std. Prod. Lead Time]]="N/A", "",IF(AND(Main[[#This Row],[In Stock Date]]&lt;&gt;"",Main[[#This Row],[Revised Due Date]]&lt;&gt;"",Main[[#This Row],[In Stock Date]]&lt;&gt;""),Main[[#This Row],[In Stock Date]]-Main[[#This Row],[Revised Due Date]],""))</f>
        <v/>
      </c>
      <c r="I1381" s="110" t="s">
        <v>239</v>
      </c>
      <c r="J1381" s="99" t="s">
        <v>4</v>
      </c>
      <c r="K1381" s="99" t="s">
        <v>4</v>
      </c>
      <c r="L1381" s="89">
        <v>40134</v>
      </c>
      <c r="M1381" s="75" t="str">
        <f>IF(Main[[#This Row],[Tech Start Date]]&lt;1/1/1990,"",IF(Main[[#This Row],[Class]]="C",WORKDAY(Main[[#This Row],[Tech Start Date]],9),IF(Main[[#This Row],[Class]]="B", WORKDAY(Main[[#This Row],[Tech Start Date]],6),IF(Main[[#This Row],[Class]]="A",WORKDAY(Main[[#This Row],[Tech Start Date]],2),""))))</f>
        <v/>
      </c>
      <c r="N1381" s="75" t="str">
        <f>IF(Main[[#This Row],[Tech Start Date]]&lt;1/1/1990,"",IF(Main[[#This Row],[Class]]="C",WORKDAY(Main[[#This Row],[Tech Start Date]],19),IF(Main[[#This Row],[Class]]="B", WORKDAY(Main[[#This Row],[Tech Start Date]],12),IF(Main[[#This Row],[Class]]="A",WORKDAY(Main[[#This Row],[Tech Start Date]],4),""))))</f>
        <v/>
      </c>
      <c r="O1381" s="75" t="str">
        <f>IF(Main[[#This Row],[Tech Start Date]]&lt;1/1/1990,"",IF(Main[[#This Row],[Class]]="C",WORKDAY(Main[[#This Row],[Tech Start Date]],23),IF(Main[[#This Row],[Class]]="B", WORKDAY(Main[[#This Row],[Tech Start Date]],15),IF(Main[[#This Row],[Class]]="A",WORKDAY(Main[[#This Row],[Tech Start Date]],5),""))))</f>
        <v/>
      </c>
      <c r="P1381" s="75" t="str">
        <f>IF(Main[[#This Row],[Tech Start Date]]&lt;1/1/1990,"",IF(Main[[#This Row],[Class]]="C",WORKDAY(Main[[#This Row],[Tech Start Date]],28),IF(Main[[#This Row],[Class]]="B", WORKDAY(Main[[#This Row],[Tech Start Date]],19),IF(Main[[#This Row],[Class]]="A",WORKDAY(Main[[#This Row],[Tech Start Date]],9),""))))</f>
        <v/>
      </c>
      <c r="Q1381" s="89"/>
      <c r="R1381" s="121"/>
      <c r="S1381" s="99" t="s">
        <v>6</v>
      </c>
      <c r="T1381" s="76" t="s">
        <v>4</v>
      </c>
      <c r="U1381" s="99" t="s">
        <v>14</v>
      </c>
      <c r="V1381" s="99" t="s">
        <v>1916</v>
      </c>
      <c r="W1381" s="99" t="s">
        <v>4</v>
      </c>
      <c r="X1381" s="99" t="s">
        <v>2816</v>
      </c>
      <c r="Y1381" s="73" t="s">
        <v>3136</v>
      </c>
      <c r="Z1381" s="73" t="s">
        <v>4</v>
      </c>
      <c r="AA1381" s="99" t="s">
        <v>2816</v>
      </c>
    </row>
    <row r="1382" spans="1:27" ht="17.25" customHeight="1">
      <c r="A1382" s="65" t="str">
        <f>IF(priority(Main[[#This Row],[Comments]])&lt;&gt;0, priority(Main[[#This Row],[Comments]]),"")</f>
        <v/>
      </c>
      <c r="B1382" s="60" t="s">
        <v>1848</v>
      </c>
      <c r="C1382" s="105" t="s">
        <v>857</v>
      </c>
      <c r="D1382" s="74" t="s">
        <v>905</v>
      </c>
      <c r="E1382" s="89"/>
      <c r="F1382" s="89">
        <v>40305</v>
      </c>
      <c r="G1382" s="65" t="str">
        <f>IF(stdProdLT(Main[[#This Row],[Comments]])=0.1,"N/A",IF(stdProdLT(Main[[#This Row],[Comments]])=0,"",TRIM(stdProdLT(Main[[#This Row],[Comments]]))))</f>
        <v/>
      </c>
      <c r="H1382" s="98">
        <f>IF(Main[[#This Row],[Std. Prod. Lead Time]]="N/A", "",IF(AND(Main[[#This Row],[In Stock Date]]&lt;&gt;"",Main[[#This Row],[Revised Due Date]]&lt;&gt;"",Main[[#This Row],[In Stock Date]]&lt;&gt;""),Main[[#This Row],[In Stock Date]]-Main[[#This Row],[Revised Due Date]],""))</f>
        <v>-226</v>
      </c>
      <c r="I1382" s="110" t="s">
        <v>431</v>
      </c>
      <c r="J1382" s="99" t="s">
        <v>4</v>
      </c>
      <c r="K1382" s="99" t="s">
        <v>1920</v>
      </c>
      <c r="L1382" s="89">
        <v>40162</v>
      </c>
      <c r="M1382" s="75">
        <f>IF(Main[[#This Row],[Tech Start Date]]&lt;1/1/1990,"",IF(Main[[#This Row],[Class]]="C",WORKDAY(Main[[#This Row],[Tech Start Date]],9),IF(Main[[#This Row],[Class]]="B", WORKDAY(Main[[#This Row],[Tech Start Date]],6),IF(Main[[#This Row],[Class]]="A",WORKDAY(Main[[#This Row],[Tech Start Date]],2),""))))</f>
        <v>40170</v>
      </c>
      <c r="N1382" s="75">
        <f>IF(Main[[#This Row],[Tech Start Date]]&lt;1/1/1990,"",IF(Main[[#This Row],[Class]]="C",WORKDAY(Main[[#This Row],[Tech Start Date]],19),IF(Main[[#This Row],[Class]]="B", WORKDAY(Main[[#This Row],[Tech Start Date]],12),IF(Main[[#This Row],[Class]]="A",WORKDAY(Main[[#This Row],[Tech Start Date]],4),""))))</f>
        <v>40178</v>
      </c>
      <c r="O1382" s="75">
        <f>IF(Main[[#This Row],[Tech Start Date]]&lt;1/1/1990,"",IF(Main[[#This Row],[Class]]="C",WORKDAY(Main[[#This Row],[Tech Start Date]],23),IF(Main[[#This Row],[Class]]="B", WORKDAY(Main[[#This Row],[Tech Start Date]],15),IF(Main[[#This Row],[Class]]="A",WORKDAY(Main[[#This Row],[Tech Start Date]],5),""))))</f>
        <v>40183</v>
      </c>
      <c r="P1382" s="75">
        <f>IF(Main[[#This Row],[Tech Start Date]]&lt;1/1/1990,"",IF(Main[[#This Row],[Class]]="C",WORKDAY(Main[[#This Row],[Tech Start Date]],28),IF(Main[[#This Row],[Class]]="B", WORKDAY(Main[[#This Row],[Tech Start Date]],19),IF(Main[[#This Row],[Class]]="A",WORKDAY(Main[[#This Row],[Tech Start Date]],9),""))))</f>
        <v>40189</v>
      </c>
      <c r="Q1382" s="89">
        <v>40531</v>
      </c>
      <c r="R1382" s="121">
        <v>40531</v>
      </c>
      <c r="S1382" s="99" t="s">
        <v>11</v>
      </c>
      <c r="T1382" s="76" t="s">
        <v>4</v>
      </c>
      <c r="U1382" s="99" t="s">
        <v>14</v>
      </c>
      <c r="V1382" s="99" t="s">
        <v>1916</v>
      </c>
      <c r="W1382" s="99" t="s">
        <v>1921</v>
      </c>
      <c r="X1382" s="99" t="s">
        <v>2910</v>
      </c>
      <c r="Y1382" s="73" t="s">
        <v>4</v>
      </c>
      <c r="Z1382" s="73" t="s">
        <v>4</v>
      </c>
      <c r="AA1382" s="99" t="s">
        <v>2910</v>
      </c>
    </row>
    <row r="1383" spans="1:27" ht="17.25" customHeight="1">
      <c r="A1383" s="65" t="str">
        <f>IF(priority(Main[[#This Row],[Comments]])&lt;&gt;0, priority(Main[[#This Row],[Comments]]),"")</f>
        <v/>
      </c>
      <c r="B1383" s="60" t="s">
        <v>1806</v>
      </c>
      <c r="C1383" s="105" t="s">
        <v>31</v>
      </c>
      <c r="D1383" s="74" t="s">
        <v>854</v>
      </c>
      <c r="E1383" s="89"/>
      <c r="F1383" s="89">
        <v>40192</v>
      </c>
      <c r="G1383" s="65" t="str">
        <f>IF(stdProdLT(Main[[#This Row],[Comments]])=0.1,"N/A",IF(stdProdLT(Main[[#This Row],[Comments]])=0,"",TRIM(stdProdLT(Main[[#This Row],[Comments]]))))</f>
        <v/>
      </c>
      <c r="H1383" s="98">
        <f>IF(Main[[#This Row],[Std. Prod. Lead Time]]="N/A", "",IF(AND(Main[[#This Row],[In Stock Date]]&lt;&gt;"",Main[[#This Row],[Revised Due Date]]&lt;&gt;"",Main[[#This Row],[In Stock Date]]&lt;&gt;""),Main[[#This Row],[In Stock Date]]-Main[[#This Row],[Revised Due Date]],""))</f>
        <v>0</v>
      </c>
      <c r="I1383" s="110" t="s">
        <v>765</v>
      </c>
      <c r="J1383" s="99" t="s">
        <v>4</v>
      </c>
      <c r="K1383" s="99" t="s">
        <v>4</v>
      </c>
      <c r="L1383" s="89">
        <v>40163</v>
      </c>
      <c r="M1383" s="75" t="str">
        <f>IF(Main[[#This Row],[Tech Start Date]]&lt;1/1/1990,"",IF(Main[[#This Row],[Class]]="C",WORKDAY(Main[[#This Row],[Tech Start Date]],9),IF(Main[[#This Row],[Class]]="B", WORKDAY(Main[[#This Row],[Tech Start Date]],6),IF(Main[[#This Row],[Class]]="A",WORKDAY(Main[[#This Row],[Tech Start Date]],2),""))))</f>
        <v/>
      </c>
      <c r="N1383" s="75" t="str">
        <f>IF(Main[[#This Row],[Tech Start Date]]&lt;1/1/1990,"",IF(Main[[#This Row],[Class]]="C",WORKDAY(Main[[#This Row],[Tech Start Date]],19),IF(Main[[#This Row],[Class]]="B", WORKDAY(Main[[#This Row],[Tech Start Date]],12),IF(Main[[#This Row],[Class]]="A",WORKDAY(Main[[#This Row],[Tech Start Date]],4),""))))</f>
        <v/>
      </c>
      <c r="O1383" s="75" t="str">
        <f>IF(Main[[#This Row],[Tech Start Date]]&lt;1/1/1990,"",IF(Main[[#This Row],[Class]]="C",WORKDAY(Main[[#This Row],[Tech Start Date]],23),IF(Main[[#This Row],[Class]]="B", WORKDAY(Main[[#This Row],[Tech Start Date]],15),IF(Main[[#This Row],[Class]]="A",WORKDAY(Main[[#This Row],[Tech Start Date]],5),""))))</f>
        <v/>
      </c>
      <c r="P1383" s="75" t="str">
        <f>IF(Main[[#This Row],[Tech Start Date]]&lt;1/1/1990,"",IF(Main[[#This Row],[Class]]="C",WORKDAY(Main[[#This Row],[Tech Start Date]],28),IF(Main[[#This Row],[Class]]="B", WORKDAY(Main[[#This Row],[Tech Start Date]],19),IF(Main[[#This Row],[Class]]="A",WORKDAY(Main[[#This Row],[Tech Start Date]],9),""))))</f>
        <v/>
      </c>
      <c r="Q1383" s="89">
        <v>40226</v>
      </c>
      <c r="R1383" s="121">
        <v>40192</v>
      </c>
      <c r="S1383" s="99" t="s">
        <v>11</v>
      </c>
      <c r="T1383" s="76" t="s">
        <v>4</v>
      </c>
      <c r="U1383" s="99" t="s">
        <v>14</v>
      </c>
      <c r="V1383" s="99" t="s">
        <v>1923</v>
      </c>
      <c r="W1383" s="99" t="s">
        <v>1919</v>
      </c>
      <c r="X1383" s="99" t="s">
        <v>2865</v>
      </c>
      <c r="Y1383" s="73" t="s">
        <v>4</v>
      </c>
      <c r="Z1383" s="73" t="s">
        <v>4</v>
      </c>
      <c r="AA1383" s="99" t="s">
        <v>2865</v>
      </c>
    </row>
    <row r="1384" spans="1:27" ht="17.25" customHeight="1">
      <c r="A1384" s="65" t="str">
        <f>IF(priority(Main[[#This Row],[Comments]])&lt;&gt;0, priority(Main[[#This Row],[Comments]]),"")</f>
        <v/>
      </c>
      <c r="B1384" s="60" t="s">
        <v>1805</v>
      </c>
      <c r="C1384" s="105" t="s">
        <v>31</v>
      </c>
      <c r="D1384" s="74" t="s">
        <v>853</v>
      </c>
      <c r="E1384" s="89"/>
      <c r="F1384" s="89">
        <v>40192</v>
      </c>
      <c r="G1384" s="65" t="str">
        <f>IF(stdProdLT(Main[[#This Row],[Comments]])=0.1,"N/A",IF(stdProdLT(Main[[#This Row],[Comments]])=0,"",TRIM(stdProdLT(Main[[#This Row],[Comments]]))))</f>
        <v/>
      </c>
      <c r="H1384" s="98">
        <f>IF(Main[[#This Row],[Std. Prod. Lead Time]]="N/A", "",IF(AND(Main[[#This Row],[In Stock Date]]&lt;&gt;"",Main[[#This Row],[Revised Due Date]]&lt;&gt;"",Main[[#This Row],[In Stock Date]]&lt;&gt;""),Main[[#This Row],[In Stock Date]]-Main[[#This Row],[Revised Due Date]],""))</f>
        <v>0</v>
      </c>
      <c r="I1384" s="110" t="s">
        <v>765</v>
      </c>
      <c r="J1384" s="99" t="s">
        <v>4</v>
      </c>
      <c r="K1384" s="100" t="s">
        <v>4</v>
      </c>
      <c r="L1384" s="89">
        <v>40163</v>
      </c>
      <c r="M1384" s="75" t="str">
        <f>IF(Main[[#This Row],[Tech Start Date]]&lt;1/1/1990,"",IF(Main[[#This Row],[Class]]="C",WORKDAY(Main[[#This Row],[Tech Start Date]],9),IF(Main[[#This Row],[Class]]="B", WORKDAY(Main[[#This Row],[Tech Start Date]],6),IF(Main[[#This Row],[Class]]="A",WORKDAY(Main[[#This Row],[Tech Start Date]],2),""))))</f>
        <v/>
      </c>
      <c r="N1384" s="75" t="str">
        <f>IF(Main[[#This Row],[Tech Start Date]]&lt;1/1/1990,"",IF(Main[[#This Row],[Class]]="C",WORKDAY(Main[[#This Row],[Tech Start Date]],19),IF(Main[[#This Row],[Class]]="B", WORKDAY(Main[[#This Row],[Tech Start Date]],12),IF(Main[[#This Row],[Class]]="A",WORKDAY(Main[[#This Row],[Tech Start Date]],4),""))))</f>
        <v/>
      </c>
      <c r="O1384" s="75" t="str">
        <f>IF(Main[[#This Row],[Tech Start Date]]&lt;1/1/1990,"",IF(Main[[#This Row],[Class]]="C",WORKDAY(Main[[#This Row],[Tech Start Date]],23),IF(Main[[#This Row],[Class]]="B", WORKDAY(Main[[#This Row],[Tech Start Date]],15),IF(Main[[#This Row],[Class]]="A",WORKDAY(Main[[#This Row],[Tech Start Date]],5),""))))</f>
        <v/>
      </c>
      <c r="P1384" s="75" t="str">
        <f>IF(Main[[#This Row],[Tech Start Date]]&lt;1/1/1990,"",IF(Main[[#This Row],[Class]]="C",WORKDAY(Main[[#This Row],[Tech Start Date]],28),IF(Main[[#This Row],[Class]]="B", WORKDAY(Main[[#This Row],[Tech Start Date]],19),IF(Main[[#This Row],[Class]]="A",WORKDAY(Main[[#This Row],[Tech Start Date]],9),""))))</f>
        <v/>
      </c>
      <c r="Q1384" s="89">
        <v>40226</v>
      </c>
      <c r="R1384" s="121">
        <v>40192</v>
      </c>
      <c r="S1384" s="99" t="s">
        <v>11</v>
      </c>
      <c r="T1384" s="76" t="s">
        <v>4</v>
      </c>
      <c r="U1384" s="99" t="s">
        <v>14</v>
      </c>
      <c r="V1384" s="99" t="s">
        <v>1923</v>
      </c>
      <c r="W1384" s="99" t="s">
        <v>1919</v>
      </c>
      <c r="X1384" s="99" t="s">
        <v>2865</v>
      </c>
      <c r="Y1384" s="73" t="s">
        <v>4</v>
      </c>
      <c r="Z1384" s="73" t="s">
        <v>4</v>
      </c>
      <c r="AA1384" s="99" t="s">
        <v>2865</v>
      </c>
    </row>
    <row r="1385" spans="1:27" ht="17.25" customHeight="1">
      <c r="A1385" s="65" t="str">
        <f>IF(priority(Main[[#This Row],[Comments]])&lt;&gt;0, priority(Main[[#This Row],[Comments]]),"")</f>
        <v/>
      </c>
      <c r="B1385" s="60" t="s">
        <v>1808</v>
      </c>
      <c r="C1385" s="105" t="s">
        <v>857</v>
      </c>
      <c r="D1385" s="74" t="s">
        <v>858</v>
      </c>
      <c r="E1385" s="89"/>
      <c r="F1385" s="89">
        <v>40305</v>
      </c>
      <c r="G1385" s="65" t="str">
        <f>IF(stdProdLT(Main[[#This Row],[Comments]])=0.1,"N/A",IF(stdProdLT(Main[[#This Row],[Comments]])=0,"",TRIM(stdProdLT(Main[[#This Row],[Comments]]))))</f>
        <v/>
      </c>
      <c r="H1385" s="98">
        <f>IF(Main[[#This Row],[Std. Prod. Lead Time]]="N/A", "",IF(AND(Main[[#This Row],[In Stock Date]]&lt;&gt;"",Main[[#This Row],[Revised Due Date]]&lt;&gt;"",Main[[#This Row],[In Stock Date]]&lt;&gt;""),Main[[#This Row],[In Stock Date]]-Main[[#This Row],[Revised Due Date]],""))</f>
        <v>80</v>
      </c>
      <c r="I1385" s="110" t="s">
        <v>765</v>
      </c>
      <c r="J1385" s="99" t="s">
        <v>4</v>
      </c>
      <c r="K1385" s="100" t="s">
        <v>4</v>
      </c>
      <c r="L1385" s="89">
        <v>40192</v>
      </c>
      <c r="M1385" s="75" t="str">
        <f>IF(Main[[#This Row],[Tech Start Date]]&lt;1/1/1990,"",IF(Main[[#This Row],[Class]]="C",WORKDAY(Main[[#This Row],[Tech Start Date]],9),IF(Main[[#This Row],[Class]]="B", WORKDAY(Main[[#This Row],[Tech Start Date]],6),IF(Main[[#This Row],[Class]]="A",WORKDAY(Main[[#This Row],[Tech Start Date]],2),""))))</f>
        <v/>
      </c>
      <c r="N1385" s="75" t="str">
        <f>IF(Main[[#This Row],[Tech Start Date]]&lt;1/1/1990,"",IF(Main[[#This Row],[Class]]="C",WORKDAY(Main[[#This Row],[Tech Start Date]],19),IF(Main[[#This Row],[Class]]="B", WORKDAY(Main[[#This Row],[Tech Start Date]],12),IF(Main[[#This Row],[Class]]="A",WORKDAY(Main[[#This Row],[Tech Start Date]],4),""))))</f>
        <v/>
      </c>
      <c r="O1385" s="75" t="str">
        <f>IF(Main[[#This Row],[Tech Start Date]]&lt;1/1/1990,"",IF(Main[[#This Row],[Class]]="C",WORKDAY(Main[[#This Row],[Tech Start Date]],23),IF(Main[[#This Row],[Class]]="B", WORKDAY(Main[[#This Row],[Tech Start Date]],15),IF(Main[[#This Row],[Class]]="A",WORKDAY(Main[[#This Row],[Tech Start Date]],5),""))))</f>
        <v/>
      </c>
      <c r="P1385" s="75" t="str">
        <f>IF(Main[[#This Row],[Tech Start Date]]&lt;1/1/1990,"",IF(Main[[#This Row],[Class]]="C",WORKDAY(Main[[#This Row],[Tech Start Date]],28),IF(Main[[#This Row],[Class]]="B", WORKDAY(Main[[#This Row],[Tech Start Date]],19),IF(Main[[#This Row],[Class]]="A",WORKDAY(Main[[#This Row],[Tech Start Date]],9),""))))</f>
        <v/>
      </c>
      <c r="Q1385" s="89">
        <v>40178</v>
      </c>
      <c r="R1385" s="121">
        <v>40225</v>
      </c>
      <c r="S1385" s="99" t="s">
        <v>11</v>
      </c>
      <c r="T1385" s="76" t="s">
        <v>4</v>
      </c>
      <c r="U1385" s="99" t="s">
        <v>14</v>
      </c>
      <c r="V1385" s="99" t="s">
        <v>1916</v>
      </c>
      <c r="W1385" s="99" t="s">
        <v>1921</v>
      </c>
      <c r="X1385" s="99" t="s">
        <v>2848</v>
      </c>
      <c r="Y1385" s="73" t="s">
        <v>4</v>
      </c>
      <c r="Z1385" s="73" t="s">
        <v>4</v>
      </c>
      <c r="AA1385" s="99" t="s">
        <v>2848</v>
      </c>
    </row>
    <row r="1386" spans="1:27" ht="17.25" customHeight="1">
      <c r="A1386" s="65" t="str">
        <f>IF(priority(Main[[#This Row],[Comments]])&lt;&gt;0, priority(Main[[#This Row],[Comments]]),"")</f>
        <v/>
      </c>
      <c r="B1386" s="60" t="s">
        <v>1807</v>
      </c>
      <c r="C1386" s="105" t="s">
        <v>855</v>
      </c>
      <c r="D1386" s="74" t="s">
        <v>856</v>
      </c>
      <c r="E1386" s="89"/>
      <c r="F1386" s="89">
        <v>40305</v>
      </c>
      <c r="G1386" s="65" t="str">
        <f>IF(stdProdLT(Main[[#This Row],[Comments]])=0.1,"N/A",IF(stdProdLT(Main[[#This Row],[Comments]])=0,"",TRIM(stdProdLT(Main[[#This Row],[Comments]]))))</f>
        <v/>
      </c>
      <c r="H1386" s="98">
        <f>IF(Main[[#This Row],[Std. Prod. Lead Time]]="N/A", "",IF(AND(Main[[#This Row],[In Stock Date]]&lt;&gt;"",Main[[#This Row],[Revised Due Date]]&lt;&gt;"",Main[[#This Row],[In Stock Date]]&lt;&gt;""),Main[[#This Row],[In Stock Date]]-Main[[#This Row],[Revised Due Date]],""))</f>
        <v>81</v>
      </c>
      <c r="I1386" s="110" t="s">
        <v>44</v>
      </c>
      <c r="J1386" s="99" t="s">
        <v>4</v>
      </c>
      <c r="K1386" s="99" t="s">
        <v>4</v>
      </c>
      <c r="L1386" s="89">
        <v>40192</v>
      </c>
      <c r="M1386" s="75" t="str">
        <f>IF(Main[[#This Row],[Tech Start Date]]&lt;1/1/1990,"",IF(Main[[#This Row],[Class]]="C",WORKDAY(Main[[#This Row],[Tech Start Date]],9),IF(Main[[#This Row],[Class]]="B", WORKDAY(Main[[#This Row],[Tech Start Date]],6),IF(Main[[#This Row],[Class]]="A",WORKDAY(Main[[#This Row],[Tech Start Date]],2),""))))</f>
        <v/>
      </c>
      <c r="N1386" s="75" t="str">
        <f>IF(Main[[#This Row],[Tech Start Date]]&lt;1/1/1990,"",IF(Main[[#This Row],[Class]]="C",WORKDAY(Main[[#This Row],[Tech Start Date]],19),IF(Main[[#This Row],[Class]]="B", WORKDAY(Main[[#This Row],[Tech Start Date]],12),IF(Main[[#This Row],[Class]]="A",WORKDAY(Main[[#This Row],[Tech Start Date]],4),""))))</f>
        <v/>
      </c>
      <c r="O1386" s="75" t="str">
        <f>IF(Main[[#This Row],[Tech Start Date]]&lt;1/1/1990,"",IF(Main[[#This Row],[Class]]="C",WORKDAY(Main[[#This Row],[Tech Start Date]],23),IF(Main[[#This Row],[Class]]="B", WORKDAY(Main[[#This Row],[Tech Start Date]],15),IF(Main[[#This Row],[Class]]="A",WORKDAY(Main[[#This Row],[Tech Start Date]],5),""))))</f>
        <v/>
      </c>
      <c r="P1386" s="75" t="str">
        <f>IF(Main[[#This Row],[Tech Start Date]]&lt;1/1/1990,"",IF(Main[[#This Row],[Class]]="C",WORKDAY(Main[[#This Row],[Tech Start Date]],28),IF(Main[[#This Row],[Class]]="B", WORKDAY(Main[[#This Row],[Tech Start Date]],19),IF(Main[[#This Row],[Class]]="A",WORKDAY(Main[[#This Row],[Tech Start Date]],9),""))))</f>
        <v/>
      </c>
      <c r="Q1386" s="89">
        <v>40178</v>
      </c>
      <c r="R1386" s="121">
        <v>40224</v>
      </c>
      <c r="S1386" s="99" t="s">
        <v>11</v>
      </c>
      <c r="T1386" s="76" t="s">
        <v>4</v>
      </c>
      <c r="U1386" s="99" t="s">
        <v>14</v>
      </c>
      <c r="V1386" s="99" t="s">
        <v>1916</v>
      </c>
      <c r="W1386" s="99" t="s">
        <v>1921</v>
      </c>
      <c r="X1386" s="99" t="s">
        <v>2848</v>
      </c>
      <c r="Y1386" s="73" t="s">
        <v>4</v>
      </c>
      <c r="Z1386" s="73" t="s">
        <v>4</v>
      </c>
      <c r="AA1386" s="99" t="s">
        <v>2848</v>
      </c>
    </row>
    <row r="1387" spans="1:27" ht="17.25" customHeight="1">
      <c r="A1387" s="65" t="str">
        <f>IF(priority(Main[[#This Row],[Comments]])&lt;&gt;0, priority(Main[[#This Row],[Comments]]),"")</f>
        <v/>
      </c>
      <c r="B1387" s="60" t="s">
        <v>1810</v>
      </c>
      <c r="C1387" s="105" t="s">
        <v>4</v>
      </c>
      <c r="D1387" s="74" t="s">
        <v>860</v>
      </c>
      <c r="E1387" s="89"/>
      <c r="F1387" s="89"/>
      <c r="G1387" s="65" t="str">
        <f>IF(stdProdLT(Main[[#This Row],[Comments]])=0.1,"N/A",IF(stdProdLT(Main[[#This Row],[Comments]])=0,"",TRIM(stdProdLT(Main[[#This Row],[Comments]]))))</f>
        <v/>
      </c>
      <c r="H1387" s="98" t="str">
        <f>IF(Main[[#This Row],[Std. Prod. Lead Time]]="N/A", "",IF(AND(Main[[#This Row],[In Stock Date]]&lt;&gt;"",Main[[#This Row],[Revised Due Date]]&lt;&gt;"",Main[[#This Row],[In Stock Date]]&lt;&gt;""),Main[[#This Row],[In Stock Date]]-Main[[#This Row],[Revised Due Date]],""))</f>
        <v/>
      </c>
      <c r="I1387" s="110" t="s">
        <v>30</v>
      </c>
      <c r="J1387" s="99" t="s">
        <v>28</v>
      </c>
      <c r="K1387" s="99" t="s">
        <v>1920</v>
      </c>
      <c r="L1387" s="89">
        <v>40231</v>
      </c>
      <c r="M1387" s="75">
        <f>IF(Main[[#This Row],[Tech Start Date]]&lt;1/1/1990,"",IF(Main[[#This Row],[Class]]="C",WORKDAY(Main[[#This Row],[Tech Start Date]],9),IF(Main[[#This Row],[Class]]="B", WORKDAY(Main[[#This Row],[Tech Start Date]],6),IF(Main[[#This Row],[Class]]="A",WORKDAY(Main[[#This Row],[Tech Start Date]],2),""))))</f>
        <v>40239</v>
      </c>
      <c r="N1387" s="75">
        <f>IF(Main[[#This Row],[Tech Start Date]]&lt;1/1/1990,"",IF(Main[[#This Row],[Class]]="C",WORKDAY(Main[[#This Row],[Tech Start Date]],19),IF(Main[[#This Row],[Class]]="B", WORKDAY(Main[[#This Row],[Tech Start Date]],12),IF(Main[[#This Row],[Class]]="A",WORKDAY(Main[[#This Row],[Tech Start Date]],4),""))))</f>
        <v>40247</v>
      </c>
      <c r="O1387" s="75">
        <f>IF(Main[[#This Row],[Tech Start Date]]&lt;1/1/1990,"",IF(Main[[#This Row],[Class]]="C",WORKDAY(Main[[#This Row],[Tech Start Date]],23),IF(Main[[#This Row],[Class]]="B", WORKDAY(Main[[#This Row],[Tech Start Date]],15),IF(Main[[#This Row],[Class]]="A",WORKDAY(Main[[#This Row],[Tech Start Date]],5),""))))</f>
        <v>40252</v>
      </c>
      <c r="P1387" s="75">
        <f>IF(Main[[#This Row],[Tech Start Date]]&lt;1/1/1990,"",IF(Main[[#This Row],[Class]]="C",WORKDAY(Main[[#This Row],[Tech Start Date]],28),IF(Main[[#This Row],[Class]]="B", WORKDAY(Main[[#This Row],[Tech Start Date]],19),IF(Main[[#This Row],[Class]]="A",WORKDAY(Main[[#This Row],[Tech Start Date]],9),""))))</f>
        <v>40256</v>
      </c>
      <c r="Q1387" s="89">
        <v>40269</v>
      </c>
      <c r="R1387" s="121">
        <v>40246</v>
      </c>
      <c r="S1387" s="99" t="s">
        <v>6</v>
      </c>
      <c r="T1387" s="76" t="s">
        <v>4</v>
      </c>
      <c r="U1387" s="99" t="s">
        <v>14</v>
      </c>
      <c r="V1387" s="99" t="s">
        <v>1916</v>
      </c>
      <c r="W1387" s="99" t="s">
        <v>1915</v>
      </c>
      <c r="X1387" s="99" t="s">
        <v>2881</v>
      </c>
      <c r="Y1387" s="73" t="s">
        <v>3037</v>
      </c>
      <c r="Z1387" s="73" t="s">
        <v>4</v>
      </c>
      <c r="AA1387" s="99" t="s">
        <v>2881</v>
      </c>
    </row>
    <row r="1388" spans="1:27" ht="17.25" customHeight="1">
      <c r="A1388" s="65" t="str">
        <f>IF(priority(Main[[#This Row],[Comments]])&lt;&gt;0, priority(Main[[#This Row],[Comments]]),"")</f>
        <v/>
      </c>
      <c r="B1388" s="60" t="s">
        <v>1945</v>
      </c>
      <c r="C1388" s="105" t="s">
        <v>862</v>
      </c>
      <c r="D1388" s="74" t="s">
        <v>863</v>
      </c>
      <c r="E1388" s="89"/>
      <c r="F1388" s="89"/>
      <c r="G1388" s="65" t="str">
        <f>IF(stdProdLT(Main[[#This Row],[Comments]])=0.1,"N/A",IF(stdProdLT(Main[[#This Row],[Comments]])=0,"",TRIM(stdProdLT(Main[[#This Row],[Comments]]))))</f>
        <v/>
      </c>
      <c r="H1388" s="98" t="str">
        <f>IF(Main[[#This Row],[Std. Prod. Lead Time]]="N/A", "",IF(AND(Main[[#This Row],[In Stock Date]]&lt;&gt;"",Main[[#This Row],[Revised Due Date]]&lt;&gt;"",Main[[#This Row],[In Stock Date]]&lt;&gt;""),Main[[#This Row],[In Stock Date]]-Main[[#This Row],[Revised Due Date]],""))</f>
        <v/>
      </c>
      <c r="I1388" s="110" t="s">
        <v>765</v>
      </c>
      <c r="J1388" s="99" t="s">
        <v>4</v>
      </c>
      <c r="K1388" s="100" t="s">
        <v>1925</v>
      </c>
      <c r="L1388" s="89">
        <v>40231</v>
      </c>
      <c r="M1388" s="75" t="str">
        <f>IF(Main[[#This Row],[Tech Start Date]]&lt;1/1/1990,"",IF(Main[[#This Row],[Class]]="C",WORKDAY(Main[[#This Row],[Tech Start Date]],9),IF(Main[[#This Row],[Class]]="B", WORKDAY(Main[[#This Row],[Tech Start Date]],6),IF(Main[[#This Row],[Class]]="A",WORKDAY(Main[[#This Row],[Tech Start Date]],2),""))))</f>
        <v/>
      </c>
      <c r="N1388" s="75" t="str">
        <f>IF(Main[[#This Row],[Tech Start Date]]&lt;1/1/1990,"",IF(Main[[#This Row],[Class]]="C",WORKDAY(Main[[#This Row],[Tech Start Date]],19),IF(Main[[#This Row],[Class]]="B", WORKDAY(Main[[#This Row],[Tech Start Date]],12),IF(Main[[#This Row],[Class]]="A",WORKDAY(Main[[#This Row],[Tech Start Date]],4),""))))</f>
        <v/>
      </c>
      <c r="O1388" s="75" t="str">
        <f>IF(Main[[#This Row],[Tech Start Date]]&lt;1/1/1990,"",IF(Main[[#This Row],[Class]]="C",WORKDAY(Main[[#This Row],[Tech Start Date]],23),IF(Main[[#This Row],[Class]]="B", WORKDAY(Main[[#This Row],[Tech Start Date]],15),IF(Main[[#This Row],[Class]]="A",WORKDAY(Main[[#This Row],[Tech Start Date]],5),""))))</f>
        <v/>
      </c>
      <c r="P1388" s="75" t="str">
        <f>IF(Main[[#This Row],[Tech Start Date]]&lt;1/1/1990,"",IF(Main[[#This Row],[Class]]="C",WORKDAY(Main[[#This Row],[Tech Start Date]],28),IF(Main[[#This Row],[Class]]="B", WORKDAY(Main[[#This Row],[Tech Start Date]],19),IF(Main[[#This Row],[Class]]="A",WORKDAY(Main[[#This Row],[Tech Start Date]],9),""))))</f>
        <v/>
      </c>
      <c r="Q1388" s="89">
        <v>40268</v>
      </c>
      <c r="R1388" s="121">
        <v>40268</v>
      </c>
      <c r="S1388" s="99" t="s">
        <v>17</v>
      </c>
      <c r="T1388" s="76" t="s">
        <v>4</v>
      </c>
      <c r="U1388" s="99" t="s">
        <v>14</v>
      </c>
      <c r="V1388" s="99" t="s">
        <v>1916</v>
      </c>
      <c r="W1388" s="99" t="s">
        <v>1918</v>
      </c>
      <c r="X1388" s="99" t="s">
        <v>2911</v>
      </c>
      <c r="Y1388" s="73" t="s">
        <v>3137</v>
      </c>
      <c r="Z1388" s="73" t="s">
        <v>4</v>
      </c>
      <c r="AA1388" s="99" t="s">
        <v>553</v>
      </c>
    </row>
    <row r="1389" spans="1:27" ht="17.25" customHeight="1">
      <c r="A1389" s="65" t="str">
        <f>IF(priority(Main[[#This Row],[Comments]])&lt;&gt;0, priority(Main[[#This Row],[Comments]]),"")</f>
        <v/>
      </c>
      <c r="B1389" s="60" t="s">
        <v>1818</v>
      </c>
      <c r="C1389" s="105" t="s">
        <v>47</v>
      </c>
      <c r="D1389" s="74" t="s">
        <v>871</v>
      </c>
      <c r="E1389" s="89">
        <v>40220.456550925926</v>
      </c>
      <c r="F1389" s="89"/>
      <c r="G1389" s="65" t="str">
        <f>IF(stdProdLT(Main[[#This Row],[Comments]])=0.1,"N/A",IF(stdProdLT(Main[[#This Row],[Comments]])=0,"",TRIM(stdProdLT(Main[[#This Row],[Comments]]))))</f>
        <v/>
      </c>
      <c r="H1389" s="98" t="str">
        <f>IF(Main[[#This Row],[Std. Prod. Lead Time]]="N/A", "",IF(AND(Main[[#This Row],[In Stock Date]]&lt;&gt;"",Main[[#This Row],[Revised Due Date]]&lt;&gt;"",Main[[#This Row],[In Stock Date]]&lt;&gt;""),Main[[#This Row],[In Stock Date]]-Main[[#This Row],[Revised Due Date]],""))</f>
        <v/>
      </c>
      <c r="I1389" s="110" t="s">
        <v>81</v>
      </c>
      <c r="J1389" s="99" t="s">
        <v>52</v>
      </c>
      <c r="K1389" s="99" t="s">
        <v>1925</v>
      </c>
      <c r="L1389" s="89">
        <v>40231</v>
      </c>
      <c r="M1389" s="75" t="str">
        <f>IF(Main[[#This Row],[Tech Start Date]]&lt;1/1/1990,"",IF(Main[[#This Row],[Class]]="C",WORKDAY(Main[[#This Row],[Tech Start Date]],9),IF(Main[[#This Row],[Class]]="B", WORKDAY(Main[[#This Row],[Tech Start Date]],6),IF(Main[[#This Row],[Class]]="A",WORKDAY(Main[[#This Row],[Tech Start Date]],2),""))))</f>
        <v/>
      </c>
      <c r="N1389" s="75" t="str">
        <f>IF(Main[[#This Row],[Tech Start Date]]&lt;1/1/1990,"",IF(Main[[#This Row],[Class]]="C",WORKDAY(Main[[#This Row],[Tech Start Date]],19),IF(Main[[#This Row],[Class]]="B", WORKDAY(Main[[#This Row],[Tech Start Date]],12),IF(Main[[#This Row],[Class]]="A",WORKDAY(Main[[#This Row],[Tech Start Date]],4),""))))</f>
        <v/>
      </c>
      <c r="O1389" s="75" t="str">
        <f>IF(Main[[#This Row],[Tech Start Date]]&lt;1/1/1990,"",IF(Main[[#This Row],[Class]]="C",WORKDAY(Main[[#This Row],[Tech Start Date]],23),IF(Main[[#This Row],[Class]]="B", WORKDAY(Main[[#This Row],[Tech Start Date]],15),IF(Main[[#This Row],[Class]]="A",WORKDAY(Main[[#This Row],[Tech Start Date]],5),""))))</f>
        <v/>
      </c>
      <c r="P1389" s="75" t="str">
        <f>IF(Main[[#This Row],[Tech Start Date]]&lt;1/1/1990,"",IF(Main[[#This Row],[Class]]="C",WORKDAY(Main[[#This Row],[Tech Start Date]],28),IF(Main[[#This Row],[Class]]="B", WORKDAY(Main[[#This Row],[Tech Start Date]],19),IF(Main[[#This Row],[Class]]="A",WORKDAY(Main[[#This Row],[Tech Start Date]],9),""))))</f>
        <v/>
      </c>
      <c r="Q1389" s="89">
        <v>40255</v>
      </c>
      <c r="R1389" s="121">
        <v>40310</v>
      </c>
      <c r="S1389" s="99" t="s">
        <v>17</v>
      </c>
      <c r="T1389" s="76" t="s">
        <v>4</v>
      </c>
      <c r="U1389" s="99" t="s">
        <v>29</v>
      </c>
      <c r="V1389" s="99" t="s">
        <v>1923</v>
      </c>
      <c r="W1389" s="99" t="s">
        <v>1915</v>
      </c>
      <c r="X1389" s="99" t="s">
        <v>2811</v>
      </c>
      <c r="Y1389" s="73" t="s">
        <v>4</v>
      </c>
      <c r="Z1389" s="73" t="s">
        <v>44</v>
      </c>
      <c r="AA1389" s="99" t="s">
        <v>2811</v>
      </c>
    </row>
    <row r="1390" spans="1:27" ht="17.25" customHeight="1">
      <c r="A1390" s="65" t="str">
        <f>IF(priority(Main[[#This Row],[Comments]])&lt;&gt;0, priority(Main[[#This Row],[Comments]]),"")</f>
        <v/>
      </c>
      <c r="B1390" s="60" t="s">
        <v>1813</v>
      </c>
      <c r="C1390" s="105" t="s">
        <v>47</v>
      </c>
      <c r="D1390" s="74" t="s">
        <v>865</v>
      </c>
      <c r="E1390" s="89"/>
      <c r="F1390" s="89"/>
      <c r="G1390" s="65" t="str">
        <f>IF(stdProdLT(Main[[#This Row],[Comments]])=0.1,"N/A",IF(stdProdLT(Main[[#This Row],[Comments]])=0,"",TRIM(stdProdLT(Main[[#This Row],[Comments]]))))</f>
        <v/>
      </c>
      <c r="H1390" s="98" t="str">
        <f>IF(Main[[#This Row],[Std. Prod. Lead Time]]="N/A", "",IF(AND(Main[[#This Row],[In Stock Date]]&lt;&gt;"",Main[[#This Row],[Revised Due Date]]&lt;&gt;"",Main[[#This Row],[In Stock Date]]&lt;&gt;""),Main[[#This Row],[In Stock Date]]-Main[[#This Row],[Revised Due Date]],""))</f>
        <v/>
      </c>
      <c r="I1390" s="110" t="s">
        <v>431</v>
      </c>
      <c r="J1390" s="99" t="s">
        <v>4</v>
      </c>
      <c r="K1390" s="100" t="s">
        <v>1925</v>
      </c>
      <c r="L1390" s="89">
        <v>40248</v>
      </c>
      <c r="M1390" s="75" t="str">
        <f>IF(Main[[#This Row],[Tech Start Date]]&lt;1/1/1990,"",IF(Main[[#This Row],[Class]]="C",WORKDAY(Main[[#This Row],[Tech Start Date]],9),IF(Main[[#This Row],[Class]]="B", WORKDAY(Main[[#This Row],[Tech Start Date]],6),IF(Main[[#This Row],[Class]]="A",WORKDAY(Main[[#This Row],[Tech Start Date]],2),""))))</f>
        <v/>
      </c>
      <c r="N1390" s="75" t="str">
        <f>IF(Main[[#This Row],[Tech Start Date]]&lt;1/1/1990,"",IF(Main[[#This Row],[Class]]="C",WORKDAY(Main[[#This Row],[Tech Start Date]],19),IF(Main[[#This Row],[Class]]="B", WORKDAY(Main[[#This Row],[Tech Start Date]],12),IF(Main[[#This Row],[Class]]="A",WORKDAY(Main[[#This Row],[Tech Start Date]],4),""))))</f>
        <v/>
      </c>
      <c r="O1390" s="75" t="str">
        <f>IF(Main[[#This Row],[Tech Start Date]]&lt;1/1/1990,"",IF(Main[[#This Row],[Class]]="C",WORKDAY(Main[[#This Row],[Tech Start Date]],23),IF(Main[[#This Row],[Class]]="B", WORKDAY(Main[[#This Row],[Tech Start Date]],15),IF(Main[[#This Row],[Class]]="A",WORKDAY(Main[[#This Row],[Tech Start Date]],5),""))))</f>
        <v/>
      </c>
      <c r="P1390" s="75" t="str">
        <f>IF(Main[[#This Row],[Tech Start Date]]&lt;1/1/1990,"",IF(Main[[#This Row],[Class]]="C",WORKDAY(Main[[#This Row],[Tech Start Date]],28),IF(Main[[#This Row],[Class]]="B", WORKDAY(Main[[#This Row],[Tech Start Date]],19),IF(Main[[#This Row],[Class]]="A",WORKDAY(Main[[#This Row],[Tech Start Date]],9),""))))</f>
        <v/>
      </c>
      <c r="Q1390" s="89">
        <v>40289</v>
      </c>
      <c r="R1390" s="121">
        <v>40289</v>
      </c>
      <c r="S1390" s="99" t="s">
        <v>17</v>
      </c>
      <c r="T1390" s="76" t="s">
        <v>4</v>
      </c>
      <c r="U1390" s="99" t="s">
        <v>14</v>
      </c>
      <c r="V1390" s="99" t="s">
        <v>1916</v>
      </c>
      <c r="W1390" s="99" t="s">
        <v>1919</v>
      </c>
      <c r="X1390" s="99" t="s">
        <v>530</v>
      </c>
      <c r="Y1390" s="73" t="s">
        <v>3138</v>
      </c>
      <c r="Z1390" s="73" t="s">
        <v>4</v>
      </c>
      <c r="AA1390" s="99" t="s">
        <v>530</v>
      </c>
    </row>
    <row r="1391" spans="1:27" ht="17.25" customHeight="1">
      <c r="A1391" s="65" t="str">
        <f>IF(priority(Main[[#This Row],[Comments]])&lt;&gt;0, priority(Main[[#This Row],[Comments]]),"")</f>
        <v/>
      </c>
      <c r="B1391" s="60" t="s">
        <v>1814</v>
      </c>
      <c r="C1391" s="105" t="s">
        <v>867</v>
      </c>
      <c r="D1391" s="74" t="s">
        <v>868</v>
      </c>
      <c r="E1391" s="89"/>
      <c r="F1391" s="89">
        <v>40299</v>
      </c>
      <c r="G1391" s="65" t="str">
        <f>IF(stdProdLT(Main[[#This Row],[Comments]])=0.1,"N/A",IF(stdProdLT(Main[[#This Row],[Comments]])=0,"",TRIM(stdProdLT(Main[[#This Row],[Comments]]))))</f>
        <v/>
      </c>
      <c r="H1391" s="98">
        <f>IF(Main[[#This Row],[Std. Prod. Lead Time]]="N/A", "",IF(AND(Main[[#This Row],[In Stock Date]]&lt;&gt;"",Main[[#This Row],[Revised Due Date]]&lt;&gt;"",Main[[#This Row],[In Stock Date]]&lt;&gt;""),Main[[#This Row],[In Stock Date]]-Main[[#This Row],[Revised Due Date]],""))</f>
        <v>8</v>
      </c>
      <c r="I1391" s="110" t="s">
        <v>652</v>
      </c>
      <c r="J1391" s="99" t="s">
        <v>28</v>
      </c>
      <c r="K1391" s="99" t="s">
        <v>1925</v>
      </c>
      <c r="L1391" s="89">
        <v>40266</v>
      </c>
      <c r="M1391" s="75" t="str">
        <f>IF(Main[[#This Row],[Tech Start Date]]&lt;1/1/1990,"",IF(Main[[#This Row],[Class]]="C",WORKDAY(Main[[#This Row],[Tech Start Date]],9),IF(Main[[#This Row],[Class]]="B", WORKDAY(Main[[#This Row],[Tech Start Date]],6),IF(Main[[#This Row],[Class]]="A",WORKDAY(Main[[#This Row],[Tech Start Date]],2),""))))</f>
        <v/>
      </c>
      <c r="N1391" s="75" t="str">
        <f>IF(Main[[#This Row],[Tech Start Date]]&lt;1/1/1990,"",IF(Main[[#This Row],[Class]]="C",WORKDAY(Main[[#This Row],[Tech Start Date]],19),IF(Main[[#This Row],[Class]]="B", WORKDAY(Main[[#This Row],[Tech Start Date]],12),IF(Main[[#This Row],[Class]]="A",WORKDAY(Main[[#This Row],[Tech Start Date]],4),""))))</f>
        <v/>
      </c>
      <c r="O1391" s="75" t="str">
        <f>IF(Main[[#This Row],[Tech Start Date]]&lt;1/1/1990,"",IF(Main[[#This Row],[Class]]="C",WORKDAY(Main[[#This Row],[Tech Start Date]],23),IF(Main[[#This Row],[Class]]="B", WORKDAY(Main[[#This Row],[Tech Start Date]],15),IF(Main[[#This Row],[Class]]="A",WORKDAY(Main[[#This Row],[Tech Start Date]],5),""))))</f>
        <v/>
      </c>
      <c r="P1391" s="75" t="str">
        <f>IF(Main[[#This Row],[Tech Start Date]]&lt;1/1/1990,"",IF(Main[[#This Row],[Class]]="C",WORKDAY(Main[[#This Row],[Tech Start Date]],28),IF(Main[[#This Row],[Class]]="B", WORKDAY(Main[[#This Row],[Tech Start Date]],19),IF(Main[[#This Row],[Class]]="A",WORKDAY(Main[[#This Row],[Tech Start Date]],9),""))))</f>
        <v/>
      </c>
      <c r="Q1391" s="89">
        <v>40299</v>
      </c>
      <c r="R1391" s="121">
        <v>40291</v>
      </c>
      <c r="S1391" s="99" t="s">
        <v>17</v>
      </c>
      <c r="T1391" s="76" t="s">
        <v>4</v>
      </c>
      <c r="U1391" s="99" t="s">
        <v>14</v>
      </c>
      <c r="V1391" s="99" t="s">
        <v>1923</v>
      </c>
      <c r="W1391" s="99" t="s">
        <v>1918</v>
      </c>
      <c r="X1391" s="99" t="s">
        <v>530</v>
      </c>
      <c r="Y1391" s="73" t="s">
        <v>3138</v>
      </c>
      <c r="Z1391" s="73" t="s">
        <v>652</v>
      </c>
      <c r="AA1391" s="99" t="s">
        <v>530</v>
      </c>
    </row>
    <row r="1392" spans="1:27" ht="17.25" customHeight="1">
      <c r="A1392" s="65" t="str">
        <f>IF(priority(Main[[#This Row],[Comments]])&lt;&gt;0, priority(Main[[#This Row],[Comments]]),"")</f>
        <v/>
      </c>
      <c r="B1392" s="60" t="s">
        <v>1817</v>
      </c>
      <c r="C1392" s="105" t="s">
        <v>4</v>
      </c>
      <c r="D1392" s="74" t="s">
        <v>870</v>
      </c>
      <c r="E1392" s="89"/>
      <c r="F1392" s="89"/>
      <c r="G1392" s="65" t="str">
        <f>IF(stdProdLT(Main[[#This Row],[Comments]])=0.1,"N/A",IF(stdProdLT(Main[[#This Row],[Comments]])=0,"",TRIM(stdProdLT(Main[[#This Row],[Comments]]))))</f>
        <v/>
      </c>
      <c r="H1392" s="98" t="str">
        <f>IF(Main[[#This Row],[Std. Prod. Lead Time]]="N/A", "",IF(AND(Main[[#This Row],[In Stock Date]]&lt;&gt;"",Main[[#This Row],[Revised Due Date]]&lt;&gt;"",Main[[#This Row],[In Stock Date]]&lt;&gt;""),Main[[#This Row],[In Stock Date]]-Main[[#This Row],[Revised Due Date]],""))</f>
        <v/>
      </c>
      <c r="I1392" s="110" t="s">
        <v>399</v>
      </c>
      <c r="J1392" s="99" t="s">
        <v>75</v>
      </c>
      <c r="K1392" s="99" t="s">
        <v>1922</v>
      </c>
      <c r="L1392" s="89">
        <v>40288</v>
      </c>
      <c r="M1392" s="75">
        <f>IF(Main[[#This Row],[Tech Start Date]]&lt;1/1/1990,"",IF(Main[[#This Row],[Class]]="C",WORKDAY(Main[[#This Row],[Tech Start Date]],9),IF(Main[[#This Row],[Class]]="B", WORKDAY(Main[[#This Row],[Tech Start Date]],6),IF(Main[[#This Row],[Class]]="A",WORKDAY(Main[[#This Row],[Tech Start Date]],2),""))))</f>
        <v>40290</v>
      </c>
      <c r="N1392" s="75">
        <f>IF(Main[[#This Row],[Tech Start Date]]&lt;1/1/1990,"",IF(Main[[#This Row],[Class]]="C",WORKDAY(Main[[#This Row],[Tech Start Date]],19),IF(Main[[#This Row],[Class]]="B", WORKDAY(Main[[#This Row],[Tech Start Date]],12),IF(Main[[#This Row],[Class]]="A",WORKDAY(Main[[#This Row],[Tech Start Date]],4),""))))</f>
        <v>40294</v>
      </c>
      <c r="O1392" s="75">
        <f>IF(Main[[#This Row],[Tech Start Date]]&lt;1/1/1990,"",IF(Main[[#This Row],[Class]]="C",WORKDAY(Main[[#This Row],[Tech Start Date]],23),IF(Main[[#This Row],[Class]]="B", WORKDAY(Main[[#This Row],[Tech Start Date]],15),IF(Main[[#This Row],[Class]]="A",WORKDAY(Main[[#This Row],[Tech Start Date]],5),""))))</f>
        <v>40295</v>
      </c>
      <c r="P1392" s="75">
        <f>IF(Main[[#This Row],[Tech Start Date]]&lt;1/1/1990,"",IF(Main[[#This Row],[Class]]="C",WORKDAY(Main[[#This Row],[Tech Start Date]],28),IF(Main[[#This Row],[Class]]="B", WORKDAY(Main[[#This Row],[Tech Start Date]],19),IF(Main[[#This Row],[Class]]="A",WORKDAY(Main[[#This Row],[Tech Start Date]],9),""))))</f>
        <v>40301</v>
      </c>
      <c r="Q1392" s="89"/>
      <c r="R1392" s="121">
        <v>40309</v>
      </c>
      <c r="S1392" s="99" t="s">
        <v>6</v>
      </c>
      <c r="T1392" s="76" t="s">
        <v>4</v>
      </c>
      <c r="U1392" s="99" t="s">
        <v>14</v>
      </c>
      <c r="V1392" s="99" t="s">
        <v>1916</v>
      </c>
      <c r="W1392" s="99" t="s">
        <v>4</v>
      </c>
      <c r="X1392" s="99" t="s">
        <v>2830</v>
      </c>
      <c r="Y1392" s="73" t="s">
        <v>2959</v>
      </c>
      <c r="Z1392" s="73" t="s">
        <v>306</v>
      </c>
      <c r="AA1392" s="99" t="s">
        <v>2830</v>
      </c>
    </row>
    <row r="1393" spans="1:27" ht="17.25" customHeight="1">
      <c r="A1393" s="65" t="str">
        <f>IF(priority(Main[[#This Row],[Comments]])&lt;&gt;0, priority(Main[[#This Row],[Comments]]),"")</f>
        <v/>
      </c>
      <c r="B1393" s="60" t="s">
        <v>1819</v>
      </c>
      <c r="C1393" s="105" t="s">
        <v>4</v>
      </c>
      <c r="D1393" s="74" t="s">
        <v>872</v>
      </c>
      <c r="E1393" s="89"/>
      <c r="F1393" s="89"/>
      <c r="G1393" s="65" t="str">
        <f>IF(stdProdLT(Main[[#This Row],[Comments]])=0.1,"N/A",IF(stdProdLT(Main[[#This Row],[Comments]])=0,"",TRIM(stdProdLT(Main[[#This Row],[Comments]]))))</f>
        <v/>
      </c>
      <c r="H1393" s="98" t="str">
        <f>IF(Main[[#This Row],[Std. Prod. Lead Time]]="N/A", "",IF(AND(Main[[#This Row],[In Stock Date]]&lt;&gt;"",Main[[#This Row],[Revised Due Date]]&lt;&gt;"",Main[[#This Row],[In Stock Date]]&lt;&gt;""),Main[[#This Row],[In Stock Date]]-Main[[#This Row],[Revised Due Date]],""))</f>
        <v/>
      </c>
      <c r="I1393" s="110" t="s">
        <v>765</v>
      </c>
      <c r="J1393" s="99" t="s">
        <v>4</v>
      </c>
      <c r="K1393" s="100" t="s">
        <v>1920</v>
      </c>
      <c r="L1393" s="89">
        <v>40291</v>
      </c>
      <c r="M1393" s="75">
        <f>IF(Main[[#This Row],[Tech Start Date]]&lt;1/1/1990,"",IF(Main[[#This Row],[Class]]="C",WORKDAY(Main[[#This Row],[Tech Start Date]],9),IF(Main[[#This Row],[Class]]="B", WORKDAY(Main[[#This Row],[Tech Start Date]],6),IF(Main[[#This Row],[Class]]="A",WORKDAY(Main[[#This Row],[Tech Start Date]],2),""))))</f>
        <v>40301</v>
      </c>
      <c r="N1393" s="75">
        <f>IF(Main[[#This Row],[Tech Start Date]]&lt;1/1/1990,"",IF(Main[[#This Row],[Class]]="C",WORKDAY(Main[[#This Row],[Tech Start Date]],19),IF(Main[[#This Row],[Class]]="B", WORKDAY(Main[[#This Row],[Tech Start Date]],12),IF(Main[[#This Row],[Class]]="A",WORKDAY(Main[[#This Row],[Tech Start Date]],4),""))))</f>
        <v>40309</v>
      </c>
      <c r="O1393" s="75">
        <f>IF(Main[[#This Row],[Tech Start Date]]&lt;1/1/1990,"",IF(Main[[#This Row],[Class]]="C",WORKDAY(Main[[#This Row],[Tech Start Date]],23),IF(Main[[#This Row],[Class]]="B", WORKDAY(Main[[#This Row],[Tech Start Date]],15),IF(Main[[#This Row],[Class]]="A",WORKDAY(Main[[#This Row],[Tech Start Date]],5),""))))</f>
        <v>40312</v>
      </c>
      <c r="P1393" s="75">
        <f>IF(Main[[#This Row],[Tech Start Date]]&lt;1/1/1990,"",IF(Main[[#This Row],[Class]]="C",WORKDAY(Main[[#This Row],[Tech Start Date]],28),IF(Main[[#This Row],[Class]]="B", WORKDAY(Main[[#This Row],[Tech Start Date]],19),IF(Main[[#This Row],[Class]]="A",WORKDAY(Main[[#This Row],[Tech Start Date]],9),""))))</f>
        <v>40318</v>
      </c>
      <c r="Q1393" s="89">
        <v>40312</v>
      </c>
      <c r="R1393" s="121">
        <v>40312</v>
      </c>
      <c r="S1393" s="99" t="s">
        <v>6</v>
      </c>
      <c r="T1393" s="76" t="s">
        <v>4</v>
      </c>
      <c r="U1393" s="99" t="s">
        <v>14</v>
      </c>
      <c r="V1393" s="99" t="s">
        <v>1916</v>
      </c>
      <c r="W1393" s="99" t="s">
        <v>4</v>
      </c>
      <c r="X1393" s="99" t="s">
        <v>2912</v>
      </c>
      <c r="Y1393" s="73" t="s">
        <v>3139</v>
      </c>
      <c r="Z1393" s="73" t="s">
        <v>4</v>
      </c>
      <c r="AA1393" s="99" t="s">
        <v>2912</v>
      </c>
    </row>
    <row r="1394" spans="1:27" ht="17.25" customHeight="1">
      <c r="A1394" s="65" t="str">
        <f>IF(priority(Main[[#This Row],[Comments]])&lt;&gt;0, priority(Main[[#This Row],[Comments]]),"")</f>
        <v/>
      </c>
      <c r="B1394" s="60" t="s">
        <v>1821</v>
      </c>
      <c r="C1394" s="105" t="s">
        <v>4</v>
      </c>
      <c r="D1394" s="74" t="s">
        <v>2128</v>
      </c>
      <c r="E1394" s="89"/>
      <c r="F1394" s="89"/>
      <c r="G1394" s="65" t="str">
        <f>IF(stdProdLT(Main[[#This Row],[Comments]])=0.1,"N/A",IF(stdProdLT(Main[[#This Row],[Comments]])=0,"",TRIM(stdProdLT(Main[[#This Row],[Comments]]))))</f>
        <v/>
      </c>
      <c r="H1394" s="98" t="str">
        <f>IF(Main[[#This Row],[Std. Prod. Lead Time]]="N/A", "",IF(AND(Main[[#This Row],[In Stock Date]]&lt;&gt;"",Main[[#This Row],[Revised Due Date]]&lt;&gt;"",Main[[#This Row],[In Stock Date]]&lt;&gt;""),Main[[#This Row],[In Stock Date]]-Main[[#This Row],[Revised Due Date]],""))</f>
        <v/>
      </c>
      <c r="I1394" s="110" t="s">
        <v>530</v>
      </c>
      <c r="J1394" s="99" t="s">
        <v>28</v>
      </c>
      <c r="K1394" s="99" t="s">
        <v>1920</v>
      </c>
      <c r="L1394" s="89">
        <v>40294</v>
      </c>
      <c r="M1394" s="75">
        <f>IF(Main[[#This Row],[Tech Start Date]]&lt;1/1/1990,"",IF(Main[[#This Row],[Class]]="C",WORKDAY(Main[[#This Row],[Tech Start Date]],9),IF(Main[[#This Row],[Class]]="B", WORKDAY(Main[[#This Row],[Tech Start Date]],6),IF(Main[[#This Row],[Class]]="A",WORKDAY(Main[[#This Row],[Tech Start Date]],2),""))))</f>
        <v>40302</v>
      </c>
      <c r="N1394" s="75">
        <f>IF(Main[[#This Row],[Tech Start Date]]&lt;1/1/1990,"",IF(Main[[#This Row],[Class]]="C",WORKDAY(Main[[#This Row],[Tech Start Date]],19),IF(Main[[#This Row],[Class]]="B", WORKDAY(Main[[#This Row],[Tech Start Date]],12),IF(Main[[#This Row],[Class]]="A",WORKDAY(Main[[#This Row],[Tech Start Date]],4),""))))</f>
        <v>40310</v>
      </c>
      <c r="O1394" s="75">
        <f>IF(Main[[#This Row],[Tech Start Date]]&lt;1/1/1990,"",IF(Main[[#This Row],[Class]]="C",WORKDAY(Main[[#This Row],[Tech Start Date]],23),IF(Main[[#This Row],[Class]]="B", WORKDAY(Main[[#This Row],[Tech Start Date]],15),IF(Main[[#This Row],[Class]]="A",WORKDAY(Main[[#This Row],[Tech Start Date]],5),""))))</f>
        <v>40315</v>
      </c>
      <c r="P1394" s="75">
        <f>IF(Main[[#This Row],[Tech Start Date]]&lt;1/1/1990,"",IF(Main[[#This Row],[Class]]="C",WORKDAY(Main[[#This Row],[Tech Start Date]],28),IF(Main[[#This Row],[Class]]="B", WORKDAY(Main[[#This Row],[Tech Start Date]],19),IF(Main[[#This Row],[Class]]="A",WORKDAY(Main[[#This Row],[Tech Start Date]],9),""))))</f>
        <v>40319</v>
      </c>
      <c r="Q1394" s="89">
        <v>40329</v>
      </c>
      <c r="R1394" s="121">
        <v>40326</v>
      </c>
      <c r="S1394" s="99" t="s">
        <v>6</v>
      </c>
      <c r="T1394" s="76" t="s">
        <v>4</v>
      </c>
      <c r="U1394" s="99" t="s">
        <v>14</v>
      </c>
      <c r="V1394" s="99" t="s">
        <v>1916</v>
      </c>
      <c r="W1394" s="99" t="s">
        <v>1917</v>
      </c>
      <c r="X1394" s="99" t="s">
        <v>2912</v>
      </c>
      <c r="Y1394" s="73" t="s">
        <v>3139</v>
      </c>
      <c r="Z1394" s="73" t="s">
        <v>30</v>
      </c>
      <c r="AA1394" s="99" t="s">
        <v>2912</v>
      </c>
    </row>
    <row r="1395" spans="1:27" ht="17.25" customHeight="1">
      <c r="A1395" s="65" t="str">
        <f>IF(priority(Main[[#This Row],[Comments]])&lt;&gt;0, priority(Main[[#This Row],[Comments]]),"")</f>
        <v/>
      </c>
      <c r="B1395" s="60" t="s">
        <v>1820</v>
      </c>
      <c r="C1395" s="105" t="s">
        <v>4</v>
      </c>
      <c r="D1395" s="74" t="s">
        <v>873</v>
      </c>
      <c r="E1395" s="89"/>
      <c r="F1395" s="89"/>
      <c r="G1395" s="65" t="str">
        <f>IF(stdProdLT(Main[[#This Row],[Comments]])=0.1,"N/A",IF(stdProdLT(Main[[#This Row],[Comments]])=0,"",TRIM(stdProdLT(Main[[#This Row],[Comments]]))))</f>
        <v/>
      </c>
      <c r="H1395" s="98" t="str">
        <f>IF(Main[[#This Row],[Std. Prod. Lead Time]]="N/A", "",IF(AND(Main[[#This Row],[In Stock Date]]&lt;&gt;"",Main[[#This Row],[Revised Due Date]]&lt;&gt;"",Main[[#This Row],[In Stock Date]]&lt;&gt;""),Main[[#This Row],[In Stock Date]]-Main[[#This Row],[Revised Due Date]],""))</f>
        <v/>
      </c>
      <c r="I1395" s="110" t="s">
        <v>489</v>
      </c>
      <c r="J1395" s="99" t="s">
        <v>4</v>
      </c>
      <c r="K1395" s="99" t="s">
        <v>1920</v>
      </c>
      <c r="L1395" s="89">
        <v>40295</v>
      </c>
      <c r="M1395" s="75">
        <f>IF(Main[[#This Row],[Tech Start Date]]&lt;1/1/1990,"",IF(Main[[#This Row],[Class]]="C",WORKDAY(Main[[#This Row],[Tech Start Date]],9),IF(Main[[#This Row],[Class]]="B", WORKDAY(Main[[#This Row],[Tech Start Date]],6),IF(Main[[#This Row],[Class]]="A",WORKDAY(Main[[#This Row],[Tech Start Date]],2),""))))</f>
        <v>40303</v>
      </c>
      <c r="N1395" s="75">
        <f>IF(Main[[#This Row],[Tech Start Date]]&lt;1/1/1990,"",IF(Main[[#This Row],[Class]]="C",WORKDAY(Main[[#This Row],[Tech Start Date]],19),IF(Main[[#This Row],[Class]]="B", WORKDAY(Main[[#This Row],[Tech Start Date]],12),IF(Main[[#This Row],[Class]]="A",WORKDAY(Main[[#This Row],[Tech Start Date]],4),""))))</f>
        <v>40311</v>
      </c>
      <c r="O1395" s="75">
        <f>IF(Main[[#This Row],[Tech Start Date]]&lt;1/1/1990,"",IF(Main[[#This Row],[Class]]="C",WORKDAY(Main[[#This Row],[Tech Start Date]],23),IF(Main[[#This Row],[Class]]="B", WORKDAY(Main[[#This Row],[Tech Start Date]],15),IF(Main[[#This Row],[Class]]="A",WORKDAY(Main[[#This Row],[Tech Start Date]],5),""))))</f>
        <v>40316</v>
      </c>
      <c r="P1395" s="75">
        <f>IF(Main[[#This Row],[Tech Start Date]]&lt;1/1/1990,"",IF(Main[[#This Row],[Class]]="C",WORKDAY(Main[[#This Row],[Tech Start Date]],28),IF(Main[[#This Row],[Class]]="B", WORKDAY(Main[[#This Row],[Tech Start Date]],19),IF(Main[[#This Row],[Class]]="A",WORKDAY(Main[[#This Row],[Tech Start Date]],9),""))))</f>
        <v>40322</v>
      </c>
      <c r="Q1395" s="89">
        <v>40329</v>
      </c>
      <c r="R1395" s="121">
        <v>40325</v>
      </c>
      <c r="S1395" s="99" t="s">
        <v>6</v>
      </c>
      <c r="T1395" s="76" t="s">
        <v>4</v>
      </c>
      <c r="U1395" s="99" t="s">
        <v>14</v>
      </c>
      <c r="V1395" s="99" t="s">
        <v>1916</v>
      </c>
      <c r="W1395" s="99" t="s">
        <v>4</v>
      </c>
      <c r="X1395" s="99" t="s">
        <v>2912</v>
      </c>
      <c r="Y1395" s="73" t="s">
        <v>3139</v>
      </c>
      <c r="Z1395" s="73" t="s">
        <v>973</v>
      </c>
      <c r="AA1395" s="99" t="s">
        <v>2912</v>
      </c>
    </row>
    <row r="1396" spans="1:27" ht="17.25" customHeight="1">
      <c r="A1396" s="65" t="str">
        <f>IF(priority(Main[[#This Row],[Comments]])&lt;&gt;0, priority(Main[[#This Row],[Comments]]),"")</f>
        <v/>
      </c>
      <c r="B1396" s="60" t="s">
        <v>1870</v>
      </c>
      <c r="C1396" s="105" t="s">
        <v>33</v>
      </c>
      <c r="D1396" s="74" t="s">
        <v>926</v>
      </c>
      <c r="E1396" s="89">
        <v>40314.31863425926</v>
      </c>
      <c r="F1396" s="89">
        <v>40489</v>
      </c>
      <c r="G1396" s="65" t="str">
        <f>IF(stdProdLT(Main[[#This Row],[Comments]])=0.1,"N/A",IF(stdProdLT(Main[[#This Row],[Comments]])=0,"",TRIM(stdProdLT(Main[[#This Row],[Comments]]))))</f>
        <v/>
      </c>
      <c r="H1396" s="98">
        <f>IF(Main[[#This Row],[Std. Prod. Lead Time]]="N/A", "",IF(AND(Main[[#This Row],[In Stock Date]]&lt;&gt;"",Main[[#This Row],[Revised Due Date]]&lt;&gt;"",Main[[#This Row],[In Stock Date]]&lt;&gt;""),Main[[#This Row],[In Stock Date]]-Main[[#This Row],[Revised Due Date]],""))</f>
        <v>-373</v>
      </c>
      <c r="I1396" s="110" t="s">
        <v>163</v>
      </c>
      <c r="J1396" s="99" t="s">
        <v>4</v>
      </c>
      <c r="K1396" s="99" t="s">
        <v>1925</v>
      </c>
      <c r="L1396" s="89">
        <v>40331</v>
      </c>
      <c r="M1396" s="75" t="str">
        <f>IF(Main[[#This Row],[Tech Start Date]]&lt;1/1/1990,"",IF(Main[[#This Row],[Class]]="C",WORKDAY(Main[[#This Row],[Tech Start Date]],9),IF(Main[[#This Row],[Class]]="B", WORKDAY(Main[[#This Row],[Tech Start Date]],6),IF(Main[[#This Row],[Class]]="A",WORKDAY(Main[[#This Row],[Tech Start Date]],2),""))))</f>
        <v/>
      </c>
      <c r="N1396" s="75" t="str">
        <f>IF(Main[[#This Row],[Tech Start Date]]&lt;1/1/1990,"",IF(Main[[#This Row],[Class]]="C",WORKDAY(Main[[#This Row],[Tech Start Date]],19),IF(Main[[#This Row],[Class]]="B", WORKDAY(Main[[#This Row],[Tech Start Date]],12),IF(Main[[#This Row],[Class]]="A",WORKDAY(Main[[#This Row],[Tech Start Date]],4),""))))</f>
        <v/>
      </c>
      <c r="O1396" s="75" t="str">
        <f>IF(Main[[#This Row],[Tech Start Date]]&lt;1/1/1990,"",IF(Main[[#This Row],[Class]]="C",WORKDAY(Main[[#This Row],[Tech Start Date]],23),IF(Main[[#This Row],[Class]]="B", WORKDAY(Main[[#This Row],[Tech Start Date]],15),IF(Main[[#This Row],[Class]]="A",WORKDAY(Main[[#This Row],[Tech Start Date]],5),""))))</f>
        <v/>
      </c>
      <c r="P1396" s="75" t="str">
        <f>IF(Main[[#This Row],[Tech Start Date]]&lt;1/1/1990,"",IF(Main[[#This Row],[Class]]="C",WORKDAY(Main[[#This Row],[Tech Start Date]],28),IF(Main[[#This Row],[Class]]="B", WORKDAY(Main[[#This Row],[Tech Start Date]],19),IF(Main[[#This Row],[Class]]="A",WORKDAY(Main[[#This Row],[Tech Start Date]],9),""))))</f>
        <v/>
      </c>
      <c r="Q1396" s="89">
        <v>40349</v>
      </c>
      <c r="R1396" s="121">
        <v>40862</v>
      </c>
      <c r="S1396" s="99" t="s">
        <v>17</v>
      </c>
      <c r="T1396" s="76" t="s">
        <v>4</v>
      </c>
      <c r="U1396" s="99" t="s">
        <v>29</v>
      </c>
      <c r="V1396" s="99" t="s">
        <v>1916</v>
      </c>
      <c r="W1396" s="99" t="s">
        <v>1918</v>
      </c>
      <c r="X1396" s="99" t="s">
        <v>2913</v>
      </c>
      <c r="Y1396" s="73" t="s">
        <v>4</v>
      </c>
      <c r="Z1396" s="73" t="s">
        <v>415</v>
      </c>
      <c r="AA1396" s="99" t="s">
        <v>2913</v>
      </c>
    </row>
    <row r="1397" spans="1:27" ht="17.25" customHeight="1">
      <c r="A1397" s="65" t="str">
        <f>IF(priority(Main[[#This Row],[Comments]])&lt;&gt;0, priority(Main[[#This Row],[Comments]]),"")</f>
        <v/>
      </c>
      <c r="B1397" s="60" t="s">
        <v>1830</v>
      </c>
      <c r="C1397" s="105" t="s">
        <v>180</v>
      </c>
      <c r="D1397" s="74" t="s">
        <v>882</v>
      </c>
      <c r="E1397" s="89"/>
      <c r="F1397" s="89">
        <v>40421</v>
      </c>
      <c r="G1397" s="65" t="str">
        <f>IF(stdProdLT(Main[[#This Row],[Comments]])=0.1,"N/A",IF(stdProdLT(Main[[#This Row],[Comments]])=0,"",TRIM(stdProdLT(Main[[#This Row],[Comments]]))))</f>
        <v/>
      </c>
      <c r="H1397" s="98">
        <f>IF(Main[[#This Row],[Std. Prod. Lead Time]]="N/A", "",IF(AND(Main[[#This Row],[In Stock Date]]&lt;&gt;"",Main[[#This Row],[Revised Due Date]]&lt;&gt;"",Main[[#This Row],[In Stock Date]]&lt;&gt;""),Main[[#This Row],[In Stock Date]]-Main[[#This Row],[Revised Due Date]],""))</f>
        <v>4</v>
      </c>
      <c r="I1397" s="110" t="s">
        <v>883</v>
      </c>
      <c r="J1397" s="99" t="s">
        <v>51</v>
      </c>
      <c r="K1397" s="99" t="s">
        <v>1922</v>
      </c>
      <c r="L1397" s="89">
        <v>40354</v>
      </c>
      <c r="M1397" s="75">
        <f>IF(Main[[#This Row],[Tech Start Date]]&lt;1/1/1990,"",IF(Main[[#This Row],[Class]]="C",WORKDAY(Main[[#This Row],[Tech Start Date]],9),IF(Main[[#This Row],[Class]]="B", WORKDAY(Main[[#This Row],[Tech Start Date]],6),IF(Main[[#This Row],[Class]]="A",WORKDAY(Main[[#This Row],[Tech Start Date]],2),""))))</f>
        <v>40358</v>
      </c>
      <c r="N1397" s="75">
        <f>IF(Main[[#This Row],[Tech Start Date]]&lt;1/1/1990,"",IF(Main[[#This Row],[Class]]="C",WORKDAY(Main[[#This Row],[Tech Start Date]],19),IF(Main[[#This Row],[Class]]="B", WORKDAY(Main[[#This Row],[Tech Start Date]],12),IF(Main[[#This Row],[Class]]="A",WORKDAY(Main[[#This Row],[Tech Start Date]],4),""))))</f>
        <v>40360</v>
      </c>
      <c r="O1397" s="75">
        <f>IF(Main[[#This Row],[Tech Start Date]]&lt;1/1/1990,"",IF(Main[[#This Row],[Class]]="C",WORKDAY(Main[[#This Row],[Tech Start Date]],23),IF(Main[[#This Row],[Class]]="B", WORKDAY(Main[[#This Row],[Tech Start Date]],15),IF(Main[[#This Row],[Class]]="A",WORKDAY(Main[[#This Row],[Tech Start Date]],5),""))))</f>
        <v>40361</v>
      </c>
      <c r="P1397" s="75">
        <f>IF(Main[[#This Row],[Tech Start Date]]&lt;1/1/1990,"",IF(Main[[#This Row],[Class]]="C",WORKDAY(Main[[#This Row],[Tech Start Date]],28),IF(Main[[#This Row],[Class]]="B", WORKDAY(Main[[#This Row],[Tech Start Date]],19),IF(Main[[#This Row],[Class]]="A",WORKDAY(Main[[#This Row],[Tech Start Date]],9),""))))</f>
        <v>40367</v>
      </c>
      <c r="Q1397" s="89">
        <v>40417</v>
      </c>
      <c r="R1397" s="121">
        <v>40417</v>
      </c>
      <c r="S1397" s="99" t="s">
        <v>11</v>
      </c>
      <c r="T1397" s="76" t="s">
        <v>4</v>
      </c>
      <c r="U1397" s="99" t="s">
        <v>14</v>
      </c>
      <c r="V1397" s="99" t="s">
        <v>1923</v>
      </c>
      <c r="W1397" s="99" t="s">
        <v>1919</v>
      </c>
      <c r="X1397" s="99" t="s">
        <v>2866</v>
      </c>
      <c r="Y1397" s="73" t="s">
        <v>2990</v>
      </c>
      <c r="Z1397" s="73" t="s">
        <v>883</v>
      </c>
      <c r="AA1397" s="99" t="s">
        <v>2866</v>
      </c>
    </row>
    <row r="1398" spans="1:27" ht="17.25" customHeight="1">
      <c r="A1398" s="65" t="str">
        <f>IF(priority(Main[[#This Row],[Comments]])&lt;&gt;0, priority(Main[[#This Row],[Comments]]),"")</f>
        <v/>
      </c>
      <c r="B1398" s="60" t="s">
        <v>1829</v>
      </c>
      <c r="C1398" s="105" t="s">
        <v>180</v>
      </c>
      <c r="D1398" s="74" t="s">
        <v>884</v>
      </c>
      <c r="E1398" s="89"/>
      <c r="F1398" s="89">
        <v>40421</v>
      </c>
      <c r="G1398" s="65" t="str">
        <f>IF(stdProdLT(Main[[#This Row],[Comments]])=0.1,"N/A",IF(stdProdLT(Main[[#This Row],[Comments]])=0,"",TRIM(stdProdLT(Main[[#This Row],[Comments]]))))</f>
        <v/>
      </c>
      <c r="H1398" s="98">
        <f>IF(Main[[#This Row],[Std. Prod. Lead Time]]="N/A", "",IF(AND(Main[[#This Row],[In Stock Date]]&lt;&gt;"",Main[[#This Row],[Revised Due Date]]&lt;&gt;"",Main[[#This Row],[In Stock Date]]&lt;&gt;""),Main[[#This Row],[In Stock Date]]-Main[[#This Row],[Revised Due Date]],""))</f>
        <v>4</v>
      </c>
      <c r="I1398" s="110" t="s">
        <v>883</v>
      </c>
      <c r="J1398" s="99" t="s">
        <v>51</v>
      </c>
      <c r="K1398" s="99" t="s">
        <v>1922</v>
      </c>
      <c r="L1398" s="89">
        <v>40354</v>
      </c>
      <c r="M1398" s="75">
        <f>IF(Main[[#This Row],[Tech Start Date]]&lt;1/1/1990,"",IF(Main[[#This Row],[Class]]="C",WORKDAY(Main[[#This Row],[Tech Start Date]],9),IF(Main[[#This Row],[Class]]="B", WORKDAY(Main[[#This Row],[Tech Start Date]],6),IF(Main[[#This Row],[Class]]="A",WORKDAY(Main[[#This Row],[Tech Start Date]],2),""))))</f>
        <v>40358</v>
      </c>
      <c r="N1398" s="75">
        <f>IF(Main[[#This Row],[Tech Start Date]]&lt;1/1/1990,"",IF(Main[[#This Row],[Class]]="C",WORKDAY(Main[[#This Row],[Tech Start Date]],19),IF(Main[[#This Row],[Class]]="B", WORKDAY(Main[[#This Row],[Tech Start Date]],12),IF(Main[[#This Row],[Class]]="A",WORKDAY(Main[[#This Row],[Tech Start Date]],4),""))))</f>
        <v>40360</v>
      </c>
      <c r="O1398" s="75">
        <f>IF(Main[[#This Row],[Tech Start Date]]&lt;1/1/1990,"",IF(Main[[#This Row],[Class]]="C",WORKDAY(Main[[#This Row],[Tech Start Date]],23),IF(Main[[#This Row],[Class]]="B", WORKDAY(Main[[#This Row],[Tech Start Date]],15),IF(Main[[#This Row],[Class]]="A",WORKDAY(Main[[#This Row],[Tech Start Date]],5),""))))</f>
        <v>40361</v>
      </c>
      <c r="P1398" s="75">
        <f>IF(Main[[#This Row],[Tech Start Date]]&lt;1/1/1990,"",IF(Main[[#This Row],[Class]]="C",WORKDAY(Main[[#This Row],[Tech Start Date]],28),IF(Main[[#This Row],[Class]]="B", WORKDAY(Main[[#This Row],[Tech Start Date]],19),IF(Main[[#This Row],[Class]]="A",WORKDAY(Main[[#This Row],[Tech Start Date]],9),""))))</f>
        <v>40367</v>
      </c>
      <c r="Q1398" s="89">
        <v>40417</v>
      </c>
      <c r="R1398" s="121">
        <v>40417</v>
      </c>
      <c r="S1398" s="99" t="s">
        <v>11</v>
      </c>
      <c r="T1398" s="76" t="s">
        <v>4</v>
      </c>
      <c r="U1398" s="99" t="s">
        <v>14</v>
      </c>
      <c r="V1398" s="99" t="s">
        <v>1923</v>
      </c>
      <c r="W1398" s="99" t="s">
        <v>1919</v>
      </c>
      <c r="X1398" s="99" t="s">
        <v>2866</v>
      </c>
      <c r="Y1398" s="73" t="s">
        <v>2990</v>
      </c>
      <c r="Z1398" s="73" t="s">
        <v>883</v>
      </c>
      <c r="AA1398" s="99" t="s">
        <v>2866</v>
      </c>
    </row>
    <row r="1399" spans="1:27" ht="17.25" customHeight="1">
      <c r="A1399" s="65" t="str">
        <f>IF(priority(Main[[#This Row],[Comments]])&lt;&gt;0, priority(Main[[#This Row],[Comments]]),"")</f>
        <v/>
      </c>
      <c r="B1399" s="60" t="s">
        <v>1827</v>
      </c>
      <c r="C1399" s="105" t="s">
        <v>879</v>
      </c>
      <c r="D1399" s="74" t="s">
        <v>880</v>
      </c>
      <c r="E1399" s="89"/>
      <c r="F1399" s="89">
        <v>40442</v>
      </c>
      <c r="G1399" s="65" t="str">
        <f>IF(stdProdLT(Main[[#This Row],[Comments]])=0.1,"N/A",IF(stdProdLT(Main[[#This Row],[Comments]])=0,"",TRIM(stdProdLT(Main[[#This Row],[Comments]]))))</f>
        <v/>
      </c>
      <c r="H1399" s="98">
        <f>IF(Main[[#This Row],[Std. Prod. Lead Time]]="N/A", "",IF(AND(Main[[#This Row],[In Stock Date]]&lt;&gt;"",Main[[#This Row],[Revised Due Date]]&lt;&gt;"",Main[[#This Row],[In Stock Date]]&lt;&gt;""),Main[[#This Row],[In Stock Date]]-Main[[#This Row],[Revised Due Date]],""))</f>
        <v>40</v>
      </c>
      <c r="I1399" s="110" t="s">
        <v>553</v>
      </c>
      <c r="J1399" s="99" t="s">
        <v>28</v>
      </c>
      <c r="K1399" s="99" t="s">
        <v>1925</v>
      </c>
      <c r="L1399" s="89">
        <v>40366</v>
      </c>
      <c r="M1399" s="75" t="str">
        <f>IF(Main[[#This Row],[Tech Start Date]]&lt;1/1/1990,"",IF(Main[[#This Row],[Class]]="C",WORKDAY(Main[[#This Row],[Tech Start Date]],9),IF(Main[[#This Row],[Class]]="B", WORKDAY(Main[[#This Row],[Tech Start Date]],6),IF(Main[[#This Row],[Class]]="A",WORKDAY(Main[[#This Row],[Tech Start Date]],2),""))))</f>
        <v/>
      </c>
      <c r="N1399" s="75" t="str">
        <f>IF(Main[[#This Row],[Tech Start Date]]&lt;1/1/1990,"",IF(Main[[#This Row],[Class]]="C",WORKDAY(Main[[#This Row],[Tech Start Date]],19),IF(Main[[#This Row],[Class]]="B", WORKDAY(Main[[#This Row],[Tech Start Date]],12),IF(Main[[#This Row],[Class]]="A",WORKDAY(Main[[#This Row],[Tech Start Date]],4),""))))</f>
        <v/>
      </c>
      <c r="O1399" s="75" t="str">
        <f>IF(Main[[#This Row],[Tech Start Date]]&lt;1/1/1990,"",IF(Main[[#This Row],[Class]]="C",WORKDAY(Main[[#This Row],[Tech Start Date]],23),IF(Main[[#This Row],[Class]]="B", WORKDAY(Main[[#This Row],[Tech Start Date]],15),IF(Main[[#This Row],[Class]]="A",WORKDAY(Main[[#This Row],[Tech Start Date]],5),""))))</f>
        <v/>
      </c>
      <c r="P1399" s="75" t="str">
        <f>IF(Main[[#This Row],[Tech Start Date]]&lt;1/1/1990,"",IF(Main[[#This Row],[Class]]="C",WORKDAY(Main[[#This Row],[Tech Start Date]],28),IF(Main[[#This Row],[Class]]="B", WORKDAY(Main[[#This Row],[Tech Start Date]],19),IF(Main[[#This Row],[Class]]="A",WORKDAY(Main[[#This Row],[Tech Start Date]],9),""))))</f>
        <v/>
      </c>
      <c r="Q1399" s="89">
        <v>40374</v>
      </c>
      <c r="R1399" s="121">
        <v>40402</v>
      </c>
      <c r="S1399" s="99" t="s">
        <v>11</v>
      </c>
      <c r="T1399" s="76" t="s">
        <v>4</v>
      </c>
      <c r="U1399" s="99" t="s">
        <v>14</v>
      </c>
      <c r="V1399" s="99" t="s">
        <v>1916</v>
      </c>
      <c r="W1399" s="99" t="s">
        <v>1918</v>
      </c>
      <c r="X1399" s="99" t="s">
        <v>2868</v>
      </c>
      <c r="Y1399" s="73" t="s">
        <v>3013</v>
      </c>
      <c r="Z1399" s="73" t="s">
        <v>4</v>
      </c>
      <c r="AA1399" s="99" t="s">
        <v>2868</v>
      </c>
    </row>
    <row r="1400" spans="1:27" ht="17.25" customHeight="1">
      <c r="A1400" s="65" t="str">
        <f>IF(priority(Main[[#This Row],[Comments]])&lt;&gt;0, priority(Main[[#This Row],[Comments]]),"")</f>
        <v/>
      </c>
      <c r="B1400" s="60" t="s">
        <v>1245</v>
      </c>
      <c r="C1400" s="105" t="s">
        <v>4</v>
      </c>
      <c r="D1400" s="74" t="s">
        <v>309</v>
      </c>
      <c r="E1400" s="89">
        <v>40395.401192129626</v>
      </c>
      <c r="F1400" s="89">
        <v>40574</v>
      </c>
      <c r="G1400" s="65" t="str">
        <f>IF(stdProdLT(Main[[#This Row],[Comments]])=0.1,"N/A",IF(stdProdLT(Main[[#This Row],[Comments]])=0,"",TRIM(stdProdLT(Main[[#This Row],[Comments]]))))</f>
        <v/>
      </c>
      <c r="H1400" s="98">
        <f>IF(Main[[#This Row],[Std. Prod. Lead Time]]="N/A", "",IF(AND(Main[[#This Row],[In Stock Date]]&lt;&gt;"",Main[[#This Row],[Revised Due Date]]&lt;&gt;"",Main[[#This Row],[In Stock Date]]&lt;&gt;""),Main[[#This Row],[In Stock Date]]-Main[[#This Row],[Revised Due Date]],""))</f>
        <v>-465</v>
      </c>
      <c r="I1400" s="110" t="s">
        <v>4</v>
      </c>
      <c r="J1400" s="99" t="s">
        <v>28</v>
      </c>
      <c r="K1400" s="99" t="s">
        <v>1925</v>
      </c>
      <c r="L1400" s="89">
        <v>40405</v>
      </c>
      <c r="M1400" s="75" t="str">
        <f>IF(Main[[#This Row],[Tech Start Date]]&lt;1/1/1990,"",IF(Main[[#This Row],[Class]]="C",WORKDAY(Main[[#This Row],[Tech Start Date]],9),IF(Main[[#This Row],[Class]]="B", WORKDAY(Main[[#This Row],[Tech Start Date]],6),IF(Main[[#This Row],[Class]]="A",WORKDAY(Main[[#This Row],[Tech Start Date]],2),""))))</f>
        <v/>
      </c>
      <c r="N1400" s="75" t="str">
        <f>IF(Main[[#This Row],[Tech Start Date]]&lt;1/1/1990,"",IF(Main[[#This Row],[Class]]="C",WORKDAY(Main[[#This Row],[Tech Start Date]],19),IF(Main[[#This Row],[Class]]="B", WORKDAY(Main[[#This Row],[Tech Start Date]],12),IF(Main[[#This Row],[Class]]="A",WORKDAY(Main[[#This Row],[Tech Start Date]],4),""))))</f>
        <v/>
      </c>
      <c r="O1400" s="75" t="str">
        <f>IF(Main[[#This Row],[Tech Start Date]]&lt;1/1/1990,"",IF(Main[[#This Row],[Class]]="C",WORKDAY(Main[[#This Row],[Tech Start Date]],23),IF(Main[[#This Row],[Class]]="B", WORKDAY(Main[[#This Row],[Tech Start Date]],15),IF(Main[[#This Row],[Class]]="A",WORKDAY(Main[[#This Row],[Tech Start Date]],5),""))))</f>
        <v/>
      </c>
      <c r="P1400" s="75" t="str">
        <f>IF(Main[[#This Row],[Tech Start Date]]&lt;1/1/1990,"",IF(Main[[#This Row],[Class]]="C",WORKDAY(Main[[#This Row],[Tech Start Date]],28),IF(Main[[#This Row],[Class]]="B", WORKDAY(Main[[#This Row],[Tech Start Date]],19),IF(Main[[#This Row],[Class]]="A",WORKDAY(Main[[#This Row],[Tech Start Date]],9),""))))</f>
        <v/>
      </c>
      <c r="Q1400" s="89"/>
      <c r="R1400" s="121">
        <v>41039</v>
      </c>
      <c r="S1400" s="99" t="s">
        <v>17</v>
      </c>
      <c r="T1400" s="76" t="s">
        <v>4</v>
      </c>
      <c r="U1400" s="99" t="s">
        <v>29</v>
      </c>
      <c r="V1400" s="99" t="s">
        <v>1916</v>
      </c>
      <c r="W1400" s="99" t="s">
        <v>1918</v>
      </c>
      <c r="X1400" s="99" t="s">
        <v>50</v>
      </c>
      <c r="Y1400" s="73" t="s">
        <v>2979</v>
      </c>
      <c r="Z1400" s="73" t="s">
        <v>968</v>
      </c>
      <c r="AA1400" s="99" t="s">
        <v>65</v>
      </c>
    </row>
    <row r="1401" spans="1:27" ht="17.25" customHeight="1">
      <c r="A1401" s="65" t="str">
        <f>IF(priority(Main[[#This Row],[Comments]])&lt;&gt;0, priority(Main[[#This Row],[Comments]]),"")</f>
        <v/>
      </c>
      <c r="B1401" s="60" t="s">
        <v>1710</v>
      </c>
      <c r="C1401" s="105" t="s">
        <v>4</v>
      </c>
      <c r="D1401" s="74" t="s">
        <v>762</v>
      </c>
      <c r="E1401" s="89">
        <v>40395.395856481482</v>
      </c>
      <c r="F1401" s="89">
        <v>40574</v>
      </c>
      <c r="G1401" s="65" t="str">
        <f>IF(stdProdLT(Main[[#This Row],[Comments]])=0.1,"N/A",IF(stdProdLT(Main[[#This Row],[Comments]])=0,"",TRIM(stdProdLT(Main[[#This Row],[Comments]]))))</f>
        <v/>
      </c>
      <c r="H1401" s="98">
        <f>IF(Main[[#This Row],[Std. Prod. Lead Time]]="N/A", "",IF(AND(Main[[#This Row],[In Stock Date]]&lt;&gt;"",Main[[#This Row],[Revised Due Date]]&lt;&gt;"",Main[[#This Row],[In Stock Date]]&lt;&gt;""),Main[[#This Row],[In Stock Date]]-Main[[#This Row],[Revised Due Date]],""))</f>
        <v>-431</v>
      </c>
      <c r="I1401" s="110" t="s">
        <v>4</v>
      </c>
      <c r="J1401" s="99" t="s">
        <v>28</v>
      </c>
      <c r="K1401" s="99" t="s">
        <v>1925</v>
      </c>
      <c r="L1401" s="89">
        <v>40405</v>
      </c>
      <c r="M1401" s="75" t="str">
        <f>IF(Main[[#This Row],[Tech Start Date]]&lt;1/1/1990,"",IF(Main[[#This Row],[Class]]="C",WORKDAY(Main[[#This Row],[Tech Start Date]],9),IF(Main[[#This Row],[Class]]="B", WORKDAY(Main[[#This Row],[Tech Start Date]],6),IF(Main[[#This Row],[Class]]="A",WORKDAY(Main[[#This Row],[Tech Start Date]],2),""))))</f>
        <v/>
      </c>
      <c r="N1401" s="75" t="str">
        <f>IF(Main[[#This Row],[Tech Start Date]]&lt;1/1/1990,"",IF(Main[[#This Row],[Class]]="C",WORKDAY(Main[[#This Row],[Tech Start Date]],19),IF(Main[[#This Row],[Class]]="B", WORKDAY(Main[[#This Row],[Tech Start Date]],12),IF(Main[[#This Row],[Class]]="A",WORKDAY(Main[[#This Row],[Tech Start Date]],4),""))))</f>
        <v/>
      </c>
      <c r="O1401" s="75" t="str">
        <f>IF(Main[[#This Row],[Tech Start Date]]&lt;1/1/1990,"",IF(Main[[#This Row],[Class]]="C",WORKDAY(Main[[#This Row],[Tech Start Date]],23),IF(Main[[#This Row],[Class]]="B", WORKDAY(Main[[#This Row],[Tech Start Date]],15),IF(Main[[#This Row],[Class]]="A",WORKDAY(Main[[#This Row],[Tech Start Date]],5),""))))</f>
        <v/>
      </c>
      <c r="P1401" s="75" t="str">
        <f>IF(Main[[#This Row],[Tech Start Date]]&lt;1/1/1990,"",IF(Main[[#This Row],[Class]]="C",WORKDAY(Main[[#This Row],[Tech Start Date]],28),IF(Main[[#This Row],[Class]]="B", WORKDAY(Main[[#This Row],[Tech Start Date]],19),IF(Main[[#This Row],[Class]]="A",WORKDAY(Main[[#This Row],[Tech Start Date]],9),""))))</f>
        <v/>
      </c>
      <c r="Q1401" s="89"/>
      <c r="R1401" s="121">
        <v>41005</v>
      </c>
      <c r="S1401" s="99" t="s">
        <v>17</v>
      </c>
      <c r="T1401" s="76" t="s">
        <v>4</v>
      </c>
      <c r="U1401" s="99" t="s">
        <v>29</v>
      </c>
      <c r="V1401" s="99" t="s">
        <v>1916</v>
      </c>
      <c r="W1401" s="99" t="s">
        <v>1918</v>
      </c>
      <c r="X1401" s="99" t="s">
        <v>50</v>
      </c>
      <c r="Y1401" s="73" t="s">
        <v>2979</v>
      </c>
      <c r="Z1401" s="73" t="s">
        <v>968</v>
      </c>
      <c r="AA1401" s="99" t="s">
        <v>65</v>
      </c>
    </row>
    <row r="1402" spans="1:27" ht="17.25" customHeight="1">
      <c r="A1402" s="65" t="str">
        <f>IF(priority(Main[[#This Row],[Comments]])&lt;&gt;0, priority(Main[[#This Row],[Comments]]),"")</f>
        <v/>
      </c>
      <c r="B1402" s="60" t="s">
        <v>1521</v>
      </c>
      <c r="C1402" s="105" t="s">
        <v>4</v>
      </c>
      <c r="D1402" s="74" t="s">
        <v>3759</v>
      </c>
      <c r="E1402" s="89">
        <v>40436.377106481479</v>
      </c>
      <c r="F1402" s="89"/>
      <c r="G1402" s="65" t="str">
        <f>IF(stdProdLT(Main[[#This Row],[Comments]])=0.1,"N/A",IF(stdProdLT(Main[[#This Row],[Comments]])=0,"",TRIM(stdProdLT(Main[[#This Row],[Comments]]))))</f>
        <v/>
      </c>
      <c r="H1402" s="98" t="str">
        <f>IF(Main[[#This Row],[Std. Prod. Lead Time]]="N/A", "",IF(AND(Main[[#This Row],[In Stock Date]]&lt;&gt;"",Main[[#This Row],[Revised Due Date]]&lt;&gt;"",Main[[#This Row],[In Stock Date]]&lt;&gt;""),Main[[#This Row],[In Stock Date]]-Main[[#This Row],[Revised Due Date]],""))</f>
        <v/>
      </c>
      <c r="I1402" s="110" t="s">
        <v>886</v>
      </c>
      <c r="J1402" s="99" t="s">
        <v>4</v>
      </c>
      <c r="K1402" s="99" t="s">
        <v>1925</v>
      </c>
      <c r="L1402" s="89">
        <v>40441</v>
      </c>
      <c r="M1402" s="75" t="str">
        <f>IF(Main[[#This Row],[Tech Start Date]]&lt;1/1/1990,"",IF(Main[[#This Row],[Class]]="C",WORKDAY(Main[[#This Row],[Tech Start Date]],9),IF(Main[[#This Row],[Class]]="B", WORKDAY(Main[[#This Row],[Tech Start Date]],6),IF(Main[[#This Row],[Class]]="A",WORKDAY(Main[[#This Row],[Tech Start Date]],2),""))))</f>
        <v/>
      </c>
      <c r="N1402" s="75" t="str">
        <f>IF(Main[[#This Row],[Tech Start Date]]&lt;1/1/1990,"",IF(Main[[#This Row],[Class]]="C",WORKDAY(Main[[#This Row],[Tech Start Date]],19),IF(Main[[#This Row],[Class]]="B", WORKDAY(Main[[#This Row],[Tech Start Date]],12),IF(Main[[#This Row],[Class]]="A",WORKDAY(Main[[#This Row],[Tech Start Date]],4),""))))</f>
        <v/>
      </c>
      <c r="O1402" s="75" t="str">
        <f>IF(Main[[#This Row],[Tech Start Date]]&lt;1/1/1990,"",IF(Main[[#This Row],[Class]]="C",WORKDAY(Main[[#This Row],[Tech Start Date]],23),IF(Main[[#This Row],[Class]]="B", WORKDAY(Main[[#This Row],[Tech Start Date]],15),IF(Main[[#This Row],[Class]]="A",WORKDAY(Main[[#This Row],[Tech Start Date]],5),""))))</f>
        <v/>
      </c>
      <c r="P1402" s="75" t="str">
        <f>IF(Main[[#This Row],[Tech Start Date]]&lt;1/1/1990,"",IF(Main[[#This Row],[Class]]="C",WORKDAY(Main[[#This Row],[Tech Start Date]],28),IF(Main[[#This Row],[Class]]="B", WORKDAY(Main[[#This Row],[Tech Start Date]],19),IF(Main[[#This Row],[Class]]="A",WORKDAY(Main[[#This Row],[Tech Start Date]],9),""))))</f>
        <v/>
      </c>
      <c r="Q1402" s="89">
        <v>41274</v>
      </c>
      <c r="R1402" s="121">
        <v>41180</v>
      </c>
      <c r="S1402" s="99" t="s">
        <v>17</v>
      </c>
      <c r="T1402" s="76" t="s">
        <v>2598</v>
      </c>
      <c r="U1402" s="99" t="s">
        <v>29</v>
      </c>
      <c r="V1402" s="99" t="s">
        <v>1913</v>
      </c>
      <c r="W1402" s="99" t="s">
        <v>1918</v>
      </c>
      <c r="X1402" s="99" t="s">
        <v>922</v>
      </c>
      <c r="Y1402" s="73" t="s">
        <v>3140</v>
      </c>
      <c r="Z1402" s="73" t="s">
        <v>877</v>
      </c>
      <c r="AA1402" s="99" t="s">
        <v>2822</v>
      </c>
    </row>
    <row r="1403" spans="1:27" ht="17.25" customHeight="1">
      <c r="A1403" s="65" t="str">
        <f>IF(priority(Main[[#This Row],[Comments]])&lt;&gt;0, priority(Main[[#This Row],[Comments]]),"")</f>
        <v/>
      </c>
      <c r="B1403" s="60" t="s">
        <v>1838</v>
      </c>
      <c r="C1403" s="105" t="s">
        <v>4</v>
      </c>
      <c r="D1403" s="74" t="s">
        <v>895</v>
      </c>
      <c r="E1403" s="89"/>
      <c r="F1403" s="89"/>
      <c r="G1403" s="65" t="str">
        <f>IF(stdProdLT(Main[[#This Row],[Comments]])=0.1,"N/A",IF(stdProdLT(Main[[#This Row],[Comments]])=0,"",TRIM(stdProdLT(Main[[#This Row],[Comments]]))))</f>
        <v/>
      </c>
      <c r="H1403" s="98" t="str">
        <f>IF(Main[[#This Row],[Std. Prod. Lead Time]]="N/A", "",IF(AND(Main[[#This Row],[In Stock Date]]&lt;&gt;"",Main[[#This Row],[Revised Due Date]]&lt;&gt;"",Main[[#This Row],[In Stock Date]]&lt;&gt;""),Main[[#This Row],[In Stock Date]]-Main[[#This Row],[Revised Due Date]],""))</f>
        <v/>
      </c>
      <c r="I1403" s="110" t="s">
        <v>708</v>
      </c>
      <c r="J1403" s="99" t="s">
        <v>4</v>
      </c>
      <c r="K1403" s="99" t="s">
        <v>4</v>
      </c>
      <c r="L1403" s="89">
        <v>40469</v>
      </c>
      <c r="M1403" s="75" t="str">
        <f>IF(Main[[#This Row],[Tech Start Date]]&lt;1/1/1990,"",IF(Main[[#This Row],[Class]]="C",WORKDAY(Main[[#This Row],[Tech Start Date]],9),IF(Main[[#This Row],[Class]]="B", WORKDAY(Main[[#This Row],[Tech Start Date]],6),IF(Main[[#This Row],[Class]]="A",WORKDAY(Main[[#This Row],[Tech Start Date]],2),""))))</f>
        <v/>
      </c>
      <c r="N1403" s="75" t="str">
        <f>IF(Main[[#This Row],[Tech Start Date]]&lt;1/1/1990,"",IF(Main[[#This Row],[Class]]="C",WORKDAY(Main[[#This Row],[Tech Start Date]],19),IF(Main[[#This Row],[Class]]="B", WORKDAY(Main[[#This Row],[Tech Start Date]],12),IF(Main[[#This Row],[Class]]="A",WORKDAY(Main[[#This Row],[Tech Start Date]],4),""))))</f>
        <v/>
      </c>
      <c r="O1403" s="75" t="str">
        <f>IF(Main[[#This Row],[Tech Start Date]]&lt;1/1/1990,"",IF(Main[[#This Row],[Class]]="C",WORKDAY(Main[[#This Row],[Tech Start Date]],23),IF(Main[[#This Row],[Class]]="B", WORKDAY(Main[[#This Row],[Tech Start Date]],15),IF(Main[[#This Row],[Class]]="A",WORKDAY(Main[[#This Row],[Tech Start Date]],5),""))))</f>
        <v/>
      </c>
      <c r="P1403" s="75" t="str">
        <f>IF(Main[[#This Row],[Tech Start Date]]&lt;1/1/1990,"",IF(Main[[#This Row],[Class]]="C",WORKDAY(Main[[#This Row],[Tech Start Date]],28),IF(Main[[#This Row],[Class]]="B", WORKDAY(Main[[#This Row],[Tech Start Date]],19),IF(Main[[#This Row],[Class]]="A",WORKDAY(Main[[#This Row],[Tech Start Date]],9),""))))</f>
        <v/>
      </c>
      <c r="Q1403" s="89"/>
      <c r="R1403" s="121">
        <v>40473</v>
      </c>
      <c r="S1403" s="99" t="s">
        <v>23</v>
      </c>
      <c r="T1403" s="76" t="s">
        <v>4</v>
      </c>
      <c r="U1403" s="99" t="s">
        <v>14</v>
      </c>
      <c r="V1403" s="99" t="s">
        <v>1913</v>
      </c>
      <c r="W1403" s="99" t="s">
        <v>1917</v>
      </c>
      <c r="X1403" s="99" t="s">
        <v>306</v>
      </c>
      <c r="Y1403" s="73" t="s">
        <v>4</v>
      </c>
      <c r="Z1403" s="73" t="s">
        <v>129</v>
      </c>
      <c r="AA1403" s="99" t="s">
        <v>3463</v>
      </c>
    </row>
    <row r="1404" spans="1:27" ht="17.25" customHeight="1">
      <c r="A1404" s="65" t="str">
        <f>IF(priority(Main[[#This Row],[Comments]])&lt;&gt;0, priority(Main[[#This Row],[Comments]]),"")</f>
        <v/>
      </c>
      <c r="B1404" s="60" t="s">
        <v>1089</v>
      </c>
      <c r="C1404" s="105" t="s">
        <v>4</v>
      </c>
      <c r="D1404" s="74" t="s">
        <v>1996</v>
      </c>
      <c r="E1404" s="89"/>
      <c r="F1404" s="89"/>
      <c r="G1404" s="65" t="str">
        <f>IF(stdProdLT(Main[[#This Row],[Comments]])=0.1,"N/A",IF(stdProdLT(Main[[#This Row],[Comments]])=0,"",TRIM(stdProdLT(Main[[#This Row],[Comments]]))))</f>
        <v/>
      </c>
      <c r="H1404" s="98" t="str">
        <f>IF(Main[[#This Row],[Std. Prod. Lead Time]]="N/A", "",IF(AND(Main[[#This Row],[In Stock Date]]&lt;&gt;"",Main[[#This Row],[Revised Due Date]]&lt;&gt;"",Main[[#This Row],[In Stock Date]]&lt;&gt;""),Main[[#This Row],[In Stock Date]]-Main[[#This Row],[Revised Due Date]],""))</f>
        <v/>
      </c>
      <c r="I1404" s="110" t="s">
        <v>30</v>
      </c>
      <c r="J1404" s="99" t="s">
        <v>28</v>
      </c>
      <c r="K1404" s="99" t="s">
        <v>1920</v>
      </c>
      <c r="L1404" s="89">
        <v>40486</v>
      </c>
      <c r="M1404" s="75">
        <f>IF(Main[[#This Row],[Tech Start Date]]&lt;1/1/1990,"",IF(Main[[#This Row],[Class]]="C",WORKDAY(Main[[#This Row],[Tech Start Date]],9),IF(Main[[#This Row],[Class]]="B", WORKDAY(Main[[#This Row],[Tech Start Date]],6),IF(Main[[#This Row],[Class]]="A",WORKDAY(Main[[#This Row],[Tech Start Date]],2),""))))</f>
        <v>40494</v>
      </c>
      <c r="N1404" s="75">
        <f>IF(Main[[#This Row],[Tech Start Date]]&lt;1/1/1990,"",IF(Main[[#This Row],[Class]]="C",WORKDAY(Main[[#This Row],[Tech Start Date]],19),IF(Main[[#This Row],[Class]]="B", WORKDAY(Main[[#This Row],[Tech Start Date]],12),IF(Main[[#This Row],[Class]]="A",WORKDAY(Main[[#This Row],[Tech Start Date]],4),""))))</f>
        <v>40504</v>
      </c>
      <c r="O1404" s="75">
        <f>IF(Main[[#This Row],[Tech Start Date]]&lt;1/1/1990,"",IF(Main[[#This Row],[Class]]="C",WORKDAY(Main[[#This Row],[Tech Start Date]],23),IF(Main[[#This Row],[Class]]="B", WORKDAY(Main[[#This Row],[Tech Start Date]],15),IF(Main[[#This Row],[Class]]="A",WORKDAY(Main[[#This Row],[Tech Start Date]],5),""))))</f>
        <v>40507</v>
      </c>
      <c r="P1404" s="75">
        <f>IF(Main[[#This Row],[Tech Start Date]]&lt;1/1/1990,"",IF(Main[[#This Row],[Class]]="C",WORKDAY(Main[[#This Row],[Tech Start Date]],28),IF(Main[[#This Row],[Class]]="B", WORKDAY(Main[[#This Row],[Tech Start Date]],19),IF(Main[[#This Row],[Class]]="A",WORKDAY(Main[[#This Row],[Tech Start Date]],9),""))))</f>
        <v>40513</v>
      </c>
      <c r="Q1404" s="89"/>
      <c r="R1404" s="121"/>
      <c r="S1404" s="99" t="s">
        <v>6</v>
      </c>
      <c r="T1404" s="76" t="s">
        <v>4</v>
      </c>
      <c r="U1404" s="99" t="s">
        <v>14</v>
      </c>
      <c r="V1404" s="99" t="s">
        <v>1916</v>
      </c>
      <c r="W1404" s="99" t="s">
        <v>1917</v>
      </c>
      <c r="X1404" s="99" t="s">
        <v>2860</v>
      </c>
      <c r="Y1404" s="73" t="s">
        <v>2994</v>
      </c>
      <c r="Z1404" s="73" t="s">
        <v>530</v>
      </c>
      <c r="AA1404" s="99" t="s">
        <v>2860</v>
      </c>
    </row>
    <row r="1405" spans="1:27" ht="17.25" customHeight="1">
      <c r="A1405" s="65" t="str">
        <f>IF(priority(Main[[#This Row],[Comments]])&lt;&gt;0, priority(Main[[#This Row],[Comments]]),"")</f>
        <v/>
      </c>
      <c r="B1405" s="60" t="s">
        <v>1711</v>
      </c>
      <c r="C1405" s="105" t="s">
        <v>4</v>
      </c>
      <c r="D1405" s="74" t="s">
        <v>763</v>
      </c>
      <c r="E1405" s="89"/>
      <c r="F1405" s="89"/>
      <c r="G1405" s="65" t="str">
        <f>IF(stdProdLT(Main[[#This Row],[Comments]])=0.1,"N/A",IF(stdProdLT(Main[[#This Row],[Comments]])=0,"",TRIM(stdProdLT(Main[[#This Row],[Comments]]))))</f>
        <v/>
      </c>
      <c r="H1405" s="98" t="str">
        <f>IF(Main[[#This Row],[Std. Prod. Lead Time]]="N/A", "",IF(AND(Main[[#This Row],[In Stock Date]]&lt;&gt;"",Main[[#This Row],[Revised Due Date]]&lt;&gt;"",Main[[#This Row],[In Stock Date]]&lt;&gt;""),Main[[#This Row],[In Stock Date]]-Main[[#This Row],[Revised Due Date]],""))</f>
        <v/>
      </c>
      <c r="I1405" s="110" t="s">
        <v>171</v>
      </c>
      <c r="J1405" s="99" t="s">
        <v>70</v>
      </c>
      <c r="K1405" s="99" t="s">
        <v>1920</v>
      </c>
      <c r="L1405" s="89">
        <v>40486</v>
      </c>
      <c r="M1405" s="75">
        <f>IF(Main[[#This Row],[Tech Start Date]]&lt;1/1/1990,"",IF(Main[[#This Row],[Class]]="C",WORKDAY(Main[[#This Row],[Tech Start Date]],9),IF(Main[[#This Row],[Class]]="B", WORKDAY(Main[[#This Row],[Tech Start Date]],6),IF(Main[[#This Row],[Class]]="A",WORKDAY(Main[[#This Row],[Tech Start Date]],2),""))))</f>
        <v>40494</v>
      </c>
      <c r="N1405" s="75">
        <f>IF(Main[[#This Row],[Tech Start Date]]&lt;1/1/1990,"",IF(Main[[#This Row],[Class]]="C",WORKDAY(Main[[#This Row],[Tech Start Date]],19),IF(Main[[#This Row],[Class]]="B", WORKDAY(Main[[#This Row],[Tech Start Date]],12),IF(Main[[#This Row],[Class]]="A",WORKDAY(Main[[#This Row],[Tech Start Date]],4),""))))</f>
        <v>40504</v>
      </c>
      <c r="O1405" s="75">
        <f>IF(Main[[#This Row],[Tech Start Date]]&lt;1/1/1990,"",IF(Main[[#This Row],[Class]]="C",WORKDAY(Main[[#This Row],[Tech Start Date]],23),IF(Main[[#This Row],[Class]]="B", WORKDAY(Main[[#This Row],[Tech Start Date]],15),IF(Main[[#This Row],[Class]]="A",WORKDAY(Main[[#This Row],[Tech Start Date]],5),""))))</f>
        <v>40507</v>
      </c>
      <c r="P1405" s="75">
        <f>IF(Main[[#This Row],[Tech Start Date]]&lt;1/1/1990,"",IF(Main[[#This Row],[Class]]="C",WORKDAY(Main[[#This Row],[Tech Start Date]],28),IF(Main[[#This Row],[Class]]="B", WORKDAY(Main[[#This Row],[Tech Start Date]],19),IF(Main[[#This Row],[Class]]="A",WORKDAY(Main[[#This Row],[Tech Start Date]],9),""))))</f>
        <v>40513</v>
      </c>
      <c r="Q1405" s="89">
        <v>40504</v>
      </c>
      <c r="R1405" s="121"/>
      <c r="S1405" s="99" t="s">
        <v>6</v>
      </c>
      <c r="T1405" s="76" t="s">
        <v>4</v>
      </c>
      <c r="U1405" s="99" t="s">
        <v>14</v>
      </c>
      <c r="V1405" s="99" t="s">
        <v>1916</v>
      </c>
      <c r="W1405" s="99" t="s">
        <v>1917</v>
      </c>
      <c r="X1405" s="99" t="s">
        <v>2816</v>
      </c>
      <c r="Y1405" s="73" t="s">
        <v>2932</v>
      </c>
      <c r="Z1405" s="73" t="s">
        <v>30</v>
      </c>
      <c r="AA1405" s="99" t="s">
        <v>2816</v>
      </c>
    </row>
    <row r="1406" spans="1:27" ht="17.25" customHeight="1">
      <c r="A1406" s="65" t="str">
        <f>IF(priority(Main[[#This Row],[Comments]])&lt;&gt;0, priority(Main[[#This Row],[Comments]]),"")</f>
        <v/>
      </c>
      <c r="B1406" s="60" t="s">
        <v>1724</v>
      </c>
      <c r="C1406" s="105" t="s">
        <v>4</v>
      </c>
      <c r="D1406" s="74" t="s">
        <v>2288</v>
      </c>
      <c r="E1406" s="89">
        <v>40462.421793981484</v>
      </c>
      <c r="F1406" s="89"/>
      <c r="G1406" s="65" t="str">
        <f>IF(stdProdLT(Main[[#This Row],[Comments]])=0.1,"N/A",IF(stdProdLT(Main[[#This Row],[Comments]])=0,"",TRIM(stdProdLT(Main[[#This Row],[Comments]]))))</f>
        <v/>
      </c>
      <c r="H1406" s="98" t="str">
        <f>IF(Main[[#This Row],[Std. Prod. Lead Time]]="N/A", "",IF(AND(Main[[#This Row],[In Stock Date]]&lt;&gt;"",Main[[#This Row],[Revised Due Date]]&lt;&gt;"",Main[[#This Row],[In Stock Date]]&lt;&gt;""),Main[[#This Row],[In Stock Date]]-Main[[#This Row],[Revised Due Date]],""))</f>
        <v/>
      </c>
      <c r="I1406" s="110" t="s">
        <v>894</v>
      </c>
      <c r="J1406" s="99" t="s">
        <v>52</v>
      </c>
      <c r="K1406" s="99" t="s">
        <v>1920</v>
      </c>
      <c r="L1406" s="89">
        <v>40486</v>
      </c>
      <c r="M1406" s="75">
        <f>IF(Main[[#This Row],[Tech Start Date]]&lt;1/1/1990,"",IF(Main[[#This Row],[Class]]="C",WORKDAY(Main[[#This Row],[Tech Start Date]],9),IF(Main[[#This Row],[Class]]="B", WORKDAY(Main[[#This Row],[Tech Start Date]],6),IF(Main[[#This Row],[Class]]="A",WORKDAY(Main[[#This Row],[Tech Start Date]],2),""))))</f>
        <v>40494</v>
      </c>
      <c r="N1406" s="75">
        <f>IF(Main[[#This Row],[Tech Start Date]]&lt;1/1/1990,"",IF(Main[[#This Row],[Class]]="C",WORKDAY(Main[[#This Row],[Tech Start Date]],19),IF(Main[[#This Row],[Class]]="B", WORKDAY(Main[[#This Row],[Tech Start Date]],12),IF(Main[[#This Row],[Class]]="A",WORKDAY(Main[[#This Row],[Tech Start Date]],4),""))))</f>
        <v>40504</v>
      </c>
      <c r="O1406" s="75">
        <f>IF(Main[[#This Row],[Tech Start Date]]&lt;1/1/1990,"",IF(Main[[#This Row],[Class]]="C",WORKDAY(Main[[#This Row],[Tech Start Date]],23),IF(Main[[#This Row],[Class]]="B", WORKDAY(Main[[#This Row],[Tech Start Date]],15),IF(Main[[#This Row],[Class]]="A",WORKDAY(Main[[#This Row],[Tech Start Date]],5),""))))</f>
        <v>40507</v>
      </c>
      <c r="P1406" s="75">
        <f>IF(Main[[#This Row],[Tech Start Date]]&lt;1/1/1990,"",IF(Main[[#This Row],[Class]]="C",WORKDAY(Main[[#This Row],[Tech Start Date]],28),IF(Main[[#This Row],[Class]]="B", WORKDAY(Main[[#This Row],[Tech Start Date]],19),IF(Main[[#This Row],[Class]]="A",WORKDAY(Main[[#This Row],[Tech Start Date]],9),""))))</f>
        <v>40513</v>
      </c>
      <c r="Q1406" s="89">
        <v>40543</v>
      </c>
      <c r="R1406" s="121"/>
      <c r="S1406" s="99" t="s">
        <v>6</v>
      </c>
      <c r="T1406" s="76" t="s">
        <v>4</v>
      </c>
      <c r="U1406" s="99" t="s">
        <v>29</v>
      </c>
      <c r="V1406" s="99" t="s">
        <v>1916</v>
      </c>
      <c r="W1406" s="99" t="s">
        <v>1917</v>
      </c>
      <c r="X1406" s="99" t="s">
        <v>2881</v>
      </c>
      <c r="Y1406" s="73" t="s">
        <v>3037</v>
      </c>
      <c r="Z1406" s="73" t="s">
        <v>30</v>
      </c>
      <c r="AA1406" s="99" t="s">
        <v>2881</v>
      </c>
    </row>
    <row r="1407" spans="1:27" ht="17.25" customHeight="1">
      <c r="A1407" s="65" t="str">
        <f>IF(priority(Main[[#This Row],[Comments]])&lt;&gt;0, priority(Main[[#This Row],[Comments]]),"")</f>
        <v/>
      </c>
      <c r="B1407" s="60" t="s">
        <v>1728</v>
      </c>
      <c r="C1407" s="105" t="s">
        <v>4</v>
      </c>
      <c r="D1407" s="74" t="s">
        <v>2015</v>
      </c>
      <c r="E1407" s="89">
        <v>40478.606620370374</v>
      </c>
      <c r="F1407" s="89"/>
      <c r="G1407" s="65" t="str">
        <f>IF(stdProdLT(Main[[#This Row],[Comments]])=0.1,"N/A",IF(stdProdLT(Main[[#This Row],[Comments]])=0,"",TRIM(stdProdLT(Main[[#This Row],[Comments]]))))</f>
        <v/>
      </c>
      <c r="H1407" s="98" t="str">
        <f>IF(Main[[#This Row],[Std. Prod. Lead Time]]="N/A", "",IF(AND(Main[[#This Row],[In Stock Date]]&lt;&gt;"",Main[[#This Row],[Revised Due Date]]&lt;&gt;"",Main[[#This Row],[In Stock Date]]&lt;&gt;""),Main[[#This Row],[In Stock Date]]-Main[[#This Row],[Revised Due Date]],""))</f>
        <v/>
      </c>
      <c r="I1407" s="110" t="s">
        <v>429</v>
      </c>
      <c r="J1407" s="99" t="s">
        <v>70</v>
      </c>
      <c r="K1407" s="99" t="s">
        <v>1925</v>
      </c>
      <c r="L1407" s="89">
        <v>40513</v>
      </c>
      <c r="M1407" s="75" t="str">
        <f>IF(Main[[#This Row],[Tech Start Date]]&lt;1/1/1990,"",IF(Main[[#This Row],[Class]]="C",WORKDAY(Main[[#This Row],[Tech Start Date]],9),IF(Main[[#This Row],[Class]]="B", WORKDAY(Main[[#This Row],[Tech Start Date]],6),IF(Main[[#This Row],[Class]]="A",WORKDAY(Main[[#This Row],[Tech Start Date]],2),""))))</f>
        <v/>
      </c>
      <c r="N1407" s="75" t="str">
        <f>IF(Main[[#This Row],[Tech Start Date]]&lt;1/1/1990,"",IF(Main[[#This Row],[Class]]="C",WORKDAY(Main[[#This Row],[Tech Start Date]],19),IF(Main[[#This Row],[Class]]="B", WORKDAY(Main[[#This Row],[Tech Start Date]],12),IF(Main[[#This Row],[Class]]="A",WORKDAY(Main[[#This Row],[Tech Start Date]],4),""))))</f>
        <v/>
      </c>
      <c r="O1407" s="75" t="str">
        <f>IF(Main[[#This Row],[Tech Start Date]]&lt;1/1/1990,"",IF(Main[[#This Row],[Class]]="C",WORKDAY(Main[[#This Row],[Tech Start Date]],23),IF(Main[[#This Row],[Class]]="B", WORKDAY(Main[[#This Row],[Tech Start Date]],15),IF(Main[[#This Row],[Class]]="A",WORKDAY(Main[[#This Row],[Tech Start Date]],5),""))))</f>
        <v/>
      </c>
      <c r="P1407" s="75" t="str">
        <f>IF(Main[[#This Row],[Tech Start Date]]&lt;1/1/1990,"",IF(Main[[#This Row],[Class]]="C",WORKDAY(Main[[#This Row],[Tech Start Date]],28),IF(Main[[#This Row],[Class]]="B", WORKDAY(Main[[#This Row],[Tech Start Date]],19),IF(Main[[#This Row],[Class]]="A",WORKDAY(Main[[#This Row],[Tech Start Date]],9),""))))</f>
        <v/>
      </c>
      <c r="Q1407" s="89">
        <v>40724</v>
      </c>
      <c r="R1407" s="121"/>
      <c r="S1407" s="99" t="s">
        <v>17</v>
      </c>
      <c r="T1407" s="76" t="s">
        <v>4</v>
      </c>
      <c r="U1407" s="99" t="s">
        <v>29</v>
      </c>
      <c r="V1407" s="99" t="s">
        <v>1916</v>
      </c>
      <c r="W1407" s="99" t="s">
        <v>1917</v>
      </c>
      <c r="X1407" s="99" t="s">
        <v>2885</v>
      </c>
      <c r="Y1407" s="73" t="s">
        <v>3096</v>
      </c>
      <c r="Z1407" s="73" t="s">
        <v>30</v>
      </c>
      <c r="AA1407" s="99" t="s">
        <v>2885</v>
      </c>
    </row>
    <row r="1408" spans="1:27" ht="17.25" customHeight="1">
      <c r="A1408" s="65" t="str">
        <f>IF(priority(Main[[#This Row],[Comments]])&lt;&gt;0, priority(Main[[#This Row],[Comments]]),"")</f>
        <v/>
      </c>
      <c r="B1408" s="60" t="s">
        <v>1722</v>
      </c>
      <c r="C1408" s="105" t="s">
        <v>72</v>
      </c>
      <c r="D1408" s="74" t="s">
        <v>778</v>
      </c>
      <c r="E1408" s="89"/>
      <c r="F1408" s="89">
        <v>40513</v>
      </c>
      <c r="G1408" s="65" t="str">
        <f>IF(stdProdLT(Main[[#This Row],[Comments]])=0.1,"N/A",IF(stdProdLT(Main[[#This Row],[Comments]])=0,"",TRIM(stdProdLT(Main[[#This Row],[Comments]]))))</f>
        <v/>
      </c>
      <c r="H1408" s="98" t="str">
        <f>IF(Main[[#This Row],[Std. Prod. Lead Time]]="N/A", "",IF(AND(Main[[#This Row],[In Stock Date]]&lt;&gt;"",Main[[#This Row],[Revised Due Date]]&lt;&gt;"",Main[[#This Row],[In Stock Date]]&lt;&gt;""),Main[[#This Row],[In Stock Date]]-Main[[#This Row],[Revised Due Date]],""))</f>
        <v/>
      </c>
      <c r="I1408" s="110" t="s">
        <v>30</v>
      </c>
      <c r="J1408" s="99" t="s">
        <v>28</v>
      </c>
      <c r="K1408" s="99" t="s">
        <v>1925</v>
      </c>
      <c r="L1408" s="89">
        <v>40547</v>
      </c>
      <c r="M1408" s="75" t="str">
        <f>IF(Main[[#This Row],[Tech Start Date]]&lt;1/1/1990,"",IF(Main[[#This Row],[Class]]="C",WORKDAY(Main[[#This Row],[Tech Start Date]],9),IF(Main[[#This Row],[Class]]="B", WORKDAY(Main[[#This Row],[Tech Start Date]],6),IF(Main[[#This Row],[Class]]="A",WORKDAY(Main[[#This Row],[Tech Start Date]],2),""))))</f>
        <v/>
      </c>
      <c r="N1408" s="75" t="str">
        <f>IF(Main[[#This Row],[Tech Start Date]]&lt;1/1/1990,"",IF(Main[[#This Row],[Class]]="C",WORKDAY(Main[[#This Row],[Tech Start Date]],19),IF(Main[[#This Row],[Class]]="B", WORKDAY(Main[[#This Row],[Tech Start Date]],12),IF(Main[[#This Row],[Class]]="A",WORKDAY(Main[[#This Row],[Tech Start Date]],4),""))))</f>
        <v/>
      </c>
      <c r="O1408" s="75" t="str">
        <f>IF(Main[[#This Row],[Tech Start Date]]&lt;1/1/1990,"",IF(Main[[#This Row],[Class]]="C",WORKDAY(Main[[#This Row],[Tech Start Date]],23),IF(Main[[#This Row],[Class]]="B", WORKDAY(Main[[#This Row],[Tech Start Date]],15),IF(Main[[#This Row],[Class]]="A",WORKDAY(Main[[#This Row],[Tech Start Date]],5),""))))</f>
        <v/>
      </c>
      <c r="P1408" s="75" t="str">
        <f>IF(Main[[#This Row],[Tech Start Date]]&lt;1/1/1990,"",IF(Main[[#This Row],[Class]]="C",WORKDAY(Main[[#This Row],[Tech Start Date]],28),IF(Main[[#This Row],[Class]]="B", WORKDAY(Main[[#This Row],[Tech Start Date]],19),IF(Main[[#This Row],[Class]]="A",WORKDAY(Main[[#This Row],[Tech Start Date]],9),""))))</f>
        <v/>
      </c>
      <c r="Q1408" s="89"/>
      <c r="R1408" s="121"/>
      <c r="S1408" s="99" t="s">
        <v>17</v>
      </c>
      <c r="T1408" s="76" t="s">
        <v>4</v>
      </c>
      <c r="U1408" s="99" t="s">
        <v>14</v>
      </c>
      <c r="V1408" s="99" t="s">
        <v>1916</v>
      </c>
      <c r="W1408" s="99" t="s">
        <v>1918</v>
      </c>
      <c r="X1408" s="99" t="s">
        <v>2841</v>
      </c>
      <c r="Y1408" s="73" t="s">
        <v>2972</v>
      </c>
      <c r="Z1408" s="73" t="s">
        <v>30</v>
      </c>
      <c r="AA1408" s="99" t="s">
        <v>2841</v>
      </c>
    </row>
    <row r="1409" spans="1:27" ht="17.25" customHeight="1">
      <c r="A1409" s="65" t="str">
        <f>IF(priority(Main[[#This Row],[Comments]])&lt;&gt;0, priority(Main[[#This Row],[Comments]]),"")</f>
        <v/>
      </c>
      <c r="B1409" s="60" t="s">
        <v>1908</v>
      </c>
      <c r="C1409" s="105" t="s">
        <v>4</v>
      </c>
      <c r="D1409" s="74" t="s">
        <v>959</v>
      </c>
      <c r="E1409" s="89">
        <v>40436.63890046296</v>
      </c>
      <c r="F1409" s="89"/>
      <c r="G1409" s="65" t="str">
        <f>IF(stdProdLT(Main[[#This Row],[Comments]])=0.1,"N/A",IF(stdProdLT(Main[[#This Row],[Comments]])=0,"",TRIM(stdProdLT(Main[[#This Row],[Comments]]))))</f>
        <v/>
      </c>
      <c r="H1409" s="98" t="str">
        <f>IF(Main[[#This Row],[Std. Prod. Lead Time]]="N/A", "",IF(AND(Main[[#This Row],[In Stock Date]]&lt;&gt;"",Main[[#This Row],[Revised Due Date]]&lt;&gt;"",Main[[#This Row],[In Stock Date]]&lt;&gt;""),Main[[#This Row],[In Stock Date]]-Main[[#This Row],[Revised Due Date]],""))</f>
        <v/>
      </c>
      <c r="I1409" s="110" t="s">
        <v>877</v>
      </c>
      <c r="J1409" s="99" t="s">
        <v>28</v>
      </c>
      <c r="K1409" s="99" t="s">
        <v>1925</v>
      </c>
      <c r="L1409" s="89">
        <v>40549</v>
      </c>
      <c r="M1409" s="75" t="str">
        <f>IF(Main[[#This Row],[Tech Start Date]]&lt;1/1/1990,"",IF(Main[[#This Row],[Class]]="C",WORKDAY(Main[[#This Row],[Tech Start Date]],9),IF(Main[[#This Row],[Class]]="B", WORKDAY(Main[[#This Row],[Tech Start Date]],6),IF(Main[[#This Row],[Class]]="A",WORKDAY(Main[[#This Row],[Tech Start Date]],2),""))))</f>
        <v/>
      </c>
      <c r="N1409" s="75" t="str">
        <f>IF(Main[[#This Row],[Tech Start Date]]&lt;1/1/1990,"",IF(Main[[#This Row],[Class]]="C",WORKDAY(Main[[#This Row],[Tech Start Date]],19),IF(Main[[#This Row],[Class]]="B", WORKDAY(Main[[#This Row],[Tech Start Date]],12),IF(Main[[#This Row],[Class]]="A",WORKDAY(Main[[#This Row],[Tech Start Date]],4),""))))</f>
        <v/>
      </c>
      <c r="O1409" s="75" t="str">
        <f>IF(Main[[#This Row],[Tech Start Date]]&lt;1/1/1990,"",IF(Main[[#This Row],[Class]]="C",WORKDAY(Main[[#This Row],[Tech Start Date]],23),IF(Main[[#This Row],[Class]]="B", WORKDAY(Main[[#This Row],[Tech Start Date]],15),IF(Main[[#This Row],[Class]]="A",WORKDAY(Main[[#This Row],[Tech Start Date]],5),""))))</f>
        <v/>
      </c>
      <c r="P1409" s="75" t="str">
        <f>IF(Main[[#This Row],[Tech Start Date]]&lt;1/1/1990,"",IF(Main[[#This Row],[Class]]="C",WORKDAY(Main[[#This Row],[Tech Start Date]],28),IF(Main[[#This Row],[Class]]="B", WORKDAY(Main[[#This Row],[Tech Start Date]],19),IF(Main[[#This Row],[Class]]="A",WORKDAY(Main[[#This Row],[Tech Start Date]],9),""))))</f>
        <v/>
      </c>
      <c r="Q1409" s="89">
        <v>40939</v>
      </c>
      <c r="R1409" s="121">
        <v>40939</v>
      </c>
      <c r="S1409" s="99" t="s">
        <v>17</v>
      </c>
      <c r="T1409" s="76" t="s">
        <v>960</v>
      </c>
      <c r="U1409" s="99" t="s">
        <v>29</v>
      </c>
      <c r="V1409" s="99" t="s">
        <v>1913</v>
      </c>
      <c r="W1409" s="99" t="s">
        <v>1917</v>
      </c>
      <c r="X1409" s="99" t="s">
        <v>922</v>
      </c>
      <c r="Y1409" s="73" t="s">
        <v>2976</v>
      </c>
      <c r="Z1409" s="73" t="s">
        <v>129</v>
      </c>
      <c r="AA1409" s="99" t="s">
        <v>922</v>
      </c>
    </row>
    <row r="1410" spans="1:27" ht="17.25" customHeight="1">
      <c r="A1410" s="65" t="str">
        <f>IF(priority(Main[[#This Row],[Comments]])&lt;&gt;0, priority(Main[[#This Row],[Comments]]),"")</f>
        <v/>
      </c>
      <c r="B1410" s="60" t="s">
        <v>1909</v>
      </c>
      <c r="C1410" s="105" t="s">
        <v>4</v>
      </c>
      <c r="D1410" s="74" t="s">
        <v>961</v>
      </c>
      <c r="E1410" s="89"/>
      <c r="F1410" s="89"/>
      <c r="G1410" s="65" t="str">
        <f>IF(stdProdLT(Main[[#This Row],[Comments]])=0.1,"N/A",IF(stdProdLT(Main[[#This Row],[Comments]])=0,"",TRIM(stdProdLT(Main[[#This Row],[Comments]]))))</f>
        <v/>
      </c>
      <c r="H1410" s="98" t="str">
        <f>IF(Main[[#This Row],[Std. Prod. Lead Time]]="N/A", "",IF(AND(Main[[#This Row],[In Stock Date]]&lt;&gt;"",Main[[#This Row],[Revised Due Date]]&lt;&gt;"",Main[[#This Row],[In Stock Date]]&lt;&gt;""),Main[[#This Row],[In Stock Date]]-Main[[#This Row],[Revised Due Date]],""))</f>
        <v/>
      </c>
      <c r="I1410" s="110" t="s">
        <v>2049</v>
      </c>
      <c r="J1410" s="99" t="s">
        <v>4</v>
      </c>
      <c r="K1410" s="99" t="s">
        <v>1925</v>
      </c>
      <c r="L1410" s="89">
        <v>40549</v>
      </c>
      <c r="M1410" s="75" t="str">
        <f>IF(Main[[#This Row],[Tech Start Date]]&lt;1/1/1990,"",IF(Main[[#This Row],[Class]]="C",WORKDAY(Main[[#This Row],[Tech Start Date]],9),IF(Main[[#This Row],[Class]]="B", WORKDAY(Main[[#This Row],[Tech Start Date]],6),IF(Main[[#This Row],[Class]]="A",WORKDAY(Main[[#This Row],[Tech Start Date]],2),""))))</f>
        <v/>
      </c>
      <c r="N1410" s="75" t="str">
        <f>IF(Main[[#This Row],[Tech Start Date]]&lt;1/1/1990,"",IF(Main[[#This Row],[Class]]="C",WORKDAY(Main[[#This Row],[Tech Start Date]],19),IF(Main[[#This Row],[Class]]="B", WORKDAY(Main[[#This Row],[Tech Start Date]],12),IF(Main[[#This Row],[Class]]="A",WORKDAY(Main[[#This Row],[Tech Start Date]],4),""))))</f>
        <v/>
      </c>
      <c r="O1410" s="75" t="str">
        <f>IF(Main[[#This Row],[Tech Start Date]]&lt;1/1/1990,"",IF(Main[[#This Row],[Class]]="C",WORKDAY(Main[[#This Row],[Tech Start Date]],23),IF(Main[[#This Row],[Class]]="B", WORKDAY(Main[[#This Row],[Tech Start Date]],15),IF(Main[[#This Row],[Class]]="A",WORKDAY(Main[[#This Row],[Tech Start Date]],5),""))))</f>
        <v/>
      </c>
      <c r="P1410" s="75" t="str">
        <f>IF(Main[[#This Row],[Tech Start Date]]&lt;1/1/1990,"",IF(Main[[#This Row],[Class]]="C",WORKDAY(Main[[#This Row],[Tech Start Date]],28),IF(Main[[#This Row],[Class]]="B", WORKDAY(Main[[#This Row],[Tech Start Date]],19),IF(Main[[#This Row],[Class]]="A",WORKDAY(Main[[#This Row],[Tech Start Date]],9),""))))</f>
        <v/>
      </c>
      <c r="Q1410" s="89">
        <v>40939</v>
      </c>
      <c r="R1410" s="121">
        <v>40939</v>
      </c>
      <c r="S1410" s="99" t="s">
        <v>11</v>
      </c>
      <c r="T1410" s="76" t="s">
        <v>4</v>
      </c>
      <c r="U1410" s="99" t="s">
        <v>14</v>
      </c>
      <c r="V1410" s="99" t="s">
        <v>1914</v>
      </c>
      <c r="W1410" s="99" t="s">
        <v>1917</v>
      </c>
      <c r="X1410" s="99" t="s">
        <v>922</v>
      </c>
      <c r="Y1410" s="73" t="s">
        <v>2986</v>
      </c>
      <c r="Z1410" s="73" t="s">
        <v>129</v>
      </c>
      <c r="AA1410" s="99" t="s">
        <v>3419</v>
      </c>
    </row>
    <row r="1411" spans="1:27" ht="17.25" customHeight="1">
      <c r="A1411" s="65" t="str">
        <f>IF(priority(Main[[#This Row],[Comments]])&lt;&gt;0, priority(Main[[#This Row],[Comments]]),"")</f>
        <v/>
      </c>
      <c r="B1411" s="60" t="s">
        <v>1907</v>
      </c>
      <c r="C1411" s="105" t="s">
        <v>4</v>
      </c>
      <c r="D1411" s="74" t="s">
        <v>958</v>
      </c>
      <c r="E1411" s="89"/>
      <c r="F1411" s="89"/>
      <c r="G1411" s="65" t="str">
        <f>IF(stdProdLT(Main[[#This Row],[Comments]])=0.1,"N/A",IF(stdProdLT(Main[[#This Row],[Comments]])=0,"",TRIM(stdProdLT(Main[[#This Row],[Comments]]))))</f>
        <v/>
      </c>
      <c r="H1411" s="98" t="str">
        <f>IF(Main[[#This Row],[Std. Prod. Lead Time]]="N/A", "",IF(AND(Main[[#This Row],[In Stock Date]]&lt;&gt;"",Main[[#This Row],[Revised Due Date]]&lt;&gt;"",Main[[#This Row],[In Stock Date]]&lt;&gt;""),Main[[#This Row],[In Stock Date]]-Main[[#This Row],[Revised Due Date]],""))</f>
        <v/>
      </c>
      <c r="I1411" s="110" t="s">
        <v>877</v>
      </c>
      <c r="J1411" s="99" t="s">
        <v>28</v>
      </c>
      <c r="K1411" s="99" t="s">
        <v>1925</v>
      </c>
      <c r="L1411" s="89">
        <v>40549</v>
      </c>
      <c r="M1411" s="75" t="str">
        <f>IF(Main[[#This Row],[Tech Start Date]]&lt;1/1/1990,"",IF(Main[[#This Row],[Class]]="C",WORKDAY(Main[[#This Row],[Tech Start Date]],9),IF(Main[[#This Row],[Class]]="B", WORKDAY(Main[[#This Row],[Tech Start Date]],6),IF(Main[[#This Row],[Class]]="A",WORKDAY(Main[[#This Row],[Tech Start Date]],2),""))))</f>
        <v/>
      </c>
      <c r="N1411" s="75" t="str">
        <f>IF(Main[[#This Row],[Tech Start Date]]&lt;1/1/1990,"",IF(Main[[#This Row],[Class]]="C",WORKDAY(Main[[#This Row],[Tech Start Date]],19),IF(Main[[#This Row],[Class]]="B", WORKDAY(Main[[#This Row],[Tech Start Date]],12),IF(Main[[#This Row],[Class]]="A",WORKDAY(Main[[#This Row],[Tech Start Date]],4),""))))</f>
        <v/>
      </c>
      <c r="O1411" s="75" t="str">
        <f>IF(Main[[#This Row],[Tech Start Date]]&lt;1/1/1990,"",IF(Main[[#This Row],[Class]]="C",WORKDAY(Main[[#This Row],[Tech Start Date]],23),IF(Main[[#This Row],[Class]]="B", WORKDAY(Main[[#This Row],[Tech Start Date]],15),IF(Main[[#This Row],[Class]]="A",WORKDAY(Main[[#This Row],[Tech Start Date]],5),""))))</f>
        <v/>
      </c>
      <c r="P1411" s="75" t="str">
        <f>IF(Main[[#This Row],[Tech Start Date]]&lt;1/1/1990,"",IF(Main[[#This Row],[Class]]="C",WORKDAY(Main[[#This Row],[Tech Start Date]],28),IF(Main[[#This Row],[Class]]="B", WORKDAY(Main[[#This Row],[Tech Start Date]],19),IF(Main[[#This Row],[Class]]="A",WORKDAY(Main[[#This Row],[Tech Start Date]],9),""))))</f>
        <v/>
      </c>
      <c r="Q1411" s="89">
        <v>40939</v>
      </c>
      <c r="R1411" s="121">
        <v>40939</v>
      </c>
      <c r="S1411" s="99" t="s">
        <v>11</v>
      </c>
      <c r="T1411" s="76" t="s">
        <v>4</v>
      </c>
      <c r="U1411" s="99" t="s">
        <v>14</v>
      </c>
      <c r="V1411" s="99" t="s">
        <v>1913</v>
      </c>
      <c r="W1411" s="99" t="s">
        <v>1917</v>
      </c>
      <c r="X1411" s="99" t="s">
        <v>922</v>
      </c>
      <c r="Y1411" s="73" t="s">
        <v>2986</v>
      </c>
      <c r="Z1411" s="73" t="s">
        <v>129</v>
      </c>
      <c r="AA1411" s="99" t="s">
        <v>3419</v>
      </c>
    </row>
    <row r="1412" spans="1:27" ht="17.25" customHeight="1">
      <c r="A1412" s="65" t="str">
        <f>IF(priority(Main[[#This Row],[Comments]])&lt;&gt;0, priority(Main[[#This Row],[Comments]]),"")</f>
        <v/>
      </c>
      <c r="B1412" s="60" t="s">
        <v>1910</v>
      </c>
      <c r="C1412" s="105" t="s">
        <v>4</v>
      </c>
      <c r="D1412" s="74" t="s">
        <v>962</v>
      </c>
      <c r="E1412" s="89"/>
      <c r="F1412" s="89"/>
      <c r="G1412" s="65" t="str">
        <f>IF(stdProdLT(Main[[#This Row],[Comments]])=0.1,"N/A",IF(stdProdLT(Main[[#This Row],[Comments]])=0,"",TRIM(stdProdLT(Main[[#This Row],[Comments]]))))</f>
        <v/>
      </c>
      <c r="H1412" s="98" t="str">
        <f>IF(Main[[#This Row],[Std. Prod. Lead Time]]="N/A", "",IF(AND(Main[[#This Row],[In Stock Date]]&lt;&gt;"",Main[[#This Row],[Revised Due Date]]&lt;&gt;"",Main[[#This Row],[In Stock Date]]&lt;&gt;""),Main[[#This Row],[In Stock Date]]-Main[[#This Row],[Revised Due Date]],""))</f>
        <v/>
      </c>
      <c r="I1412" s="110" t="s">
        <v>922</v>
      </c>
      <c r="J1412" s="99" t="s">
        <v>4</v>
      </c>
      <c r="K1412" s="99" t="s">
        <v>1925</v>
      </c>
      <c r="L1412" s="89">
        <v>40549</v>
      </c>
      <c r="M1412" s="75" t="str">
        <f>IF(Main[[#This Row],[Tech Start Date]]&lt;1/1/1990,"",IF(Main[[#This Row],[Class]]="C",WORKDAY(Main[[#This Row],[Tech Start Date]],9),IF(Main[[#This Row],[Class]]="B", WORKDAY(Main[[#This Row],[Tech Start Date]],6),IF(Main[[#This Row],[Class]]="A",WORKDAY(Main[[#This Row],[Tech Start Date]],2),""))))</f>
        <v/>
      </c>
      <c r="N1412" s="75" t="str">
        <f>IF(Main[[#This Row],[Tech Start Date]]&lt;1/1/1990,"",IF(Main[[#This Row],[Class]]="C",WORKDAY(Main[[#This Row],[Tech Start Date]],19),IF(Main[[#This Row],[Class]]="B", WORKDAY(Main[[#This Row],[Tech Start Date]],12),IF(Main[[#This Row],[Class]]="A",WORKDAY(Main[[#This Row],[Tech Start Date]],4),""))))</f>
        <v/>
      </c>
      <c r="O1412" s="75" t="str">
        <f>IF(Main[[#This Row],[Tech Start Date]]&lt;1/1/1990,"",IF(Main[[#This Row],[Class]]="C",WORKDAY(Main[[#This Row],[Tech Start Date]],23),IF(Main[[#This Row],[Class]]="B", WORKDAY(Main[[#This Row],[Tech Start Date]],15),IF(Main[[#This Row],[Class]]="A",WORKDAY(Main[[#This Row],[Tech Start Date]],5),""))))</f>
        <v/>
      </c>
      <c r="P1412" s="75" t="str">
        <f>IF(Main[[#This Row],[Tech Start Date]]&lt;1/1/1990,"",IF(Main[[#This Row],[Class]]="C",WORKDAY(Main[[#This Row],[Tech Start Date]],28),IF(Main[[#This Row],[Class]]="B", WORKDAY(Main[[#This Row],[Tech Start Date]],19),IF(Main[[#This Row],[Class]]="A",WORKDAY(Main[[#This Row],[Tech Start Date]],9),""))))</f>
        <v/>
      </c>
      <c r="Q1412" s="89">
        <v>40939</v>
      </c>
      <c r="R1412" s="121">
        <v>40939</v>
      </c>
      <c r="S1412" s="99" t="s">
        <v>11</v>
      </c>
      <c r="T1412" s="76" t="s">
        <v>4</v>
      </c>
      <c r="U1412" s="99" t="s">
        <v>14</v>
      </c>
      <c r="V1412" s="99" t="s">
        <v>1913</v>
      </c>
      <c r="W1412" s="99" t="s">
        <v>1917</v>
      </c>
      <c r="X1412" s="99" t="s">
        <v>922</v>
      </c>
      <c r="Y1412" s="73" t="s">
        <v>2986</v>
      </c>
      <c r="Z1412" s="73" t="s">
        <v>129</v>
      </c>
      <c r="AA1412" s="99" t="s">
        <v>3419</v>
      </c>
    </row>
    <row r="1413" spans="1:27" ht="17.25" customHeight="1">
      <c r="A1413" s="65" t="str">
        <f>IF(priority(Main[[#This Row],[Comments]])&lt;&gt;0, priority(Main[[#This Row],[Comments]]),"")</f>
        <v/>
      </c>
      <c r="B1413" s="60" t="s">
        <v>1865</v>
      </c>
      <c r="C1413" s="105" t="s">
        <v>4</v>
      </c>
      <c r="D1413" s="74" t="s">
        <v>2016</v>
      </c>
      <c r="E1413" s="89">
        <v>40478.350138888891</v>
      </c>
      <c r="F1413" s="89"/>
      <c r="G1413" s="65" t="str">
        <f>IF(stdProdLT(Main[[#This Row],[Comments]])=0.1,"N/A",IF(stdProdLT(Main[[#This Row],[Comments]])=0,"",TRIM(stdProdLT(Main[[#This Row],[Comments]]))))</f>
        <v/>
      </c>
      <c r="H1413" s="98" t="str">
        <f>IF(Main[[#This Row],[Std. Prod. Lead Time]]="N/A", "",IF(AND(Main[[#This Row],[In Stock Date]]&lt;&gt;"",Main[[#This Row],[Revised Due Date]]&lt;&gt;"",Main[[#This Row],[In Stock Date]]&lt;&gt;""),Main[[#This Row],[In Stock Date]]-Main[[#This Row],[Revised Due Date]],""))</f>
        <v/>
      </c>
      <c r="I1413" s="110" t="s">
        <v>922</v>
      </c>
      <c r="J1413" s="99" t="s">
        <v>28</v>
      </c>
      <c r="K1413" s="99" t="s">
        <v>1925</v>
      </c>
      <c r="L1413" s="89">
        <v>40554</v>
      </c>
      <c r="M1413" s="75" t="str">
        <f>IF(Main[[#This Row],[Tech Start Date]]&lt;1/1/1990,"",IF(Main[[#This Row],[Class]]="C",WORKDAY(Main[[#This Row],[Tech Start Date]],9),IF(Main[[#This Row],[Class]]="B", WORKDAY(Main[[#This Row],[Tech Start Date]],6),IF(Main[[#This Row],[Class]]="A",WORKDAY(Main[[#This Row],[Tech Start Date]],2),""))))</f>
        <v/>
      </c>
      <c r="N1413" s="75" t="str">
        <f>IF(Main[[#This Row],[Tech Start Date]]&lt;1/1/1990,"",IF(Main[[#This Row],[Class]]="C",WORKDAY(Main[[#This Row],[Tech Start Date]],19),IF(Main[[#This Row],[Class]]="B", WORKDAY(Main[[#This Row],[Tech Start Date]],12),IF(Main[[#This Row],[Class]]="A",WORKDAY(Main[[#This Row],[Tech Start Date]],4),""))))</f>
        <v/>
      </c>
      <c r="O1413" s="75" t="str">
        <f>IF(Main[[#This Row],[Tech Start Date]]&lt;1/1/1990,"",IF(Main[[#This Row],[Class]]="C",WORKDAY(Main[[#This Row],[Tech Start Date]],23),IF(Main[[#This Row],[Class]]="B", WORKDAY(Main[[#This Row],[Tech Start Date]],15),IF(Main[[#This Row],[Class]]="A",WORKDAY(Main[[#This Row],[Tech Start Date]],5),""))))</f>
        <v/>
      </c>
      <c r="P1413" s="75" t="str">
        <f>IF(Main[[#This Row],[Tech Start Date]]&lt;1/1/1990,"",IF(Main[[#This Row],[Class]]="C",WORKDAY(Main[[#This Row],[Tech Start Date]],28),IF(Main[[#This Row],[Class]]="B", WORKDAY(Main[[#This Row],[Tech Start Date]],19),IF(Main[[#This Row],[Class]]="A",WORKDAY(Main[[#This Row],[Tech Start Date]],9),""))))</f>
        <v/>
      </c>
      <c r="Q1413" s="89">
        <v>40979</v>
      </c>
      <c r="R1413" s="121">
        <v>40979</v>
      </c>
      <c r="S1413" s="99" t="s">
        <v>17</v>
      </c>
      <c r="T1413" s="76" t="s">
        <v>923</v>
      </c>
      <c r="U1413" s="99" t="s">
        <v>29</v>
      </c>
      <c r="V1413" s="99" t="s">
        <v>1928</v>
      </c>
      <c r="W1413" s="99" t="s">
        <v>1917</v>
      </c>
      <c r="X1413" s="99" t="s">
        <v>922</v>
      </c>
      <c r="Y1413" s="73" t="s">
        <v>2976</v>
      </c>
      <c r="Z1413" s="73" t="s">
        <v>2207</v>
      </c>
      <c r="AA1413" s="99" t="s">
        <v>922</v>
      </c>
    </row>
    <row r="1414" spans="1:27" ht="17.25" customHeight="1">
      <c r="A1414" s="65" t="str">
        <f>IF(priority(Main[[#This Row],[Comments]])&lt;&gt;0, priority(Main[[#This Row],[Comments]]),"")</f>
        <v/>
      </c>
      <c r="B1414" s="60" t="s">
        <v>1867</v>
      </c>
      <c r="C1414" s="105" t="s">
        <v>4</v>
      </c>
      <c r="D1414" s="74" t="s">
        <v>925</v>
      </c>
      <c r="E1414" s="89"/>
      <c r="F1414" s="89"/>
      <c r="G1414" s="65" t="str">
        <f>IF(stdProdLT(Main[[#This Row],[Comments]])=0.1,"N/A",IF(stdProdLT(Main[[#This Row],[Comments]])=0,"",TRIM(stdProdLT(Main[[#This Row],[Comments]]))))</f>
        <v/>
      </c>
      <c r="H1414" s="98" t="str">
        <f>IF(Main[[#This Row],[Std. Prod. Lead Time]]="N/A", "",IF(AND(Main[[#This Row],[In Stock Date]]&lt;&gt;"",Main[[#This Row],[Revised Due Date]]&lt;&gt;"",Main[[#This Row],[In Stock Date]]&lt;&gt;""),Main[[#This Row],[In Stock Date]]-Main[[#This Row],[Revised Due Date]],""))</f>
        <v/>
      </c>
      <c r="I1414" s="110" t="s">
        <v>30</v>
      </c>
      <c r="J1414" s="99" t="s">
        <v>52</v>
      </c>
      <c r="K1414" s="100" t="s">
        <v>1922</v>
      </c>
      <c r="L1414" s="89">
        <v>40589</v>
      </c>
      <c r="M1414" s="75">
        <f>IF(Main[[#This Row],[Tech Start Date]]&lt;1/1/1990,"",IF(Main[[#This Row],[Class]]="C",WORKDAY(Main[[#This Row],[Tech Start Date]],9),IF(Main[[#This Row],[Class]]="B", WORKDAY(Main[[#This Row],[Tech Start Date]],6),IF(Main[[#This Row],[Class]]="A",WORKDAY(Main[[#This Row],[Tech Start Date]],2),""))))</f>
        <v>40591</v>
      </c>
      <c r="N1414" s="75">
        <f>IF(Main[[#This Row],[Tech Start Date]]&lt;1/1/1990,"",IF(Main[[#This Row],[Class]]="C",WORKDAY(Main[[#This Row],[Tech Start Date]],19),IF(Main[[#This Row],[Class]]="B", WORKDAY(Main[[#This Row],[Tech Start Date]],12),IF(Main[[#This Row],[Class]]="A",WORKDAY(Main[[#This Row],[Tech Start Date]],4),""))))</f>
        <v>40595</v>
      </c>
      <c r="O1414" s="75">
        <f>IF(Main[[#This Row],[Tech Start Date]]&lt;1/1/1990,"",IF(Main[[#This Row],[Class]]="C",WORKDAY(Main[[#This Row],[Tech Start Date]],23),IF(Main[[#This Row],[Class]]="B", WORKDAY(Main[[#This Row],[Tech Start Date]],15),IF(Main[[#This Row],[Class]]="A",WORKDAY(Main[[#This Row],[Tech Start Date]],5),""))))</f>
        <v>40596</v>
      </c>
      <c r="P1414" s="75">
        <f>IF(Main[[#This Row],[Tech Start Date]]&lt;1/1/1990,"",IF(Main[[#This Row],[Class]]="C",WORKDAY(Main[[#This Row],[Tech Start Date]],28),IF(Main[[#This Row],[Class]]="B", WORKDAY(Main[[#This Row],[Tech Start Date]],19),IF(Main[[#This Row],[Class]]="A",WORKDAY(Main[[#This Row],[Tech Start Date]],9),""))))</f>
        <v>40602</v>
      </c>
      <c r="Q1414" s="89">
        <v>40592</v>
      </c>
      <c r="R1414" s="121">
        <v>40624</v>
      </c>
      <c r="S1414" s="99" t="s">
        <v>6</v>
      </c>
      <c r="T1414" s="76" t="s">
        <v>4</v>
      </c>
      <c r="U1414" s="99" t="s">
        <v>14</v>
      </c>
      <c r="V1414" s="99" t="s">
        <v>1916</v>
      </c>
      <c r="W1414" s="99" t="s">
        <v>1915</v>
      </c>
      <c r="X1414" s="99" t="s">
        <v>30</v>
      </c>
      <c r="Y1414" s="73" t="s">
        <v>3009</v>
      </c>
      <c r="Z1414" s="73" t="s">
        <v>30</v>
      </c>
      <c r="AA1414" s="99" t="s">
        <v>3393</v>
      </c>
    </row>
    <row r="1415" spans="1:27" ht="17.25" customHeight="1">
      <c r="A1415" s="65" t="str">
        <f>IF(priority(Main[[#This Row],[Comments]])&lt;&gt;0, priority(Main[[#This Row],[Comments]]),"")</f>
        <v/>
      </c>
      <c r="B1415" s="60" t="s">
        <v>1864</v>
      </c>
      <c r="C1415" s="105" t="s">
        <v>4</v>
      </c>
      <c r="D1415" s="74" t="s">
        <v>921</v>
      </c>
      <c r="E1415" s="89">
        <v>40590.540578703702</v>
      </c>
      <c r="F1415" s="89"/>
      <c r="G1415" s="65" t="str">
        <f>IF(stdProdLT(Main[[#This Row],[Comments]])=0.1,"N/A",IF(stdProdLT(Main[[#This Row],[Comments]])=0,"",TRIM(stdProdLT(Main[[#This Row],[Comments]]))))</f>
        <v/>
      </c>
      <c r="H1415" s="98" t="str">
        <f>IF(Main[[#This Row],[Std. Prod. Lead Time]]="N/A", "",IF(AND(Main[[#This Row],[In Stock Date]]&lt;&gt;"",Main[[#This Row],[Revised Due Date]]&lt;&gt;"",Main[[#This Row],[In Stock Date]]&lt;&gt;""),Main[[#This Row],[In Stock Date]]-Main[[#This Row],[Revised Due Date]],""))</f>
        <v/>
      </c>
      <c r="I1415" s="110" t="s">
        <v>4</v>
      </c>
      <c r="J1415" s="99" t="s">
        <v>28</v>
      </c>
      <c r="K1415" s="99" t="s">
        <v>1922</v>
      </c>
      <c r="L1415" s="89">
        <v>40590</v>
      </c>
      <c r="M1415" s="75">
        <f>IF(Main[[#This Row],[Tech Start Date]]&lt;1/1/1990,"",IF(Main[[#This Row],[Class]]="C",WORKDAY(Main[[#This Row],[Tech Start Date]],9),IF(Main[[#This Row],[Class]]="B", WORKDAY(Main[[#This Row],[Tech Start Date]],6),IF(Main[[#This Row],[Class]]="A",WORKDAY(Main[[#This Row],[Tech Start Date]],2),""))))</f>
        <v>40592</v>
      </c>
      <c r="N1415" s="75">
        <f>IF(Main[[#This Row],[Tech Start Date]]&lt;1/1/1990,"",IF(Main[[#This Row],[Class]]="C",WORKDAY(Main[[#This Row],[Tech Start Date]],19),IF(Main[[#This Row],[Class]]="B", WORKDAY(Main[[#This Row],[Tech Start Date]],12),IF(Main[[#This Row],[Class]]="A",WORKDAY(Main[[#This Row],[Tech Start Date]],4),""))))</f>
        <v>40596</v>
      </c>
      <c r="O1415" s="75">
        <f>IF(Main[[#This Row],[Tech Start Date]]&lt;1/1/1990,"",IF(Main[[#This Row],[Class]]="C",WORKDAY(Main[[#This Row],[Tech Start Date]],23),IF(Main[[#This Row],[Class]]="B", WORKDAY(Main[[#This Row],[Tech Start Date]],15),IF(Main[[#This Row],[Class]]="A",WORKDAY(Main[[#This Row],[Tech Start Date]],5),""))))</f>
        <v>40597</v>
      </c>
      <c r="P1415" s="75">
        <f>IF(Main[[#This Row],[Tech Start Date]]&lt;1/1/1990,"",IF(Main[[#This Row],[Class]]="C",WORKDAY(Main[[#This Row],[Tech Start Date]],28),IF(Main[[#This Row],[Class]]="B", WORKDAY(Main[[#This Row],[Tech Start Date]],19),IF(Main[[#This Row],[Class]]="A",WORKDAY(Main[[#This Row],[Tech Start Date]],9),""))))</f>
        <v>40603</v>
      </c>
      <c r="Q1415" s="89">
        <v>40618</v>
      </c>
      <c r="R1415" s="121">
        <v>40604</v>
      </c>
      <c r="S1415" s="99" t="s">
        <v>6</v>
      </c>
      <c r="T1415" s="76" t="s">
        <v>4</v>
      </c>
      <c r="U1415" s="99" t="s">
        <v>29</v>
      </c>
      <c r="V1415" s="99" t="s">
        <v>1913</v>
      </c>
      <c r="W1415" s="99" t="s">
        <v>1917</v>
      </c>
      <c r="X1415" s="99" t="s">
        <v>2830</v>
      </c>
      <c r="Y1415" s="73" t="s">
        <v>2959</v>
      </c>
      <c r="Z1415" s="73" t="s">
        <v>4</v>
      </c>
      <c r="AA1415" s="99" t="s">
        <v>2830</v>
      </c>
    </row>
    <row r="1416" spans="1:27" ht="17.25" customHeight="1">
      <c r="A1416" s="65" t="str">
        <f>IF(priority(Main[[#This Row],[Comments]])&lt;&gt;0, priority(Main[[#This Row],[Comments]]),"")</f>
        <v/>
      </c>
      <c r="B1416" s="60" t="s">
        <v>1868</v>
      </c>
      <c r="C1416" s="105" t="s">
        <v>4</v>
      </c>
      <c r="D1416" s="74" t="s">
        <v>2243</v>
      </c>
      <c r="E1416" s="89">
        <v>40577.592002314814</v>
      </c>
      <c r="F1416" s="89"/>
      <c r="G1416" s="65" t="str">
        <f>IF(stdProdLT(Main[[#This Row],[Comments]])=0.1,"N/A",IF(stdProdLT(Main[[#This Row],[Comments]])=0,"",TRIM(stdProdLT(Main[[#This Row],[Comments]]))))</f>
        <v/>
      </c>
      <c r="H1416" s="98" t="str">
        <f>IF(Main[[#This Row],[Std. Prod. Lead Time]]="N/A", "",IF(AND(Main[[#This Row],[In Stock Date]]&lt;&gt;"",Main[[#This Row],[Revised Due Date]]&lt;&gt;"",Main[[#This Row],[In Stock Date]]&lt;&gt;""),Main[[#This Row],[In Stock Date]]-Main[[#This Row],[Revised Due Date]],""))</f>
        <v/>
      </c>
      <c r="I1416" s="110" t="s">
        <v>912</v>
      </c>
      <c r="J1416" s="99" t="s">
        <v>28</v>
      </c>
      <c r="K1416" s="99" t="s">
        <v>1922</v>
      </c>
      <c r="L1416" s="89">
        <v>40591</v>
      </c>
      <c r="M1416" s="75">
        <f>IF(Main[[#This Row],[Tech Start Date]]&lt;1/1/1990,"",IF(Main[[#This Row],[Class]]="C",WORKDAY(Main[[#This Row],[Tech Start Date]],9),IF(Main[[#This Row],[Class]]="B", WORKDAY(Main[[#This Row],[Tech Start Date]],6),IF(Main[[#This Row],[Class]]="A",WORKDAY(Main[[#This Row],[Tech Start Date]],2),""))))</f>
        <v>40595</v>
      </c>
      <c r="N1416" s="75">
        <f>IF(Main[[#This Row],[Tech Start Date]]&lt;1/1/1990,"",IF(Main[[#This Row],[Class]]="C",WORKDAY(Main[[#This Row],[Tech Start Date]],19),IF(Main[[#This Row],[Class]]="B", WORKDAY(Main[[#This Row],[Tech Start Date]],12),IF(Main[[#This Row],[Class]]="A",WORKDAY(Main[[#This Row],[Tech Start Date]],4),""))))</f>
        <v>40597</v>
      </c>
      <c r="O1416" s="75">
        <f>IF(Main[[#This Row],[Tech Start Date]]&lt;1/1/1990,"",IF(Main[[#This Row],[Class]]="C",WORKDAY(Main[[#This Row],[Tech Start Date]],23),IF(Main[[#This Row],[Class]]="B", WORKDAY(Main[[#This Row],[Tech Start Date]],15),IF(Main[[#This Row],[Class]]="A",WORKDAY(Main[[#This Row],[Tech Start Date]],5),""))))</f>
        <v>40598</v>
      </c>
      <c r="P1416" s="75">
        <f>IF(Main[[#This Row],[Tech Start Date]]&lt;1/1/1990,"",IF(Main[[#This Row],[Class]]="C",WORKDAY(Main[[#This Row],[Tech Start Date]],28),IF(Main[[#This Row],[Class]]="B", WORKDAY(Main[[#This Row],[Tech Start Date]],19),IF(Main[[#This Row],[Class]]="A",WORKDAY(Main[[#This Row],[Tech Start Date]],9),""))))</f>
        <v>40604</v>
      </c>
      <c r="Q1416" s="89">
        <v>40626</v>
      </c>
      <c r="R1416" s="121">
        <v>40626</v>
      </c>
      <c r="S1416" s="99" t="s">
        <v>6</v>
      </c>
      <c r="T1416" s="76" t="s">
        <v>4</v>
      </c>
      <c r="U1416" s="99" t="s">
        <v>29</v>
      </c>
      <c r="V1416" s="99" t="s">
        <v>1913</v>
      </c>
      <c r="W1416" s="99" t="s">
        <v>1915</v>
      </c>
      <c r="X1416" s="99" t="s">
        <v>399</v>
      </c>
      <c r="Y1416" s="73" t="s">
        <v>3102</v>
      </c>
      <c r="Z1416" s="73" t="s">
        <v>912</v>
      </c>
      <c r="AA1416" s="99" t="s">
        <v>3367</v>
      </c>
    </row>
    <row r="1417" spans="1:27" ht="17.25" customHeight="1">
      <c r="A1417" s="65" t="str">
        <f>IF(priority(Main[[#This Row],[Comments]])&lt;&gt;0, priority(Main[[#This Row],[Comments]]),"")</f>
        <v/>
      </c>
      <c r="B1417" s="60" t="s">
        <v>1891</v>
      </c>
      <c r="C1417" s="105" t="s">
        <v>947</v>
      </c>
      <c r="D1417" s="74" t="s">
        <v>1959</v>
      </c>
      <c r="E1417" s="89"/>
      <c r="F1417" s="89">
        <v>40709</v>
      </c>
      <c r="G1417" s="65" t="str">
        <f>IF(stdProdLT(Main[[#This Row],[Comments]])=0.1,"N/A",IF(stdProdLT(Main[[#This Row],[Comments]])=0,"",TRIM(stdProdLT(Main[[#This Row],[Comments]]))))</f>
        <v/>
      </c>
      <c r="H1417" s="98">
        <f>IF(Main[[#This Row],[Std. Prod. Lead Time]]="N/A", "",IF(AND(Main[[#This Row],[In Stock Date]]&lt;&gt;"",Main[[#This Row],[Revised Due Date]]&lt;&gt;"",Main[[#This Row],[In Stock Date]]&lt;&gt;""),Main[[#This Row],[In Stock Date]]-Main[[#This Row],[Revised Due Date]],""))</f>
        <v>-44</v>
      </c>
      <c r="I1417" s="110" t="s">
        <v>907</v>
      </c>
      <c r="J1417" s="99" t="s">
        <v>28</v>
      </c>
      <c r="K1417" s="99" t="s">
        <v>1920</v>
      </c>
      <c r="L1417" s="89">
        <v>40612</v>
      </c>
      <c r="M1417" s="75">
        <f>IF(Main[[#This Row],[Tech Start Date]]&lt;1/1/1990,"",IF(Main[[#This Row],[Class]]="C",WORKDAY(Main[[#This Row],[Tech Start Date]],9),IF(Main[[#This Row],[Class]]="B", WORKDAY(Main[[#This Row],[Tech Start Date]],6),IF(Main[[#This Row],[Class]]="A",WORKDAY(Main[[#This Row],[Tech Start Date]],2),""))))</f>
        <v>40620</v>
      </c>
      <c r="N1417" s="75">
        <f>IF(Main[[#This Row],[Tech Start Date]]&lt;1/1/1990,"",IF(Main[[#This Row],[Class]]="C",WORKDAY(Main[[#This Row],[Tech Start Date]],19),IF(Main[[#This Row],[Class]]="B", WORKDAY(Main[[#This Row],[Tech Start Date]],12),IF(Main[[#This Row],[Class]]="A",WORKDAY(Main[[#This Row],[Tech Start Date]],4),""))))</f>
        <v>40630</v>
      </c>
      <c r="O1417" s="75">
        <f>IF(Main[[#This Row],[Tech Start Date]]&lt;1/1/1990,"",IF(Main[[#This Row],[Class]]="C",WORKDAY(Main[[#This Row],[Tech Start Date]],23),IF(Main[[#This Row],[Class]]="B", WORKDAY(Main[[#This Row],[Tech Start Date]],15),IF(Main[[#This Row],[Class]]="A",WORKDAY(Main[[#This Row],[Tech Start Date]],5),""))))</f>
        <v>40633</v>
      </c>
      <c r="P1417" s="75">
        <f>IF(Main[[#This Row],[Tech Start Date]]&lt;1/1/1990,"",IF(Main[[#This Row],[Class]]="C",WORKDAY(Main[[#This Row],[Tech Start Date]],28),IF(Main[[#This Row],[Class]]="B", WORKDAY(Main[[#This Row],[Tech Start Date]],19),IF(Main[[#This Row],[Class]]="A",WORKDAY(Main[[#This Row],[Tech Start Date]],9),""))))</f>
        <v>40639</v>
      </c>
      <c r="Q1417" s="89"/>
      <c r="R1417" s="121">
        <v>40753</v>
      </c>
      <c r="S1417" s="99" t="s">
        <v>11</v>
      </c>
      <c r="T1417" s="76" t="s">
        <v>1997</v>
      </c>
      <c r="U1417" s="99" t="s">
        <v>14</v>
      </c>
      <c r="V1417" s="99" t="s">
        <v>1913</v>
      </c>
      <c r="W1417" s="99" t="s">
        <v>1918</v>
      </c>
      <c r="X1417" s="99" t="s">
        <v>50</v>
      </c>
      <c r="Y1417" s="73" t="s">
        <v>3141</v>
      </c>
      <c r="Z1417" s="73" t="s">
        <v>877</v>
      </c>
      <c r="AA1417" s="99" t="s">
        <v>3464</v>
      </c>
    </row>
    <row r="1418" spans="1:27" ht="17.25" customHeight="1">
      <c r="A1418" s="65" t="str">
        <f>IF(priority(Main[[#This Row],[Comments]])&lt;&gt;0, priority(Main[[#This Row],[Comments]]),"")</f>
        <v/>
      </c>
      <c r="B1418" s="60" t="s">
        <v>1895</v>
      </c>
      <c r="C1418" s="105" t="s">
        <v>949</v>
      </c>
      <c r="D1418" s="74" t="s">
        <v>950</v>
      </c>
      <c r="E1418" s="89"/>
      <c r="F1418" s="89">
        <v>40775</v>
      </c>
      <c r="G1418" s="65" t="str">
        <f>IF(stdProdLT(Main[[#This Row],[Comments]])=0.1,"N/A",IF(stdProdLT(Main[[#This Row],[Comments]])=0,"",TRIM(stdProdLT(Main[[#This Row],[Comments]]))))</f>
        <v/>
      </c>
      <c r="H1418" s="98">
        <f>IF(Main[[#This Row],[Std. Prod. Lead Time]]="N/A", "",IF(AND(Main[[#This Row],[In Stock Date]]&lt;&gt;"",Main[[#This Row],[Revised Due Date]]&lt;&gt;"",Main[[#This Row],[In Stock Date]]&lt;&gt;""),Main[[#This Row],[In Stock Date]]-Main[[#This Row],[Revised Due Date]],""))</f>
        <v>51</v>
      </c>
      <c r="I1418" s="110" t="s">
        <v>889</v>
      </c>
      <c r="J1418" s="99" t="s">
        <v>28</v>
      </c>
      <c r="K1418" s="99" t="s">
        <v>1925</v>
      </c>
      <c r="L1418" s="89">
        <v>40619</v>
      </c>
      <c r="M1418" s="75" t="str">
        <f>IF(Main[[#This Row],[Tech Start Date]]&lt;1/1/1990,"",IF(Main[[#This Row],[Class]]="C",WORKDAY(Main[[#This Row],[Tech Start Date]],9),IF(Main[[#This Row],[Class]]="B", WORKDAY(Main[[#This Row],[Tech Start Date]],6),IF(Main[[#This Row],[Class]]="A",WORKDAY(Main[[#This Row],[Tech Start Date]],2),""))))</f>
        <v/>
      </c>
      <c r="N1418" s="75" t="str">
        <f>IF(Main[[#This Row],[Tech Start Date]]&lt;1/1/1990,"",IF(Main[[#This Row],[Class]]="C",WORKDAY(Main[[#This Row],[Tech Start Date]],19),IF(Main[[#This Row],[Class]]="B", WORKDAY(Main[[#This Row],[Tech Start Date]],12),IF(Main[[#This Row],[Class]]="A",WORKDAY(Main[[#This Row],[Tech Start Date]],4),""))))</f>
        <v/>
      </c>
      <c r="O1418" s="75" t="str">
        <f>IF(Main[[#This Row],[Tech Start Date]]&lt;1/1/1990,"",IF(Main[[#This Row],[Class]]="C",WORKDAY(Main[[#This Row],[Tech Start Date]],23),IF(Main[[#This Row],[Class]]="B", WORKDAY(Main[[#This Row],[Tech Start Date]],15),IF(Main[[#This Row],[Class]]="A",WORKDAY(Main[[#This Row],[Tech Start Date]],5),""))))</f>
        <v/>
      </c>
      <c r="P1418" s="75" t="str">
        <f>IF(Main[[#This Row],[Tech Start Date]]&lt;1/1/1990,"",IF(Main[[#This Row],[Class]]="C",WORKDAY(Main[[#This Row],[Tech Start Date]],28),IF(Main[[#This Row],[Class]]="B", WORKDAY(Main[[#This Row],[Tech Start Date]],19),IF(Main[[#This Row],[Class]]="A",WORKDAY(Main[[#This Row],[Tech Start Date]],9),""))))</f>
        <v/>
      </c>
      <c r="Q1418" s="89">
        <v>40635</v>
      </c>
      <c r="R1418" s="121">
        <v>40724</v>
      </c>
      <c r="S1418" s="99" t="s">
        <v>11</v>
      </c>
      <c r="T1418" s="76" t="s">
        <v>4</v>
      </c>
      <c r="U1418" s="99" t="s">
        <v>14</v>
      </c>
      <c r="V1418" s="99" t="s">
        <v>1914</v>
      </c>
      <c r="W1418" s="99" t="s">
        <v>1921</v>
      </c>
      <c r="X1418" s="99" t="s">
        <v>2898</v>
      </c>
      <c r="Y1418" s="73" t="s">
        <v>4</v>
      </c>
      <c r="Z1418" s="73" t="s">
        <v>877</v>
      </c>
      <c r="AA1418" s="99" t="s">
        <v>2898</v>
      </c>
    </row>
    <row r="1419" spans="1:27" ht="17.25" customHeight="1">
      <c r="A1419" s="65" t="str">
        <f>IF(priority(Main[[#This Row],[Comments]])&lt;&gt;0, priority(Main[[#This Row],[Comments]]),"")</f>
        <v/>
      </c>
      <c r="B1419" s="60" t="s">
        <v>1887</v>
      </c>
      <c r="C1419" s="105" t="s">
        <v>116</v>
      </c>
      <c r="D1419" s="74" t="s">
        <v>943</v>
      </c>
      <c r="E1419" s="89"/>
      <c r="F1419" s="89">
        <v>40725</v>
      </c>
      <c r="G1419" s="65" t="str">
        <f>IF(stdProdLT(Main[[#This Row],[Comments]])=0.1,"N/A",IF(stdProdLT(Main[[#This Row],[Comments]])=0,"",TRIM(stdProdLT(Main[[#This Row],[Comments]]))))</f>
        <v/>
      </c>
      <c r="H1419" s="98">
        <f>IF(Main[[#This Row],[Std. Prod. Lead Time]]="N/A", "",IF(AND(Main[[#This Row],[In Stock Date]]&lt;&gt;"",Main[[#This Row],[Revised Due Date]]&lt;&gt;"",Main[[#This Row],[In Stock Date]]&lt;&gt;""),Main[[#This Row],[In Stock Date]]-Main[[#This Row],[Revised Due Date]],""))</f>
        <v>11</v>
      </c>
      <c r="I1419" s="110" t="s">
        <v>171</v>
      </c>
      <c r="J1419" s="99" t="s">
        <v>28</v>
      </c>
      <c r="K1419" s="99" t="s">
        <v>1922</v>
      </c>
      <c r="L1419" s="89">
        <v>40623</v>
      </c>
      <c r="M1419" s="75">
        <f>IF(Main[[#This Row],[Tech Start Date]]&lt;1/1/1990,"",IF(Main[[#This Row],[Class]]="C",WORKDAY(Main[[#This Row],[Tech Start Date]],9),IF(Main[[#This Row],[Class]]="B", WORKDAY(Main[[#This Row],[Tech Start Date]],6),IF(Main[[#This Row],[Class]]="A",WORKDAY(Main[[#This Row],[Tech Start Date]],2),""))))</f>
        <v>40625</v>
      </c>
      <c r="N1419" s="75">
        <f>IF(Main[[#This Row],[Tech Start Date]]&lt;1/1/1990,"",IF(Main[[#This Row],[Class]]="C",WORKDAY(Main[[#This Row],[Tech Start Date]],19),IF(Main[[#This Row],[Class]]="B", WORKDAY(Main[[#This Row],[Tech Start Date]],12),IF(Main[[#This Row],[Class]]="A",WORKDAY(Main[[#This Row],[Tech Start Date]],4),""))))</f>
        <v>40627</v>
      </c>
      <c r="O1419" s="75">
        <f>IF(Main[[#This Row],[Tech Start Date]]&lt;1/1/1990,"",IF(Main[[#This Row],[Class]]="C",WORKDAY(Main[[#This Row],[Tech Start Date]],23),IF(Main[[#This Row],[Class]]="B", WORKDAY(Main[[#This Row],[Tech Start Date]],15),IF(Main[[#This Row],[Class]]="A",WORKDAY(Main[[#This Row],[Tech Start Date]],5),""))))</f>
        <v>40630</v>
      </c>
      <c r="P1419" s="75">
        <f>IF(Main[[#This Row],[Tech Start Date]]&lt;1/1/1990,"",IF(Main[[#This Row],[Class]]="C",WORKDAY(Main[[#This Row],[Tech Start Date]],28),IF(Main[[#This Row],[Class]]="B", WORKDAY(Main[[#This Row],[Tech Start Date]],19),IF(Main[[#This Row],[Class]]="A",WORKDAY(Main[[#This Row],[Tech Start Date]],9),""))))</f>
        <v>40634</v>
      </c>
      <c r="Q1419" s="89">
        <v>40714</v>
      </c>
      <c r="R1419" s="121">
        <v>40714</v>
      </c>
      <c r="S1419" s="99" t="s">
        <v>11</v>
      </c>
      <c r="T1419" s="76" t="s">
        <v>944</v>
      </c>
      <c r="U1419" s="99" t="s">
        <v>14</v>
      </c>
      <c r="V1419" s="99" t="s">
        <v>1916</v>
      </c>
      <c r="W1419" s="99" t="s">
        <v>1918</v>
      </c>
      <c r="X1419" s="99" t="s">
        <v>2839</v>
      </c>
      <c r="Y1419" s="73" t="s">
        <v>3059</v>
      </c>
      <c r="Z1419" s="73" t="s">
        <v>171</v>
      </c>
      <c r="AA1419" s="99" t="s">
        <v>2839</v>
      </c>
    </row>
    <row r="1420" spans="1:27" ht="17.25" customHeight="1">
      <c r="A1420" s="65" t="str">
        <f>IF(priority(Main[[#This Row],[Comments]])&lt;&gt;0, priority(Main[[#This Row],[Comments]]),"")</f>
        <v/>
      </c>
      <c r="B1420" s="60" t="s">
        <v>1436</v>
      </c>
      <c r="C1420" s="105" t="s">
        <v>4</v>
      </c>
      <c r="D1420" s="74" t="s">
        <v>514</v>
      </c>
      <c r="E1420" s="89">
        <v>40623.553414351853</v>
      </c>
      <c r="F1420" s="89"/>
      <c r="G1420" s="65" t="str">
        <f>IF(stdProdLT(Main[[#This Row],[Comments]])=0.1,"N/A",IF(stdProdLT(Main[[#This Row],[Comments]])=0,"",TRIM(stdProdLT(Main[[#This Row],[Comments]]))))</f>
        <v/>
      </c>
      <c r="H1420" s="98" t="str">
        <f>IF(Main[[#This Row],[Std. Prod. Lead Time]]="N/A", "",IF(AND(Main[[#This Row],[In Stock Date]]&lt;&gt;"",Main[[#This Row],[Revised Due Date]]&lt;&gt;"",Main[[#This Row],[In Stock Date]]&lt;&gt;""),Main[[#This Row],[In Stock Date]]-Main[[#This Row],[Revised Due Date]],""))</f>
        <v/>
      </c>
      <c r="I1420" s="110" t="s">
        <v>30</v>
      </c>
      <c r="J1420" s="99" t="s">
        <v>21</v>
      </c>
      <c r="K1420" s="100" t="s">
        <v>1922</v>
      </c>
      <c r="L1420" s="89">
        <v>40623</v>
      </c>
      <c r="M1420" s="75">
        <f>IF(Main[[#This Row],[Tech Start Date]]&lt;1/1/1990,"",IF(Main[[#This Row],[Class]]="C",WORKDAY(Main[[#This Row],[Tech Start Date]],9),IF(Main[[#This Row],[Class]]="B", WORKDAY(Main[[#This Row],[Tech Start Date]],6),IF(Main[[#This Row],[Class]]="A",WORKDAY(Main[[#This Row],[Tech Start Date]],2),""))))</f>
        <v>40625</v>
      </c>
      <c r="N1420" s="75">
        <f>IF(Main[[#This Row],[Tech Start Date]]&lt;1/1/1990,"",IF(Main[[#This Row],[Class]]="C",WORKDAY(Main[[#This Row],[Tech Start Date]],19),IF(Main[[#This Row],[Class]]="B", WORKDAY(Main[[#This Row],[Tech Start Date]],12),IF(Main[[#This Row],[Class]]="A",WORKDAY(Main[[#This Row],[Tech Start Date]],4),""))))</f>
        <v>40627</v>
      </c>
      <c r="O1420" s="75">
        <f>IF(Main[[#This Row],[Tech Start Date]]&lt;1/1/1990,"",IF(Main[[#This Row],[Class]]="C",WORKDAY(Main[[#This Row],[Tech Start Date]],23),IF(Main[[#This Row],[Class]]="B", WORKDAY(Main[[#This Row],[Tech Start Date]],15),IF(Main[[#This Row],[Class]]="A",WORKDAY(Main[[#This Row],[Tech Start Date]],5),""))))</f>
        <v>40630</v>
      </c>
      <c r="P1420" s="75">
        <f>IF(Main[[#This Row],[Tech Start Date]]&lt;1/1/1990,"",IF(Main[[#This Row],[Class]]="C",WORKDAY(Main[[#This Row],[Tech Start Date]],28),IF(Main[[#This Row],[Class]]="B", WORKDAY(Main[[#This Row],[Tech Start Date]],19),IF(Main[[#This Row],[Class]]="A",WORKDAY(Main[[#This Row],[Tech Start Date]],9),""))))</f>
        <v>40634</v>
      </c>
      <c r="Q1420" s="89">
        <v>40662</v>
      </c>
      <c r="R1420" s="121"/>
      <c r="S1420" s="99" t="s">
        <v>6</v>
      </c>
      <c r="T1420" s="76" t="s">
        <v>4</v>
      </c>
      <c r="U1420" s="99" t="s">
        <v>29</v>
      </c>
      <c r="V1420" s="99" t="s">
        <v>1923</v>
      </c>
      <c r="W1420" s="99" t="s">
        <v>1917</v>
      </c>
      <c r="X1420" s="99" t="s">
        <v>30</v>
      </c>
      <c r="Y1420" s="73" t="s">
        <v>2951</v>
      </c>
      <c r="Z1420" s="73" t="s">
        <v>30</v>
      </c>
      <c r="AA1420" s="99" t="s">
        <v>30</v>
      </c>
    </row>
    <row r="1421" spans="1:27" ht="17.25" customHeight="1">
      <c r="A1421" s="65" t="str">
        <f>IF(priority(Main[[#This Row],[Comments]])&lt;&gt;0, priority(Main[[#This Row],[Comments]]),"")</f>
        <v/>
      </c>
      <c r="B1421" s="60" t="s">
        <v>1873</v>
      </c>
      <c r="C1421" s="105" t="s">
        <v>31</v>
      </c>
      <c r="D1421" s="74" t="s">
        <v>927</v>
      </c>
      <c r="E1421" s="89"/>
      <c r="F1421" s="89">
        <v>40725</v>
      </c>
      <c r="G1421" s="65" t="str">
        <f>IF(stdProdLT(Main[[#This Row],[Comments]])=0.1,"N/A",IF(stdProdLT(Main[[#This Row],[Comments]])=0,"",TRIM(stdProdLT(Main[[#This Row],[Comments]]))))</f>
        <v/>
      </c>
      <c r="H1421" s="98">
        <f>IF(Main[[#This Row],[Std. Prod. Lead Time]]="N/A", "",IF(AND(Main[[#This Row],[In Stock Date]]&lt;&gt;"",Main[[#This Row],[Revised Due Date]]&lt;&gt;"",Main[[#This Row],[In Stock Date]]&lt;&gt;""),Main[[#This Row],[In Stock Date]]-Main[[#This Row],[Revised Due Date]],""))</f>
        <v>66</v>
      </c>
      <c r="I1421" s="110" t="s">
        <v>171</v>
      </c>
      <c r="J1421" s="99" t="s">
        <v>28</v>
      </c>
      <c r="K1421" s="99" t="s">
        <v>1922</v>
      </c>
      <c r="L1421" s="89">
        <v>40623</v>
      </c>
      <c r="M1421" s="75">
        <f>IF(Main[[#This Row],[Tech Start Date]]&lt;1/1/1990,"",IF(Main[[#This Row],[Class]]="C",WORKDAY(Main[[#This Row],[Tech Start Date]],9),IF(Main[[#This Row],[Class]]="B", WORKDAY(Main[[#This Row],[Tech Start Date]],6),IF(Main[[#This Row],[Class]]="A",WORKDAY(Main[[#This Row],[Tech Start Date]],2),""))))</f>
        <v>40625</v>
      </c>
      <c r="N1421" s="75">
        <f>IF(Main[[#This Row],[Tech Start Date]]&lt;1/1/1990,"",IF(Main[[#This Row],[Class]]="C",WORKDAY(Main[[#This Row],[Tech Start Date]],19),IF(Main[[#This Row],[Class]]="B", WORKDAY(Main[[#This Row],[Tech Start Date]],12),IF(Main[[#This Row],[Class]]="A",WORKDAY(Main[[#This Row],[Tech Start Date]],4),""))))</f>
        <v>40627</v>
      </c>
      <c r="O1421" s="75">
        <f>IF(Main[[#This Row],[Tech Start Date]]&lt;1/1/1990,"",IF(Main[[#This Row],[Class]]="C",WORKDAY(Main[[#This Row],[Tech Start Date]],23),IF(Main[[#This Row],[Class]]="B", WORKDAY(Main[[#This Row],[Tech Start Date]],15),IF(Main[[#This Row],[Class]]="A",WORKDAY(Main[[#This Row],[Tech Start Date]],5),""))))</f>
        <v>40630</v>
      </c>
      <c r="P1421" s="75">
        <f>IF(Main[[#This Row],[Tech Start Date]]&lt;1/1/1990,"",IF(Main[[#This Row],[Class]]="C",WORKDAY(Main[[#This Row],[Tech Start Date]],28),IF(Main[[#This Row],[Class]]="B", WORKDAY(Main[[#This Row],[Tech Start Date]],19),IF(Main[[#This Row],[Class]]="A",WORKDAY(Main[[#This Row],[Tech Start Date]],9),""))))</f>
        <v>40634</v>
      </c>
      <c r="Q1421" s="89">
        <v>40659</v>
      </c>
      <c r="R1421" s="121">
        <v>40659</v>
      </c>
      <c r="S1421" s="99" t="s">
        <v>11</v>
      </c>
      <c r="T1421" s="76" t="s">
        <v>4</v>
      </c>
      <c r="U1421" s="99" t="s">
        <v>14</v>
      </c>
      <c r="V1421" s="99" t="s">
        <v>1916</v>
      </c>
      <c r="W1421" s="99" t="s">
        <v>1919</v>
      </c>
      <c r="X1421" s="99" t="s">
        <v>2839</v>
      </c>
      <c r="Y1421" s="73" t="s">
        <v>3059</v>
      </c>
      <c r="Z1421" s="73" t="s">
        <v>171</v>
      </c>
      <c r="AA1421" s="99" t="s">
        <v>2839</v>
      </c>
    </row>
    <row r="1422" spans="1:27" ht="17.25" customHeight="1">
      <c r="A1422" s="65" t="str">
        <f>IF(priority(Main[[#This Row],[Comments]])&lt;&gt;0, priority(Main[[#This Row],[Comments]]),"")</f>
        <v/>
      </c>
      <c r="B1422" s="60" t="s">
        <v>1875</v>
      </c>
      <c r="C1422" s="105" t="s">
        <v>4</v>
      </c>
      <c r="D1422" s="74" t="s">
        <v>3761</v>
      </c>
      <c r="E1422" s="89">
        <v>40624.55673611111</v>
      </c>
      <c r="F1422" s="89"/>
      <c r="G1422" s="65" t="str">
        <f>IF(stdProdLT(Main[[#This Row],[Comments]])=0.1,"N/A",IF(stdProdLT(Main[[#This Row],[Comments]])=0,"",TRIM(stdProdLT(Main[[#This Row],[Comments]]))))</f>
        <v/>
      </c>
      <c r="H1422" s="98" t="str">
        <f>IF(Main[[#This Row],[Std. Prod. Lead Time]]="N/A", "",IF(AND(Main[[#This Row],[In Stock Date]]&lt;&gt;"",Main[[#This Row],[Revised Due Date]]&lt;&gt;"",Main[[#This Row],[In Stock Date]]&lt;&gt;""),Main[[#This Row],[In Stock Date]]-Main[[#This Row],[Revised Due Date]],""))</f>
        <v/>
      </c>
      <c r="I1422" s="110" t="s">
        <v>69</v>
      </c>
      <c r="J1422" s="99" t="s">
        <v>70</v>
      </c>
      <c r="K1422" s="99" t="s">
        <v>1922</v>
      </c>
      <c r="L1422" s="89">
        <v>40638</v>
      </c>
      <c r="M1422" s="75">
        <f>IF(Main[[#This Row],[Tech Start Date]]&lt;1/1/1990,"",IF(Main[[#This Row],[Class]]="C",WORKDAY(Main[[#This Row],[Tech Start Date]],9),IF(Main[[#This Row],[Class]]="B", WORKDAY(Main[[#This Row],[Tech Start Date]],6),IF(Main[[#This Row],[Class]]="A",WORKDAY(Main[[#This Row],[Tech Start Date]],2),""))))</f>
        <v>40640</v>
      </c>
      <c r="N1422" s="75">
        <f>IF(Main[[#This Row],[Tech Start Date]]&lt;1/1/1990,"",IF(Main[[#This Row],[Class]]="C",WORKDAY(Main[[#This Row],[Tech Start Date]],19),IF(Main[[#This Row],[Class]]="B", WORKDAY(Main[[#This Row],[Tech Start Date]],12),IF(Main[[#This Row],[Class]]="A",WORKDAY(Main[[#This Row],[Tech Start Date]],4),""))))</f>
        <v>40644</v>
      </c>
      <c r="O1422" s="75">
        <f>IF(Main[[#This Row],[Tech Start Date]]&lt;1/1/1990,"",IF(Main[[#This Row],[Class]]="C",WORKDAY(Main[[#This Row],[Tech Start Date]],23),IF(Main[[#This Row],[Class]]="B", WORKDAY(Main[[#This Row],[Tech Start Date]],15),IF(Main[[#This Row],[Class]]="A",WORKDAY(Main[[#This Row],[Tech Start Date]],5),""))))</f>
        <v>40645</v>
      </c>
      <c r="P1422" s="75">
        <f>IF(Main[[#This Row],[Tech Start Date]]&lt;1/1/1990,"",IF(Main[[#This Row],[Class]]="C",WORKDAY(Main[[#This Row],[Tech Start Date]],28),IF(Main[[#This Row],[Class]]="B", WORKDAY(Main[[#This Row],[Tech Start Date]],19),IF(Main[[#This Row],[Class]]="A",WORKDAY(Main[[#This Row],[Tech Start Date]],9),""))))</f>
        <v>40651</v>
      </c>
      <c r="Q1422" s="89"/>
      <c r="R1422" s="121">
        <v>40675</v>
      </c>
      <c r="S1422" s="99" t="s">
        <v>6</v>
      </c>
      <c r="T1422" s="76" t="s">
        <v>4</v>
      </c>
      <c r="U1422" s="99" t="s">
        <v>29</v>
      </c>
      <c r="V1422" s="99" t="s">
        <v>1916</v>
      </c>
      <c r="W1422" s="99" t="s">
        <v>1917</v>
      </c>
      <c r="X1422" s="99" t="s">
        <v>2914</v>
      </c>
      <c r="Y1422" s="73" t="s">
        <v>3142</v>
      </c>
      <c r="Z1422" s="73" t="s">
        <v>30</v>
      </c>
      <c r="AA1422" s="99" t="s">
        <v>2914</v>
      </c>
    </row>
    <row r="1423" spans="1:27" ht="17.25" customHeight="1">
      <c r="A1423" s="65" t="str">
        <f>IF(priority(Main[[#This Row],[Comments]])&lt;&gt;0, priority(Main[[#This Row],[Comments]]),"")</f>
        <v/>
      </c>
      <c r="B1423" s="60" t="s">
        <v>1871</v>
      </c>
      <c r="C1423" s="105" t="s">
        <v>4</v>
      </c>
      <c r="D1423" s="74" t="s">
        <v>2602</v>
      </c>
      <c r="E1423" s="89">
        <v>40627.819594907407</v>
      </c>
      <c r="F1423" s="89"/>
      <c r="G1423" s="65" t="str">
        <f>IF(stdProdLT(Main[[#This Row],[Comments]])=0.1,"N/A",IF(stdProdLT(Main[[#This Row],[Comments]])=0,"",TRIM(stdProdLT(Main[[#This Row],[Comments]]))))</f>
        <v/>
      </c>
      <c r="H1423" s="98" t="str">
        <f>IF(Main[[#This Row],[Std. Prod. Lead Time]]="N/A", "",IF(AND(Main[[#This Row],[In Stock Date]]&lt;&gt;"",Main[[#This Row],[Revised Due Date]]&lt;&gt;"",Main[[#This Row],[In Stock Date]]&lt;&gt;""),Main[[#This Row],[In Stock Date]]-Main[[#This Row],[Revised Due Date]],""))</f>
        <v/>
      </c>
      <c r="I1423" s="110" t="s">
        <v>30</v>
      </c>
      <c r="J1423" s="99" t="s">
        <v>75</v>
      </c>
      <c r="K1423" s="99" t="s">
        <v>1922</v>
      </c>
      <c r="L1423" s="89">
        <v>40639</v>
      </c>
      <c r="M1423" s="75">
        <f>IF(Main[[#This Row],[Tech Start Date]]&lt;1/1/1990,"",IF(Main[[#This Row],[Class]]="C",WORKDAY(Main[[#This Row],[Tech Start Date]],9),IF(Main[[#This Row],[Class]]="B", WORKDAY(Main[[#This Row],[Tech Start Date]],6),IF(Main[[#This Row],[Class]]="A",WORKDAY(Main[[#This Row],[Tech Start Date]],2),""))))</f>
        <v>40641</v>
      </c>
      <c r="N1423" s="75">
        <f>IF(Main[[#This Row],[Tech Start Date]]&lt;1/1/1990,"",IF(Main[[#This Row],[Class]]="C",WORKDAY(Main[[#This Row],[Tech Start Date]],19),IF(Main[[#This Row],[Class]]="B", WORKDAY(Main[[#This Row],[Tech Start Date]],12),IF(Main[[#This Row],[Class]]="A",WORKDAY(Main[[#This Row],[Tech Start Date]],4),""))))</f>
        <v>40645</v>
      </c>
      <c r="O1423" s="75">
        <f>IF(Main[[#This Row],[Tech Start Date]]&lt;1/1/1990,"",IF(Main[[#This Row],[Class]]="C",WORKDAY(Main[[#This Row],[Tech Start Date]],23),IF(Main[[#This Row],[Class]]="B", WORKDAY(Main[[#This Row],[Tech Start Date]],15),IF(Main[[#This Row],[Class]]="A",WORKDAY(Main[[#This Row],[Tech Start Date]],5),""))))</f>
        <v>40646</v>
      </c>
      <c r="P1423" s="75">
        <f>IF(Main[[#This Row],[Tech Start Date]]&lt;1/1/1990,"",IF(Main[[#This Row],[Class]]="C",WORKDAY(Main[[#This Row],[Tech Start Date]],28),IF(Main[[#This Row],[Class]]="B", WORKDAY(Main[[#This Row],[Tech Start Date]],19),IF(Main[[#This Row],[Class]]="A",WORKDAY(Main[[#This Row],[Tech Start Date]],9),""))))</f>
        <v>40652</v>
      </c>
      <c r="Q1423" s="89">
        <v>40659</v>
      </c>
      <c r="R1423" s="121">
        <v>40646</v>
      </c>
      <c r="S1423" s="99" t="s">
        <v>6</v>
      </c>
      <c r="T1423" s="76" t="s">
        <v>4</v>
      </c>
      <c r="U1423" s="99" t="s">
        <v>29</v>
      </c>
      <c r="V1423" s="99" t="s">
        <v>1916</v>
      </c>
      <c r="W1423" s="99" t="s">
        <v>1917</v>
      </c>
      <c r="X1423" s="99" t="s">
        <v>30</v>
      </c>
      <c r="Y1423" s="73" t="s">
        <v>2951</v>
      </c>
      <c r="Z1423" s="73" t="s">
        <v>30</v>
      </c>
      <c r="AA1423" s="99" t="s">
        <v>30</v>
      </c>
    </row>
    <row r="1424" spans="1:27" ht="17.25" customHeight="1">
      <c r="A1424" s="65" t="str">
        <f>IF(priority(Main[[#This Row],[Comments]])&lt;&gt;0, priority(Main[[#This Row],[Comments]]),"")</f>
        <v/>
      </c>
      <c r="B1424" s="60" t="s">
        <v>1878</v>
      </c>
      <c r="C1424" s="105" t="s">
        <v>4</v>
      </c>
      <c r="D1424" s="74" t="s">
        <v>2130</v>
      </c>
      <c r="E1424" s="89"/>
      <c r="F1424" s="89"/>
      <c r="G1424" s="65" t="str">
        <f>IF(stdProdLT(Main[[#This Row],[Comments]])=0.1,"N/A",IF(stdProdLT(Main[[#This Row],[Comments]])=0,"",TRIM(stdProdLT(Main[[#This Row],[Comments]]))))</f>
        <v/>
      </c>
      <c r="H1424" s="98" t="str">
        <f>IF(Main[[#This Row],[Std. Prod. Lead Time]]="N/A", "",IF(AND(Main[[#This Row],[In Stock Date]]&lt;&gt;"",Main[[#This Row],[Revised Due Date]]&lt;&gt;"",Main[[#This Row],[In Stock Date]]&lt;&gt;""),Main[[#This Row],[In Stock Date]]-Main[[#This Row],[Revised Due Date]],""))</f>
        <v/>
      </c>
      <c r="I1424" s="110" t="s">
        <v>306</v>
      </c>
      <c r="J1424" s="99" t="s">
        <v>75</v>
      </c>
      <c r="K1424" s="99" t="s">
        <v>1922</v>
      </c>
      <c r="L1424" s="89">
        <v>40651</v>
      </c>
      <c r="M1424" s="75">
        <f>IF(Main[[#This Row],[Tech Start Date]]&lt;1/1/1990,"",IF(Main[[#This Row],[Class]]="C",WORKDAY(Main[[#This Row],[Tech Start Date]],9),IF(Main[[#This Row],[Class]]="B", WORKDAY(Main[[#This Row],[Tech Start Date]],6),IF(Main[[#This Row],[Class]]="A",WORKDAY(Main[[#This Row],[Tech Start Date]],2),""))))</f>
        <v>40653</v>
      </c>
      <c r="N1424" s="75">
        <f>IF(Main[[#This Row],[Tech Start Date]]&lt;1/1/1990,"",IF(Main[[#This Row],[Class]]="C",WORKDAY(Main[[#This Row],[Tech Start Date]],19),IF(Main[[#This Row],[Class]]="B", WORKDAY(Main[[#This Row],[Tech Start Date]],12),IF(Main[[#This Row],[Class]]="A",WORKDAY(Main[[#This Row],[Tech Start Date]],4),""))))</f>
        <v>40655</v>
      </c>
      <c r="O1424" s="75">
        <f>IF(Main[[#This Row],[Tech Start Date]]&lt;1/1/1990,"",IF(Main[[#This Row],[Class]]="C",WORKDAY(Main[[#This Row],[Tech Start Date]],23),IF(Main[[#This Row],[Class]]="B", WORKDAY(Main[[#This Row],[Tech Start Date]],15),IF(Main[[#This Row],[Class]]="A",WORKDAY(Main[[#This Row],[Tech Start Date]],5),""))))</f>
        <v>40658</v>
      </c>
      <c r="P1424" s="75">
        <f>IF(Main[[#This Row],[Tech Start Date]]&lt;1/1/1990,"",IF(Main[[#This Row],[Class]]="C",WORKDAY(Main[[#This Row],[Tech Start Date]],28),IF(Main[[#This Row],[Class]]="B", WORKDAY(Main[[#This Row],[Tech Start Date]],19),IF(Main[[#This Row],[Class]]="A",WORKDAY(Main[[#This Row],[Tech Start Date]],9),""))))</f>
        <v>40662</v>
      </c>
      <c r="Q1424" s="89">
        <v>40480</v>
      </c>
      <c r="R1424" s="121">
        <v>40689</v>
      </c>
      <c r="S1424" s="99" t="s">
        <v>6</v>
      </c>
      <c r="T1424" s="76" t="s">
        <v>4</v>
      </c>
      <c r="U1424" s="99" t="s">
        <v>14</v>
      </c>
      <c r="V1424" s="99" t="s">
        <v>1923</v>
      </c>
      <c r="W1424" s="99" t="s">
        <v>1917</v>
      </c>
      <c r="X1424" s="99" t="s">
        <v>2812</v>
      </c>
      <c r="Y1424" s="73" t="s">
        <v>2923</v>
      </c>
      <c r="Z1424" s="73" t="s">
        <v>30</v>
      </c>
      <c r="AA1424" s="99" t="s">
        <v>2812</v>
      </c>
    </row>
    <row r="1425" spans="1:27" ht="17.25" customHeight="1">
      <c r="A1425" s="65" t="str">
        <f>IF(priority(Main[[#This Row],[Comments]])&lt;&gt;0, priority(Main[[#This Row],[Comments]]),"")</f>
        <v/>
      </c>
      <c r="B1425" s="60" t="s">
        <v>1877</v>
      </c>
      <c r="C1425" s="105" t="s">
        <v>4</v>
      </c>
      <c r="D1425" s="74" t="s">
        <v>930</v>
      </c>
      <c r="E1425" s="89"/>
      <c r="F1425" s="89"/>
      <c r="G1425" s="65" t="str">
        <f>IF(stdProdLT(Main[[#This Row],[Comments]])=0.1,"N/A",IF(stdProdLT(Main[[#This Row],[Comments]])=0,"",TRIM(stdProdLT(Main[[#This Row],[Comments]]))))</f>
        <v/>
      </c>
      <c r="H1425" s="98" t="str">
        <f>IF(Main[[#This Row],[Std. Prod. Lead Time]]="N/A", "",IF(AND(Main[[#This Row],[In Stock Date]]&lt;&gt;"",Main[[#This Row],[Revised Due Date]]&lt;&gt;"",Main[[#This Row],[In Stock Date]]&lt;&gt;""),Main[[#This Row],[In Stock Date]]-Main[[#This Row],[Revised Due Date]],""))</f>
        <v/>
      </c>
      <c r="I1425" s="110" t="s">
        <v>44</v>
      </c>
      <c r="J1425" s="99" t="s">
        <v>28</v>
      </c>
      <c r="K1425" s="99" t="s">
        <v>1922</v>
      </c>
      <c r="L1425" s="89">
        <v>40651</v>
      </c>
      <c r="M1425" s="75">
        <f>IF(Main[[#This Row],[Tech Start Date]]&lt;1/1/1990,"",IF(Main[[#This Row],[Class]]="C",WORKDAY(Main[[#This Row],[Tech Start Date]],9),IF(Main[[#This Row],[Class]]="B", WORKDAY(Main[[#This Row],[Tech Start Date]],6),IF(Main[[#This Row],[Class]]="A",WORKDAY(Main[[#This Row],[Tech Start Date]],2),""))))</f>
        <v>40653</v>
      </c>
      <c r="N1425" s="75">
        <f>IF(Main[[#This Row],[Tech Start Date]]&lt;1/1/1990,"",IF(Main[[#This Row],[Class]]="C",WORKDAY(Main[[#This Row],[Tech Start Date]],19),IF(Main[[#This Row],[Class]]="B", WORKDAY(Main[[#This Row],[Tech Start Date]],12),IF(Main[[#This Row],[Class]]="A",WORKDAY(Main[[#This Row],[Tech Start Date]],4),""))))</f>
        <v>40655</v>
      </c>
      <c r="O1425" s="75">
        <f>IF(Main[[#This Row],[Tech Start Date]]&lt;1/1/1990,"",IF(Main[[#This Row],[Class]]="C",WORKDAY(Main[[#This Row],[Tech Start Date]],23),IF(Main[[#This Row],[Class]]="B", WORKDAY(Main[[#This Row],[Tech Start Date]],15),IF(Main[[#This Row],[Class]]="A",WORKDAY(Main[[#This Row],[Tech Start Date]],5),""))))</f>
        <v>40658</v>
      </c>
      <c r="P1425" s="75">
        <f>IF(Main[[#This Row],[Tech Start Date]]&lt;1/1/1990,"",IF(Main[[#This Row],[Class]]="C",WORKDAY(Main[[#This Row],[Tech Start Date]],28),IF(Main[[#This Row],[Class]]="B", WORKDAY(Main[[#This Row],[Tech Start Date]],19),IF(Main[[#This Row],[Class]]="A",WORKDAY(Main[[#This Row],[Tech Start Date]],9),""))))</f>
        <v>40662</v>
      </c>
      <c r="Q1425" s="89">
        <v>40494</v>
      </c>
      <c r="R1425" s="121">
        <v>40689</v>
      </c>
      <c r="S1425" s="99" t="s">
        <v>6</v>
      </c>
      <c r="T1425" s="76" t="s">
        <v>4</v>
      </c>
      <c r="U1425" s="99" t="s">
        <v>14</v>
      </c>
      <c r="V1425" s="99" t="s">
        <v>1916</v>
      </c>
      <c r="W1425" s="99" t="s">
        <v>1917</v>
      </c>
      <c r="X1425" s="99" t="s">
        <v>2813</v>
      </c>
      <c r="Y1425" s="73" t="s">
        <v>2926</v>
      </c>
      <c r="Z1425" s="73" t="s">
        <v>44</v>
      </c>
      <c r="AA1425" s="99" t="s">
        <v>2813</v>
      </c>
    </row>
    <row r="1426" spans="1:27" ht="17.25" customHeight="1">
      <c r="A1426" s="65" t="str">
        <f>IF(priority(Main[[#This Row],[Comments]])&lt;&gt;0, priority(Main[[#This Row],[Comments]]),"")</f>
        <v/>
      </c>
      <c r="B1426" s="60" t="s">
        <v>1876</v>
      </c>
      <c r="C1426" s="105" t="s">
        <v>4</v>
      </c>
      <c r="D1426" s="74" t="s">
        <v>929</v>
      </c>
      <c r="E1426" s="89"/>
      <c r="F1426" s="89"/>
      <c r="G1426" s="65" t="str">
        <f>IF(stdProdLT(Main[[#This Row],[Comments]])=0.1,"N/A",IF(stdProdLT(Main[[#This Row],[Comments]])=0,"",TRIM(stdProdLT(Main[[#This Row],[Comments]]))))</f>
        <v/>
      </c>
      <c r="H1426" s="98" t="str">
        <f>IF(Main[[#This Row],[Std. Prod. Lead Time]]="N/A", "",IF(AND(Main[[#This Row],[In Stock Date]]&lt;&gt;"",Main[[#This Row],[Revised Due Date]]&lt;&gt;"",Main[[#This Row],[In Stock Date]]&lt;&gt;""),Main[[#This Row],[In Stock Date]]-Main[[#This Row],[Revised Due Date]],""))</f>
        <v/>
      </c>
      <c r="I1426" s="110" t="s">
        <v>130</v>
      </c>
      <c r="J1426" s="99" t="s">
        <v>70</v>
      </c>
      <c r="K1426" s="99" t="s">
        <v>1922</v>
      </c>
      <c r="L1426" s="89">
        <v>40658</v>
      </c>
      <c r="M1426" s="75">
        <f>IF(Main[[#This Row],[Tech Start Date]]&lt;1/1/1990,"",IF(Main[[#This Row],[Class]]="C",WORKDAY(Main[[#This Row],[Tech Start Date]],9),IF(Main[[#This Row],[Class]]="B", WORKDAY(Main[[#This Row],[Tech Start Date]],6),IF(Main[[#This Row],[Class]]="A",WORKDAY(Main[[#This Row],[Tech Start Date]],2),""))))</f>
        <v>40660</v>
      </c>
      <c r="N1426" s="75">
        <f>IF(Main[[#This Row],[Tech Start Date]]&lt;1/1/1990,"",IF(Main[[#This Row],[Class]]="C",WORKDAY(Main[[#This Row],[Tech Start Date]],19),IF(Main[[#This Row],[Class]]="B", WORKDAY(Main[[#This Row],[Tech Start Date]],12),IF(Main[[#This Row],[Class]]="A",WORKDAY(Main[[#This Row],[Tech Start Date]],4),""))))</f>
        <v>40662</v>
      </c>
      <c r="O1426" s="75">
        <f>IF(Main[[#This Row],[Tech Start Date]]&lt;1/1/1990,"",IF(Main[[#This Row],[Class]]="C",WORKDAY(Main[[#This Row],[Tech Start Date]],23),IF(Main[[#This Row],[Class]]="B", WORKDAY(Main[[#This Row],[Tech Start Date]],15),IF(Main[[#This Row],[Class]]="A",WORKDAY(Main[[#This Row],[Tech Start Date]],5),""))))</f>
        <v>40665</v>
      </c>
      <c r="P1426" s="75">
        <f>IF(Main[[#This Row],[Tech Start Date]]&lt;1/1/1990,"",IF(Main[[#This Row],[Class]]="C",WORKDAY(Main[[#This Row],[Tech Start Date]],28),IF(Main[[#This Row],[Class]]="B", WORKDAY(Main[[#This Row],[Tech Start Date]],19),IF(Main[[#This Row],[Class]]="A",WORKDAY(Main[[#This Row],[Tech Start Date]],9),""))))</f>
        <v>40669</v>
      </c>
      <c r="Q1426" s="89">
        <v>40665</v>
      </c>
      <c r="R1426" s="121">
        <v>40686</v>
      </c>
      <c r="S1426" s="99" t="s">
        <v>6</v>
      </c>
      <c r="T1426" s="76" t="s">
        <v>4</v>
      </c>
      <c r="U1426" s="99" t="s">
        <v>14</v>
      </c>
      <c r="V1426" s="99" t="s">
        <v>1916</v>
      </c>
      <c r="W1426" s="99" t="s">
        <v>1915</v>
      </c>
      <c r="X1426" s="99" t="s">
        <v>2845</v>
      </c>
      <c r="Y1426" s="73" t="s">
        <v>2980</v>
      </c>
      <c r="Z1426" s="73" t="s">
        <v>30</v>
      </c>
      <c r="AA1426" s="99" t="s">
        <v>2845</v>
      </c>
    </row>
    <row r="1427" spans="1:27" ht="17.25" customHeight="1">
      <c r="A1427" s="65" t="str">
        <f>IF(priority(Main[[#This Row],[Comments]])&lt;&gt;0, priority(Main[[#This Row],[Comments]]),"")</f>
        <v/>
      </c>
      <c r="B1427" s="60" t="s">
        <v>1899</v>
      </c>
      <c r="C1427" s="105" t="s">
        <v>4</v>
      </c>
      <c r="D1427" s="74" t="s">
        <v>2603</v>
      </c>
      <c r="E1427" s="89">
        <v>40659.398043981484</v>
      </c>
      <c r="F1427" s="89"/>
      <c r="G1427" s="65" t="str">
        <f>IF(stdProdLT(Main[[#This Row],[Comments]])=0.1,"N/A",IF(stdProdLT(Main[[#This Row],[Comments]])=0,"",TRIM(stdProdLT(Main[[#This Row],[Comments]]))))</f>
        <v/>
      </c>
      <c r="H1427" s="98" t="str">
        <f>IF(Main[[#This Row],[Std. Prod. Lead Time]]="N/A", "",IF(AND(Main[[#This Row],[In Stock Date]]&lt;&gt;"",Main[[#This Row],[Revised Due Date]]&lt;&gt;"",Main[[#This Row],[In Stock Date]]&lt;&gt;""),Main[[#This Row],[In Stock Date]]-Main[[#This Row],[Revised Due Date]],""))</f>
        <v/>
      </c>
      <c r="I1427" s="110" t="s">
        <v>969</v>
      </c>
      <c r="J1427" s="99" t="s">
        <v>28</v>
      </c>
      <c r="K1427" s="99" t="s">
        <v>1925</v>
      </c>
      <c r="L1427" s="89">
        <v>40665</v>
      </c>
      <c r="M1427" s="75" t="str">
        <f>IF(Main[[#This Row],[Tech Start Date]]&lt;1/1/1990,"",IF(Main[[#This Row],[Class]]="C",WORKDAY(Main[[#This Row],[Tech Start Date]],9),IF(Main[[#This Row],[Class]]="B", WORKDAY(Main[[#This Row],[Tech Start Date]],6),IF(Main[[#This Row],[Class]]="A",WORKDAY(Main[[#This Row],[Tech Start Date]],2),""))))</f>
        <v/>
      </c>
      <c r="N1427" s="75" t="str">
        <f>IF(Main[[#This Row],[Tech Start Date]]&lt;1/1/1990,"",IF(Main[[#This Row],[Class]]="C",WORKDAY(Main[[#This Row],[Tech Start Date]],19),IF(Main[[#This Row],[Class]]="B", WORKDAY(Main[[#This Row],[Tech Start Date]],12),IF(Main[[#This Row],[Class]]="A",WORKDAY(Main[[#This Row],[Tech Start Date]],4),""))))</f>
        <v/>
      </c>
      <c r="O1427" s="75" t="str">
        <f>IF(Main[[#This Row],[Tech Start Date]]&lt;1/1/1990,"",IF(Main[[#This Row],[Class]]="C",WORKDAY(Main[[#This Row],[Tech Start Date]],23),IF(Main[[#This Row],[Class]]="B", WORKDAY(Main[[#This Row],[Tech Start Date]],15),IF(Main[[#This Row],[Class]]="A",WORKDAY(Main[[#This Row],[Tech Start Date]],5),""))))</f>
        <v/>
      </c>
      <c r="P1427" s="75" t="str">
        <f>IF(Main[[#This Row],[Tech Start Date]]&lt;1/1/1990,"",IF(Main[[#This Row],[Class]]="C",WORKDAY(Main[[#This Row],[Tech Start Date]],28),IF(Main[[#This Row],[Class]]="B", WORKDAY(Main[[#This Row],[Tech Start Date]],19),IF(Main[[#This Row],[Class]]="A",WORKDAY(Main[[#This Row],[Tech Start Date]],9),""))))</f>
        <v/>
      </c>
      <c r="Q1427" s="89">
        <v>40877</v>
      </c>
      <c r="R1427" s="121">
        <v>40900</v>
      </c>
      <c r="S1427" s="99" t="s">
        <v>17</v>
      </c>
      <c r="T1427" s="76" t="s">
        <v>2604</v>
      </c>
      <c r="U1427" s="99" t="s">
        <v>29</v>
      </c>
      <c r="V1427" s="99" t="s">
        <v>1913</v>
      </c>
      <c r="W1427" s="99" t="s">
        <v>1917</v>
      </c>
      <c r="X1427" s="99" t="s">
        <v>907</v>
      </c>
      <c r="Y1427" s="73" t="s">
        <v>3011</v>
      </c>
      <c r="Z1427" s="73" t="s">
        <v>877</v>
      </c>
      <c r="AA1427" s="99" t="s">
        <v>907</v>
      </c>
    </row>
    <row r="1428" spans="1:27" ht="17.25" customHeight="1">
      <c r="A1428" s="65" t="str">
        <f>IF(priority(Main[[#This Row],[Comments]])&lt;&gt;0, priority(Main[[#This Row],[Comments]]),"")</f>
        <v/>
      </c>
      <c r="B1428" s="60" t="s">
        <v>1884</v>
      </c>
      <c r="C1428" s="105" t="s">
        <v>939</v>
      </c>
      <c r="D1428" s="74" t="s">
        <v>2787</v>
      </c>
      <c r="E1428" s="89">
        <v>40617.624050925922</v>
      </c>
      <c r="F1428" s="89">
        <v>40967</v>
      </c>
      <c r="G1428" s="65" t="str">
        <f>IF(stdProdLT(Main[[#This Row],[Comments]])=0.1,"N/A",IF(stdProdLT(Main[[#This Row],[Comments]])=0,"",TRIM(stdProdLT(Main[[#This Row],[Comments]]))))</f>
        <v>112</v>
      </c>
      <c r="H1428" s="98" t="str">
        <f>IF(Main[[#This Row],[Std. Prod. Lead Time]]="N/A", "",IF(AND(Main[[#This Row],[In Stock Date]]&lt;&gt;"",Main[[#This Row],[Revised Due Date]]&lt;&gt;"",Main[[#This Row],[In Stock Date]]&lt;&gt;""),Main[[#This Row],[In Stock Date]]-Main[[#This Row],[Revised Due Date]],""))</f>
        <v/>
      </c>
      <c r="I1428" s="110" t="s">
        <v>561</v>
      </c>
      <c r="J1428" s="99" t="s">
        <v>28</v>
      </c>
      <c r="K1428" s="99" t="s">
        <v>1926</v>
      </c>
      <c r="L1428" s="89">
        <v>40666</v>
      </c>
      <c r="M1428" s="75">
        <f>IF(Main[[#This Row],[Tech Start Date]]&lt;1/1/1990,"",IF(Main[[#This Row],[Class]]="C",WORKDAY(Main[[#This Row],[Tech Start Date]],9),IF(Main[[#This Row],[Class]]="B", WORKDAY(Main[[#This Row],[Tech Start Date]],6),IF(Main[[#This Row],[Class]]="A",WORKDAY(Main[[#This Row],[Tech Start Date]],2),""))))</f>
        <v>40679</v>
      </c>
      <c r="N1428" s="75">
        <f>IF(Main[[#This Row],[Tech Start Date]]&lt;1/1/1990,"",IF(Main[[#This Row],[Class]]="C",WORKDAY(Main[[#This Row],[Tech Start Date]],19),IF(Main[[#This Row],[Class]]="B", WORKDAY(Main[[#This Row],[Tech Start Date]],12),IF(Main[[#This Row],[Class]]="A",WORKDAY(Main[[#This Row],[Tech Start Date]],4),""))))</f>
        <v>40693</v>
      </c>
      <c r="O1428" s="75">
        <f>IF(Main[[#This Row],[Tech Start Date]]&lt;1/1/1990,"",IF(Main[[#This Row],[Class]]="C",WORKDAY(Main[[#This Row],[Tech Start Date]],23),IF(Main[[#This Row],[Class]]="B", WORKDAY(Main[[#This Row],[Tech Start Date]],15),IF(Main[[#This Row],[Class]]="A",WORKDAY(Main[[#This Row],[Tech Start Date]],5),""))))</f>
        <v>40697</v>
      </c>
      <c r="P1428" s="75">
        <f>IF(Main[[#This Row],[Tech Start Date]]&lt;1/1/1990,"",IF(Main[[#This Row],[Class]]="C",WORKDAY(Main[[#This Row],[Tech Start Date]],28),IF(Main[[#This Row],[Class]]="B", WORKDAY(Main[[#This Row],[Tech Start Date]],19),IF(Main[[#This Row],[Class]]="A",WORKDAY(Main[[#This Row],[Tech Start Date]],9),""))))</f>
        <v>40704</v>
      </c>
      <c r="Q1428" s="89">
        <v>40767</v>
      </c>
      <c r="R1428" s="121"/>
      <c r="S1428" s="99" t="s">
        <v>11</v>
      </c>
      <c r="T1428" s="76" t="s">
        <v>3551</v>
      </c>
      <c r="U1428" s="99" t="s">
        <v>534</v>
      </c>
      <c r="V1428" s="99" t="s">
        <v>1913</v>
      </c>
      <c r="W1428" s="99" t="s">
        <v>1921</v>
      </c>
      <c r="X1428" s="99" t="s">
        <v>2915</v>
      </c>
      <c r="Y1428" s="73" t="s">
        <v>3143</v>
      </c>
      <c r="Z1428" s="73" t="s">
        <v>129</v>
      </c>
      <c r="AA1428" s="99" t="s">
        <v>2915</v>
      </c>
    </row>
    <row r="1429" spans="1:27" ht="17.25" customHeight="1">
      <c r="A1429" s="65" t="str">
        <f>IF(priority(Main[[#This Row],[Comments]])&lt;&gt;0, priority(Main[[#This Row],[Comments]]),"")</f>
        <v/>
      </c>
      <c r="B1429" s="60" t="s">
        <v>1882</v>
      </c>
      <c r="C1429" s="105" t="s">
        <v>113</v>
      </c>
      <c r="D1429" s="74" t="s">
        <v>2606</v>
      </c>
      <c r="E1429" s="89">
        <v>40596.601666666669</v>
      </c>
      <c r="F1429" s="89">
        <v>40605</v>
      </c>
      <c r="G1429" s="65" t="str">
        <f>IF(stdProdLT(Main[[#This Row],[Comments]])=0.1,"N/A",IF(stdProdLT(Main[[#This Row],[Comments]])=0,"",TRIM(stdProdLT(Main[[#This Row],[Comments]]))))</f>
        <v/>
      </c>
      <c r="H1429" s="98" t="str">
        <f>IF(Main[[#This Row],[Std. Prod. Lead Time]]="N/A", "",IF(AND(Main[[#This Row],[In Stock Date]]&lt;&gt;"",Main[[#This Row],[Revised Due Date]]&lt;&gt;"",Main[[#This Row],[In Stock Date]]&lt;&gt;""),Main[[#This Row],[In Stock Date]]-Main[[#This Row],[Revised Due Date]],""))</f>
        <v/>
      </c>
      <c r="I1429" s="110" t="s">
        <v>4</v>
      </c>
      <c r="J1429" s="99" t="s">
        <v>52</v>
      </c>
      <c r="K1429" s="99" t="s">
        <v>1926</v>
      </c>
      <c r="L1429" s="89">
        <v>40666</v>
      </c>
      <c r="M1429" s="75">
        <f>IF(Main[[#This Row],[Tech Start Date]]&lt;1/1/1990,"",IF(Main[[#This Row],[Class]]="C",WORKDAY(Main[[#This Row],[Tech Start Date]],9),IF(Main[[#This Row],[Class]]="B", WORKDAY(Main[[#This Row],[Tech Start Date]],6),IF(Main[[#This Row],[Class]]="A",WORKDAY(Main[[#This Row],[Tech Start Date]],2),""))))</f>
        <v>40679</v>
      </c>
      <c r="N1429" s="75">
        <f>IF(Main[[#This Row],[Tech Start Date]]&lt;1/1/1990,"",IF(Main[[#This Row],[Class]]="C",WORKDAY(Main[[#This Row],[Tech Start Date]],19),IF(Main[[#This Row],[Class]]="B", WORKDAY(Main[[#This Row],[Tech Start Date]],12),IF(Main[[#This Row],[Class]]="A",WORKDAY(Main[[#This Row],[Tech Start Date]],4),""))))</f>
        <v>40693</v>
      </c>
      <c r="O1429" s="75">
        <f>IF(Main[[#This Row],[Tech Start Date]]&lt;1/1/1990,"",IF(Main[[#This Row],[Class]]="C",WORKDAY(Main[[#This Row],[Tech Start Date]],23),IF(Main[[#This Row],[Class]]="B", WORKDAY(Main[[#This Row],[Tech Start Date]],15),IF(Main[[#This Row],[Class]]="A",WORKDAY(Main[[#This Row],[Tech Start Date]],5),""))))</f>
        <v>40697</v>
      </c>
      <c r="P1429" s="75">
        <f>IF(Main[[#This Row],[Tech Start Date]]&lt;1/1/1990,"",IF(Main[[#This Row],[Class]]="C",WORKDAY(Main[[#This Row],[Tech Start Date]],28),IF(Main[[#This Row],[Class]]="B", WORKDAY(Main[[#This Row],[Tech Start Date]],19),IF(Main[[#This Row],[Class]]="A",WORKDAY(Main[[#This Row],[Tech Start Date]],9),""))))</f>
        <v>40704</v>
      </c>
      <c r="Q1429" s="89">
        <v>40701</v>
      </c>
      <c r="R1429" s="121"/>
      <c r="S1429" s="99" t="s">
        <v>17</v>
      </c>
      <c r="T1429" s="76" t="s">
        <v>1998</v>
      </c>
      <c r="U1429" s="99" t="s">
        <v>29</v>
      </c>
      <c r="V1429" s="99" t="s">
        <v>1913</v>
      </c>
      <c r="W1429" s="99" t="s">
        <v>1924</v>
      </c>
      <c r="X1429" s="99" t="s">
        <v>2855</v>
      </c>
      <c r="Y1429" s="73" t="s">
        <v>2999</v>
      </c>
      <c r="Z1429" s="73" t="s">
        <v>129</v>
      </c>
      <c r="AA1429" s="99" t="s">
        <v>2855</v>
      </c>
    </row>
    <row r="1430" spans="1:27" ht="17.25" customHeight="1">
      <c r="A1430" s="65" t="str">
        <f>IF(priority(Main[[#This Row],[Comments]])&lt;&gt;0, priority(Main[[#This Row],[Comments]]),"")</f>
        <v/>
      </c>
      <c r="B1430" s="60" t="s">
        <v>1883</v>
      </c>
      <c r="C1430" s="105" t="s">
        <v>935</v>
      </c>
      <c r="D1430" s="74" t="s">
        <v>936</v>
      </c>
      <c r="E1430" s="89"/>
      <c r="F1430" s="89">
        <v>40701</v>
      </c>
      <c r="G1430" s="65" t="str">
        <f>IF(stdProdLT(Main[[#This Row],[Comments]])=0.1,"N/A",IF(stdProdLT(Main[[#This Row],[Comments]])=0,"",TRIM(stdProdLT(Main[[#This Row],[Comments]]))))</f>
        <v/>
      </c>
      <c r="H1430" s="98">
        <f>IF(Main[[#This Row],[Std. Prod. Lead Time]]="N/A", "",IF(AND(Main[[#This Row],[In Stock Date]]&lt;&gt;"",Main[[#This Row],[Revised Due Date]]&lt;&gt;"",Main[[#This Row],[In Stock Date]]&lt;&gt;""),Main[[#This Row],[In Stock Date]]-Main[[#This Row],[Revised Due Date]],""))</f>
        <v>0</v>
      </c>
      <c r="I1430" s="110" t="s">
        <v>937</v>
      </c>
      <c r="J1430" s="99" t="s">
        <v>28</v>
      </c>
      <c r="K1430" s="99" t="s">
        <v>1926</v>
      </c>
      <c r="L1430" s="89">
        <v>40666</v>
      </c>
      <c r="M1430" s="75">
        <f>IF(Main[[#This Row],[Tech Start Date]]&lt;1/1/1990,"",IF(Main[[#This Row],[Class]]="C",WORKDAY(Main[[#This Row],[Tech Start Date]],9),IF(Main[[#This Row],[Class]]="B", WORKDAY(Main[[#This Row],[Tech Start Date]],6),IF(Main[[#This Row],[Class]]="A",WORKDAY(Main[[#This Row],[Tech Start Date]],2),""))))</f>
        <v>40679</v>
      </c>
      <c r="N1430" s="75">
        <f>IF(Main[[#This Row],[Tech Start Date]]&lt;1/1/1990,"",IF(Main[[#This Row],[Class]]="C",WORKDAY(Main[[#This Row],[Tech Start Date]],19),IF(Main[[#This Row],[Class]]="B", WORKDAY(Main[[#This Row],[Tech Start Date]],12),IF(Main[[#This Row],[Class]]="A",WORKDAY(Main[[#This Row],[Tech Start Date]],4),""))))</f>
        <v>40693</v>
      </c>
      <c r="O1430" s="75">
        <f>IF(Main[[#This Row],[Tech Start Date]]&lt;1/1/1990,"",IF(Main[[#This Row],[Class]]="C",WORKDAY(Main[[#This Row],[Tech Start Date]],23),IF(Main[[#This Row],[Class]]="B", WORKDAY(Main[[#This Row],[Tech Start Date]],15),IF(Main[[#This Row],[Class]]="A",WORKDAY(Main[[#This Row],[Tech Start Date]],5),""))))</f>
        <v>40697</v>
      </c>
      <c r="P1430" s="75">
        <f>IF(Main[[#This Row],[Tech Start Date]]&lt;1/1/1990,"",IF(Main[[#This Row],[Class]]="C",WORKDAY(Main[[#This Row],[Tech Start Date]],28),IF(Main[[#This Row],[Class]]="B", WORKDAY(Main[[#This Row],[Tech Start Date]],19),IF(Main[[#This Row],[Class]]="A",WORKDAY(Main[[#This Row],[Tech Start Date]],9),""))))</f>
        <v>40704</v>
      </c>
      <c r="Q1430" s="89">
        <v>40701</v>
      </c>
      <c r="R1430" s="121">
        <v>40701</v>
      </c>
      <c r="S1430" s="99" t="s">
        <v>11</v>
      </c>
      <c r="T1430" s="76" t="s">
        <v>938</v>
      </c>
      <c r="U1430" s="99" t="s">
        <v>14</v>
      </c>
      <c r="V1430" s="99" t="s">
        <v>1913</v>
      </c>
      <c r="W1430" s="99" t="s">
        <v>1918</v>
      </c>
      <c r="X1430" s="99" t="s">
        <v>2848</v>
      </c>
      <c r="Y1430" s="73" t="s">
        <v>3144</v>
      </c>
      <c r="Z1430" s="73" t="s">
        <v>129</v>
      </c>
      <c r="AA1430" s="99" t="s">
        <v>2848</v>
      </c>
    </row>
    <row r="1431" spans="1:27" ht="17.25" customHeight="1">
      <c r="A1431" s="65" t="str">
        <f>IF(priority(Main[[#This Row],[Comments]])&lt;&gt;0, priority(Main[[#This Row],[Comments]]),"")</f>
        <v/>
      </c>
      <c r="B1431" s="60" t="s">
        <v>1688</v>
      </c>
      <c r="C1431" s="105" t="s">
        <v>518</v>
      </c>
      <c r="D1431" s="74" t="s">
        <v>744</v>
      </c>
      <c r="E1431" s="89">
        <v>40661.601064814815</v>
      </c>
      <c r="F1431" s="89">
        <v>40862</v>
      </c>
      <c r="G1431" s="65" t="str">
        <f>IF(stdProdLT(Main[[#This Row],[Comments]])=0.1,"N/A",IF(stdProdLT(Main[[#This Row],[Comments]])=0,"",TRIM(stdProdLT(Main[[#This Row],[Comments]]))))</f>
        <v/>
      </c>
      <c r="H1431" s="98">
        <f>IF(Main[[#This Row],[Std. Prod. Lead Time]]="N/A", "",IF(AND(Main[[#This Row],[In Stock Date]]&lt;&gt;"",Main[[#This Row],[Revised Due Date]]&lt;&gt;"",Main[[#This Row],[In Stock Date]]&lt;&gt;""),Main[[#This Row],[In Stock Date]]-Main[[#This Row],[Revised Due Date]],""))</f>
        <v>1</v>
      </c>
      <c r="I1431" s="110" t="s">
        <v>745</v>
      </c>
      <c r="J1431" s="99" t="s">
        <v>28</v>
      </c>
      <c r="K1431" s="99" t="s">
        <v>1925</v>
      </c>
      <c r="L1431" s="89">
        <v>40668</v>
      </c>
      <c r="M1431" s="75" t="str">
        <f>IF(Main[[#This Row],[Tech Start Date]]&lt;1/1/1990,"",IF(Main[[#This Row],[Class]]="C",WORKDAY(Main[[#This Row],[Tech Start Date]],9),IF(Main[[#This Row],[Class]]="B", WORKDAY(Main[[#This Row],[Tech Start Date]],6),IF(Main[[#This Row],[Class]]="A",WORKDAY(Main[[#This Row],[Tech Start Date]],2),""))))</f>
        <v/>
      </c>
      <c r="N1431" s="75" t="str">
        <f>IF(Main[[#This Row],[Tech Start Date]]&lt;1/1/1990,"",IF(Main[[#This Row],[Class]]="C",WORKDAY(Main[[#This Row],[Tech Start Date]],19),IF(Main[[#This Row],[Class]]="B", WORKDAY(Main[[#This Row],[Tech Start Date]],12),IF(Main[[#This Row],[Class]]="A",WORKDAY(Main[[#This Row],[Tech Start Date]],4),""))))</f>
        <v/>
      </c>
      <c r="O1431" s="75" t="str">
        <f>IF(Main[[#This Row],[Tech Start Date]]&lt;1/1/1990,"",IF(Main[[#This Row],[Class]]="C",WORKDAY(Main[[#This Row],[Tech Start Date]],23),IF(Main[[#This Row],[Class]]="B", WORKDAY(Main[[#This Row],[Tech Start Date]],15),IF(Main[[#This Row],[Class]]="A",WORKDAY(Main[[#This Row],[Tech Start Date]],5),""))))</f>
        <v/>
      </c>
      <c r="P1431" s="75" t="str">
        <f>IF(Main[[#This Row],[Tech Start Date]]&lt;1/1/1990,"",IF(Main[[#This Row],[Class]]="C",WORKDAY(Main[[#This Row],[Tech Start Date]],28),IF(Main[[#This Row],[Class]]="B", WORKDAY(Main[[#This Row],[Tech Start Date]],19),IF(Main[[#This Row],[Class]]="A",WORKDAY(Main[[#This Row],[Tech Start Date]],9),""))))</f>
        <v/>
      </c>
      <c r="Q1431" s="89">
        <v>40739</v>
      </c>
      <c r="R1431" s="121">
        <v>40861</v>
      </c>
      <c r="S1431" s="99" t="s">
        <v>17</v>
      </c>
      <c r="T1431" s="76" t="s">
        <v>4</v>
      </c>
      <c r="U1431" s="99" t="s">
        <v>29</v>
      </c>
      <c r="V1431" s="99" t="s">
        <v>1916</v>
      </c>
      <c r="W1431" s="99" t="s">
        <v>1918</v>
      </c>
      <c r="X1431" s="99" t="s">
        <v>553</v>
      </c>
      <c r="Y1431" s="73" t="s">
        <v>3145</v>
      </c>
      <c r="Z1431" s="73" t="s">
        <v>968</v>
      </c>
      <c r="AA1431" s="99" t="s">
        <v>3465</v>
      </c>
    </row>
    <row r="1432" spans="1:27" ht="17.25" customHeight="1">
      <c r="A1432" s="65" t="str">
        <f>IF(priority(Main[[#This Row],[Comments]])&lt;&gt;0, priority(Main[[#This Row],[Comments]]),"")</f>
        <v/>
      </c>
      <c r="B1432" s="60" t="s">
        <v>1881</v>
      </c>
      <c r="C1432" s="105" t="s">
        <v>4</v>
      </c>
      <c r="D1432" s="74" t="s">
        <v>934</v>
      </c>
      <c r="E1432" s="89"/>
      <c r="F1432" s="89"/>
      <c r="G1432" s="65" t="str">
        <f>IF(stdProdLT(Main[[#This Row],[Comments]])=0.1,"N/A",IF(stdProdLT(Main[[#This Row],[Comments]])=0,"",TRIM(stdProdLT(Main[[#This Row],[Comments]]))))</f>
        <v/>
      </c>
      <c r="H1432" s="98" t="str">
        <f>IF(Main[[#This Row],[Std. Prod. Lead Time]]="N/A", "",IF(AND(Main[[#This Row],[In Stock Date]]&lt;&gt;"",Main[[#This Row],[Revised Due Date]]&lt;&gt;"",Main[[#This Row],[In Stock Date]]&lt;&gt;""),Main[[#This Row],[In Stock Date]]-Main[[#This Row],[Revised Due Date]],""))</f>
        <v/>
      </c>
      <c r="I1432" s="110" t="s">
        <v>30</v>
      </c>
      <c r="J1432" s="99" t="s">
        <v>28</v>
      </c>
      <c r="K1432" s="100" t="s">
        <v>1922</v>
      </c>
      <c r="L1432" s="89">
        <v>40686</v>
      </c>
      <c r="M1432" s="75">
        <f>IF(Main[[#This Row],[Tech Start Date]]&lt;1/1/1990,"",IF(Main[[#This Row],[Class]]="C",WORKDAY(Main[[#This Row],[Tech Start Date]],9),IF(Main[[#This Row],[Class]]="B", WORKDAY(Main[[#This Row],[Tech Start Date]],6),IF(Main[[#This Row],[Class]]="A",WORKDAY(Main[[#This Row],[Tech Start Date]],2),""))))</f>
        <v>40688</v>
      </c>
      <c r="N1432" s="75">
        <f>IF(Main[[#This Row],[Tech Start Date]]&lt;1/1/1990,"",IF(Main[[#This Row],[Class]]="C",WORKDAY(Main[[#This Row],[Tech Start Date]],19),IF(Main[[#This Row],[Class]]="B", WORKDAY(Main[[#This Row],[Tech Start Date]],12),IF(Main[[#This Row],[Class]]="A",WORKDAY(Main[[#This Row],[Tech Start Date]],4),""))))</f>
        <v>40690</v>
      </c>
      <c r="O1432" s="75">
        <f>IF(Main[[#This Row],[Tech Start Date]]&lt;1/1/1990,"",IF(Main[[#This Row],[Class]]="C",WORKDAY(Main[[#This Row],[Tech Start Date]],23),IF(Main[[#This Row],[Class]]="B", WORKDAY(Main[[#This Row],[Tech Start Date]],15),IF(Main[[#This Row],[Class]]="A",WORKDAY(Main[[#This Row],[Tech Start Date]],5),""))))</f>
        <v>40693</v>
      </c>
      <c r="P1432" s="75">
        <f>IF(Main[[#This Row],[Tech Start Date]]&lt;1/1/1990,"",IF(Main[[#This Row],[Class]]="C",WORKDAY(Main[[#This Row],[Tech Start Date]],28),IF(Main[[#This Row],[Class]]="B", WORKDAY(Main[[#This Row],[Tech Start Date]],19),IF(Main[[#This Row],[Class]]="A",WORKDAY(Main[[#This Row],[Tech Start Date]],9),""))))</f>
        <v>40697</v>
      </c>
      <c r="Q1432" s="89">
        <v>40669</v>
      </c>
      <c r="R1432" s="121">
        <v>40700</v>
      </c>
      <c r="S1432" s="99" t="s">
        <v>6</v>
      </c>
      <c r="T1432" s="76" t="s">
        <v>4</v>
      </c>
      <c r="U1432" s="99" t="s">
        <v>14</v>
      </c>
      <c r="V1432" s="99" t="s">
        <v>1916</v>
      </c>
      <c r="W1432" s="99" t="s">
        <v>1915</v>
      </c>
      <c r="X1432" s="99" t="s">
        <v>2813</v>
      </c>
      <c r="Y1432" s="73" t="s">
        <v>2926</v>
      </c>
      <c r="Z1432" s="73" t="s">
        <v>530</v>
      </c>
      <c r="AA1432" s="99" t="s">
        <v>2813</v>
      </c>
    </row>
    <row r="1433" spans="1:27" ht="17.25" customHeight="1">
      <c r="A1433" s="65" t="str">
        <f>IF(priority(Main[[#This Row],[Comments]])&lt;&gt;0, priority(Main[[#This Row],[Comments]]),"")</f>
        <v/>
      </c>
      <c r="B1433" s="60" t="s">
        <v>1211</v>
      </c>
      <c r="C1433" s="105" t="s">
        <v>4</v>
      </c>
      <c r="D1433" s="74" t="s">
        <v>271</v>
      </c>
      <c r="E1433" s="89">
        <v>40683.573206018518</v>
      </c>
      <c r="F1433" s="89"/>
      <c r="G1433" s="65" t="str">
        <f>IF(stdProdLT(Main[[#This Row],[Comments]])=0.1,"N/A",IF(stdProdLT(Main[[#This Row],[Comments]])=0,"",TRIM(stdProdLT(Main[[#This Row],[Comments]]))))</f>
        <v/>
      </c>
      <c r="H1433" s="98" t="str">
        <f>IF(Main[[#This Row],[Std. Prod. Lead Time]]="N/A", "",IF(AND(Main[[#This Row],[In Stock Date]]&lt;&gt;"",Main[[#This Row],[Revised Due Date]]&lt;&gt;"",Main[[#This Row],[In Stock Date]]&lt;&gt;""),Main[[#This Row],[In Stock Date]]-Main[[#This Row],[Revised Due Date]],""))</f>
        <v/>
      </c>
      <c r="I1433" s="110" t="s">
        <v>272</v>
      </c>
      <c r="J1433" s="99" t="s">
        <v>28</v>
      </c>
      <c r="K1433" s="100" t="s">
        <v>1925</v>
      </c>
      <c r="L1433" s="89">
        <v>40687</v>
      </c>
      <c r="M1433" s="75" t="str">
        <f>IF(Main[[#This Row],[Tech Start Date]]&lt;1/1/1990,"",IF(Main[[#This Row],[Class]]="C",WORKDAY(Main[[#This Row],[Tech Start Date]],9),IF(Main[[#This Row],[Class]]="B", WORKDAY(Main[[#This Row],[Tech Start Date]],6),IF(Main[[#This Row],[Class]]="A",WORKDAY(Main[[#This Row],[Tech Start Date]],2),""))))</f>
        <v/>
      </c>
      <c r="N1433" s="75" t="str">
        <f>IF(Main[[#This Row],[Tech Start Date]]&lt;1/1/1990,"",IF(Main[[#This Row],[Class]]="C",WORKDAY(Main[[#This Row],[Tech Start Date]],19),IF(Main[[#This Row],[Class]]="B", WORKDAY(Main[[#This Row],[Tech Start Date]],12),IF(Main[[#This Row],[Class]]="A",WORKDAY(Main[[#This Row],[Tech Start Date]],4),""))))</f>
        <v/>
      </c>
      <c r="O1433" s="75" t="str">
        <f>IF(Main[[#This Row],[Tech Start Date]]&lt;1/1/1990,"",IF(Main[[#This Row],[Class]]="C",WORKDAY(Main[[#This Row],[Tech Start Date]],23),IF(Main[[#This Row],[Class]]="B", WORKDAY(Main[[#This Row],[Tech Start Date]],15),IF(Main[[#This Row],[Class]]="A",WORKDAY(Main[[#This Row],[Tech Start Date]],5),""))))</f>
        <v/>
      </c>
      <c r="P1433" s="75" t="str">
        <f>IF(Main[[#This Row],[Tech Start Date]]&lt;1/1/1990,"",IF(Main[[#This Row],[Class]]="C",WORKDAY(Main[[#This Row],[Tech Start Date]],28),IF(Main[[#This Row],[Class]]="B", WORKDAY(Main[[#This Row],[Tech Start Date]],19),IF(Main[[#This Row],[Class]]="A",WORKDAY(Main[[#This Row],[Tech Start Date]],9),""))))</f>
        <v/>
      </c>
      <c r="Q1433" s="89">
        <v>41274</v>
      </c>
      <c r="R1433" s="121">
        <v>41241</v>
      </c>
      <c r="S1433" s="99" t="s">
        <v>17</v>
      </c>
      <c r="T1433" s="76" t="s">
        <v>4</v>
      </c>
      <c r="U1433" s="99" t="s">
        <v>29</v>
      </c>
      <c r="V1433" s="99" t="s">
        <v>1916</v>
      </c>
      <c r="W1433" s="99" t="s">
        <v>1918</v>
      </c>
      <c r="X1433" s="99" t="s">
        <v>553</v>
      </c>
      <c r="Y1433" s="73" t="s">
        <v>2946</v>
      </c>
      <c r="Z1433" s="73" t="s">
        <v>968</v>
      </c>
      <c r="AA1433" s="99" t="s">
        <v>553</v>
      </c>
    </row>
    <row r="1434" spans="1:27" ht="17.25" customHeight="1">
      <c r="A1434" s="65" t="str">
        <f>IF(priority(Main[[#This Row],[Comments]])&lt;&gt;0, priority(Main[[#This Row],[Comments]]),"")</f>
        <v/>
      </c>
      <c r="B1434" s="60" t="s">
        <v>1905</v>
      </c>
      <c r="C1434" s="105" t="s">
        <v>122</v>
      </c>
      <c r="D1434" s="74" t="s">
        <v>1953</v>
      </c>
      <c r="E1434" s="89">
        <v>40703.615451388891</v>
      </c>
      <c r="F1434" s="89">
        <v>40907</v>
      </c>
      <c r="G1434" s="65" t="str">
        <f>IF(stdProdLT(Main[[#This Row],[Comments]])=0.1,"N/A",IF(stdProdLT(Main[[#This Row],[Comments]])=0,"",TRIM(stdProdLT(Main[[#This Row],[Comments]]))))</f>
        <v/>
      </c>
      <c r="H1434" s="98">
        <f>IF(Main[[#This Row],[Std. Prod. Lead Time]]="N/A", "",IF(AND(Main[[#This Row],[In Stock Date]]&lt;&gt;"",Main[[#This Row],[Revised Due Date]]&lt;&gt;"",Main[[#This Row],[In Stock Date]]&lt;&gt;""),Main[[#This Row],[In Stock Date]]-Main[[#This Row],[Revised Due Date]],""))</f>
        <v>0</v>
      </c>
      <c r="I1434" s="110" t="s">
        <v>956</v>
      </c>
      <c r="J1434" s="99" t="s">
        <v>28</v>
      </c>
      <c r="K1434" s="99" t="s">
        <v>1925</v>
      </c>
      <c r="L1434" s="89">
        <v>40703</v>
      </c>
      <c r="M1434" s="75" t="str">
        <f>IF(Main[[#This Row],[Tech Start Date]]&lt;1/1/1990,"",IF(Main[[#This Row],[Class]]="C",WORKDAY(Main[[#This Row],[Tech Start Date]],9),IF(Main[[#This Row],[Class]]="B", WORKDAY(Main[[#This Row],[Tech Start Date]],6),IF(Main[[#This Row],[Class]]="A",WORKDAY(Main[[#This Row],[Tech Start Date]],2),""))))</f>
        <v/>
      </c>
      <c r="N1434" s="75" t="str">
        <f>IF(Main[[#This Row],[Tech Start Date]]&lt;1/1/1990,"",IF(Main[[#This Row],[Class]]="C",WORKDAY(Main[[#This Row],[Tech Start Date]],19),IF(Main[[#This Row],[Class]]="B", WORKDAY(Main[[#This Row],[Tech Start Date]],12),IF(Main[[#This Row],[Class]]="A",WORKDAY(Main[[#This Row],[Tech Start Date]],4),""))))</f>
        <v/>
      </c>
      <c r="O1434" s="75" t="str">
        <f>IF(Main[[#This Row],[Tech Start Date]]&lt;1/1/1990,"",IF(Main[[#This Row],[Class]]="C",WORKDAY(Main[[#This Row],[Tech Start Date]],23),IF(Main[[#This Row],[Class]]="B", WORKDAY(Main[[#This Row],[Tech Start Date]],15),IF(Main[[#This Row],[Class]]="A",WORKDAY(Main[[#This Row],[Tech Start Date]],5),""))))</f>
        <v/>
      </c>
      <c r="P1434" s="75" t="str">
        <f>IF(Main[[#This Row],[Tech Start Date]]&lt;1/1/1990,"",IF(Main[[#This Row],[Class]]="C",WORKDAY(Main[[#This Row],[Tech Start Date]],28),IF(Main[[#This Row],[Class]]="B", WORKDAY(Main[[#This Row],[Tech Start Date]],19),IF(Main[[#This Row],[Class]]="A",WORKDAY(Main[[#This Row],[Tech Start Date]],9),""))))</f>
        <v/>
      </c>
      <c r="Q1434" s="89">
        <v>40864</v>
      </c>
      <c r="R1434" s="121">
        <v>40907</v>
      </c>
      <c r="S1434" s="99" t="s">
        <v>17</v>
      </c>
      <c r="T1434" s="76" t="s">
        <v>1954</v>
      </c>
      <c r="U1434" s="99" t="s">
        <v>29</v>
      </c>
      <c r="V1434" s="99" t="s">
        <v>1914</v>
      </c>
      <c r="W1434" s="99" t="s">
        <v>1924</v>
      </c>
      <c r="X1434" s="99" t="s">
        <v>956</v>
      </c>
      <c r="Y1434" s="73" t="s">
        <v>4</v>
      </c>
      <c r="Z1434" s="73" t="s">
        <v>4</v>
      </c>
      <c r="AA1434" s="99" t="s">
        <v>975</v>
      </c>
    </row>
    <row r="1435" spans="1:27" ht="17.25" customHeight="1">
      <c r="A1435" s="65" t="str">
        <f>IF(priority(Main[[#This Row],[Comments]])&lt;&gt;0, priority(Main[[#This Row],[Comments]]),"")</f>
        <v/>
      </c>
      <c r="B1435" s="60" t="s">
        <v>1902</v>
      </c>
      <c r="C1435" s="105" t="s">
        <v>113</v>
      </c>
      <c r="D1435" s="74" t="s">
        <v>2788</v>
      </c>
      <c r="E1435" s="89">
        <v>40709.602083333331</v>
      </c>
      <c r="F1435" s="89">
        <v>41091</v>
      </c>
      <c r="G1435" s="65" t="str">
        <f>IF(stdProdLT(Main[[#This Row],[Comments]])=0.1,"N/A",IF(stdProdLT(Main[[#This Row],[Comments]])=0,"",TRIM(stdProdLT(Main[[#This Row],[Comments]]))))</f>
        <v>126</v>
      </c>
      <c r="H1435" s="98" t="str">
        <f>IF(Main[[#This Row],[Std. Prod. Lead Time]]="N/A", "",IF(AND(Main[[#This Row],[In Stock Date]]&lt;&gt;"",Main[[#This Row],[Revised Due Date]]&lt;&gt;"",Main[[#This Row],[In Stock Date]]&lt;&gt;""),Main[[#This Row],[In Stock Date]]-Main[[#This Row],[Revised Due Date]],""))</f>
        <v/>
      </c>
      <c r="I1435" s="110" t="s">
        <v>561</v>
      </c>
      <c r="J1435" s="99" t="s">
        <v>28</v>
      </c>
      <c r="K1435" s="99" t="s">
        <v>1926</v>
      </c>
      <c r="L1435" s="89">
        <v>40709</v>
      </c>
      <c r="M1435" s="75">
        <f>IF(Main[[#This Row],[Tech Start Date]]&lt;1/1/1990,"",IF(Main[[#This Row],[Class]]="C",WORKDAY(Main[[#This Row],[Tech Start Date]],9),IF(Main[[#This Row],[Class]]="B", WORKDAY(Main[[#This Row],[Tech Start Date]],6),IF(Main[[#This Row],[Class]]="A",WORKDAY(Main[[#This Row],[Tech Start Date]],2),""))))</f>
        <v>40722</v>
      </c>
      <c r="N1435" s="75">
        <f>IF(Main[[#This Row],[Tech Start Date]]&lt;1/1/1990,"",IF(Main[[#This Row],[Class]]="C",WORKDAY(Main[[#This Row],[Tech Start Date]],19),IF(Main[[#This Row],[Class]]="B", WORKDAY(Main[[#This Row],[Tech Start Date]],12),IF(Main[[#This Row],[Class]]="A",WORKDAY(Main[[#This Row],[Tech Start Date]],4),""))))</f>
        <v>40736</v>
      </c>
      <c r="O1435" s="75">
        <f>IF(Main[[#This Row],[Tech Start Date]]&lt;1/1/1990,"",IF(Main[[#This Row],[Class]]="C",WORKDAY(Main[[#This Row],[Tech Start Date]],23),IF(Main[[#This Row],[Class]]="B", WORKDAY(Main[[#This Row],[Tech Start Date]],15),IF(Main[[#This Row],[Class]]="A",WORKDAY(Main[[#This Row],[Tech Start Date]],5),""))))</f>
        <v>40742</v>
      </c>
      <c r="P1435" s="75">
        <f>IF(Main[[#This Row],[Tech Start Date]]&lt;1/1/1990,"",IF(Main[[#This Row],[Class]]="C",WORKDAY(Main[[#This Row],[Tech Start Date]],28),IF(Main[[#This Row],[Class]]="B", WORKDAY(Main[[#This Row],[Tech Start Date]],19),IF(Main[[#This Row],[Class]]="A",WORKDAY(Main[[#This Row],[Tech Start Date]],9),""))))</f>
        <v>40749</v>
      </c>
      <c r="Q1435" s="89"/>
      <c r="R1435" s="121"/>
      <c r="S1435" s="99" t="s">
        <v>11</v>
      </c>
      <c r="T1435" s="76" t="s">
        <v>3552</v>
      </c>
      <c r="U1435" s="99" t="s">
        <v>534</v>
      </c>
      <c r="V1435" s="99" t="s">
        <v>1913</v>
      </c>
      <c r="W1435" s="99" t="s">
        <v>1924</v>
      </c>
      <c r="X1435" s="99" t="s">
        <v>2827</v>
      </c>
      <c r="Y1435" s="73" t="s">
        <v>2933</v>
      </c>
      <c r="Z1435" s="73" t="s">
        <v>129</v>
      </c>
      <c r="AA1435" s="99" t="s">
        <v>2827</v>
      </c>
    </row>
    <row r="1436" spans="1:27" ht="17.25" customHeight="1">
      <c r="A1436" s="65" t="str">
        <f>IF(priority(Main[[#This Row],[Comments]])&lt;&gt;0, priority(Main[[#This Row],[Comments]]),"")</f>
        <v/>
      </c>
      <c r="B1436" s="60" t="s">
        <v>2003</v>
      </c>
      <c r="C1436" s="105" t="s">
        <v>2004</v>
      </c>
      <c r="D1436" s="74" t="s">
        <v>2018</v>
      </c>
      <c r="E1436" s="89">
        <v>40737.577511574076</v>
      </c>
      <c r="F1436" s="89"/>
      <c r="G1436" s="65" t="str">
        <f>IF(stdProdLT(Main[[#This Row],[Comments]])=0.1,"N/A",IF(stdProdLT(Main[[#This Row],[Comments]])=0,"",TRIM(stdProdLT(Main[[#This Row],[Comments]]))))</f>
        <v/>
      </c>
      <c r="H1436" s="98" t="str">
        <f>IF(Main[[#This Row],[Std. Prod. Lead Time]]="N/A", "",IF(AND(Main[[#This Row],[In Stock Date]]&lt;&gt;"",Main[[#This Row],[Revised Due Date]]&lt;&gt;"",Main[[#This Row],[In Stock Date]]&lt;&gt;""),Main[[#This Row],[In Stock Date]]-Main[[#This Row],[Revised Due Date]],""))</f>
        <v/>
      </c>
      <c r="I1436" s="110" t="s">
        <v>4</v>
      </c>
      <c r="J1436" s="99" t="s">
        <v>28</v>
      </c>
      <c r="K1436" s="99" t="s">
        <v>1925</v>
      </c>
      <c r="L1436" s="89">
        <v>40742</v>
      </c>
      <c r="M1436" s="75" t="str">
        <f>IF(Main[[#This Row],[Tech Start Date]]&lt;1/1/1990,"",IF(Main[[#This Row],[Class]]="C",WORKDAY(Main[[#This Row],[Tech Start Date]],9),IF(Main[[#This Row],[Class]]="B", WORKDAY(Main[[#This Row],[Tech Start Date]],6),IF(Main[[#This Row],[Class]]="A",WORKDAY(Main[[#This Row],[Tech Start Date]],2),""))))</f>
        <v/>
      </c>
      <c r="N1436" s="75" t="str">
        <f>IF(Main[[#This Row],[Tech Start Date]]&lt;1/1/1990,"",IF(Main[[#This Row],[Class]]="C",WORKDAY(Main[[#This Row],[Tech Start Date]],19),IF(Main[[#This Row],[Class]]="B", WORKDAY(Main[[#This Row],[Tech Start Date]],12),IF(Main[[#This Row],[Class]]="A",WORKDAY(Main[[#This Row],[Tech Start Date]],4),""))))</f>
        <v/>
      </c>
      <c r="O1436" s="75" t="str">
        <f>IF(Main[[#This Row],[Tech Start Date]]&lt;1/1/1990,"",IF(Main[[#This Row],[Class]]="C",WORKDAY(Main[[#This Row],[Tech Start Date]],23),IF(Main[[#This Row],[Class]]="B", WORKDAY(Main[[#This Row],[Tech Start Date]],15),IF(Main[[#This Row],[Class]]="A",WORKDAY(Main[[#This Row],[Tech Start Date]],5),""))))</f>
        <v/>
      </c>
      <c r="P1436" s="75" t="str">
        <f>IF(Main[[#This Row],[Tech Start Date]]&lt;1/1/1990,"",IF(Main[[#This Row],[Class]]="C",WORKDAY(Main[[#This Row],[Tech Start Date]],28),IF(Main[[#This Row],[Class]]="B", WORKDAY(Main[[#This Row],[Tech Start Date]],19),IF(Main[[#This Row],[Class]]="A",WORKDAY(Main[[#This Row],[Tech Start Date]],9),""))))</f>
        <v/>
      </c>
      <c r="Q1436" s="89"/>
      <c r="R1436" s="121"/>
      <c r="S1436" s="99" t="s">
        <v>17</v>
      </c>
      <c r="T1436" s="76" t="s">
        <v>4</v>
      </c>
      <c r="U1436" s="99" t="s">
        <v>29</v>
      </c>
      <c r="V1436" s="99" t="s">
        <v>1913</v>
      </c>
      <c r="W1436" s="99" t="s">
        <v>1921</v>
      </c>
      <c r="X1436" s="99" t="s">
        <v>129</v>
      </c>
      <c r="Y1436" s="73" t="s">
        <v>2953</v>
      </c>
      <c r="Z1436" s="73" t="s">
        <v>129</v>
      </c>
      <c r="AA1436" s="99" t="s">
        <v>2822</v>
      </c>
    </row>
    <row r="1437" spans="1:27" ht="17.25" customHeight="1">
      <c r="A1437" s="65" t="str">
        <f>IF(priority(Main[[#This Row],[Comments]])&lt;&gt;0, priority(Main[[#This Row],[Comments]]),"")</f>
        <v/>
      </c>
      <c r="B1437" s="60" t="s">
        <v>2035</v>
      </c>
      <c r="C1437" s="105" t="s">
        <v>116</v>
      </c>
      <c r="D1437" s="74" t="s">
        <v>2244</v>
      </c>
      <c r="E1437" s="89">
        <v>40751.429224537038</v>
      </c>
      <c r="F1437" s="89"/>
      <c r="G1437" s="65" t="str">
        <f>IF(stdProdLT(Main[[#This Row],[Comments]])=0.1,"N/A",IF(stdProdLT(Main[[#This Row],[Comments]])=0,"",TRIM(stdProdLT(Main[[#This Row],[Comments]]))))</f>
        <v/>
      </c>
      <c r="H1437" s="98" t="str">
        <f>IF(Main[[#This Row],[Std. Prod. Lead Time]]="N/A", "",IF(AND(Main[[#This Row],[In Stock Date]]&lt;&gt;"",Main[[#This Row],[Revised Due Date]]&lt;&gt;"",Main[[#This Row],[In Stock Date]]&lt;&gt;""),Main[[#This Row],[In Stock Date]]-Main[[#This Row],[Revised Due Date]],""))</f>
        <v/>
      </c>
      <c r="I1437" s="110" t="s">
        <v>2039</v>
      </c>
      <c r="J1437" s="99" t="s">
        <v>28</v>
      </c>
      <c r="K1437" s="99" t="s">
        <v>1925</v>
      </c>
      <c r="L1437" s="89">
        <v>40742</v>
      </c>
      <c r="M1437" s="75" t="str">
        <f>IF(Main[[#This Row],[Tech Start Date]]&lt;1/1/1990,"",IF(Main[[#This Row],[Class]]="C",WORKDAY(Main[[#This Row],[Tech Start Date]],9),IF(Main[[#This Row],[Class]]="B", WORKDAY(Main[[#This Row],[Tech Start Date]],6),IF(Main[[#This Row],[Class]]="A",WORKDAY(Main[[#This Row],[Tech Start Date]],2),""))))</f>
        <v/>
      </c>
      <c r="N1437" s="75" t="str">
        <f>IF(Main[[#This Row],[Tech Start Date]]&lt;1/1/1990,"",IF(Main[[#This Row],[Class]]="C",WORKDAY(Main[[#This Row],[Tech Start Date]],19),IF(Main[[#This Row],[Class]]="B", WORKDAY(Main[[#This Row],[Tech Start Date]],12),IF(Main[[#This Row],[Class]]="A",WORKDAY(Main[[#This Row],[Tech Start Date]],4),""))))</f>
        <v/>
      </c>
      <c r="O1437" s="75" t="str">
        <f>IF(Main[[#This Row],[Tech Start Date]]&lt;1/1/1990,"",IF(Main[[#This Row],[Class]]="C",WORKDAY(Main[[#This Row],[Tech Start Date]],23),IF(Main[[#This Row],[Class]]="B", WORKDAY(Main[[#This Row],[Tech Start Date]],15),IF(Main[[#This Row],[Class]]="A",WORKDAY(Main[[#This Row],[Tech Start Date]],5),""))))</f>
        <v/>
      </c>
      <c r="P1437" s="75" t="str">
        <f>IF(Main[[#This Row],[Tech Start Date]]&lt;1/1/1990,"",IF(Main[[#This Row],[Class]]="C",WORKDAY(Main[[#This Row],[Tech Start Date]],28),IF(Main[[#This Row],[Class]]="B", WORKDAY(Main[[#This Row],[Tech Start Date]],19),IF(Main[[#This Row],[Class]]="A",WORKDAY(Main[[#This Row],[Tech Start Date]],9),""))))</f>
        <v/>
      </c>
      <c r="Q1437" s="89"/>
      <c r="R1437" s="121">
        <v>40868</v>
      </c>
      <c r="S1437" s="99" t="s">
        <v>17</v>
      </c>
      <c r="T1437" s="76" t="s">
        <v>4</v>
      </c>
      <c r="U1437" s="99" t="s">
        <v>29</v>
      </c>
      <c r="V1437" s="99" t="s">
        <v>1916</v>
      </c>
      <c r="W1437" s="99" t="s">
        <v>1918</v>
      </c>
      <c r="X1437" s="99" t="s">
        <v>652</v>
      </c>
      <c r="Y1437" s="73" t="s">
        <v>3120</v>
      </c>
      <c r="Z1437" s="73" t="s">
        <v>652</v>
      </c>
      <c r="AA1437" s="99" t="s">
        <v>652</v>
      </c>
    </row>
    <row r="1438" spans="1:27" ht="17.25" customHeight="1">
      <c r="A1438" s="65" t="str">
        <f>IF(priority(Main[[#This Row],[Comments]])&lt;&gt;0, priority(Main[[#This Row],[Comments]]),"")</f>
        <v/>
      </c>
      <c r="B1438" s="60" t="s">
        <v>1685</v>
      </c>
      <c r="C1438" s="105" t="s">
        <v>741</v>
      </c>
      <c r="D1438" s="74" t="s">
        <v>1968</v>
      </c>
      <c r="E1438" s="89">
        <v>40681.50267361111</v>
      </c>
      <c r="F1438" s="89"/>
      <c r="G1438" s="65" t="str">
        <f>IF(stdProdLT(Main[[#This Row],[Comments]])=0.1,"N/A",IF(stdProdLT(Main[[#This Row],[Comments]])=0,"",TRIM(stdProdLT(Main[[#This Row],[Comments]]))))</f>
        <v/>
      </c>
      <c r="H1438" s="98" t="str">
        <f>IF(Main[[#This Row],[Std. Prod. Lead Time]]="N/A", "",IF(AND(Main[[#This Row],[In Stock Date]]&lt;&gt;"",Main[[#This Row],[Revised Due Date]]&lt;&gt;"",Main[[#This Row],[In Stock Date]]&lt;&gt;""),Main[[#This Row],[In Stock Date]]-Main[[#This Row],[Revised Due Date]],""))</f>
        <v/>
      </c>
      <c r="I1438" s="110" t="s">
        <v>745</v>
      </c>
      <c r="J1438" s="99" t="s">
        <v>28</v>
      </c>
      <c r="K1438" s="99" t="s">
        <v>1925</v>
      </c>
      <c r="L1438" s="89">
        <v>40742</v>
      </c>
      <c r="M1438" s="75" t="str">
        <f>IF(Main[[#This Row],[Tech Start Date]]&lt;1/1/1990,"",IF(Main[[#This Row],[Class]]="C",WORKDAY(Main[[#This Row],[Tech Start Date]],9),IF(Main[[#This Row],[Class]]="B", WORKDAY(Main[[#This Row],[Tech Start Date]],6),IF(Main[[#This Row],[Class]]="A",WORKDAY(Main[[#This Row],[Tech Start Date]],2),""))))</f>
        <v/>
      </c>
      <c r="N1438" s="75" t="str">
        <f>IF(Main[[#This Row],[Tech Start Date]]&lt;1/1/1990,"",IF(Main[[#This Row],[Class]]="C",WORKDAY(Main[[#This Row],[Tech Start Date]],19),IF(Main[[#This Row],[Class]]="B", WORKDAY(Main[[#This Row],[Tech Start Date]],12),IF(Main[[#This Row],[Class]]="A",WORKDAY(Main[[#This Row],[Tech Start Date]],4),""))))</f>
        <v/>
      </c>
      <c r="O1438" s="75" t="str">
        <f>IF(Main[[#This Row],[Tech Start Date]]&lt;1/1/1990,"",IF(Main[[#This Row],[Class]]="C",WORKDAY(Main[[#This Row],[Tech Start Date]],23),IF(Main[[#This Row],[Class]]="B", WORKDAY(Main[[#This Row],[Tech Start Date]],15),IF(Main[[#This Row],[Class]]="A",WORKDAY(Main[[#This Row],[Tech Start Date]],5),""))))</f>
        <v/>
      </c>
      <c r="P1438" s="75" t="str">
        <f>IF(Main[[#This Row],[Tech Start Date]]&lt;1/1/1990,"",IF(Main[[#This Row],[Class]]="C",WORKDAY(Main[[#This Row],[Tech Start Date]],28),IF(Main[[#This Row],[Class]]="B", WORKDAY(Main[[#This Row],[Tech Start Date]],19),IF(Main[[#This Row],[Class]]="A",WORKDAY(Main[[#This Row],[Tech Start Date]],9),""))))</f>
        <v/>
      </c>
      <c r="Q1438" s="89">
        <v>40939</v>
      </c>
      <c r="R1438" s="121">
        <v>40879</v>
      </c>
      <c r="S1438" s="99" t="s">
        <v>17</v>
      </c>
      <c r="T1438" s="76" t="s">
        <v>4</v>
      </c>
      <c r="U1438" s="99" t="s">
        <v>29</v>
      </c>
      <c r="V1438" s="99" t="s">
        <v>1916</v>
      </c>
      <c r="W1438" s="99" t="s">
        <v>1918</v>
      </c>
      <c r="X1438" s="99" t="s">
        <v>553</v>
      </c>
      <c r="Y1438" s="73" t="s">
        <v>2946</v>
      </c>
      <c r="Z1438" s="73" t="s">
        <v>652</v>
      </c>
      <c r="AA1438" s="99" t="s">
        <v>553</v>
      </c>
    </row>
    <row r="1439" spans="1:27" ht="17.25" customHeight="1">
      <c r="A1439" s="65" t="str">
        <f>IF(priority(Main[[#This Row],[Comments]])&lt;&gt;0, priority(Main[[#This Row],[Comments]]),"")</f>
        <v/>
      </c>
      <c r="B1439" s="60" t="s">
        <v>1028</v>
      </c>
      <c r="C1439" s="105" t="s">
        <v>46</v>
      </c>
      <c r="D1439" s="74" t="s">
        <v>2133</v>
      </c>
      <c r="E1439" s="89">
        <v>40549.665949074071</v>
      </c>
      <c r="F1439" s="89">
        <v>40603</v>
      </c>
      <c r="G1439" s="65" t="str">
        <f>IF(stdProdLT(Main[[#This Row],[Comments]])=0.1,"N/A",IF(stdProdLT(Main[[#This Row],[Comments]])=0,"",TRIM(stdProdLT(Main[[#This Row],[Comments]]))))</f>
        <v/>
      </c>
      <c r="H1439" s="98" t="str">
        <f>IF(Main[[#This Row],[Std. Prod. Lead Time]]="N/A", "",IF(AND(Main[[#This Row],[In Stock Date]]&lt;&gt;"",Main[[#This Row],[Revised Due Date]]&lt;&gt;"",Main[[#This Row],[In Stock Date]]&lt;&gt;""),Main[[#This Row],[In Stock Date]]-Main[[#This Row],[Revised Due Date]],""))</f>
        <v/>
      </c>
      <c r="I1439" s="110" t="s">
        <v>171</v>
      </c>
      <c r="J1439" s="99" t="s">
        <v>70</v>
      </c>
      <c r="K1439" s="100" t="s">
        <v>1925</v>
      </c>
      <c r="L1439" s="89">
        <v>40751</v>
      </c>
      <c r="M1439" s="75" t="str">
        <f>IF(Main[[#This Row],[Tech Start Date]]&lt;1/1/1990,"",IF(Main[[#This Row],[Class]]="C",WORKDAY(Main[[#This Row],[Tech Start Date]],9),IF(Main[[#This Row],[Class]]="B", WORKDAY(Main[[#This Row],[Tech Start Date]],6),IF(Main[[#This Row],[Class]]="A",WORKDAY(Main[[#This Row],[Tech Start Date]],2),""))))</f>
        <v/>
      </c>
      <c r="N1439" s="75" t="str">
        <f>IF(Main[[#This Row],[Tech Start Date]]&lt;1/1/1990,"",IF(Main[[#This Row],[Class]]="C",WORKDAY(Main[[#This Row],[Tech Start Date]],19),IF(Main[[#This Row],[Class]]="B", WORKDAY(Main[[#This Row],[Tech Start Date]],12),IF(Main[[#This Row],[Class]]="A",WORKDAY(Main[[#This Row],[Tech Start Date]],4),""))))</f>
        <v/>
      </c>
      <c r="O1439" s="75" t="str">
        <f>IF(Main[[#This Row],[Tech Start Date]]&lt;1/1/1990,"",IF(Main[[#This Row],[Class]]="C",WORKDAY(Main[[#This Row],[Tech Start Date]],23),IF(Main[[#This Row],[Class]]="B", WORKDAY(Main[[#This Row],[Tech Start Date]],15),IF(Main[[#This Row],[Class]]="A",WORKDAY(Main[[#This Row],[Tech Start Date]],5),""))))</f>
        <v/>
      </c>
      <c r="P1439" s="75" t="str">
        <f>IF(Main[[#This Row],[Tech Start Date]]&lt;1/1/1990,"",IF(Main[[#This Row],[Class]]="C",WORKDAY(Main[[#This Row],[Tech Start Date]],28),IF(Main[[#This Row],[Class]]="B", WORKDAY(Main[[#This Row],[Tech Start Date]],19),IF(Main[[#This Row],[Class]]="A",WORKDAY(Main[[#This Row],[Tech Start Date]],9),""))))</f>
        <v/>
      </c>
      <c r="Q1439" s="89">
        <v>40603</v>
      </c>
      <c r="R1439" s="121"/>
      <c r="S1439" s="99" t="s">
        <v>17</v>
      </c>
      <c r="T1439" s="76" t="s">
        <v>4</v>
      </c>
      <c r="U1439" s="99" t="s">
        <v>29</v>
      </c>
      <c r="V1439" s="99" t="s">
        <v>1916</v>
      </c>
      <c r="W1439" s="99" t="s">
        <v>1918</v>
      </c>
      <c r="X1439" s="99" t="s">
        <v>553</v>
      </c>
      <c r="Y1439" s="73" t="s">
        <v>2946</v>
      </c>
      <c r="Z1439" s="73" t="s">
        <v>968</v>
      </c>
      <c r="AA1439" s="99" t="s">
        <v>553</v>
      </c>
    </row>
    <row r="1440" spans="1:27" ht="17.25" customHeight="1">
      <c r="A1440" s="65" t="str">
        <f>IF(priority(Main[[#This Row],[Comments]])&lt;&gt;0, priority(Main[[#This Row],[Comments]]),"")</f>
        <v/>
      </c>
      <c r="B1440" s="60" t="s">
        <v>2042</v>
      </c>
      <c r="C1440" s="105" t="s">
        <v>4</v>
      </c>
      <c r="D1440" s="74" t="s">
        <v>2050</v>
      </c>
      <c r="E1440" s="89"/>
      <c r="F1440" s="89"/>
      <c r="G1440" s="65" t="str">
        <f>IF(stdProdLT(Main[[#This Row],[Comments]])=0.1,"N/A",IF(stdProdLT(Main[[#This Row],[Comments]])=0,"",TRIM(stdProdLT(Main[[#This Row],[Comments]]))))</f>
        <v/>
      </c>
      <c r="H1440" s="98" t="str">
        <f>IF(Main[[#This Row],[Std. Prod. Lead Time]]="N/A", "",IF(AND(Main[[#This Row],[In Stock Date]]&lt;&gt;"",Main[[#This Row],[Revised Due Date]]&lt;&gt;"",Main[[#This Row],[In Stock Date]]&lt;&gt;""),Main[[#This Row],[In Stock Date]]-Main[[#This Row],[Revised Due Date]],""))</f>
        <v/>
      </c>
      <c r="I1440" s="110" t="s">
        <v>889</v>
      </c>
      <c r="J1440" s="99" t="s">
        <v>28</v>
      </c>
      <c r="K1440" s="99" t="s">
        <v>1922</v>
      </c>
      <c r="L1440" s="89">
        <v>40752</v>
      </c>
      <c r="M1440" s="75">
        <f>IF(Main[[#This Row],[Tech Start Date]]&lt;1/1/1990,"",IF(Main[[#This Row],[Class]]="C",WORKDAY(Main[[#This Row],[Tech Start Date]],9),IF(Main[[#This Row],[Class]]="B", WORKDAY(Main[[#This Row],[Tech Start Date]],6),IF(Main[[#This Row],[Class]]="A",WORKDAY(Main[[#This Row],[Tech Start Date]],2),""))))</f>
        <v>40756</v>
      </c>
      <c r="N1440" s="75">
        <f>IF(Main[[#This Row],[Tech Start Date]]&lt;1/1/1990,"",IF(Main[[#This Row],[Class]]="C",WORKDAY(Main[[#This Row],[Tech Start Date]],19),IF(Main[[#This Row],[Class]]="B", WORKDAY(Main[[#This Row],[Tech Start Date]],12),IF(Main[[#This Row],[Class]]="A",WORKDAY(Main[[#This Row],[Tech Start Date]],4),""))))</f>
        <v>40758</v>
      </c>
      <c r="O1440" s="75">
        <f>IF(Main[[#This Row],[Tech Start Date]]&lt;1/1/1990,"",IF(Main[[#This Row],[Class]]="C",WORKDAY(Main[[#This Row],[Tech Start Date]],23),IF(Main[[#This Row],[Class]]="B", WORKDAY(Main[[#This Row],[Tech Start Date]],15),IF(Main[[#This Row],[Class]]="A",WORKDAY(Main[[#This Row],[Tech Start Date]],5),""))))</f>
        <v>40759</v>
      </c>
      <c r="P1440" s="75">
        <f>IF(Main[[#This Row],[Tech Start Date]]&lt;1/1/1990,"",IF(Main[[#This Row],[Class]]="C",WORKDAY(Main[[#This Row],[Tech Start Date]],28),IF(Main[[#This Row],[Class]]="B", WORKDAY(Main[[#This Row],[Tech Start Date]],19),IF(Main[[#This Row],[Class]]="A",WORKDAY(Main[[#This Row],[Tech Start Date]],9),""))))</f>
        <v>40765</v>
      </c>
      <c r="Q1440" s="89">
        <v>40758</v>
      </c>
      <c r="R1440" s="121">
        <v>40786</v>
      </c>
      <c r="S1440" s="99" t="s">
        <v>6</v>
      </c>
      <c r="T1440" s="76" t="s">
        <v>4</v>
      </c>
      <c r="U1440" s="99" t="s">
        <v>14</v>
      </c>
      <c r="V1440" s="99" t="s">
        <v>1913</v>
      </c>
      <c r="W1440" s="99" t="s">
        <v>1917</v>
      </c>
      <c r="X1440" s="99" t="s">
        <v>877</v>
      </c>
      <c r="Y1440" s="73" t="s">
        <v>3003</v>
      </c>
      <c r="Z1440" s="73" t="s">
        <v>877</v>
      </c>
      <c r="AA1440" s="99" t="s">
        <v>877</v>
      </c>
    </row>
    <row r="1441" spans="1:27" ht="17.25" customHeight="1">
      <c r="A1441" s="65" t="str">
        <f>IF(priority(Main[[#This Row],[Comments]])&lt;&gt;0, priority(Main[[#This Row],[Comments]]),"")</f>
        <v/>
      </c>
      <c r="B1441" s="60" t="s">
        <v>1896</v>
      </c>
      <c r="C1441" s="105" t="s">
        <v>72</v>
      </c>
      <c r="D1441" s="74" t="s">
        <v>2134</v>
      </c>
      <c r="E1441" s="89">
        <v>40470.014479166668</v>
      </c>
      <c r="F1441" s="89">
        <v>40487</v>
      </c>
      <c r="G1441" s="65" t="str">
        <f>IF(stdProdLT(Main[[#This Row],[Comments]])=0.1,"N/A",IF(stdProdLT(Main[[#This Row],[Comments]])=0,"",TRIM(stdProdLT(Main[[#This Row],[Comments]]))))</f>
        <v>42</v>
      </c>
      <c r="H1441" s="98">
        <f>IF(Main[[#This Row],[Std. Prod. Lead Time]]="N/A", "",IF(AND(Main[[#This Row],[In Stock Date]]&lt;&gt;"",Main[[#This Row],[Revised Due Date]]&lt;&gt;"",Main[[#This Row],[In Stock Date]]&lt;&gt;""),Main[[#This Row],[In Stock Date]]-Main[[#This Row],[Revised Due Date]],""))</f>
        <v>-294</v>
      </c>
      <c r="I1441" s="110" t="s">
        <v>2049</v>
      </c>
      <c r="J1441" s="99" t="s">
        <v>52</v>
      </c>
      <c r="K1441" s="99" t="s">
        <v>1920</v>
      </c>
      <c r="L1441" s="89">
        <v>40756</v>
      </c>
      <c r="M1441" s="75">
        <f>IF(Main[[#This Row],[Tech Start Date]]&lt;1/1/1990,"",IF(Main[[#This Row],[Class]]="C",WORKDAY(Main[[#This Row],[Tech Start Date]],9),IF(Main[[#This Row],[Class]]="B", WORKDAY(Main[[#This Row],[Tech Start Date]],6),IF(Main[[#This Row],[Class]]="A",WORKDAY(Main[[#This Row],[Tech Start Date]],2),""))))</f>
        <v>40764</v>
      </c>
      <c r="N1441" s="75">
        <f>IF(Main[[#This Row],[Tech Start Date]]&lt;1/1/1990,"",IF(Main[[#This Row],[Class]]="C",WORKDAY(Main[[#This Row],[Tech Start Date]],19),IF(Main[[#This Row],[Class]]="B", WORKDAY(Main[[#This Row],[Tech Start Date]],12),IF(Main[[#This Row],[Class]]="A",WORKDAY(Main[[#This Row],[Tech Start Date]],4),""))))</f>
        <v>40772</v>
      </c>
      <c r="O1441" s="75">
        <f>IF(Main[[#This Row],[Tech Start Date]]&lt;1/1/1990,"",IF(Main[[#This Row],[Class]]="C",WORKDAY(Main[[#This Row],[Tech Start Date]],23),IF(Main[[#This Row],[Class]]="B", WORKDAY(Main[[#This Row],[Tech Start Date]],15),IF(Main[[#This Row],[Class]]="A",WORKDAY(Main[[#This Row],[Tech Start Date]],5),""))))</f>
        <v>40777</v>
      </c>
      <c r="P1441" s="75">
        <f>IF(Main[[#This Row],[Tech Start Date]]&lt;1/1/1990,"",IF(Main[[#This Row],[Class]]="C",WORKDAY(Main[[#This Row],[Tech Start Date]],28),IF(Main[[#This Row],[Class]]="B", WORKDAY(Main[[#This Row],[Tech Start Date]],19),IF(Main[[#This Row],[Class]]="A",WORKDAY(Main[[#This Row],[Tech Start Date]],9),""))))</f>
        <v>40781</v>
      </c>
      <c r="Q1441" s="89"/>
      <c r="R1441" s="121">
        <v>40781</v>
      </c>
      <c r="S1441" s="99" t="s">
        <v>6</v>
      </c>
      <c r="T1441" s="76" t="s">
        <v>2135</v>
      </c>
      <c r="U1441" s="99" t="s">
        <v>29</v>
      </c>
      <c r="V1441" s="99" t="s">
        <v>1914</v>
      </c>
      <c r="W1441" s="99" t="s">
        <v>1915</v>
      </c>
      <c r="X1441" s="99" t="s">
        <v>2895</v>
      </c>
      <c r="Y1441" s="73" t="s">
        <v>3073</v>
      </c>
      <c r="Z1441" s="73" t="s">
        <v>2049</v>
      </c>
      <c r="AA1441" s="99" t="s">
        <v>2895</v>
      </c>
    </row>
    <row r="1442" spans="1:27" ht="17.25" customHeight="1">
      <c r="A1442" s="65" t="str">
        <f>IF(priority(Main[[#This Row],[Comments]])&lt;&gt;0, priority(Main[[#This Row],[Comments]]),"")</f>
        <v/>
      </c>
      <c r="B1442" s="60" t="s">
        <v>1300</v>
      </c>
      <c r="C1442" s="105" t="s">
        <v>374</v>
      </c>
      <c r="D1442" s="74" t="s">
        <v>2258</v>
      </c>
      <c r="E1442" s="89">
        <v>40711.60083333333</v>
      </c>
      <c r="F1442" s="89">
        <v>40877</v>
      </c>
      <c r="G1442" s="65" t="str">
        <f>IF(stdProdLT(Main[[#This Row],[Comments]])=0.1,"N/A",IF(stdProdLT(Main[[#This Row],[Comments]])=0,"",TRIM(stdProdLT(Main[[#This Row],[Comments]]))))</f>
        <v/>
      </c>
      <c r="H1442" s="98">
        <f>IF(Main[[#This Row],[Std. Prod. Lead Time]]="N/A", "",IF(AND(Main[[#This Row],[In Stock Date]]&lt;&gt;"",Main[[#This Row],[Revised Due Date]]&lt;&gt;"",Main[[#This Row],[In Stock Date]]&lt;&gt;""),Main[[#This Row],[In Stock Date]]-Main[[#This Row],[Revised Due Date]],""))</f>
        <v>0</v>
      </c>
      <c r="I1442" s="110" t="s">
        <v>239</v>
      </c>
      <c r="J1442" s="99" t="s">
        <v>52</v>
      </c>
      <c r="K1442" s="99" t="s">
        <v>1925</v>
      </c>
      <c r="L1442" s="89">
        <v>40767</v>
      </c>
      <c r="M1442" s="75" t="str">
        <f>IF(Main[[#This Row],[Tech Start Date]]&lt;1/1/1990,"",IF(Main[[#This Row],[Class]]="C",WORKDAY(Main[[#This Row],[Tech Start Date]],9),IF(Main[[#This Row],[Class]]="B", WORKDAY(Main[[#This Row],[Tech Start Date]],6),IF(Main[[#This Row],[Class]]="A",WORKDAY(Main[[#This Row],[Tech Start Date]],2),""))))</f>
        <v/>
      </c>
      <c r="N1442" s="75" t="str">
        <f>IF(Main[[#This Row],[Tech Start Date]]&lt;1/1/1990,"",IF(Main[[#This Row],[Class]]="C",WORKDAY(Main[[#This Row],[Tech Start Date]],19),IF(Main[[#This Row],[Class]]="B", WORKDAY(Main[[#This Row],[Tech Start Date]],12),IF(Main[[#This Row],[Class]]="A",WORKDAY(Main[[#This Row],[Tech Start Date]],4),""))))</f>
        <v/>
      </c>
      <c r="O1442" s="75" t="str">
        <f>IF(Main[[#This Row],[Tech Start Date]]&lt;1/1/1990,"",IF(Main[[#This Row],[Class]]="C",WORKDAY(Main[[#This Row],[Tech Start Date]],23),IF(Main[[#This Row],[Class]]="B", WORKDAY(Main[[#This Row],[Tech Start Date]],15),IF(Main[[#This Row],[Class]]="A",WORKDAY(Main[[#This Row],[Tech Start Date]],5),""))))</f>
        <v/>
      </c>
      <c r="P1442" s="75" t="str">
        <f>IF(Main[[#This Row],[Tech Start Date]]&lt;1/1/1990,"",IF(Main[[#This Row],[Class]]="C",WORKDAY(Main[[#This Row],[Tech Start Date]],28),IF(Main[[#This Row],[Class]]="B", WORKDAY(Main[[#This Row],[Tech Start Date]],19),IF(Main[[#This Row],[Class]]="A",WORKDAY(Main[[#This Row],[Tech Start Date]],9),""))))</f>
        <v/>
      </c>
      <c r="Q1442" s="89">
        <v>40877</v>
      </c>
      <c r="R1442" s="121">
        <v>40877</v>
      </c>
      <c r="S1442" s="99" t="s">
        <v>17</v>
      </c>
      <c r="T1442" s="76" t="s">
        <v>4</v>
      </c>
      <c r="U1442" s="99" t="s">
        <v>29</v>
      </c>
      <c r="V1442" s="99" t="s">
        <v>1916</v>
      </c>
      <c r="W1442" s="99" t="s">
        <v>1921</v>
      </c>
      <c r="X1442" s="99" t="s">
        <v>553</v>
      </c>
      <c r="Y1442" s="73" t="s">
        <v>2946</v>
      </c>
      <c r="Z1442" s="73" t="s">
        <v>530</v>
      </c>
      <c r="AA1442" s="99" t="s">
        <v>553</v>
      </c>
    </row>
    <row r="1443" spans="1:27" ht="17.25" customHeight="1">
      <c r="A1443" s="65" t="str">
        <f>IF(priority(Main[[#This Row],[Comments]])&lt;&gt;0, priority(Main[[#This Row],[Comments]]),"")</f>
        <v/>
      </c>
      <c r="B1443" s="60" t="s">
        <v>2139</v>
      </c>
      <c r="C1443" s="105" t="s">
        <v>4</v>
      </c>
      <c r="D1443" s="74" t="s">
        <v>2609</v>
      </c>
      <c r="E1443" s="89">
        <v>40772.447592592594</v>
      </c>
      <c r="F1443" s="89"/>
      <c r="G1443" s="65" t="str">
        <f>IF(stdProdLT(Main[[#This Row],[Comments]])=0.1,"N/A",IF(stdProdLT(Main[[#This Row],[Comments]])=0,"",TRIM(stdProdLT(Main[[#This Row],[Comments]]))))</f>
        <v/>
      </c>
      <c r="H1443" s="98" t="str">
        <f>IF(Main[[#This Row],[Std. Prod. Lead Time]]="N/A", "",IF(AND(Main[[#This Row],[In Stock Date]]&lt;&gt;"",Main[[#This Row],[Revised Due Date]]&lt;&gt;"",Main[[#This Row],[In Stock Date]]&lt;&gt;""),Main[[#This Row],[In Stock Date]]-Main[[#This Row],[Revised Due Date]],""))</f>
        <v/>
      </c>
      <c r="I1443" s="110" t="s">
        <v>877</v>
      </c>
      <c r="J1443" s="99" t="s">
        <v>28</v>
      </c>
      <c r="K1443" s="99" t="s">
        <v>1926</v>
      </c>
      <c r="L1443" s="89">
        <v>40772</v>
      </c>
      <c r="M1443" s="75">
        <f>IF(Main[[#This Row],[Tech Start Date]]&lt;1/1/1990,"",IF(Main[[#This Row],[Class]]="C",WORKDAY(Main[[#This Row],[Tech Start Date]],9),IF(Main[[#This Row],[Class]]="B", WORKDAY(Main[[#This Row],[Tech Start Date]],6),IF(Main[[#This Row],[Class]]="A",WORKDAY(Main[[#This Row],[Tech Start Date]],2),""))))</f>
        <v>40785</v>
      </c>
      <c r="N1443" s="75">
        <f>IF(Main[[#This Row],[Tech Start Date]]&lt;1/1/1990,"",IF(Main[[#This Row],[Class]]="C",WORKDAY(Main[[#This Row],[Tech Start Date]],19),IF(Main[[#This Row],[Class]]="B", WORKDAY(Main[[#This Row],[Tech Start Date]],12),IF(Main[[#This Row],[Class]]="A",WORKDAY(Main[[#This Row],[Tech Start Date]],4),""))))</f>
        <v>40799</v>
      </c>
      <c r="O1443" s="75">
        <f>IF(Main[[#This Row],[Tech Start Date]]&lt;1/1/1990,"",IF(Main[[#This Row],[Class]]="C",WORKDAY(Main[[#This Row],[Tech Start Date]],23),IF(Main[[#This Row],[Class]]="B", WORKDAY(Main[[#This Row],[Tech Start Date]],15),IF(Main[[#This Row],[Class]]="A",WORKDAY(Main[[#This Row],[Tech Start Date]],5),""))))</f>
        <v>40805</v>
      </c>
      <c r="P1443" s="75">
        <f>IF(Main[[#This Row],[Tech Start Date]]&lt;1/1/1990,"",IF(Main[[#This Row],[Class]]="C",WORKDAY(Main[[#This Row],[Tech Start Date]],28),IF(Main[[#This Row],[Class]]="B", WORKDAY(Main[[#This Row],[Tech Start Date]],19),IF(Main[[#This Row],[Class]]="A",WORKDAY(Main[[#This Row],[Tech Start Date]],9),""))))</f>
        <v>40812</v>
      </c>
      <c r="Q1443" s="89">
        <v>40786</v>
      </c>
      <c r="R1443" s="121">
        <v>40907</v>
      </c>
      <c r="S1443" s="99" t="s">
        <v>17</v>
      </c>
      <c r="T1443" s="76" t="s">
        <v>2317</v>
      </c>
      <c r="U1443" s="99" t="s">
        <v>29</v>
      </c>
      <c r="V1443" s="99" t="s">
        <v>1913</v>
      </c>
      <c r="W1443" s="99" t="s">
        <v>1915</v>
      </c>
      <c r="X1443" s="99" t="s">
        <v>877</v>
      </c>
      <c r="Y1443" s="73" t="s">
        <v>3003</v>
      </c>
      <c r="Z1443" s="73" t="s">
        <v>129</v>
      </c>
      <c r="AA1443" s="99" t="s">
        <v>877</v>
      </c>
    </row>
    <row r="1444" spans="1:27" ht="17.25" customHeight="1">
      <c r="A1444" s="65" t="str">
        <f>IF(priority(Main[[#This Row],[Comments]])&lt;&gt;0, priority(Main[[#This Row],[Comments]]),"")</f>
        <v/>
      </c>
      <c r="B1444" s="60" t="s">
        <v>2138</v>
      </c>
      <c r="C1444" s="105" t="s">
        <v>4</v>
      </c>
      <c r="D1444" s="74" t="s">
        <v>2789</v>
      </c>
      <c r="E1444" s="89">
        <v>40772.344918981478</v>
      </c>
      <c r="F1444" s="89"/>
      <c r="G1444" s="65" t="str">
        <f>IF(stdProdLT(Main[[#This Row],[Comments]])=0.1,"N/A",IF(stdProdLT(Main[[#This Row],[Comments]])=0,"",TRIM(stdProdLT(Main[[#This Row],[Comments]]))))</f>
        <v/>
      </c>
      <c r="H1444" s="98" t="str">
        <f>IF(Main[[#This Row],[Std. Prod. Lead Time]]="N/A", "",IF(AND(Main[[#This Row],[In Stock Date]]&lt;&gt;"",Main[[#This Row],[Revised Due Date]]&lt;&gt;"",Main[[#This Row],[In Stock Date]]&lt;&gt;""),Main[[#This Row],[In Stock Date]]-Main[[#This Row],[Revised Due Date]],""))</f>
        <v/>
      </c>
      <c r="I1444" s="110" t="s">
        <v>877</v>
      </c>
      <c r="J1444" s="99" t="s">
        <v>28</v>
      </c>
      <c r="K1444" s="99" t="s">
        <v>1920</v>
      </c>
      <c r="L1444" s="89">
        <v>40772</v>
      </c>
      <c r="M1444" s="75">
        <f>IF(Main[[#This Row],[Tech Start Date]]&lt;1/1/1990,"",IF(Main[[#This Row],[Class]]="C",WORKDAY(Main[[#This Row],[Tech Start Date]],9),IF(Main[[#This Row],[Class]]="B", WORKDAY(Main[[#This Row],[Tech Start Date]],6),IF(Main[[#This Row],[Class]]="A",WORKDAY(Main[[#This Row],[Tech Start Date]],2),""))))</f>
        <v>40780</v>
      </c>
      <c r="N1444" s="75">
        <f>IF(Main[[#This Row],[Tech Start Date]]&lt;1/1/1990,"",IF(Main[[#This Row],[Class]]="C",WORKDAY(Main[[#This Row],[Tech Start Date]],19),IF(Main[[#This Row],[Class]]="B", WORKDAY(Main[[#This Row],[Tech Start Date]],12),IF(Main[[#This Row],[Class]]="A",WORKDAY(Main[[#This Row],[Tech Start Date]],4),""))))</f>
        <v>40788</v>
      </c>
      <c r="O1444" s="75">
        <f>IF(Main[[#This Row],[Tech Start Date]]&lt;1/1/1990,"",IF(Main[[#This Row],[Class]]="C",WORKDAY(Main[[#This Row],[Tech Start Date]],23),IF(Main[[#This Row],[Class]]="B", WORKDAY(Main[[#This Row],[Tech Start Date]],15),IF(Main[[#This Row],[Class]]="A",WORKDAY(Main[[#This Row],[Tech Start Date]],5),""))))</f>
        <v>40793</v>
      </c>
      <c r="P1444" s="75">
        <f>IF(Main[[#This Row],[Tech Start Date]]&lt;1/1/1990,"",IF(Main[[#This Row],[Class]]="C",WORKDAY(Main[[#This Row],[Tech Start Date]],28),IF(Main[[#This Row],[Class]]="B", WORKDAY(Main[[#This Row],[Tech Start Date]],19),IF(Main[[#This Row],[Class]]="A",WORKDAY(Main[[#This Row],[Tech Start Date]],9),""))))</f>
        <v>40799</v>
      </c>
      <c r="Q1444" s="89">
        <v>40779</v>
      </c>
      <c r="R1444" s="121">
        <v>40907</v>
      </c>
      <c r="S1444" s="99" t="s">
        <v>6</v>
      </c>
      <c r="T1444" s="76" t="s">
        <v>4</v>
      </c>
      <c r="U1444" s="99" t="s">
        <v>29</v>
      </c>
      <c r="V1444" s="99" t="s">
        <v>1913</v>
      </c>
      <c r="W1444" s="99" t="s">
        <v>1921</v>
      </c>
      <c r="X1444" s="99" t="s">
        <v>877</v>
      </c>
      <c r="Y1444" s="73" t="s">
        <v>4</v>
      </c>
      <c r="Z1444" s="73" t="s">
        <v>129</v>
      </c>
      <c r="AA1444" s="99" t="s">
        <v>3468</v>
      </c>
    </row>
    <row r="1445" spans="1:27" ht="17.25" customHeight="1">
      <c r="A1445" s="65" t="str">
        <f>IF(priority(Main[[#This Row],[Comments]])&lt;&gt;0, priority(Main[[#This Row],[Comments]]),"")</f>
        <v/>
      </c>
      <c r="B1445" s="60" t="s">
        <v>2143</v>
      </c>
      <c r="C1445" s="105" t="s">
        <v>53</v>
      </c>
      <c r="D1445" s="74" t="s">
        <v>2144</v>
      </c>
      <c r="E1445" s="89">
        <v>40774.327164351853</v>
      </c>
      <c r="F1445" s="89">
        <v>40786</v>
      </c>
      <c r="G1445" s="65" t="str">
        <f>IF(stdProdLT(Main[[#This Row],[Comments]])=0.1,"N/A",IF(stdProdLT(Main[[#This Row],[Comments]])=0,"",TRIM(stdProdLT(Main[[#This Row],[Comments]]))))</f>
        <v/>
      </c>
      <c r="H1445" s="98">
        <f>IF(Main[[#This Row],[Std. Prod. Lead Time]]="N/A", "",IF(AND(Main[[#This Row],[In Stock Date]]&lt;&gt;"",Main[[#This Row],[Revised Due Date]]&lt;&gt;"",Main[[#This Row],[In Stock Date]]&lt;&gt;""),Main[[#This Row],[In Stock Date]]-Main[[#This Row],[Revised Due Date]],""))</f>
        <v>-6</v>
      </c>
      <c r="I1445" s="110" t="s">
        <v>2049</v>
      </c>
      <c r="J1445" s="99" t="s">
        <v>52</v>
      </c>
      <c r="K1445" s="99" t="s">
        <v>1922</v>
      </c>
      <c r="L1445" s="89">
        <v>40777</v>
      </c>
      <c r="M1445" s="75">
        <f>IF(Main[[#This Row],[Tech Start Date]]&lt;1/1/1990,"",IF(Main[[#This Row],[Class]]="C",WORKDAY(Main[[#This Row],[Tech Start Date]],9),IF(Main[[#This Row],[Class]]="B", WORKDAY(Main[[#This Row],[Tech Start Date]],6),IF(Main[[#This Row],[Class]]="A",WORKDAY(Main[[#This Row],[Tech Start Date]],2),""))))</f>
        <v>40779</v>
      </c>
      <c r="N1445" s="75">
        <f>IF(Main[[#This Row],[Tech Start Date]]&lt;1/1/1990,"",IF(Main[[#This Row],[Class]]="C",WORKDAY(Main[[#This Row],[Tech Start Date]],19),IF(Main[[#This Row],[Class]]="B", WORKDAY(Main[[#This Row],[Tech Start Date]],12),IF(Main[[#This Row],[Class]]="A",WORKDAY(Main[[#This Row],[Tech Start Date]],4),""))))</f>
        <v>40781</v>
      </c>
      <c r="O1445" s="75">
        <f>IF(Main[[#This Row],[Tech Start Date]]&lt;1/1/1990,"",IF(Main[[#This Row],[Class]]="C",WORKDAY(Main[[#This Row],[Tech Start Date]],23),IF(Main[[#This Row],[Class]]="B", WORKDAY(Main[[#This Row],[Tech Start Date]],15),IF(Main[[#This Row],[Class]]="A",WORKDAY(Main[[#This Row],[Tech Start Date]],5),""))))</f>
        <v>40784</v>
      </c>
      <c r="P1445" s="75">
        <f>IF(Main[[#This Row],[Tech Start Date]]&lt;1/1/1990,"",IF(Main[[#This Row],[Class]]="C",WORKDAY(Main[[#This Row],[Tech Start Date]],28),IF(Main[[#This Row],[Class]]="B", WORKDAY(Main[[#This Row],[Tech Start Date]],19),IF(Main[[#This Row],[Class]]="A",WORKDAY(Main[[#This Row],[Tech Start Date]],9),""))))</f>
        <v>40788</v>
      </c>
      <c r="Q1445" s="89"/>
      <c r="R1445" s="121">
        <v>40792</v>
      </c>
      <c r="S1445" s="99" t="s">
        <v>6</v>
      </c>
      <c r="T1445" s="76" t="s">
        <v>4</v>
      </c>
      <c r="U1445" s="99" t="s">
        <v>29</v>
      </c>
      <c r="V1445" s="99" t="s">
        <v>1914</v>
      </c>
      <c r="W1445" s="99" t="s">
        <v>1915</v>
      </c>
      <c r="X1445" s="99" t="s">
        <v>2810</v>
      </c>
      <c r="Y1445" s="73" t="s">
        <v>2987</v>
      </c>
      <c r="Z1445" s="73" t="s">
        <v>2049</v>
      </c>
      <c r="AA1445" s="99" t="s">
        <v>2810</v>
      </c>
    </row>
    <row r="1446" spans="1:27" ht="17.25" customHeight="1">
      <c r="A1446" s="65" t="str">
        <f>IF(priority(Main[[#This Row],[Comments]])&lt;&gt;0, priority(Main[[#This Row],[Comments]]),"")</f>
        <v/>
      </c>
      <c r="B1446" s="60" t="s">
        <v>2145</v>
      </c>
      <c r="C1446" s="105" t="s">
        <v>2146</v>
      </c>
      <c r="D1446" s="74" t="s">
        <v>2147</v>
      </c>
      <c r="E1446" s="89">
        <v>40778.69290509259</v>
      </c>
      <c r="F1446" s="89"/>
      <c r="G1446" s="65" t="str">
        <f>IF(stdProdLT(Main[[#This Row],[Comments]])=0.1,"N/A",IF(stdProdLT(Main[[#This Row],[Comments]])=0,"",TRIM(stdProdLT(Main[[#This Row],[Comments]]))))</f>
        <v/>
      </c>
      <c r="H1446" s="98" t="str">
        <f>IF(Main[[#This Row],[Std. Prod. Lead Time]]="N/A", "",IF(AND(Main[[#This Row],[In Stock Date]]&lt;&gt;"",Main[[#This Row],[Revised Due Date]]&lt;&gt;"",Main[[#This Row],[In Stock Date]]&lt;&gt;""),Main[[#This Row],[In Stock Date]]-Main[[#This Row],[Revised Due Date]],""))</f>
        <v/>
      </c>
      <c r="I1446" s="110" t="s">
        <v>941</v>
      </c>
      <c r="J1446" s="99" t="s">
        <v>28</v>
      </c>
      <c r="K1446" s="99" t="s">
        <v>1920</v>
      </c>
      <c r="L1446" s="89">
        <v>40778</v>
      </c>
      <c r="M1446" s="75">
        <f>IF(Main[[#This Row],[Tech Start Date]]&lt;1/1/1990,"",IF(Main[[#This Row],[Class]]="C",WORKDAY(Main[[#This Row],[Tech Start Date]],9),IF(Main[[#This Row],[Class]]="B", WORKDAY(Main[[#This Row],[Tech Start Date]],6),IF(Main[[#This Row],[Class]]="A",WORKDAY(Main[[#This Row],[Tech Start Date]],2),""))))</f>
        <v>40786</v>
      </c>
      <c r="N1446" s="75">
        <f>IF(Main[[#This Row],[Tech Start Date]]&lt;1/1/1990,"",IF(Main[[#This Row],[Class]]="C",WORKDAY(Main[[#This Row],[Tech Start Date]],19),IF(Main[[#This Row],[Class]]="B", WORKDAY(Main[[#This Row],[Tech Start Date]],12),IF(Main[[#This Row],[Class]]="A",WORKDAY(Main[[#This Row],[Tech Start Date]],4),""))))</f>
        <v>40794</v>
      </c>
      <c r="O1446" s="75">
        <f>IF(Main[[#This Row],[Tech Start Date]]&lt;1/1/1990,"",IF(Main[[#This Row],[Class]]="C",WORKDAY(Main[[#This Row],[Tech Start Date]],23),IF(Main[[#This Row],[Class]]="B", WORKDAY(Main[[#This Row],[Tech Start Date]],15),IF(Main[[#This Row],[Class]]="A",WORKDAY(Main[[#This Row],[Tech Start Date]],5),""))))</f>
        <v>40799</v>
      </c>
      <c r="P1446" s="75">
        <f>IF(Main[[#This Row],[Tech Start Date]]&lt;1/1/1990,"",IF(Main[[#This Row],[Class]]="C",WORKDAY(Main[[#This Row],[Tech Start Date]],28),IF(Main[[#This Row],[Class]]="B", WORKDAY(Main[[#This Row],[Tech Start Date]],19),IF(Main[[#This Row],[Class]]="A",WORKDAY(Main[[#This Row],[Tech Start Date]],9),""))))</f>
        <v>40805</v>
      </c>
      <c r="Q1446" s="89"/>
      <c r="R1446" s="121">
        <v>40807</v>
      </c>
      <c r="S1446" s="99" t="s">
        <v>6</v>
      </c>
      <c r="T1446" s="76" t="s">
        <v>4</v>
      </c>
      <c r="U1446" s="99" t="s">
        <v>29</v>
      </c>
      <c r="V1446" s="99" t="s">
        <v>1914</v>
      </c>
      <c r="W1446" s="99" t="s">
        <v>1917</v>
      </c>
      <c r="X1446" s="99" t="s">
        <v>2049</v>
      </c>
      <c r="Y1446" s="73" t="s">
        <v>3147</v>
      </c>
      <c r="Z1446" s="73" t="s">
        <v>2049</v>
      </c>
      <c r="AA1446" s="99" t="s">
        <v>2049</v>
      </c>
    </row>
    <row r="1447" spans="1:27" ht="17.25" customHeight="1">
      <c r="A1447" s="65" t="str">
        <f>IF(priority(Main[[#This Row],[Comments]])&lt;&gt;0, priority(Main[[#This Row],[Comments]]),"")</f>
        <v/>
      </c>
      <c r="B1447" s="60" t="s">
        <v>2149</v>
      </c>
      <c r="C1447" s="105" t="s">
        <v>2146</v>
      </c>
      <c r="D1447" s="74" t="s">
        <v>2150</v>
      </c>
      <c r="E1447" s="89">
        <v>40778.690706018519</v>
      </c>
      <c r="F1447" s="89"/>
      <c r="G1447" s="65" t="str">
        <f>IF(stdProdLT(Main[[#This Row],[Comments]])=0.1,"N/A",IF(stdProdLT(Main[[#This Row],[Comments]])=0,"",TRIM(stdProdLT(Main[[#This Row],[Comments]]))))</f>
        <v/>
      </c>
      <c r="H1447" s="98" t="str">
        <f>IF(Main[[#This Row],[Std. Prod. Lead Time]]="N/A", "",IF(AND(Main[[#This Row],[In Stock Date]]&lt;&gt;"",Main[[#This Row],[Revised Due Date]]&lt;&gt;"",Main[[#This Row],[In Stock Date]]&lt;&gt;""),Main[[#This Row],[In Stock Date]]-Main[[#This Row],[Revised Due Date]],""))</f>
        <v/>
      </c>
      <c r="I1447" s="110" t="s">
        <v>941</v>
      </c>
      <c r="J1447" s="99" t="s">
        <v>28</v>
      </c>
      <c r="K1447" s="99" t="s">
        <v>1922</v>
      </c>
      <c r="L1447" s="89">
        <v>40778</v>
      </c>
      <c r="M1447" s="75">
        <f>IF(Main[[#This Row],[Tech Start Date]]&lt;1/1/1990,"",IF(Main[[#This Row],[Class]]="C",WORKDAY(Main[[#This Row],[Tech Start Date]],9),IF(Main[[#This Row],[Class]]="B", WORKDAY(Main[[#This Row],[Tech Start Date]],6),IF(Main[[#This Row],[Class]]="A",WORKDAY(Main[[#This Row],[Tech Start Date]],2),""))))</f>
        <v>40780</v>
      </c>
      <c r="N1447" s="75">
        <f>IF(Main[[#This Row],[Tech Start Date]]&lt;1/1/1990,"",IF(Main[[#This Row],[Class]]="C",WORKDAY(Main[[#This Row],[Tech Start Date]],19),IF(Main[[#This Row],[Class]]="B", WORKDAY(Main[[#This Row],[Tech Start Date]],12),IF(Main[[#This Row],[Class]]="A",WORKDAY(Main[[#This Row],[Tech Start Date]],4),""))))</f>
        <v>40784</v>
      </c>
      <c r="O1447" s="75">
        <f>IF(Main[[#This Row],[Tech Start Date]]&lt;1/1/1990,"",IF(Main[[#This Row],[Class]]="C",WORKDAY(Main[[#This Row],[Tech Start Date]],23),IF(Main[[#This Row],[Class]]="B", WORKDAY(Main[[#This Row],[Tech Start Date]],15),IF(Main[[#This Row],[Class]]="A",WORKDAY(Main[[#This Row],[Tech Start Date]],5),""))))</f>
        <v>40785</v>
      </c>
      <c r="P1447" s="75">
        <f>IF(Main[[#This Row],[Tech Start Date]]&lt;1/1/1990,"",IF(Main[[#This Row],[Class]]="C",WORKDAY(Main[[#This Row],[Tech Start Date]],28),IF(Main[[#This Row],[Class]]="B", WORKDAY(Main[[#This Row],[Tech Start Date]],19),IF(Main[[#This Row],[Class]]="A",WORKDAY(Main[[#This Row],[Tech Start Date]],9),""))))</f>
        <v>40791</v>
      </c>
      <c r="Q1447" s="89"/>
      <c r="R1447" s="121">
        <v>40807</v>
      </c>
      <c r="S1447" s="99" t="s">
        <v>6</v>
      </c>
      <c r="T1447" s="76" t="s">
        <v>4</v>
      </c>
      <c r="U1447" s="99" t="s">
        <v>29</v>
      </c>
      <c r="V1447" s="99" t="s">
        <v>1914</v>
      </c>
      <c r="W1447" s="99" t="s">
        <v>1915</v>
      </c>
      <c r="X1447" s="99" t="s">
        <v>2049</v>
      </c>
      <c r="Y1447" s="73" t="s">
        <v>3147</v>
      </c>
      <c r="Z1447" s="73" t="s">
        <v>2049</v>
      </c>
      <c r="AA1447" s="99" t="s">
        <v>2049</v>
      </c>
    </row>
    <row r="1448" spans="1:27" ht="17.25" customHeight="1">
      <c r="A1448" s="65" t="str">
        <f>IF(priority(Main[[#This Row],[Comments]])&lt;&gt;0, priority(Main[[#This Row],[Comments]]),"")</f>
        <v/>
      </c>
      <c r="B1448" s="60" t="s">
        <v>2205</v>
      </c>
      <c r="C1448" s="105" t="s">
        <v>2206</v>
      </c>
      <c r="D1448" s="74" t="s">
        <v>2791</v>
      </c>
      <c r="E1448" s="89"/>
      <c r="F1448" s="89">
        <v>40940</v>
      </c>
      <c r="G1448" s="65" t="str">
        <f>IF(stdProdLT(Main[[#This Row],[Comments]])=0.1,"N/A",IF(stdProdLT(Main[[#This Row],[Comments]])=0,"",TRIM(stdProdLT(Main[[#This Row],[Comments]]))))</f>
        <v>112</v>
      </c>
      <c r="H1448" s="98" t="str">
        <f>IF(Main[[#This Row],[Std. Prod. Lead Time]]="N/A", "",IF(AND(Main[[#This Row],[In Stock Date]]&lt;&gt;"",Main[[#This Row],[Revised Due Date]]&lt;&gt;"",Main[[#This Row],[In Stock Date]]&lt;&gt;""),Main[[#This Row],[In Stock Date]]-Main[[#This Row],[Revised Due Date]],""))</f>
        <v/>
      </c>
      <c r="I1448" s="110" t="s">
        <v>937</v>
      </c>
      <c r="J1448" s="99" t="s">
        <v>28</v>
      </c>
      <c r="K1448" s="99" t="s">
        <v>1920</v>
      </c>
      <c r="L1448" s="89">
        <v>40792</v>
      </c>
      <c r="M1448" s="75">
        <f>IF(Main[[#This Row],[Tech Start Date]]&lt;1/1/1990,"",IF(Main[[#This Row],[Class]]="C",WORKDAY(Main[[#This Row],[Tech Start Date]],9),IF(Main[[#This Row],[Class]]="B", WORKDAY(Main[[#This Row],[Tech Start Date]],6),IF(Main[[#This Row],[Class]]="A",WORKDAY(Main[[#This Row],[Tech Start Date]],2),""))))</f>
        <v>40800</v>
      </c>
      <c r="N1448" s="75">
        <f>IF(Main[[#This Row],[Tech Start Date]]&lt;1/1/1990,"",IF(Main[[#This Row],[Class]]="C",WORKDAY(Main[[#This Row],[Tech Start Date]],19),IF(Main[[#This Row],[Class]]="B", WORKDAY(Main[[#This Row],[Tech Start Date]],12),IF(Main[[#This Row],[Class]]="A",WORKDAY(Main[[#This Row],[Tech Start Date]],4),""))))</f>
        <v>40808</v>
      </c>
      <c r="O1448" s="75">
        <f>IF(Main[[#This Row],[Tech Start Date]]&lt;1/1/1990,"",IF(Main[[#This Row],[Class]]="C",WORKDAY(Main[[#This Row],[Tech Start Date]],23),IF(Main[[#This Row],[Class]]="B", WORKDAY(Main[[#This Row],[Tech Start Date]],15),IF(Main[[#This Row],[Class]]="A",WORKDAY(Main[[#This Row],[Tech Start Date]],5),""))))</f>
        <v>40813</v>
      </c>
      <c r="P1448" s="75">
        <f>IF(Main[[#This Row],[Tech Start Date]]&lt;1/1/1990,"",IF(Main[[#This Row],[Class]]="C",WORKDAY(Main[[#This Row],[Tech Start Date]],28),IF(Main[[#This Row],[Class]]="B", WORKDAY(Main[[#This Row],[Tech Start Date]],19),IF(Main[[#This Row],[Class]]="A",WORKDAY(Main[[#This Row],[Tech Start Date]],9),""))))</f>
        <v>40819</v>
      </c>
      <c r="Q1448" s="89">
        <v>40792</v>
      </c>
      <c r="R1448" s="121"/>
      <c r="S1448" s="99" t="s">
        <v>11</v>
      </c>
      <c r="T1448" s="76" t="s">
        <v>3303</v>
      </c>
      <c r="U1448" s="99" t="s">
        <v>14</v>
      </c>
      <c r="V1448" s="99" t="s">
        <v>1913</v>
      </c>
      <c r="W1448" s="99" t="s">
        <v>1918</v>
      </c>
      <c r="X1448" s="99" t="s">
        <v>2826</v>
      </c>
      <c r="Y1448" s="73" t="s">
        <v>2977</v>
      </c>
      <c r="Z1448" s="73" t="s">
        <v>129</v>
      </c>
      <c r="AA1448" s="99" t="s">
        <v>2843</v>
      </c>
    </row>
    <row r="1449" spans="1:27" ht="17.25" customHeight="1">
      <c r="A1449" s="65" t="str">
        <f>IF(priority(Main[[#This Row],[Comments]])&lt;&gt;0, priority(Main[[#This Row],[Comments]]),"")</f>
        <v/>
      </c>
      <c r="B1449" s="60" t="s">
        <v>2197</v>
      </c>
      <c r="C1449" s="105" t="s">
        <v>116</v>
      </c>
      <c r="D1449" s="74" t="s">
        <v>2198</v>
      </c>
      <c r="E1449" s="89">
        <v>40787.614270833335</v>
      </c>
      <c r="F1449" s="89"/>
      <c r="G1449" s="65" t="str">
        <f>IF(stdProdLT(Main[[#This Row],[Comments]])=0.1,"N/A",IF(stdProdLT(Main[[#This Row],[Comments]])=0,"",TRIM(stdProdLT(Main[[#This Row],[Comments]]))))</f>
        <v/>
      </c>
      <c r="H1449" s="98" t="str">
        <f>IF(Main[[#This Row],[Std. Prod. Lead Time]]="N/A", "",IF(AND(Main[[#This Row],[In Stock Date]]&lt;&gt;"",Main[[#This Row],[Revised Due Date]]&lt;&gt;"",Main[[#This Row],[In Stock Date]]&lt;&gt;""),Main[[#This Row],[In Stock Date]]-Main[[#This Row],[Revised Due Date]],""))</f>
        <v/>
      </c>
      <c r="I1449" s="110" t="s">
        <v>2245</v>
      </c>
      <c r="J1449" s="99" t="s">
        <v>28</v>
      </c>
      <c r="K1449" s="99" t="s">
        <v>1926</v>
      </c>
      <c r="L1449" s="89">
        <v>40798</v>
      </c>
      <c r="M1449" s="75">
        <f>IF(Main[[#This Row],[Tech Start Date]]&lt;1/1/1990,"",IF(Main[[#This Row],[Class]]="C",WORKDAY(Main[[#This Row],[Tech Start Date]],9),IF(Main[[#This Row],[Class]]="B", WORKDAY(Main[[#This Row],[Tech Start Date]],6),IF(Main[[#This Row],[Class]]="A",WORKDAY(Main[[#This Row],[Tech Start Date]],2),""))))</f>
        <v>40809</v>
      </c>
      <c r="N1449" s="75">
        <f>IF(Main[[#This Row],[Tech Start Date]]&lt;1/1/1990,"",IF(Main[[#This Row],[Class]]="C",WORKDAY(Main[[#This Row],[Tech Start Date]],19),IF(Main[[#This Row],[Class]]="B", WORKDAY(Main[[#This Row],[Tech Start Date]],12),IF(Main[[#This Row],[Class]]="A",WORKDAY(Main[[#This Row],[Tech Start Date]],4),""))))</f>
        <v>40823</v>
      </c>
      <c r="O1449" s="75">
        <f>IF(Main[[#This Row],[Tech Start Date]]&lt;1/1/1990,"",IF(Main[[#This Row],[Class]]="C",WORKDAY(Main[[#This Row],[Tech Start Date]],23),IF(Main[[#This Row],[Class]]="B", WORKDAY(Main[[#This Row],[Tech Start Date]],15),IF(Main[[#This Row],[Class]]="A",WORKDAY(Main[[#This Row],[Tech Start Date]],5),""))))</f>
        <v>40829</v>
      </c>
      <c r="P1449" s="75">
        <f>IF(Main[[#This Row],[Tech Start Date]]&lt;1/1/1990,"",IF(Main[[#This Row],[Class]]="C",WORKDAY(Main[[#This Row],[Tech Start Date]],28),IF(Main[[#This Row],[Class]]="B", WORKDAY(Main[[#This Row],[Tech Start Date]],19),IF(Main[[#This Row],[Class]]="A",WORKDAY(Main[[#This Row],[Tech Start Date]],9),""))))</f>
        <v>40836</v>
      </c>
      <c r="Q1449" s="89">
        <v>40914</v>
      </c>
      <c r="R1449" s="121">
        <v>40841</v>
      </c>
      <c r="S1449" s="99" t="s">
        <v>6</v>
      </c>
      <c r="T1449" s="76" t="s">
        <v>4</v>
      </c>
      <c r="U1449" s="99" t="s">
        <v>29</v>
      </c>
      <c r="V1449" s="99" t="s">
        <v>1914</v>
      </c>
      <c r="W1449" s="99" t="s">
        <v>1915</v>
      </c>
      <c r="X1449" s="99" t="s">
        <v>2049</v>
      </c>
      <c r="Y1449" s="73" t="s">
        <v>3147</v>
      </c>
      <c r="Z1449" s="73" t="s">
        <v>2049</v>
      </c>
      <c r="AA1449" s="99" t="s">
        <v>2049</v>
      </c>
    </row>
    <row r="1450" spans="1:27" ht="17.25" customHeight="1">
      <c r="A1450" s="65" t="str">
        <f>IF(priority(Main[[#This Row],[Comments]])&lt;&gt;0, priority(Main[[#This Row],[Comments]]),"")</f>
        <v/>
      </c>
      <c r="B1450" s="60" t="s">
        <v>2174</v>
      </c>
      <c r="C1450" s="105" t="s">
        <v>4</v>
      </c>
      <c r="D1450" s="74" t="s">
        <v>2175</v>
      </c>
      <c r="E1450" s="89">
        <v>40787.619050925925</v>
      </c>
      <c r="F1450" s="89"/>
      <c r="G1450" s="65" t="str">
        <f>IF(stdProdLT(Main[[#This Row],[Comments]])=0.1,"N/A",IF(stdProdLT(Main[[#This Row],[Comments]])=0,"",TRIM(stdProdLT(Main[[#This Row],[Comments]]))))</f>
        <v/>
      </c>
      <c r="H1450" s="98" t="str">
        <f>IF(Main[[#This Row],[Std. Prod. Lead Time]]="N/A", "",IF(AND(Main[[#This Row],[In Stock Date]]&lt;&gt;"",Main[[#This Row],[Revised Due Date]]&lt;&gt;"",Main[[#This Row],[In Stock Date]]&lt;&gt;""),Main[[#This Row],[In Stock Date]]-Main[[#This Row],[Revised Due Date]],""))</f>
        <v/>
      </c>
      <c r="I1450" s="110" t="s">
        <v>940</v>
      </c>
      <c r="J1450" s="99" t="s">
        <v>28</v>
      </c>
      <c r="K1450" s="99" t="s">
        <v>1926</v>
      </c>
      <c r="L1450" s="89">
        <v>40798</v>
      </c>
      <c r="M1450" s="75">
        <f>IF(Main[[#This Row],[Tech Start Date]]&lt;1/1/1990,"",IF(Main[[#This Row],[Class]]="C",WORKDAY(Main[[#This Row],[Tech Start Date]],9),IF(Main[[#This Row],[Class]]="B", WORKDAY(Main[[#This Row],[Tech Start Date]],6),IF(Main[[#This Row],[Class]]="A",WORKDAY(Main[[#This Row],[Tech Start Date]],2),""))))</f>
        <v>40809</v>
      </c>
      <c r="N1450" s="75">
        <f>IF(Main[[#This Row],[Tech Start Date]]&lt;1/1/1990,"",IF(Main[[#This Row],[Class]]="C",WORKDAY(Main[[#This Row],[Tech Start Date]],19),IF(Main[[#This Row],[Class]]="B", WORKDAY(Main[[#This Row],[Tech Start Date]],12),IF(Main[[#This Row],[Class]]="A",WORKDAY(Main[[#This Row],[Tech Start Date]],4),""))))</f>
        <v>40823</v>
      </c>
      <c r="O1450" s="75">
        <f>IF(Main[[#This Row],[Tech Start Date]]&lt;1/1/1990,"",IF(Main[[#This Row],[Class]]="C",WORKDAY(Main[[#This Row],[Tech Start Date]],23),IF(Main[[#This Row],[Class]]="B", WORKDAY(Main[[#This Row],[Tech Start Date]],15),IF(Main[[#This Row],[Class]]="A",WORKDAY(Main[[#This Row],[Tech Start Date]],5),""))))</f>
        <v>40829</v>
      </c>
      <c r="P1450" s="75">
        <f>IF(Main[[#This Row],[Tech Start Date]]&lt;1/1/1990,"",IF(Main[[#This Row],[Class]]="C",WORKDAY(Main[[#This Row],[Tech Start Date]],28),IF(Main[[#This Row],[Class]]="B", WORKDAY(Main[[#This Row],[Tech Start Date]],19),IF(Main[[#This Row],[Class]]="A",WORKDAY(Main[[#This Row],[Tech Start Date]],9),""))))</f>
        <v>40836</v>
      </c>
      <c r="Q1450" s="89">
        <v>40914</v>
      </c>
      <c r="R1450" s="121">
        <v>40841</v>
      </c>
      <c r="S1450" s="99" t="s">
        <v>6</v>
      </c>
      <c r="T1450" s="76" t="s">
        <v>4</v>
      </c>
      <c r="U1450" s="99" t="s">
        <v>29</v>
      </c>
      <c r="V1450" s="99" t="s">
        <v>1914</v>
      </c>
      <c r="W1450" s="99" t="s">
        <v>1915</v>
      </c>
      <c r="X1450" s="99" t="s">
        <v>2049</v>
      </c>
      <c r="Y1450" s="73" t="s">
        <v>3147</v>
      </c>
      <c r="Z1450" s="73" t="s">
        <v>2049</v>
      </c>
      <c r="AA1450" s="99" t="s">
        <v>2049</v>
      </c>
    </row>
    <row r="1451" spans="1:27" ht="17.25" customHeight="1">
      <c r="A1451" s="65" t="str">
        <f>IF(priority(Main[[#This Row],[Comments]])&lt;&gt;0, priority(Main[[#This Row],[Comments]]),"")</f>
        <v/>
      </c>
      <c r="B1451" s="60" t="s">
        <v>2225</v>
      </c>
      <c r="C1451" s="105" t="s">
        <v>2226</v>
      </c>
      <c r="D1451" s="74" t="s">
        <v>2227</v>
      </c>
      <c r="E1451" s="89"/>
      <c r="F1451" s="89">
        <v>40814</v>
      </c>
      <c r="G1451" s="65" t="str">
        <f>IF(stdProdLT(Main[[#This Row],[Comments]])=0.1,"N/A",IF(stdProdLT(Main[[#This Row],[Comments]])=0,"",TRIM(stdProdLT(Main[[#This Row],[Comments]]))))</f>
        <v>112</v>
      </c>
      <c r="H1451" s="98">
        <f>IF(Main[[#This Row],[Std. Prod. Lead Time]]="N/A", "",IF(AND(Main[[#This Row],[In Stock Date]]&lt;&gt;"",Main[[#This Row],[Revised Due Date]]&lt;&gt;"",Main[[#This Row],[In Stock Date]]&lt;&gt;""),Main[[#This Row],[In Stock Date]]-Main[[#This Row],[Revised Due Date]],""))</f>
        <v>-6</v>
      </c>
      <c r="I1451" s="110" t="s">
        <v>2040</v>
      </c>
      <c r="J1451" s="99" t="s">
        <v>28</v>
      </c>
      <c r="K1451" s="100" t="s">
        <v>1922</v>
      </c>
      <c r="L1451" s="89">
        <v>40805</v>
      </c>
      <c r="M1451" s="75">
        <f>IF(Main[[#This Row],[Tech Start Date]]&lt;1/1/1990,"",IF(Main[[#This Row],[Class]]="C",WORKDAY(Main[[#This Row],[Tech Start Date]],9),IF(Main[[#This Row],[Class]]="B", WORKDAY(Main[[#This Row],[Tech Start Date]],6),IF(Main[[#This Row],[Class]]="A",WORKDAY(Main[[#This Row],[Tech Start Date]],2),""))))</f>
        <v>40807</v>
      </c>
      <c r="N1451" s="75">
        <f>IF(Main[[#This Row],[Tech Start Date]]&lt;1/1/1990,"",IF(Main[[#This Row],[Class]]="C",WORKDAY(Main[[#This Row],[Tech Start Date]],19),IF(Main[[#This Row],[Class]]="B", WORKDAY(Main[[#This Row],[Tech Start Date]],12),IF(Main[[#This Row],[Class]]="A",WORKDAY(Main[[#This Row],[Tech Start Date]],4),""))))</f>
        <v>40809</v>
      </c>
      <c r="O1451" s="75">
        <f>IF(Main[[#This Row],[Tech Start Date]]&lt;1/1/1990,"",IF(Main[[#This Row],[Class]]="C",WORKDAY(Main[[#This Row],[Tech Start Date]],23),IF(Main[[#This Row],[Class]]="B", WORKDAY(Main[[#This Row],[Tech Start Date]],15),IF(Main[[#This Row],[Class]]="A",WORKDAY(Main[[#This Row],[Tech Start Date]],5),""))))</f>
        <v>40812</v>
      </c>
      <c r="P1451" s="75">
        <f>IF(Main[[#This Row],[Tech Start Date]]&lt;1/1/1990,"",IF(Main[[#This Row],[Class]]="C",WORKDAY(Main[[#This Row],[Tech Start Date]],28),IF(Main[[#This Row],[Class]]="B", WORKDAY(Main[[#This Row],[Tech Start Date]],19),IF(Main[[#This Row],[Class]]="A",WORKDAY(Main[[#This Row],[Tech Start Date]],9),""))))</f>
        <v>40816</v>
      </c>
      <c r="Q1451" s="89">
        <v>40819</v>
      </c>
      <c r="R1451" s="121">
        <v>40820</v>
      </c>
      <c r="S1451" s="99" t="s">
        <v>11</v>
      </c>
      <c r="T1451" s="76" t="s">
        <v>2259</v>
      </c>
      <c r="U1451" s="99" t="s">
        <v>14</v>
      </c>
      <c r="V1451" s="99" t="s">
        <v>1916</v>
      </c>
      <c r="W1451" s="99" t="s">
        <v>1921</v>
      </c>
      <c r="X1451" s="99" t="s">
        <v>2916</v>
      </c>
      <c r="Y1451" s="73" t="s">
        <v>4</v>
      </c>
      <c r="Z1451" s="73" t="s">
        <v>2040</v>
      </c>
      <c r="AA1451" s="99" t="s">
        <v>2916</v>
      </c>
    </row>
    <row r="1452" spans="1:27" ht="17.25" customHeight="1">
      <c r="A1452" s="65" t="str">
        <f>IF(priority(Main[[#This Row],[Comments]])&lt;&gt;0, priority(Main[[#This Row],[Comments]]),"")</f>
        <v/>
      </c>
      <c r="B1452" s="60" t="s">
        <v>2072</v>
      </c>
      <c r="C1452" s="105" t="s">
        <v>33</v>
      </c>
      <c r="D1452" s="74" t="s">
        <v>3769</v>
      </c>
      <c r="E1452" s="89">
        <v>40776.124837962961</v>
      </c>
      <c r="F1452" s="89">
        <v>41007</v>
      </c>
      <c r="G1452" s="65" t="str">
        <f>IF(stdProdLT(Main[[#This Row],[Comments]])=0.1,"N/A",IF(stdProdLT(Main[[#This Row],[Comments]])=0,"",TRIM(stdProdLT(Main[[#This Row],[Comments]]))))</f>
        <v>112</v>
      </c>
      <c r="H1452" s="98" t="str">
        <f>IF(Main[[#This Row],[Std. Prod. Lead Time]]="N/A", "",IF(AND(Main[[#This Row],[In Stock Date]]&lt;&gt;"",Main[[#This Row],[Revised Due Date]]&lt;&gt;"",Main[[#This Row],[In Stock Date]]&lt;&gt;""),Main[[#This Row],[In Stock Date]]-Main[[#This Row],[Revised Due Date]],""))</f>
        <v/>
      </c>
      <c r="I1452" s="110" t="s">
        <v>912</v>
      </c>
      <c r="J1452" s="99" t="s">
        <v>52</v>
      </c>
      <c r="K1452" s="99" t="s">
        <v>1926</v>
      </c>
      <c r="L1452" s="89">
        <v>40805</v>
      </c>
      <c r="M1452" s="75">
        <f>IF(Main[[#This Row],[Tech Start Date]]&lt;1/1/1990,"",IF(Main[[#This Row],[Class]]="C",WORKDAY(Main[[#This Row],[Tech Start Date]],9),IF(Main[[#This Row],[Class]]="B", WORKDAY(Main[[#This Row],[Tech Start Date]],6),IF(Main[[#This Row],[Class]]="A",WORKDAY(Main[[#This Row],[Tech Start Date]],2),""))))</f>
        <v>40816</v>
      </c>
      <c r="N1452" s="75">
        <f>IF(Main[[#This Row],[Tech Start Date]]&lt;1/1/1990,"",IF(Main[[#This Row],[Class]]="C",WORKDAY(Main[[#This Row],[Tech Start Date]],19),IF(Main[[#This Row],[Class]]="B", WORKDAY(Main[[#This Row],[Tech Start Date]],12),IF(Main[[#This Row],[Class]]="A",WORKDAY(Main[[#This Row],[Tech Start Date]],4),""))))</f>
        <v>40830</v>
      </c>
      <c r="O1452" s="75">
        <f>IF(Main[[#This Row],[Tech Start Date]]&lt;1/1/1990,"",IF(Main[[#This Row],[Class]]="C",WORKDAY(Main[[#This Row],[Tech Start Date]],23),IF(Main[[#This Row],[Class]]="B", WORKDAY(Main[[#This Row],[Tech Start Date]],15),IF(Main[[#This Row],[Class]]="A",WORKDAY(Main[[#This Row],[Tech Start Date]],5),""))))</f>
        <v>40836</v>
      </c>
      <c r="P1452" s="75">
        <f>IF(Main[[#This Row],[Tech Start Date]]&lt;1/1/1990,"",IF(Main[[#This Row],[Class]]="C",WORKDAY(Main[[#This Row],[Tech Start Date]],28),IF(Main[[#This Row],[Class]]="B", WORKDAY(Main[[#This Row],[Tech Start Date]],19),IF(Main[[#This Row],[Class]]="A",WORKDAY(Main[[#This Row],[Tech Start Date]],9),""))))</f>
        <v>40843</v>
      </c>
      <c r="Q1452" s="89">
        <v>40811</v>
      </c>
      <c r="R1452" s="121"/>
      <c r="S1452" s="99" t="s">
        <v>11</v>
      </c>
      <c r="T1452" s="76" t="s">
        <v>3770</v>
      </c>
      <c r="U1452" s="99" t="s">
        <v>534</v>
      </c>
      <c r="V1452" s="99" t="s">
        <v>1913</v>
      </c>
      <c r="W1452" s="99" t="s">
        <v>1918</v>
      </c>
      <c r="X1452" s="99" t="s">
        <v>2820</v>
      </c>
      <c r="Y1452" s="73" t="s">
        <v>2940</v>
      </c>
      <c r="Z1452" s="73" t="s">
        <v>129</v>
      </c>
      <c r="AA1452" s="99" t="s">
        <v>2820</v>
      </c>
    </row>
    <row r="1453" spans="1:27" ht="17.25" customHeight="1">
      <c r="A1453" s="65" t="str">
        <f>IF(priority(Main[[#This Row],[Comments]])&lt;&gt;0, priority(Main[[#This Row],[Comments]]),"")</f>
        <v/>
      </c>
      <c r="B1453" s="60" t="s">
        <v>2092</v>
      </c>
      <c r="C1453" s="105" t="s">
        <v>4</v>
      </c>
      <c r="D1453" s="74" t="s">
        <v>2792</v>
      </c>
      <c r="E1453" s="89">
        <v>40760.556030092594</v>
      </c>
      <c r="F1453" s="89"/>
      <c r="G1453" s="65" t="str">
        <f>IF(stdProdLT(Main[[#This Row],[Comments]])=0.1,"N/A",IF(stdProdLT(Main[[#This Row],[Comments]])=0,"",TRIM(stdProdLT(Main[[#This Row],[Comments]]))))</f>
        <v/>
      </c>
      <c r="H1453" s="98" t="str">
        <f>IF(Main[[#This Row],[Std. Prod. Lead Time]]="N/A", "",IF(AND(Main[[#This Row],[In Stock Date]]&lt;&gt;"",Main[[#This Row],[Revised Due Date]]&lt;&gt;"",Main[[#This Row],[In Stock Date]]&lt;&gt;""),Main[[#This Row],[In Stock Date]]-Main[[#This Row],[Revised Due Date]],""))</f>
        <v/>
      </c>
      <c r="I1453" s="110" t="s">
        <v>889</v>
      </c>
      <c r="J1453" s="99" t="s">
        <v>4</v>
      </c>
      <c r="K1453" s="99" t="s">
        <v>1925</v>
      </c>
      <c r="L1453" s="89">
        <v>40805</v>
      </c>
      <c r="M1453" s="75" t="str">
        <f>IF(Main[[#This Row],[Tech Start Date]]&lt;1/1/1990,"",IF(Main[[#This Row],[Class]]="C",WORKDAY(Main[[#This Row],[Tech Start Date]],9),IF(Main[[#This Row],[Class]]="B", WORKDAY(Main[[#This Row],[Tech Start Date]],6),IF(Main[[#This Row],[Class]]="A",WORKDAY(Main[[#This Row],[Tech Start Date]],2),""))))</f>
        <v/>
      </c>
      <c r="N1453" s="75" t="str">
        <f>IF(Main[[#This Row],[Tech Start Date]]&lt;1/1/1990,"",IF(Main[[#This Row],[Class]]="C",WORKDAY(Main[[#This Row],[Tech Start Date]],19),IF(Main[[#This Row],[Class]]="B", WORKDAY(Main[[#This Row],[Tech Start Date]],12),IF(Main[[#This Row],[Class]]="A",WORKDAY(Main[[#This Row],[Tech Start Date]],4),""))))</f>
        <v/>
      </c>
      <c r="O1453" s="75" t="str">
        <f>IF(Main[[#This Row],[Tech Start Date]]&lt;1/1/1990,"",IF(Main[[#This Row],[Class]]="C",WORKDAY(Main[[#This Row],[Tech Start Date]],23),IF(Main[[#This Row],[Class]]="B", WORKDAY(Main[[#This Row],[Tech Start Date]],15),IF(Main[[#This Row],[Class]]="A",WORKDAY(Main[[#This Row],[Tech Start Date]],5),""))))</f>
        <v/>
      </c>
      <c r="P1453" s="75" t="str">
        <f>IF(Main[[#This Row],[Tech Start Date]]&lt;1/1/1990,"",IF(Main[[#This Row],[Class]]="C",WORKDAY(Main[[#This Row],[Tech Start Date]],28),IF(Main[[#This Row],[Class]]="B", WORKDAY(Main[[#This Row],[Tech Start Date]],19),IF(Main[[#This Row],[Class]]="A",WORKDAY(Main[[#This Row],[Tech Start Date]],9),""))))</f>
        <v/>
      </c>
      <c r="Q1453" s="89"/>
      <c r="R1453" s="121">
        <v>41075</v>
      </c>
      <c r="S1453" s="99" t="s">
        <v>6</v>
      </c>
      <c r="T1453" s="76" t="s">
        <v>4</v>
      </c>
      <c r="U1453" s="99" t="s">
        <v>29</v>
      </c>
      <c r="V1453" s="99" t="s">
        <v>1913</v>
      </c>
      <c r="W1453" s="99" t="s">
        <v>1917</v>
      </c>
      <c r="X1453" s="99" t="s">
        <v>306</v>
      </c>
      <c r="Y1453" s="73" t="s">
        <v>4</v>
      </c>
      <c r="Z1453" s="73" t="s">
        <v>877</v>
      </c>
      <c r="AA1453" s="99" t="s">
        <v>4</v>
      </c>
    </row>
    <row r="1454" spans="1:27" ht="17.25" customHeight="1">
      <c r="A1454" s="65" t="str">
        <f>IF(priority(Main[[#This Row],[Comments]])&lt;&gt;0, priority(Main[[#This Row],[Comments]]),"")</f>
        <v/>
      </c>
      <c r="B1454" s="60" t="s">
        <v>2610</v>
      </c>
      <c r="C1454" s="105" t="s">
        <v>518</v>
      </c>
      <c r="D1454" s="74" t="s">
        <v>2611</v>
      </c>
      <c r="E1454" s="89"/>
      <c r="F1454" s="89">
        <v>40854</v>
      </c>
      <c r="G1454" s="65" t="str">
        <f>IF(stdProdLT(Main[[#This Row],[Comments]])=0.1,"N/A",IF(stdProdLT(Main[[#This Row],[Comments]])=0,"",TRIM(stdProdLT(Main[[#This Row],[Comments]]))))</f>
        <v>98</v>
      </c>
      <c r="H1454" s="98">
        <f>IF(Main[[#This Row],[Std. Prod. Lead Time]]="N/A", "",IF(AND(Main[[#This Row],[In Stock Date]]&lt;&gt;"",Main[[#This Row],[Revised Due Date]]&lt;&gt;"",Main[[#This Row],[In Stock Date]]&lt;&gt;""),Main[[#This Row],[In Stock Date]]-Main[[#This Row],[Revised Due Date]],""))</f>
        <v>18</v>
      </c>
      <c r="I1454" s="110" t="s">
        <v>2040</v>
      </c>
      <c r="J1454" s="99" t="s">
        <v>28</v>
      </c>
      <c r="K1454" s="99" t="s">
        <v>1922</v>
      </c>
      <c r="L1454" s="89">
        <v>40821</v>
      </c>
      <c r="M1454" s="75">
        <f>IF(Main[[#This Row],[Tech Start Date]]&lt;1/1/1990,"",IF(Main[[#This Row],[Class]]="C",WORKDAY(Main[[#This Row],[Tech Start Date]],9),IF(Main[[#This Row],[Class]]="B", WORKDAY(Main[[#This Row],[Tech Start Date]],6),IF(Main[[#This Row],[Class]]="A",WORKDAY(Main[[#This Row],[Tech Start Date]],2),""))))</f>
        <v>40823</v>
      </c>
      <c r="N1454" s="75">
        <f>IF(Main[[#This Row],[Tech Start Date]]&lt;1/1/1990,"",IF(Main[[#This Row],[Class]]="C",WORKDAY(Main[[#This Row],[Tech Start Date]],19),IF(Main[[#This Row],[Class]]="B", WORKDAY(Main[[#This Row],[Tech Start Date]],12),IF(Main[[#This Row],[Class]]="A",WORKDAY(Main[[#This Row],[Tech Start Date]],4),""))))</f>
        <v>40827</v>
      </c>
      <c r="O1454" s="75">
        <f>IF(Main[[#This Row],[Tech Start Date]]&lt;1/1/1990,"",IF(Main[[#This Row],[Class]]="C",WORKDAY(Main[[#This Row],[Tech Start Date]],23),IF(Main[[#This Row],[Class]]="B", WORKDAY(Main[[#This Row],[Tech Start Date]],15),IF(Main[[#This Row],[Class]]="A",WORKDAY(Main[[#This Row],[Tech Start Date]],5),""))))</f>
        <v>40828</v>
      </c>
      <c r="P1454" s="75">
        <f>IF(Main[[#This Row],[Tech Start Date]]&lt;1/1/1990,"",IF(Main[[#This Row],[Class]]="C",WORKDAY(Main[[#This Row],[Tech Start Date]],28),IF(Main[[#This Row],[Class]]="B", WORKDAY(Main[[#This Row],[Tech Start Date]],19),IF(Main[[#This Row],[Class]]="A",WORKDAY(Main[[#This Row],[Tech Start Date]],9),""))))</f>
        <v>40834</v>
      </c>
      <c r="Q1454" s="89"/>
      <c r="R1454" s="121">
        <v>40836</v>
      </c>
      <c r="S1454" s="99" t="s">
        <v>11</v>
      </c>
      <c r="T1454" s="76" t="s">
        <v>2612</v>
      </c>
      <c r="U1454" s="99" t="s">
        <v>14</v>
      </c>
      <c r="V1454" s="99" t="s">
        <v>1916</v>
      </c>
      <c r="W1454" s="99" t="s">
        <v>1921</v>
      </c>
      <c r="X1454" s="99" t="s">
        <v>50</v>
      </c>
      <c r="Y1454" s="73" t="s">
        <v>3149</v>
      </c>
      <c r="Z1454" s="73" t="s">
        <v>530</v>
      </c>
      <c r="AA1454" s="99" t="s">
        <v>3469</v>
      </c>
    </row>
    <row r="1455" spans="1:27" ht="17.25" customHeight="1">
      <c r="A1455" s="65" t="str">
        <f>IF(priority(Main[[#This Row],[Comments]])&lt;&gt;0, priority(Main[[#This Row],[Comments]]),"")</f>
        <v/>
      </c>
      <c r="B1455" s="60" t="s">
        <v>2613</v>
      </c>
      <c r="C1455" s="105" t="s">
        <v>116</v>
      </c>
      <c r="D1455" s="74" t="s">
        <v>2614</v>
      </c>
      <c r="E1455" s="89">
        <v>40823.419490740744</v>
      </c>
      <c r="F1455" s="89"/>
      <c r="G1455" s="65" t="str">
        <f>IF(stdProdLT(Main[[#This Row],[Comments]])=0.1,"N/A",IF(stdProdLT(Main[[#This Row],[Comments]])=0,"",TRIM(stdProdLT(Main[[#This Row],[Comments]]))))</f>
        <v/>
      </c>
      <c r="H1455" s="98" t="str">
        <f>IF(Main[[#This Row],[Std. Prod. Lead Time]]="N/A", "",IF(AND(Main[[#This Row],[In Stock Date]]&lt;&gt;"",Main[[#This Row],[Revised Due Date]]&lt;&gt;"",Main[[#This Row],[In Stock Date]]&lt;&gt;""),Main[[#This Row],[In Stock Date]]-Main[[#This Row],[Revised Due Date]],""))</f>
        <v/>
      </c>
      <c r="I1455" s="110" t="s">
        <v>239</v>
      </c>
      <c r="J1455" s="99" t="s">
        <v>21</v>
      </c>
      <c r="K1455" s="99" t="s">
        <v>1920</v>
      </c>
      <c r="L1455" s="89">
        <v>40823</v>
      </c>
      <c r="M1455" s="75">
        <f>IF(Main[[#This Row],[Tech Start Date]]&lt;1/1/1990,"",IF(Main[[#This Row],[Class]]="C",WORKDAY(Main[[#This Row],[Tech Start Date]],9),IF(Main[[#This Row],[Class]]="B", WORKDAY(Main[[#This Row],[Tech Start Date]],6),IF(Main[[#This Row],[Class]]="A",WORKDAY(Main[[#This Row],[Tech Start Date]],2),""))))</f>
        <v>40833</v>
      </c>
      <c r="N1455" s="75">
        <f>IF(Main[[#This Row],[Tech Start Date]]&lt;1/1/1990,"",IF(Main[[#This Row],[Class]]="C",WORKDAY(Main[[#This Row],[Tech Start Date]],19),IF(Main[[#This Row],[Class]]="B", WORKDAY(Main[[#This Row],[Tech Start Date]],12),IF(Main[[#This Row],[Class]]="A",WORKDAY(Main[[#This Row],[Tech Start Date]],4),""))))</f>
        <v>40841</v>
      </c>
      <c r="O1455" s="75">
        <f>IF(Main[[#This Row],[Tech Start Date]]&lt;1/1/1990,"",IF(Main[[#This Row],[Class]]="C",WORKDAY(Main[[#This Row],[Tech Start Date]],23),IF(Main[[#This Row],[Class]]="B", WORKDAY(Main[[#This Row],[Tech Start Date]],15),IF(Main[[#This Row],[Class]]="A",WORKDAY(Main[[#This Row],[Tech Start Date]],5),""))))</f>
        <v>40844</v>
      </c>
      <c r="P1455" s="75">
        <f>IF(Main[[#This Row],[Tech Start Date]]&lt;1/1/1990,"",IF(Main[[#This Row],[Class]]="C",WORKDAY(Main[[#This Row],[Tech Start Date]],28),IF(Main[[#This Row],[Class]]="B", WORKDAY(Main[[#This Row],[Tech Start Date]],19),IF(Main[[#This Row],[Class]]="A",WORKDAY(Main[[#This Row],[Tech Start Date]],9),""))))</f>
        <v>40850</v>
      </c>
      <c r="Q1455" s="89"/>
      <c r="R1455" s="121">
        <v>40837</v>
      </c>
      <c r="S1455" s="99" t="s">
        <v>6</v>
      </c>
      <c r="T1455" s="76" t="s">
        <v>4</v>
      </c>
      <c r="U1455" s="99" t="s">
        <v>29</v>
      </c>
      <c r="V1455" s="99" t="s">
        <v>1916</v>
      </c>
      <c r="W1455" s="99" t="s">
        <v>1917</v>
      </c>
      <c r="X1455" s="99" t="s">
        <v>2040</v>
      </c>
      <c r="Y1455" s="73" t="s">
        <v>3150</v>
      </c>
      <c r="Z1455" s="73" t="s">
        <v>530</v>
      </c>
      <c r="AA1455" s="99" t="s">
        <v>2040</v>
      </c>
    </row>
    <row r="1456" spans="1:27" ht="17.25" customHeight="1">
      <c r="A1456" s="65" t="str">
        <f>IF(priority(Main[[#This Row],[Comments]])&lt;&gt;0, priority(Main[[#This Row],[Comments]]),"")</f>
        <v/>
      </c>
      <c r="B1456" s="60" t="s">
        <v>2286</v>
      </c>
      <c r="C1456" s="105" t="s">
        <v>2287</v>
      </c>
      <c r="D1456" s="74" t="s">
        <v>3771</v>
      </c>
      <c r="E1456" s="89">
        <v>40814.583657407406</v>
      </c>
      <c r="F1456" s="89">
        <v>41150</v>
      </c>
      <c r="G1456" s="65" t="str">
        <f>IF(stdProdLT(Main[[#This Row],[Comments]])=0.1,"N/A",IF(stdProdLT(Main[[#This Row],[Comments]])=0,"",TRIM(stdProdLT(Main[[#This Row],[Comments]]))))</f>
        <v>112</v>
      </c>
      <c r="H1456" s="98" t="str">
        <f>IF(Main[[#This Row],[Std. Prod. Lead Time]]="N/A", "",IF(AND(Main[[#This Row],[In Stock Date]]&lt;&gt;"",Main[[#This Row],[Revised Due Date]]&lt;&gt;"",Main[[#This Row],[In Stock Date]]&lt;&gt;""),Main[[#This Row],[In Stock Date]]-Main[[#This Row],[Revised Due Date]],""))</f>
        <v/>
      </c>
      <c r="I1456" s="110" t="s">
        <v>561</v>
      </c>
      <c r="J1456" s="99" t="s">
        <v>28</v>
      </c>
      <c r="K1456" s="99" t="s">
        <v>1926</v>
      </c>
      <c r="L1456" s="89">
        <v>40828</v>
      </c>
      <c r="M1456" s="75">
        <f>IF(Main[[#This Row],[Tech Start Date]]&lt;1/1/1990,"",IF(Main[[#This Row],[Class]]="C",WORKDAY(Main[[#This Row],[Tech Start Date]],9),IF(Main[[#This Row],[Class]]="B", WORKDAY(Main[[#This Row],[Tech Start Date]],6),IF(Main[[#This Row],[Class]]="A",WORKDAY(Main[[#This Row],[Tech Start Date]],2),""))))</f>
        <v>40841</v>
      </c>
      <c r="N1456" s="75">
        <f>IF(Main[[#This Row],[Tech Start Date]]&lt;1/1/1990,"",IF(Main[[#This Row],[Class]]="C",WORKDAY(Main[[#This Row],[Tech Start Date]],19),IF(Main[[#This Row],[Class]]="B", WORKDAY(Main[[#This Row],[Tech Start Date]],12),IF(Main[[#This Row],[Class]]="A",WORKDAY(Main[[#This Row],[Tech Start Date]],4),""))))</f>
        <v>40855</v>
      </c>
      <c r="O1456" s="75">
        <f>IF(Main[[#This Row],[Tech Start Date]]&lt;1/1/1990,"",IF(Main[[#This Row],[Class]]="C",WORKDAY(Main[[#This Row],[Tech Start Date]],23),IF(Main[[#This Row],[Class]]="B", WORKDAY(Main[[#This Row],[Tech Start Date]],15),IF(Main[[#This Row],[Class]]="A",WORKDAY(Main[[#This Row],[Tech Start Date]],5),""))))</f>
        <v>40861</v>
      </c>
      <c r="P1456" s="75">
        <f>IF(Main[[#This Row],[Tech Start Date]]&lt;1/1/1990,"",IF(Main[[#This Row],[Class]]="C",WORKDAY(Main[[#This Row],[Tech Start Date]],28),IF(Main[[#This Row],[Class]]="B", WORKDAY(Main[[#This Row],[Tech Start Date]],19),IF(Main[[#This Row],[Class]]="A",WORKDAY(Main[[#This Row],[Tech Start Date]],9),""))))</f>
        <v>40868</v>
      </c>
      <c r="Q1456" s="89">
        <v>40876</v>
      </c>
      <c r="R1456" s="121"/>
      <c r="S1456" s="99" t="s">
        <v>11</v>
      </c>
      <c r="T1456" s="76" t="s">
        <v>3772</v>
      </c>
      <c r="U1456" s="99" t="s">
        <v>534</v>
      </c>
      <c r="V1456" s="99" t="s">
        <v>1913</v>
      </c>
      <c r="W1456" s="99" t="s">
        <v>1919</v>
      </c>
      <c r="X1456" s="99" t="s">
        <v>2917</v>
      </c>
      <c r="Y1456" s="73" t="s">
        <v>4</v>
      </c>
      <c r="Z1456" s="73" t="s">
        <v>129</v>
      </c>
      <c r="AA1456" s="99" t="s">
        <v>3470</v>
      </c>
    </row>
    <row r="1457" spans="1:27" ht="17.25" customHeight="1">
      <c r="A1457" s="65" t="str">
        <f>IF(priority(Main[[#This Row],[Comments]])&lt;&gt;0, priority(Main[[#This Row],[Comments]]),"")</f>
        <v/>
      </c>
      <c r="B1457" s="60" t="s">
        <v>2617</v>
      </c>
      <c r="C1457" s="105" t="s">
        <v>116</v>
      </c>
      <c r="D1457" s="59" t="s">
        <v>2618</v>
      </c>
      <c r="E1457" s="89"/>
      <c r="F1457" s="89"/>
      <c r="G1457" s="65" t="str">
        <f>IF(stdProdLT(Main[[#This Row],[Comments]])=0.1,"N/A",IF(stdProdLT(Main[[#This Row],[Comments]])=0,"",TRIM(stdProdLT(Main[[#This Row],[Comments]]))))</f>
        <v>N/A</v>
      </c>
      <c r="H1457" s="98" t="str">
        <f>IF(Main[[#This Row],[Std. Prod. Lead Time]]="N/A", "",IF(AND(Main[[#This Row],[In Stock Date]]&lt;&gt;"",Main[[#This Row],[Revised Due Date]]&lt;&gt;"",Main[[#This Row],[In Stock Date]]&lt;&gt;""),Main[[#This Row],[In Stock Date]]-Main[[#This Row],[Revised Due Date]],""))</f>
        <v/>
      </c>
      <c r="I1457" s="110" t="s">
        <v>171</v>
      </c>
      <c r="J1457" s="99" t="s">
        <v>1974</v>
      </c>
      <c r="K1457" s="99" t="s">
        <v>1922</v>
      </c>
      <c r="L1457" s="89">
        <v>40835</v>
      </c>
      <c r="M1457" s="75">
        <f>IF(Main[[#This Row],[Tech Start Date]]&lt;1/1/1990,"",IF(Main[[#This Row],[Class]]="C",WORKDAY(Main[[#This Row],[Tech Start Date]],9),IF(Main[[#This Row],[Class]]="B", WORKDAY(Main[[#This Row],[Tech Start Date]],6),IF(Main[[#This Row],[Class]]="A",WORKDAY(Main[[#This Row],[Tech Start Date]],2),""))))</f>
        <v>40837</v>
      </c>
      <c r="N1457" s="75">
        <f>IF(Main[[#This Row],[Tech Start Date]]&lt;1/1/1990,"",IF(Main[[#This Row],[Class]]="C",WORKDAY(Main[[#This Row],[Tech Start Date]],19),IF(Main[[#This Row],[Class]]="B", WORKDAY(Main[[#This Row],[Tech Start Date]],12),IF(Main[[#This Row],[Class]]="A",WORKDAY(Main[[#This Row],[Tech Start Date]],4),""))))</f>
        <v>40841</v>
      </c>
      <c r="O1457" s="75">
        <f>IF(Main[[#This Row],[Tech Start Date]]&lt;1/1/1990,"",IF(Main[[#This Row],[Class]]="C",WORKDAY(Main[[#This Row],[Tech Start Date]],23),IF(Main[[#This Row],[Class]]="B", WORKDAY(Main[[#This Row],[Tech Start Date]],15),IF(Main[[#This Row],[Class]]="A",WORKDAY(Main[[#This Row],[Tech Start Date]],5),""))))</f>
        <v>40842</v>
      </c>
      <c r="P1457" s="75">
        <f>IF(Main[[#This Row],[Tech Start Date]]&lt;1/1/1990,"",IF(Main[[#This Row],[Class]]="C",WORKDAY(Main[[#This Row],[Tech Start Date]],28),IF(Main[[#This Row],[Class]]="B", WORKDAY(Main[[#This Row],[Tech Start Date]],19),IF(Main[[#This Row],[Class]]="A",WORKDAY(Main[[#This Row],[Tech Start Date]],9),""))))</f>
        <v>40848</v>
      </c>
      <c r="Q1457" s="89">
        <v>40954</v>
      </c>
      <c r="R1457" s="121">
        <v>40850</v>
      </c>
      <c r="S1457" s="99" t="s">
        <v>11</v>
      </c>
      <c r="T1457" s="76" t="s">
        <v>2619</v>
      </c>
      <c r="U1457" s="99" t="s">
        <v>14</v>
      </c>
      <c r="V1457" s="99" t="s">
        <v>1916</v>
      </c>
      <c r="W1457" s="99" t="s">
        <v>1917</v>
      </c>
      <c r="X1457" s="99" t="s">
        <v>553</v>
      </c>
      <c r="Y1457" s="73" t="s">
        <v>2946</v>
      </c>
      <c r="Z1457" s="73" t="s">
        <v>530</v>
      </c>
      <c r="AA1457" s="99" t="s">
        <v>553</v>
      </c>
    </row>
    <row r="1458" spans="1:27" ht="17.25" customHeight="1">
      <c r="A1458" s="65" t="str">
        <f>IF(priority(Main[[#This Row],[Comments]])&lt;&gt;0, priority(Main[[#This Row],[Comments]]),"")</f>
        <v/>
      </c>
      <c r="B1458" s="60" t="s">
        <v>2621</v>
      </c>
      <c r="C1458" s="105" t="s">
        <v>4</v>
      </c>
      <c r="D1458" s="74" t="s">
        <v>3773</v>
      </c>
      <c r="E1458" s="89">
        <v>40848.357997685183</v>
      </c>
      <c r="F1458" s="89"/>
      <c r="G1458" s="65" t="str">
        <f>IF(stdProdLT(Main[[#This Row],[Comments]])=0.1,"N/A",IF(stdProdLT(Main[[#This Row],[Comments]])=0,"",TRIM(stdProdLT(Main[[#This Row],[Comments]]))))</f>
        <v/>
      </c>
      <c r="H1458" s="98" t="str">
        <f>IF(Main[[#This Row],[Std. Prod. Lead Time]]="N/A", "",IF(AND(Main[[#This Row],[In Stock Date]]&lt;&gt;"",Main[[#This Row],[Revised Due Date]]&lt;&gt;"",Main[[#This Row],[In Stock Date]]&lt;&gt;""),Main[[#This Row],[In Stock Date]]-Main[[#This Row],[Revised Due Date]],""))</f>
        <v/>
      </c>
      <c r="I1458" s="110" t="s">
        <v>2622</v>
      </c>
      <c r="J1458" s="99" t="s">
        <v>28</v>
      </c>
      <c r="K1458" s="99" t="s">
        <v>1925</v>
      </c>
      <c r="L1458" s="89">
        <v>40840</v>
      </c>
      <c r="M1458" s="75" t="str">
        <f>IF(Main[[#This Row],[Tech Start Date]]&lt;1/1/1990,"",IF(Main[[#This Row],[Class]]="C",WORKDAY(Main[[#This Row],[Tech Start Date]],9),IF(Main[[#This Row],[Class]]="B", WORKDAY(Main[[#This Row],[Tech Start Date]],6),IF(Main[[#This Row],[Class]]="A",WORKDAY(Main[[#This Row],[Tech Start Date]],2),""))))</f>
        <v/>
      </c>
      <c r="N1458" s="75" t="str">
        <f>IF(Main[[#This Row],[Tech Start Date]]&lt;1/1/1990,"",IF(Main[[#This Row],[Class]]="C",WORKDAY(Main[[#This Row],[Tech Start Date]],19),IF(Main[[#This Row],[Class]]="B", WORKDAY(Main[[#This Row],[Tech Start Date]],12),IF(Main[[#This Row],[Class]]="A",WORKDAY(Main[[#This Row],[Tech Start Date]],4),""))))</f>
        <v/>
      </c>
      <c r="O1458" s="75" t="str">
        <f>IF(Main[[#This Row],[Tech Start Date]]&lt;1/1/1990,"",IF(Main[[#This Row],[Class]]="C",WORKDAY(Main[[#This Row],[Tech Start Date]],23),IF(Main[[#This Row],[Class]]="B", WORKDAY(Main[[#This Row],[Tech Start Date]],15),IF(Main[[#This Row],[Class]]="A",WORKDAY(Main[[#This Row],[Tech Start Date]],5),""))))</f>
        <v/>
      </c>
      <c r="P1458" s="75" t="str">
        <f>IF(Main[[#This Row],[Tech Start Date]]&lt;1/1/1990,"",IF(Main[[#This Row],[Class]]="C",WORKDAY(Main[[#This Row],[Tech Start Date]],28),IF(Main[[#This Row],[Class]]="B", WORKDAY(Main[[#This Row],[Tech Start Date]],19),IF(Main[[#This Row],[Class]]="A",WORKDAY(Main[[#This Row],[Tech Start Date]],9),""))))</f>
        <v/>
      </c>
      <c r="Q1458" s="89">
        <v>40998</v>
      </c>
      <c r="R1458" s="121">
        <v>40998</v>
      </c>
      <c r="S1458" s="99" t="s">
        <v>17</v>
      </c>
      <c r="T1458" s="76" t="s">
        <v>4</v>
      </c>
      <c r="U1458" s="99" t="s">
        <v>29</v>
      </c>
      <c r="V1458" s="99" t="s">
        <v>1913</v>
      </c>
      <c r="W1458" s="99" t="s">
        <v>1918</v>
      </c>
      <c r="X1458" s="99" t="s">
        <v>877</v>
      </c>
      <c r="Y1458" s="73" t="s">
        <v>3003</v>
      </c>
      <c r="Z1458" s="73" t="s">
        <v>877</v>
      </c>
      <c r="AA1458" s="99" t="s">
        <v>877</v>
      </c>
    </row>
    <row r="1459" spans="1:27" ht="17.25" customHeight="1">
      <c r="A1459" s="65" t="str">
        <f>IF(priority(Main[[#This Row],[Comments]])&lt;&gt;0, priority(Main[[#This Row],[Comments]]),"")</f>
        <v/>
      </c>
      <c r="B1459" s="60" t="s">
        <v>2627</v>
      </c>
      <c r="C1459" s="105" t="s">
        <v>2628</v>
      </c>
      <c r="D1459" s="74" t="s">
        <v>2629</v>
      </c>
      <c r="E1459" s="89"/>
      <c r="F1459" s="89"/>
      <c r="G1459" s="65" t="str">
        <f>IF(stdProdLT(Main[[#This Row],[Comments]])=0.1,"N/A",IF(stdProdLT(Main[[#This Row],[Comments]])=0,"",TRIM(stdProdLT(Main[[#This Row],[Comments]]))))</f>
        <v/>
      </c>
      <c r="H1459" s="98" t="str">
        <f>IF(Main[[#This Row],[Std. Prod. Lead Time]]="N/A", "",IF(AND(Main[[#This Row],[In Stock Date]]&lt;&gt;"",Main[[#This Row],[Revised Due Date]]&lt;&gt;"",Main[[#This Row],[In Stock Date]]&lt;&gt;""),Main[[#This Row],[In Stock Date]]-Main[[#This Row],[Revised Due Date]],""))</f>
        <v/>
      </c>
      <c r="I1459" s="110" t="s">
        <v>2040</v>
      </c>
      <c r="J1459" s="99" t="s">
        <v>28</v>
      </c>
      <c r="K1459" s="99" t="s">
        <v>1922</v>
      </c>
      <c r="L1459" s="89">
        <v>40848</v>
      </c>
      <c r="M1459" s="75">
        <f>IF(Main[[#This Row],[Tech Start Date]]&lt;1/1/1990,"",IF(Main[[#This Row],[Class]]="C",WORKDAY(Main[[#This Row],[Tech Start Date]],9),IF(Main[[#This Row],[Class]]="B", WORKDAY(Main[[#This Row],[Tech Start Date]],6),IF(Main[[#This Row],[Class]]="A",WORKDAY(Main[[#This Row],[Tech Start Date]],2),""))))</f>
        <v>40850</v>
      </c>
      <c r="N1459" s="75">
        <f>IF(Main[[#This Row],[Tech Start Date]]&lt;1/1/1990,"",IF(Main[[#This Row],[Class]]="C",WORKDAY(Main[[#This Row],[Tech Start Date]],19),IF(Main[[#This Row],[Class]]="B", WORKDAY(Main[[#This Row],[Tech Start Date]],12),IF(Main[[#This Row],[Class]]="A",WORKDAY(Main[[#This Row],[Tech Start Date]],4),""))))</f>
        <v>40854</v>
      </c>
      <c r="O1459" s="75">
        <f>IF(Main[[#This Row],[Tech Start Date]]&lt;1/1/1990,"",IF(Main[[#This Row],[Class]]="C",WORKDAY(Main[[#This Row],[Tech Start Date]],23),IF(Main[[#This Row],[Class]]="B", WORKDAY(Main[[#This Row],[Tech Start Date]],15),IF(Main[[#This Row],[Class]]="A",WORKDAY(Main[[#This Row],[Tech Start Date]],5),""))))</f>
        <v>40855</v>
      </c>
      <c r="P1459" s="75">
        <f>IF(Main[[#This Row],[Tech Start Date]]&lt;1/1/1990,"",IF(Main[[#This Row],[Class]]="C",WORKDAY(Main[[#This Row],[Tech Start Date]],28),IF(Main[[#This Row],[Class]]="B", WORKDAY(Main[[#This Row],[Tech Start Date]],19),IF(Main[[#This Row],[Class]]="A",WORKDAY(Main[[#This Row],[Tech Start Date]],9),""))))</f>
        <v>40861</v>
      </c>
      <c r="Q1459" s="89">
        <v>40849</v>
      </c>
      <c r="R1459" s="121">
        <v>40863</v>
      </c>
      <c r="S1459" s="99" t="s">
        <v>11</v>
      </c>
      <c r="T1459" s="76" t="s">
        <v>4</v>
      </c>
      <c r="U1459" s="99" t="s">
        <v>14</v>
      </c>
      <c r="V1459" s="99" t="s">
        <v>1923</v>
      </c>
      <c r="W1459" s="99" t="s">
        <v>1921</v>
      </c>
      <c r="X1459" s="99" t="s">
        <v>2838</v>
      </c>
      <c r="Y1459" s="73" t="s">
        <v>2971</v>
      </c>
      <c r="Z1459" s="73" t="s">
        <v>530</v>
      </c>
      <c r="AA1459" s="99" t="s">
        <v>2838</v>
      </c>
    </row>
    <row r="1460" spans="1:27" ht="17.25" customHeight="1">
      <c r="A1460" s="65" t="str">
        <f>IF(priority(Main[[#This Row],[Comments]])&lt;&gt;0, priority(Main[[#This Row],[Comments]]),"")</f>
        <v/>
      </c>
      <c r="B1460" s="60" t="s">
        <v>2623</v>
      </c>
      <c r="C1460" s="105" t="s">
        <v>2563</v>
      </c>
      <c r="D1460" s="74" t="s">
        <v>2797</v>
      </c>
      <c r="E1460" s="89"/>
      <c r="F1460" s="89">
        <v>40983</v>
      </c>
      <c r="G1460" s="65" t="str">
        <f>IF(stdProdLT(Main[[#This Row],[Comments]])=0.1,"N/A",IF(stdProdLT(Main[[#This Row],[Comments]])=0,"",TRIM(stdProdLT(Main[[#This Row],[Comments]]))))</f>
        <v>N/A</v>
      </c>
      <c r="H1460" s="98" t="str">
        <f>IF(Main[[#This Row],[Std. Prod. Lead Time]]="N/A", "",IF(AND(Main[[#This Row],[In Stock Date]]&lt;&gt;"",Main[[#This Row],[Revised Due Date]]&lt;&gt;"",Main[[#This Row],[In Stock Date]]&lt;&gt;""),Main[[#This Row],[In Stock Date]]-Main[[#This Row],[Revised Due Date]],""))</f>
        <v/>
      </c>
      <c r="I1460" s="110" t="s">
        <v>912</v>
      </c>
      <c r="J1460" s="99" t="s">
        <v>28</v>
      </c>
      <c r="K1460" s="99" t="s">
        <v>1926</v>
      </c>
      <c r="L1460" s="89">
        <v>40848</v>
      </c>
      <c r="M1460" s="75">
        <f>IF(Main[[#This Row],[Tech Start Date]]&lt;1/1/1990,"",IF(Main[[#This Row],[Class]]="C",WORKDAY(Main[[#This Row],[Tech Start Date]],9),IF(Main[[#This Row],[Class]]="B", WORKDAY(Main[[#This Row],[Tech Start Date]],6),IF(Main[[#This Row],[Class]]="A",WORKDAY(Main[[#This Row],[Tech Start Date]],2),""))))</f>
        <v>40861</v>
      </c>
      <c r="N1460" s="75">
        <f>IF(Main[[#This Row],[Tech Start Date]]&lt;1/1/1990,"",IF(Main[[#This Row],[Class]]="C",WORKDAY(Main[[#This Row],[Tech Start Date]],19),IF(Main[[#This Row],[Class]]="B", WORKDAY(Main[[#This Row],[Tech Start Date]],12),IF(Main[[#This Row],[Class]]="A",WORKDAY(Main[[#This Row],[Tech Start Date]],4),""))))</f>
        <v>40875</v>
      </c>
      <c r="O1460" s="75">
        <f>IF(Main[[#This Row],[Tech Start Date]]&lt;1/1/1990,"",IF(Main[[#This Row],[Class]]="C",WORKDAY(Main[[#This Row],[Tech Start Date]],23),IF(Main[[#This Row],[Class]]="B", WORKDAY(Main[[#This Row],[Tech Start Date]],15),IF(Main[[#This Row],[Class]]="A",WORKDAY(Main[[#This Row],[Tech Start Date]],5),""))))</f>
        <v>40879</v>
      </c>
      <c r="P1460" s="75">
        <f>IF(Main[[#This Row],[Tech Start Date]]&lt;1/1/1990,"",IF(Main[[#This Row],[Class]]="C",WORKDAY(Main[[#This Row],[Tech Start Date]],28),IF(Main[[#This Row],[Class]]="B", WORKDAY(Main[[#This Row],[Tech Start Date]],19),IF(Main[[#This Row],[Class]]="A",WORKDAY(Main[[#This Row],[Tech Start Date]],9),""))))</f>
        <v>40886</v>
      </c>
      <c r="Q1460" s="89">
        <v>40885</v>
      </c>
      <c r="R1460" s="121"/>
      <c r="S1460" s="99" t="s">
        <v>11</v>
      </c>
      <c r="T1460" s="76" t="s">
        <v>3217</v>
      </c>
      <c r="U1460" s="99" t="s">
        <v>14</v>
      </c>
      <c r="V1460" s="99" t="s">
        <v>1913</v>
      </c>
      <c r="W1460" s="99" t="s">
        <v>1921</v>
      </c>
      <c r="X1460" s="99" t="s">
        <v>2898</v>
      </c>
      <c r="Y1460" s="73" t="s">
        <v>3151</v>
      </c>
      <c r="Z1460" s="73" t="s">
        <v>129</v>
      </c>
      <c r="AA1460" s="99" t="s">
        <v>2898</v>
      </c>
    </row>
    <row r="1461" spans="1:27" ht="17.25" customHeight="1">
      <c r="A1461" s="65" t="str">
        <f>IF(priority(Main[[#This Row],[Comments]])&lt;&gt;0, priority(Main[[#This Row],[Comments]]),"")</f>
        <v/>
      </c>
      <c r="B1461" s="60" t="s">
        <v>2636</v>
      </c>
      <c r="C1461" s="105" t="s">
        <v>4</v>
      </c>
      <c r="D1461" s="74" t="s">
        <v>2637</v>
      </c>
      <c r="E1461" s="89">
        <v>40848.726550925923</v>
      </c>
      <c r="F1461" s="89"/>
      <c r="G1461" s="65" t="str">
        <f>IF(stdProdLT(Main[[#This Row],[Comments]])=0.1,"N/A",IF(stdProdLT(Main[[#This Row],[Comments]])=0,"",TRIM(stdProdLT(Main[[#This Row],[Comments]]))))</f>
        <v/>
      </c>
      <c r="H1461" s="98" t="str">
        <f>IF(Main[[#This Row],[Std. Prod. Lead Time]]="N/A", "",IF(AND(Main[[#This Row],[In Stock Date]]&lt;&gt;"",Main[[#This Row],[Revised Due Date]]&lt;&gt;"",Main[[#This Row],[In Stock Date]]&lt;&gt;""),Main[[#This Row],[In Stock Date]]-Main[[#This Row],[Revised Due Date]],""))</f>
        <v/>
      </c>
      <c r="I1461" s="110" t="s">
        <v>69</v>
      </c>
      <c r="J1461" s="99" t="s">
        <v>28</v>
      </c>
      <c r="K1461" s="99" t="s">
        <v>1922</v>
      </c>
      <c r="L1461" s="89">
        <v>40849</v>
      </c>
      <c r="M1461" s="75">
        <f>IF(Main[[#This Row],[Tech Start Date]]&lt;1/1/1990,"",IF(Main[[#This Row],[Class]]="C",WORKDAY(Main[[#This Row],[Tech Start Date]],9),IF(Main[[#This Row],[Class]]="B", WORKDAY(Main[[#This Row],[Tech Start Date]],6),IF(Main[[#This Row],[Class]]="A",WORKDAY(Main[[#This Row],[Tech Start Date]],2),""))))</f>
        <v>40851</v>
      </c>
      <c r="N1461" s="75">
        <f>IF(Main[[#This Row],[Tech Start Date]]&lt;1/1/1990,"",IF(Main[[#This Row],[Class]]="C",WORKDAY(Main[[#This Row],[Tech Start Date]],19),IF(Main[[#This Row],[Class]]="B", WORKDAY(Main[[#This Row],[Tech Start Date]],12),IF(Main[[#This Row],[Class]]="A",WORKDAY(Main[[#This Row],[Tech Start Date]],4),""))))</f>
        <v>40855</v>
      </c>
      <c r="O1461" s="75">
        <f>IF(Main[[#This Row],[Tech Start Date]]&lt;1/1/1990,"",IF(Main[[#This Row],[Class]]="C",WORKDAY(Main[[#This Row],[Tech Start Date]],23),IF(Main[[#This Row],[Class]]="B", WORKDAY(Main[[#This Row],[Tech Start Date]],15),IF(Main[[#This Row],[Class]]="A",WORKDAY(Main[[#This Row],[Tech Start Date]],5),""))))</f>
        <v>40856</v>
      </c>
      <c r="P1461" s="75">
        <f>IF(Main[[#This Row],[Tech Start Date]]&lt;1/1/1990,"",IF(Main[[#This Row],[Class]]="C",WORKDAY(Main[[#This Row],[Tech Start Date]],28),IF(Main[[#This Row],[Class]]="B", WORKDAY(Main[[#This Row],[Tech Start Date]],19),IF(Main[[#This Row],[Class]]="A",WORKDAY(Main[[#This Row],[Tech Start Date]],9),""))))</f>
        <v>40862</v>
      </c>
      <c r="Q1461" s="89"/>
      <c r="R1461" s="121">
        <v>40864</v>
      </c>
      <c r="S1461" s="99" t="s">
        <v>6</v>
      </c>
      <c r="T1461" s="76" t="s">
        <v>4</v>
      </c>
      <c r="U1461" s="99" t="s">
        <v>29</v>
      </c>
      <c r="V1461" s="99" t="s">
        <v>1923</v>
      </c>
      <c r="W1461" s="99" t="s">
        <v>1927</v>
      </c>
      <c r="X1461" s="99" t="s">
        <v>2835</v>
      </c>
      <c r="Y1461" s="73" t="s">
        <v>2965</v>
      </c>
      <c r="Z1461" s="73" t="s">
        <v>2859</v>
      </c>
      <c r="AA1461" s="99" t="s">
        <v>2835</v>
      </c>
    </row>
    <row r="1462" spans="1:27" ht="17.25" customHeight="1">
      <c r="A1462" s="65" t="str">
        <f>IF(priority(Main[[#This Row],[Comments]])&lt;&gt;0, priority(Main[[#This Row],[Comments]]),"")</f>
        <v/>
      </c>
      <c r="B1462" s="60" t="s">
        <v>2630</v>
      </c>
      <c r="C1462" s="105" t="s">
        <v>2563</v>
      </c>
      <c r="D1462" s="74" t="s">
        <v>2798</v>
      </c>
      <c r="E1462" s="89"/>
      <c r="F1462" s="89"/>
      <c r="G1462" s="65" t="str">
        <f>IF(stdProdLT(Main[[#This Row],[Comments]])=0.1,"N/A",IF(stdProdLT(Main[[#This Row],[Comments]])=0,"",TRIM(stdProdLT(Main[[#This Row],[Comments]]))))</f>
        <v>168</v>
      </c>
      <c r="H1462" s="98" t="str">
        <f>IF(Main[[#This Row],[Std. Prod. Lead Time]]="N/A", "",IF(AND(Main[[#This Row],[In Stock Date]]&lt;&gt;"",Main[[#This Row],[Revised Due Date]]&lt;&gt;"",Main[[#This Row],[In Stock Date]]&lt;&gt;""),Main[[#This Row],[In Stock Date]]-Main[[#This Row],[Revised Due Date]],""))</f>
        <v/>
      </c>
      <c r="I1462" s="110" t="s">
        <v>894</v>
      </c>
      <c r="J1462" s="99" t="s">
        <v>52</v>
      </c>
      <c r="K1462" s="99" t="s">
        <v>1926</v>
      </c>
      <c r="L1462" s="89">
        <v>40849</v>
      </c>
      <c r="M1462" s="75">
        <f>IF(Main[[#This Row],[Tech Start Date]]&lt;1/1/1990,"",IF(Main[[#This Row],[Class]]="C",WORKDAY(Main[[#This Row],[Tech Start Date]],9),IF(Main[[#This Row],[Class]]="B", WORKDAY(Main[[#This Row],[Tech Start Date]],6),IF(Main[[#This Row],[Class]]="A",WORKDAY(Main[[#This Row],[Tech Start Date]],2),""))))</f>
        <v>40862</v>
      </c>
      <c r="N1462" s="75">
        <f>IF(Main[[#This Row],[Tech Start Date]]&lt;1/1/1990,"",IF(Main[[#This Row],[Class]]="C",WORKDAY(Main[[#This Row],[Tech Start Date]],19),IF(Main[[#This Row],[Class]]="B", WORKDAY(Main[[#This Row],[Tech Start Date]],12),IF(Main[[#This Row],[Class]]="A",WORKDAY(Main[[#This Row],[Tech Start Date]],4),""))))</f>
        <v>40876</v>
      </c>
      <c r="O1462" s="75">
        <f>IF(Main[[#This Row],[Tech Start Date]]&lt;1/1/1990,"",IF(Main[[#This Row],[Class]]="C",WORKDAY(Main[[#This Row],[Tech Start Date]],23),IF(Main[[#This Row],[Class]]="B", WORKDAY(Main[[#This Row],[Tech Start Date]],15),IF(Main[[#This Row],[Class]]="A",WORKDAY(Main[[#This Row],[Tech Start Date]],5),""))))</f>
        <v>40882</v>
      </c>
      <c r="P1462" s="75">
        <f>IF(Main[[#This Row],[Tech Start Date]]&lt;1/1/1990,"",IF(Main[[#This Row],[Class]]="C",WORKDAY(Main[[#This Row],[Tech Start Date]],28),IF(Main[[#This Row],[Class]]="B", WORKDAY(Main[[#This Row],[Tech Start Date]],19),IF(Main[[#This Row],[Class]]="A",WORKDAY(Main[[#This Row],[Tech Start Date]],9),""))))</f>
        <v>40889</v>
      </c>
      <c r="Q1462" s="89">
        <v>40880</v>
      </c>
      <c r="R1462" s="121"/>
      <c r="S1462" s="99" t="s">
        <v>11</v>
      </c>
      <c r="T1462" s="76" t="s">
        <v>3777</v>
      </c>
      <c r="U1462" s="99" t="s">
        <v>14</v>
      </c>
      <c r="V1462" s="99" t="s">
        <v>1916</v>
      </c>
      <c r="W1462" s="99" t="s">
        <v>1921</v>
      </c>
      <c r="X1462" s="99" t="s">
        <v>2898</v>
      </c>
      <c r="Y1462" s="73" t="s">
        <v>3151</v>
      </c>
      <c r="Z1462" s="73" t="s">
        <v>530</v>
      </c>
      <c r="AA1462" s="99" t="s">
        <v>2898</v>
      </c>
    </row>
    <row r="1463" spans="1:27" ht="17.25" customHeight="1">
      <c r="A1463" s="65" t="str">
        <f>IF(priority(Main[[#This Row],[Comments]])&lt;&gt;0, priority(Main[[#This Row],[Comments]]),"")</f>
        <v/>
      </c>
      <c r="B1463" s="60" t="s">
        <v>2634</v>
      </c>
      <c r="C1463" s="105" t="s">
        <v>2563</v>
      </c>
      <c r="D1463" s="74" t="s">
        <v>3169</v>
      </c>
      <c r="E1463" s="89"/>
      <c r="F1463" s="89"/>
      <c r="G1463" s="65" t="str">
        <f>IF(stdProdLT(Main[[#This Row],[Comments]])=0.1,"N/A",IF(stdProdLT(Main[[#This Row],[Comments]])=0,"",TRIM(stdProdLT(Main[[#This Row],[Comments]]))))</f>
        <v>168</v>
      </c>
      <c r="H1463" s="98" t="str">
        <f>IF(Main[[#This Row],[Std. Prod. Lead Time]]="N/A", "",IF(AND(Main[[#This Row],[In Stock Date]]&lt;&gt;"",Main[[#This Row],[Revised Due Date]]&lt;&gt;"",Main[[#This Row],[In Stock Date]]&lt;&gt;""),Main[[#This Row],[In Stock Date]]-Main[[#This Row],[Revised Due Date]],""))</f>
        <v/>
      </c>
      <c r="I1463" s="110" t="s">
        <v>171</v>
      </c>
      <c r="J1463" s="99" t="s">
        <v>70</v>
      </c>
      <c r="K1463" s="100" t="s">
        <v>1926</v>
      </c>
      <c r="L1463" s="89">
        <v>40849</v>
      </c>
      <c r="M1463" s="75">
        <f>IF(Main[[#This Row],[Tech Start Date]]&lt;1/1/1990,"",IF(Main[[#This Row],[Class]]="C",WORKDAY(Main[[#This Row],[Tech Start Date]],9),IF(Main[[#This Row],[Class]]="B", WORKDAY(Main[[#This Row],[Tech Start Date]],6),IF(Main[[#This Row],[Class]]="A",WORKDAY(Main[[#This Row],[Tech Start Date]],2),""))))</f>
        <v>40862</v>
      </c>
      <c r="N1463" s="75">
        <f>IF(Main[[#This Row],[Tech Start Date]]&lt;1/1/1990,"",IF(Main[[#This Row],[Class]]="C",WORKDAY(Main[[#This Row],[Tech Start Date]],19),IF(Main[[#This Row],[Class]]="B", WORKDAY(Main[[#This Row],[Tech Start Date]],12),IF(Main[[#This Row],[Class]]="A",WORKDAY(Main[[#This Row],[Tech Start Date]],4),""))))</f>
        <v>40876</v>
      </c>
      <c r="O1463" s="75">
        <f>IF(Main[[#This Row],[Tech Start Date]]&lt;1/1/1990,"",IF(Main[[#This Row],[Class]]="C",WORKDAY(Main[[#This Row],[Tech Start Date]],23),IF(Main[[#This Row],[Class]]="B", WORKDAY(Main[[#This Row],[Tech Start Date]],15),IF(Main[[#This Row],[Class]]="A",WORKDAY(Main[[#This Row],[Tech Start Date]],5),""))))</f>
        <v>40882</v>
      </c>
      <c r="P1463" s="75">
        <f>IF(Main[[#This Row],[Tech Start Date]]&lt;1/1/1990,"",IF(Main[[#This Row],[Class]]="C",WORKDAY(Main[[#This Row],[Tech Start Date]],28),IF(Main[[#This Row],[Class]]="B", WORKDAY(Main[[#This Row],[Tech Start Date]],19),IF(Main[[#This Row],[Class]]="A",WORKDAY(Main[[#This Row],[Tech Start Date]],9),""))))</f>
        <v>40889</v>
      </c>
      <c r="Q1463" s="89">
        <v>40881</v>
      </c>
      <c r="R1463" s="121"/>
      <c r="S1463" s="99" t="s">
        <v>11</v>
      </c>
      <c r="T1463" s="76" t="s">
        <v>3778</v>
      </c>
      <c r="U1463" s="99" t="s">
        <v>14</v>
      </c>
      <c r="V1463" s="99" t="s">
        <v>1916</v>
      </c>
      <c r="W1463" s="99" t="s">
        <v>1921</v>
      </c>
      <c r="X1463" s="99" t="s">
        <v>2898</v>
      </c>
      <c r="Y1463" s="73" t="s">
        <v>3151</v>
      </c>
      <c r="Z1463" s="73" t="s">
        <v>530</v>
      </c>
      <c r="AA1463" s="99" t="s">
        <v>2898</v>
      </c>
    </row>
    <row r="1464" spans="1:27" ht="17.25" customHeight="1">
      <c r="A1464" s="65" t="str">
        <f>IF(priority(Main[[#This Row],[Comments]])&lt;&gt;0, priority(Main[[#This Row],[Comments]]),"")</f>
        <v/>
      </c>
      <c r="B1464" s="60" t="s">
        <v>2559</v>
      </c>
      <c r="C1464" s="105" t="s">
        <v>2560</v>
      </c>
      <c r="D1464" s="74" t="s">
        <v>3170</v>
      </c>
      <c r="E1464" s="89">
        <v>40821.398842592593</v>
      </c>
      <c r="F1464" s="89">
        <v>41182</v>
      </c>
      <c r="G1464" s="65" t="str">
        <f>IF(stdProdLT(Main[[#This Row],[Comments]])=0.1,"N/A",IF(stdProdLT(Main[[#This Row],[Comments]])=0,"",TRIM(stdProdLT(Main[[#This Row],[Comments]]))))</f>
        <v>210</v>
      </c>
      <c r="H1464" s="98" t="str">
        <f>IF(Main[[#This Row],[Std. Prod. Lead Time]]="N/A", "",IF(AND(Main[[#This Row],[In Stock Date]]&lt;&gt;"",Main[[#This Row],[Revised Due Date]]&lt;&gt;"",Main[[#This Row],[In Stock Date]]&lt;&gt;""),Main[[#This Row],[In Stock Date]]-Main[[#This Row],[Revised Due Date]],""))</f>
        <v/>
      </c>
      <c r="I1464" s="110" t="s">
        <v>4</v>
      </c>
      <c r="J1464" s="99" t="s">
        <v>4</v>
      </c>
      <c r="K1464" s="99" t="s">
        <v>1926</v>
      </c>
      <c r="L1464" s="89">
        <v>40850</v>
      </c>
      <c r="M1464" s="75">
        <f>IF(Main[[#This Row],[Tech Start Date]]&lt;1/1/1990,"",IF(Main[[#This Row],[Class]]="C",WORKDAY(Main[[#This Row],[Tech Start Date]],9),IF(Main[[#This Row],[Class]]="B", WORKDAY(Main[[#This Row],[Tech Start Date]],6),IF(Main[[#This Row],[Class]]="A",WORKDAY(Main[[#This Row],[Tech Start Date]],2),""))))</f>
        <v>40863</v>
      </c>
      <c r="N1464" s="75">
        <f>IF(Main[[#This Row],[Tech Start Date]]&lt;1/1/1990,"",IF(Main[[#This Row],[Class]]="C",WORKDAY(Main[[#This Row],[Tech Start Date]],19),IF(Main[[#This Row],[Class]]="B", WORKDAY(Main[[#This Row],[Tech Start Date]],12),IF(Main[[#This Row],[Class]]="A",WORKDAY(Main[[#This Row],[Tech Start Date]],4),""))))</f>
        <v>40877</v>
      </c>
      <c r="O1464" s="75">
        <f>IF(Main[[#This Row],[Tech Start Date]]&lt;1/1/1990,"",IF(Main[[#This Row],[Class]]="C",WORKDAY(Main[[#This Row],[Tech Start Date]],23),IF(Main[[#This Row],[Class]]="B", WORKDAY(Main[[#This Row],[Tech Start Date]],15),IF(Main[[#This Row],[Class]]="A",WORKDAY(Main[[#This Row],[Tech Start Date]],5),""))))</f>
        <v>40883</v>
      </c>
      <c r="P1464" s="75">
        <f>IF(Main[[#This Row],[Tech Start Date]]&lt;1/1/1990,"",IF(Main[[#This Row],[Class]]="C",WORKDAY(Main[[#This Row],[Tech Start Date]],28),IF(Main[[#This Row],[Class]]="B", WORKDAY(Main[[#This Row],[Tech Start Date]],19),IF(Main[[#This Row],[Class]]="A",WORKDAY(Main[[#This Row],[Tech Start Date]],9),""))))</f>
        <v>40890</v>
      </c>
      <c r="Q1464" s="89">
        <v>40872</v>
      </c>
      <c r="R1464" s="121"/>
      <c r="S1464" s="99" t="s">
        <v>11</v>
      </c>
      <c r="T1464" s="76" t="s">
        <v>3304</v>
      </c>
      <c r="U1464" s="99" t="s">
        <v>534</v>
      </c>
      <c r="V1464" s="99" t="s">
        <v>1916</v>
      </c>
      <c r="W1464" s="99" t="s">
        <v>1918</v>
      </c>
      <c r="X1464" s="99" t="s">
        <v>2823</v>
      </c>
      <c r="Y1464" s="73" t="s">
        <v>2945</v>
      </c>
      <c r="Z1464" s="73" t="s">
        <v>4</v>
      </c>
      <c r="AA1464" s="99" t="s">
        <v>2823</v>
      </c>
    </row>
    <row r="1465" spans="1:27" ht="17.25" customHeight="1">
      <c r="A1465" s="65" t="str">
        <f>IF(priority(Main[[#This Row],[Comments]])&lt;&gt;0, priority(Main[[#This Row],[Comments]]),"")</f>
        <v/>
      </c>
      <c r="B1465" s="60" t="s">
        <v>1674</v>
      </c>
      <c r="C1465" s="105" t="s">
        <v>4</v>
      </c>
      <c r="D1465" s="74" t="s">
        <v>2641</v>
      </c>
      <c r="E1465" s="89">
        <v>40647.529861111114</v>
      </c>
      <c r="F1465" s="89"/>
      <c r="G1465" s="65" t="str">
        <f>IF(stdProdLT(Main[[#This Row],[Comments]])=0.1,"N/A",IF(stdProdLT(Main[[#This Row],[Comments]])=0,"",TRIM(stdProdLT(Main[[#This Row],[Comments]]))))</f>
        <v/>
      </c>
      <c r="H1465" s="98" t="str">
        <f>IF(Main[[#This Row],[Std. Prod. Lead Time]]="N/A", "",IF(AND(Main[[#This Row],[In Stock Date]]&lt;&gt;"",Main[[#This Row],[Revised Due Date]]&lt;&gt;"",Main[[#This Row],[In Stock Date]]&lt;&gt;""),Main[[#This Row],[In Stock Date]]-Main[[#This Row],[Revised Due Date]],""))</f>
        <v/>
      </c>
      <c r="I1465" s="110" t="s">
        <v>877</v>
      </c>
      <c r="J1465" s="99" t="s">
        <v>4</v>
      </c>
      <c r="K1465" s="99" t="s">
        <v>1922</v>
      </c>
      <c r="L1465" s="89">
        <v>40856</v>
      </c>
      <c r="M1465" s="75">
        <f>IF(Main[[#This Row],[Tech Start Date]]&lt;1/1/1990,"",IF(Main[[#This Row],[Class]]="C",WORKDAY(Main[[#This Row],[Tech Start Date]],9),IF(Main[[#This Row],[Class]]="B", WORKDAY(Main[[#This Row],[Tech Start Date]],6),IF(Main[[#This Row],[Class]]="A",WORKDAY(Main[[#This Row],[Tech Start Date]],2),""))))</f>
        <v>40858</v>
      </c>
      <c r="N1465" s="75">
        <f>IF(Main[[#This Row],[Tech Start Date]]&lt;1/1/1990,"",IF(Main[[#This Row],[Class]]="C",WORKDAY(Main[[#This Row],[Tech Start Date]],19),IF(Main[[#This Row],[Class]]="B", WORKDAY(Main[[#This Row],[Tech Start Date]],12),IF(Main[[#This Row],[Class]]="A",WORKDAY(Main[[#This Row],[Tech Start Date]],4),""))))</f>
        <v>40862</v>
      </c>
      <c r="O1465" s="75">
        <f>IF(Main[[#This Row],[Tech Start Date]]&lt;1/1/1990,"",IF(Main[[#This Row],[Class]]="C",WORKDAY(Main[[#This Row],[Tech Start Date]],23),IF(Main[[#This Row],[Class]]="B", WORKDAY(Main[[#This Row],[Tech Start Date]],15),IF(Main[[#This Row],[Class]]="A",WORKDAY(Main[[#This Row],[Tech Start Date]],5),""))))</f>
        <v>40863</v>
      </c>
      <c r="P1465" s="75">
        <f>IF(Main[[#This Row],[Tech Start Date]]&lt;1/1/1990,"",IF(Main[[#This Row],[Class]]="C",WORKDAY(Main[[#This Row],[Tech Start Date]],28),IF(Main[[#This Row],[Class]]="B", WORKDAY(Main[[#This Row],[Tech Start Date]],19),IF(Main[[#This Row],[Class]]="A",WORKDAY(Main[[#This Row],[Tech Start Date]],9),""))))</f>
        <v>40869</v>
      </c>
      <c r="Q1465" s="89">
        <v>40877</v>
      </c>
      <c r="R1465" s="121">
        <v>40883</v>
      </c>
      <c r="S1465" s="99" t="s">
        <v>6</v>
      </c>
      <c r="T1465" s="76" t="s">
        <v>2642</v>
      </c>
      <c r="U1465" s="99" t="s">
        <v>29</v>
      </c>
      <c r="V1465" s="99" t="s">
        <v>1913</v>
      </c>
      <c r="W1465" s="99" t="s">
        <v>1915</v>
      </c>
      <c r="X1465" s="99" t="s">
        <v>922</v>
      </c>
      <c r="Y1465" s="73" t="s">
        <v>2976</v>
      </c>
      <c r="Z1465" s="73" t="s">
        <v>129</v>
      </c>
      <c r="AA1465" s="99" t="s">
        <v>922</v>
      </c>
    </row>
    <row r="1466" spans="1:27" ht="17.25" customHeight="1">
      <c r="A1466" s="65" t="str">
        <f>IF(priority(Main[[#This Row],[Comments]])&lt;&gt;0, priority(Main[[#This Row],[Comments]]),"")</f>
        <v/>
      </c>
      <c r="B1466" s="60" t="s">
        <v>2643</v>
      </c>
      <c r="C1466" s="105" t="s">
        <v>4</v>
      </c>
      <c r="D1466" s="74" t="s">
        <v>2644</v>
      </c>
      <c r="E1466" s="89">
        <v>40864.413506944446</v>
      </c>
      <c r="F1466" s="89"/>
      <c r="G1466" s="65" t="str">
        <f>IF(stdProdLT(Main[[#This Row],[Comments]])=0.1,"N/A",IF(stdProdLT(Main[[#This Row],[Comments]])=0,"",TRIM(stdProdLT(Main[[#This Row],[Comments]]))))</f>
        <v/>
      </c>
      <c r="H1466" s="98" t="str">
        <f>IF(Main[[#This Row],[Std. Prod. Lead Time]]="N/A", "",IF(AND(Main[[#This Row],[In Stock Date]]&lt;&gt;"",Main[[#This Row],[Revised Due Date]]&lt;&gt;"",Main[[#This Row],[In Stock Date]]&lt;&gt;""),Main[[#This Row],[In Stock Date]]-Main[[#This Row],[Revised Due Date]],""))</f>
        <v/>
      </c>
      <c r="I1466" s="110" t="s">
        <v>941</v>
      </c>
      <c r="J1466" s="99" t="s">
        <v>28</v>
      </c>
      <c r="K1466" s="99" t="s">
        <v>1922</v>
      </c>
      <c r="L1466" s="89">
        <v>40864</v>
      </c>
      <c r="M1466" s="75">
        <f>IF(Main[[#This Row],[Tech Start Date]]&lt;1/1/1990,"",IF(Main[[#This Row],[Class]]="C",WORKDAY(Main[[#This Row],[Tech Start Date]],9),IF(Main[[#This Row],[Class]]="B", WORKDAY(Main[[#This Row],[Tech Start Date]],6),IF(Main[[#This Row],[Class]]="A",WORKDAY(Main[[#This Row],[Tech Start Date]],2),""))))</f>
        <v>40868</v>
      </c>
      <c r="N1466" s="75">
        <f>IF(Main[[#This Row],[Tech Start Date]]&lt;1/1/1990,"",IF(Main[[#This Row],[Class]]="C",WORKDAY(Main[[#This Row],[Tech Start Date]],19),IF(Main[[#This Row],[Class]]="B", WORKDAY(Main[[#This Row],[Tech Start Date]],12),IF(Main[[#This Row],[Class]]="A",WORKDAY(Main[[#This Row],[Tech Start Date]],4),""))))</f>
        <v>40870</v>
      </c>
      <c r="O1466" s="75">
        <f>IF(Main[[#This Row],[Tech Start Date]]&lt;1/1/1990,"",IF(Main[[#This Row],[Class]]="C",WORKDAY(Main[[#This Row],[Tech Start Date]],23),IF(Main[[#This Row],[Class]]="B", WORKDAY(Main[[#This Row],[Tech Start Date]],15),IF(Main[[#This Row],[Class]]="A",WORKDAY(Main[[#This Row],[Tech Start Date]],5),""))))</f>
        <v>40871</v>
      </c>
      <c r="P1466" s="75">
        <f>IF(Main[[#This Row],[Tech Start Date]]&lt;1/1/1990,"",IF(Main[[#This Row],[Class]]="C",WORKDAY(Main[[#This Row],[Tech Start Date]],28),IF(Main[[#This Row],[Class]]="B", WORKDAY(Main[[#This Row],[Tech Start Date]],19),IF(Main[[#This Row],[Class]]="A",WORKDAY(Main[[#This Row],[Tech Start Date]],9),""))))</f>
        <v>40877</v>
      </c>
      <c r="Q1466" s="89"/>
      <c r="R1466" s="121">
        <v>40877</v>
      </c>
      <c r="S1466" s="99" t="s">
        <v>6</v>
      </c>
      <c r="T1466" s="76" t="s">
        <v>4</v>
      </c>
      <c r="U1466" s="99" t="s">
        <v>29</v>
      </c>
      <c r="V1466" s="99" t="s">
        <v>1914</v>
      </c>
      <c r="W1466" s="99" t="s">
        <v>1917</v>
      </c>
      <c r="X1466" s="99" t="s">
        <v>941</v>
      </c>
      <c r="Y1466" s="73" t="s">
        <v>2989</v>
      </c>
      <c r="Z1466" s="73" t="s">
        <v>2049</v>
      </c>
      <c r="AA1466" s="99" t="s">
        <v>941</v>
      </c>
    </row>
    <row r="1467" spans="1:27" ht="17.25" customHeight="1">
      <c r="A1467" s="65" t="str">
        <f>IF(priority(Main[[#This Row],[Comments]])&lt;&gt;0, priority(Main[[#This Row],[Comments]]),"")</f>
        <v/>
      </c>
      <c r="B1467" s="60" t="s">
        <v>2650</v>
      </c>
      <c r="C1467" s="105" t="s">
        <v>72</v>
      </c>
      <c r="D1467" s="74" t="s">
        <v>2663</v>
      </c>
      <c r="E1467" s="89"/>
      <c r="F1467" s="89"/>
      <c r="G1467" s="65" t="str">
        <f>IF(stdProdLT(Main[[#This Row],[Comments]])=0.1,"N/A",IF(stdProdLT(Main[[#This Row],[Comments]])=0,"",TRIM(stdProdLT(Main[[#This Row],[Comments]]))))</f>
        <v/>
      </c>
      <c r="H1467" s="98" t="str">
        <f>IF(Main[[#This Row],[Std. Prod. Lead Time]]="N/A", "",IF(AND(Main[[#This Row],[In Stock Date]]&lt;&gt;"",Main[[#This Row],[Revised Due Date]]&lt;&gt;"",Main[[#This Row],[In Stock Date]]&lt;&gt;""),Main[[#This Row],[In Stock Date]]-Main[[#This Row],[Revised Due Date]],""))</f>
        <v/>
      </c>
      <c r="I1467" s="110" t="s">
        <v>2245</v>
      </c>
      <c r="J1467" s="99" t="s">
        <v>28</v>
      </c>
      <c r="K1467" s="99" t="s">
        <v>1922</v>
      </c>
      <c r="L1467" s="89">
        <v>40869</v>
      </c>
      <c r="M1467" s="75">
        <f>IF(Main[[#This Row],[Tech Start Date]]&lt;1/1/1990,"",IF(Main[[#This Row],[Class]]="C",WORKDAY(Main[[#This Row],[Tech Start Date]],9),IF(Main[[#This Row],[Class]]="B", WORKDAY(Main[[#This Row],[Tech Start Date]],6),IF(Main[[#This Row],[Class]]="A",WORKDAY(Main[[#This Row],[Tech Start Date]],2),""))))</f>
        <v>40871</v>
      </c>
      <c r="N1467" s="75">
        <f>IF(Main[[#This Row],[Tech Start Date]]&lt;1/1/1990,"",IF(Main[[#This Row],[Class]]="C",WORKDAY(Main[[#This Row],[Tech Start Date]],19),IF(Main[[#This Row],[Class]]="B", WORKDAY(Main[[#This Row],[Tech Start Date]],12),IF(Main[[#This Row],[Class]]="A",WORKDAY(Main[[#This Row],[Tech Start Date]],4),""))))</f>
        <v>40875</v>
      </c>
      <c r="O1467" s="75">
        <f>IF(Main[[#This Row],[Tech Start Date]]&lt;1/1/1990,"",IF(Main[[#This Row],[Class]]="C",WORKDAY(Main[[#This Row],[Tech Start Date]],23),IF(Main[[#This Row],[Class]]="B", WORKDAY(Main[[#This Row],[Tech Start Date]],15),IF(Main[[#This Row],[Class]]="A",WORKDAY(Main[[#This Row],[Tech Start Date]],5),""))))</f>
        <v>40876</v>
      </c>
      <c r="P1467" s="75">
        <f>IF(Main[[#This Row],[Tech Start Date]]&lt;1/1/1990,"",IF(Main[[#This Row],[Class]]="C",WORKDAY(Main[[#This Row],[Tech Start Date]],28),IF(Main[[#This Row],[Class]]="B", WORKDAY(Main[[#This Row],[Tech Start Date]],19),IF(Main[[#This Row],[Class]]="A",WORKDAY(Main[[#This Row],[Tech Start Date]],9),""))))</f>
        <v>40882</v>
      </c>
      <c r="Q1467" s="89">
        <v>40882</v>
      </c>
      <c r="R1467" s="121"/>
      <c r="S1467" s="99" t="s">
        <v>11</v>
      </c>
      <c r="T1467" s="76" t="s">
        <v>4</v>
      </c>
      <c r="U1467" s="99" t="s">
        <v>14</v>
      </c>
      <c r="V1467" s="99" t="s">
        <v>1914</v>
      </c>
      <c r="W1467" s="99" t="s">
        <v>1915</v>
      </c>
      <c r="X1467" s="99" t="s">
        <v>2884</v>
      </c>
      <c r="Y1467" s="73" t="s">
        <v>3041</v>
      </c>
      <c r="Z1467" s="73" t="s">
        <v>2049</v>
      </c>
      <c r="AA1467" s="99" t="s">
        <v>2884</v>
      </c>
    </row>
    <row r="1468" spans="1:27" ht="17.25" customHeight="1">
      <c r="A1468" s="65" t="str">
        <f>IF(priority(Main[[#This Row],[Comments]])&lt;&gt;0, priority(Main[[#This Row],[Comments]]),"")</f>
        <v/>
      </c>
      <c r="B1468" s="60" t="s">
        <v>2648</v>
      </c>
      <c r="C1468" s="105" t="s">
        <v>72</v>
      </c>
      <c r="D1468" s="74" t="s">
        <v>2649</v>
      </c>
      <c r="E1468" s="89"/>
      <c r="F1468" s="89"/>
      <c r="G1468" s="65" t="str">
        <f>IF(stdProdLT(Main[[#This Row],[Comments]])=0.1,"N/A",IF(stdProdLT(Main[[#This Row],[Comments]])=0,"",TRIM(stdProdLT(Main[[#This Row],[Comments]]))))</f>
        <v/>
      </c>
      <c r="H1468" s="98" t="str">
        <f>IF(Main[[#This Row],[Std. Prod. Lead Time]]="N/A", "",IF(AND(Main[[#This Row],[In Stock Date]]&lt;&gt;"",Main[[#This Row],[Revised Due Date]]&lt;&gt;"",Main[[#This Row],[In Stock Date]]&lt;&gt;""),Main[[#This Row],[In Stock Date]]-Main[[#This Row],[Revised Due Date]],""))</f>
        <v/>
      </c>
      <c r="I1468" s="110" t="s">
        <v>2620</v>
      </c>
      <c r="J1468" s="99" t="s">
        <v>28</v>
      </c>
      <c r="K1468" s="99" t="s">
        <v>1922</v>
      </c>
      <c r="L1468" s="89">
        <v>40869</v>
      </c>
      <c r="M1468" s="75">
        <f>IF(Main[[#This Row],[Tech Start Date]]&lt;1/1/1990,"",IF(Main[[#This Row],[Class]]="C",WORKDAY(Main[[#This Row],[Tech Start Date]],9),IF(Main[[#This Row],[Class]]="B", WORKDAY(Main[[#This Row],[Tech Start Date]],6),IF(Main[[#This Row],[Class]]="A",WORKDAY(Main[[#This Row],[Tech Start Date]],2),""))))</f>
        <v>40871</v>
      </c>
      <c r="N1468" s="75">
        <f>IF(Main[[#This Row],[Tech Start Date]]&lt;1/1/1990,"",IF(Main[[#This Row],[Class]]="C",WORKDAY(Main[[#This Row],[Tech Start Date]],19),IF(Main[[#This Row],[Class]]="B", WORKDAY(Main[[#This Row],[Tech Start Date]],12),IF(Main[[#This Row],[Class]]="A",WORKDAY(Main[[#This Row],[Tech Start Date]],4),""))))</f>
        <v>40875</v>
      </c>
      <c r="O1468" s="75">
        <f>IF(Main[[#This Row],[Tech Start Date]]&lt;1/1/1990,"",IF(Main[[#This Row],[Class]]="C",WORKDAY(Main[[#This Row],[Tech Start Date]],23),IF(Main[[#This Row],[Class]]="B", WORKDAY(Main[[#This Row],[Tech Start Date]],15),IF(Main[[#This Row],[Class]]="A",WORKDAY(Main[[#This Row],[Tech Start Date]],5),""))))</f>
        <v>40876</v>
      </c>
      <c r="P1468" s="75">
        <f>IF(Main[[#This Row],[Tech Start Date]]&lt;1/1/1990,"",IF(Main[[#This Row],[Class]]="C",WORKDAY(Main[[#This Row],[Tech Start Date]],28),IF(Main[[#This Row],[Class]]="B", WORKDAY(Main[[#This Row],[Tech Start Date]],19),IF(Main[[#This Row],[Class]]="A",WORKDAY(Main[[#This Row],[Tech Start Date]],9),""))))</f>
        <v>40882</v>
      </c>
      <c r="Q1468" s="89">
        <v>40882</v>
      </c>
      <c r="R1468" s="121">
        <v>40882</v>
      </c>
      <c r="S1468" s="99" t="s">
        <v>11</v>
      </c>
      <c r="T1468" s="76" t="s">
        <v>4</v>
      </c>
      <c r="U1468" s="99" t="s">
        <v>14</v>
      </c>
      <c r="V1468" s="99" t="s">
        <v>1914</v>
      </c>
      <c r="W1468" s="99" t="s">
        <v>1915</v>
      </c>
      <c r="X1468" s="99" t="s">
        <v>2884</v>
      </c>
      <c r="Y1468" s="73" t="s">
        <v>3041</v>
      </c>
      <c r="Z1468" s="73" t="s">
        <v>2049</v>
      </c>
      <c r="AA1468" s="99" t="s">
        <v>2884</v>
      </c>
    </row>
    <row r="1469" spans="1:27" ht="17.25" customHeight="1">
      <c r="A1469" s="65" t="str">
        <f>IF(priority(Main[[#This Row],[Comments]])&lt;&gt;0, priority(Main[[#This Row],[Comments]]),"")</f>
        <v/>
      </c>
      <c r="B1469" s="60" t="s">
        <v>2645</v>
      </c>
      <c r="C1469" s="105" t="s">
        <v>72</v>
      </c>
      <c r="D1469" s="74" t="s">
        <v>2646</v>
      </c>
      <c r="E1469" s="89"/>
      <c r="F1469" s="89"/>
      <c r="G1469" s="65" t="str">
        <f>IF(stdProdLT(Main[[#This Row],[Comments]])=0.1,"N/A",IF(stdProdLT(Main[[#This Row],[Comments]])=0,"",TRIM(stdProdLT(Main[[#This Row],[Comments]]))))</f>
        <v/>
      </c>
      <c r="H1469" s="98" t="str">
        <f>IF(Main[[#This Row],[Std. Prod. Lead Time]]="N/A", "",IF(AND(Main[[#This Row],[In Stock Date]]&lt;&gt;"",Main[[#This Row],[Revised Due Date]]&lt;&gt;"",Main[[#This Row],[In Stock Date]]&lt;&gt;""),Main[[#This Row],[In Stock Date]]-Main[[#This Row],[Revised Due Date]],""))</f>
        <v/>
      </c>
      <c r="I1469" s="110" t="s">
        <v>2620</v>
      </c>
      <c r="J1469" s="99" t="s">
        <v>28</v>
      </c>
      <c r="K1469" s="99" t="s">
        <v>1922</v>
      </c>
      <c r="L1469" s="89">
        <v>40869</v>
      </c>
      <c r="M1469" s="75">
        <f>IF(Main[[#This Row],[Tech Start Date]]&lt;1/1/1990,"",IF(Main[[#This Row],[Class]]="C",WORKDAY(Main[[#This Row],[Tech Start Date]],9),IF(Main[[#This Row],[Class]]="B", WORKDAY(Main[[#This Row],[Tech Start Date]],6),IF(Main[[#This Row],[Class]]="A",WORKDAY(Main[[#This Row],[Tech Start Date]],2),""))))</f>
        <v>40871</v>
      </c>
      <c r="N1469" s="75">
        <f>IF(Main[[#This Row],[Tech Start Date]]&lt;1/1/1990,"",IF(Main[[#This Row],[Class]]="C",WORKDAY(Main[[#This Row],[Tech Start Date]],19),IF(Main[[#This Row],[Class]]="B", WORKDAY(Main[[#This Row],[Tech Start Date]],12),IF(Main[[#This Row],[Class]]="A",WORKDAY(Main[[#This Row],[Tech Start Date]],4),""))))</f>
        <v>40875</v>
      </c>
      <c r="O1469" s="75">
        <f>IF(Main[[#This Row],[Tech Start Date]]&lt;1/1/1990,"",IF(Main[[#This Row],[Class]]="C",WORKDAY(Main[[#This Row],[Tech Start Date]],23),IF(Main[[#This Row],[Class]]="B", WORKDAY(Main[[#This Row],[Tech Start Date]],15),IF(Main[[#This Row],[Class]]="A",WORKDAY(Main[[#This Row],[Tech Start Date]],5),""))))</f>
        <v>40876</v>
      </c>
      <c r="P1469" s="75">
        <f>IF(Main[[#This Row],[Tech Start Date]]&lt;1/1/1990,"",IF(Main[[#This Row],[Class]]="C",WORKDAY(Main[[#This Row],[Tech Start Date]],28),IF(Main[[#This Row],[Class]]="B", WORKDAY(Main[[#This Row],[Tech Start Date]],19),IF(Main[[#This Row],[Class]]="A",WORKDAY(Main[[#This Row],[Tech Start Date]],9),""))))</f>
        <v>40882</v>
      </c>
      <c r="Q1469" s="89">
        <v>40882</v>
      </c>
      <c r="R1469" s="121">
        <v>40882</v>
      </c>
      <c r="S1469" s="99" t="s">
        <v>17</v>
      </c>
      <c r="T1469" s="76" t="s">
        <v>4</v>
      </c>
      <c r="U1469" s="99" t="s">
        <v>14</v>
      </c>
      <c r="V1469" s="99" t="s">
        <v>1914</v>
      </c>
      <c r="W1469" s="99" t="s">
        <v>1915</v>
      </c>
      <c r="X1469" s="99" t="s">
        <v>2884</v>
      </c>
      <c r="Y1469" s="73" t="s">
        <v>3041</v>
      </c>
      <c r="Z1469" s="73" t="s">
        <v>2049</v>
      </c>
      <c r="AA1469" s="99" t="s">
        <v>2884</v>
      </c>
    </row>
    <row r="1470" spans="1:27" ht="17.25" customHeight="1">
      <c r="A1470" s="65" t="str">
        <f>IF(priority(Main[[#This Row],[Comments]])&lt;&gt;0, priority(Main[[#This Row],[Comments]]),"")</f>
        <v/>
      </c>
      <c r="B1470" s="60" t="s">
        <v>1227</v>
      </c>
      <c r="C1470" s="105" t="s">
        <v>33</v>
      </c>
      <c r="D1470" s="74" t="s">
        <v>3783</v>
      </c>
      <c r="E1470" s="89">
        <v>40603.336435185185</v>
      </c>
      <c r="F1470" s="89">
        <v>40632</v>
      </c>
      <c r="G1470" s="65" t="str">
        <f>IF(stdProdLT(Main[[#This Row],[Comments]])=0.1,"N/A",IF(stdProdLT(Main[[#This Row],[Comments]])=0,"",TRIM(stdProdLT(Main[[#This Row],[Comments]]))))</f>
        <v/>
      </c>
      <c r="H1470" s="98">
        <f>IF(Main[[#This Row],[Std. Prod. Lead Time]]="N/A", "",IF(AND(Main[[#This Row],[In Stock Date]]&lt;&gt;"",Main[[#This Row],[Revised Due Date]]&lt;&gt;"",Main[[#This Row],[In Stock Date]]&lt;&gt;""),Main[[#This Row],[In Stock Date]]-Main[[#This Row],[Revised Due Date]],""))</f>
        <v>-351</v>
      </c>
      <c r="I1470" s="110" t="s">
        <v>889</v>
      </c>
      <c r="J1470" s="99" t="s">
        <v>28</v>
      </c>
      <c r="K1470" s="99" t="s">
        <v>1925</v>
      </c>
      <c r="L1470" s="89">
        <v>40878</v>
      </c>
      <c r="M1470" s="75" t="str">
        <f>IF(Main[[#This Row],[Tech Start Date]]&lt;1/1/1990,"",IF(Main[[#This Row],[Class]]="C",WORKDAY(Main[[#This Row],[Tech Start Date]],9),IF(Main[[#This Row],[Class]]="B", WORKDAY(Main[[#This Row],[Tech Start Date]],6),IF(Main[[#This Row],[Class]]="A",WORKDAY(Main[[#This Row],[Tech Start Date]],2),""))))</f>
        <v/>
      </c>
      <c r="N1470" s="75" t="str">
        <f>IF(Main[[#This Row],[Tech Start Date]]&lt;1/1/1990,"",IF(Main[[#This Row],[Class]]="C",WORKDAY(Main[[#This Row],[Tech Start Date]],19),IF(Main[[#This Row],[Class]]="B", WORKDAY(Main[[#This Row],[Tech Start Date]],12),IF(Main[[#This Row],[Class]]="A",WORKDAY(Main[[#This Row],[Tech Start Date]],4),""))))</f>
        <v/>
      </c>
      <c r="O1470" s="75" t="str">
        <f>IF(Main[[#This Row],[Tech Start Date]]&lt;1/1/1990,"",IF(Main[[#This Row],[Class]]="C",WORKDAY(Main[[#This Row],[Tech Start Date]],23),IF(Main[[#This Row],[Class]]="B", WORKDAY(Main[[#This Row],[Tech Start Date]],15),IF(Main[[#This Row],[Class]]="A",WORKDAY(Main[[#This Row],[Tech Start Date]],5),""))))</f>
        <v/>
      </c>
      <c r="P1470" s="75" t="str">
        <f>IF(Main[[#This Row],[Tech Start Date]]&lt;1/1/1990,"",IF(Main[[#This Row],[Class]]="C",WORKDAY(Main[[#This Row],[Tech Start Date]],28),IF(Main[[#This Row],[Class]]="B", WORKDAY(Main[[#This Row],[Tech Start Date]],19),IF(Main[[#This Row],[Class]]="A",WORKDAY(Main[[#This Row],[Tech Start Date]],9),""))))</f>
        <v/>
      </c>
      <c r="Q1470" s="89">
        <v>40612</v>
      </c>
      <c r="R1470" s="121">
        <v>40983</v>
      </c>
      <c r="S1470" s="99" t="s">
        <v>17</v>
      </c>
      <c r="T1470" s="76" t="s">
        <v>4</v>
      </c>
      <c r="U1470" s="99" t="s">
        <v>29</v>
      </c>
      <c r="V1470" s="99" t="s">
        <v>1913</v>
      </c>
      <c r="W1470" s="99" t="s">
        <v>1918</v>
      </c>
      <c r="X1470" s="99" t="s">
        <v>2869</v>
      </c>
      <c r="Y1470" s="73" t="s">
        <v>3015</v>
      </c>
      <c r="Z1470" s="73" t="s">
        <v>877</v>
      </c>
      <c r="AA1470" s="99" t="s">
        <v>2869</v>
      </c>
    </row>
    <row r="1471" spans="1:27" ht="17.25" customHeight="1">
      <c r="A1471" s="65" t="str">
        <f>IF(priority(Main[[#This Row],[Comments]])&lt;&gt;0, priority(Main[[#This Row],[Comments]]),"")</f>
        <v/>
      </c>
      <c r="B1471" s="60" t="s">
        <v>2562</v>
      </c>
      <c r="C1471" s="105" t="s">
        <v>2563</v>
      </c>
      <c r="D1471" s="74" t="s">
        <v>2800</v>
      </c>
      <c r="E1471" s="89"/>
      <c r="F1471" s="89"/>
      <c r="G1471" s="65" t="str">
        <f>IF(stdProdLT(Main[[#This Row],[Comments]])=0.1,"N/A",IF(stdProdLT(Main[[#This Row],[Comments]])=0,"",TRIM(stdProdLT(Main[[#This Row],[Comments]]))))</f>
        <v>140</v>
      </c>
      <c r="H1471" s="98" t="str">
        <f>IF(Main[[#This Row],[Std. Prod. Lead Time]]="N/A", "",IF(AND(Main[[#This Row],[In Stock Date]]&lt;&gt;"",Main[[#This Row],[Revised Due Date]]&lt;&gt;"",Main[[#This Row],[In Stock Date]]&lt;&gt;""),Main[[#This Row],[In Stock Date]]-Main[[#This Row],[Revised Due Date]],""))</f>
        <v/>
      </c>
      <c r="I1471" s="110" t="s">
        <v>429</v>
      </c>
      <c r="J1471" s="99" t="s">
        <v>70</v>
      </c>
      <c r="K1471" s="99" t="s">
        <v>1922</v>
      </c>
      <c r="L1471" s="89">
        <v>40885</v>
      </c>
      <c r="M1471" s="75">
        <f>IF(Main[[#This Row],[Tech Start Date]]&lt;1/1/1990,"",IF(Main[[#This Row],[Class]]="C",WORKDAY(Main[[#This Row],[Tech Start Date]],9),IF(Main[[#This Row],[Class]]="B", WORKDAY(Main[[#This Row],[Tech Start Date]],6),IF(Main[[#This Row],[Class]]="A",WORKDAY(Main[[#This Row],[Tech Start Date]],2),""))))</f>
        <v>40889</v>
      </c>
      <c r="N1471" s="75">
        <f>IF(Main[[#This Row],[Tech Start Date]]&lt;1/1/1990,"",IF(Main[[#This Row],[Class]]="C",WORKDAY(Main[[#This Row],[Tech Start Date]],19),IF(Main[[#This Row],[Class]]="B", WORKDAY(Main[[#This Row],[Tech Start Date]],12),IF(Main[[#This Row],[Class]]="A",WORKDAY(Main[[#This Row],[Tech Start Date]],4),""))))</f>
        <v>40891</v>
      </c>
      <c r="O1471" s="75">
        <f>IF(Main[[#This Row],[Tech Start Date]]&lt;1/1/1990,"",IF(Main[[#This Row],[Class]]="C",WORKDAY(Main[[#This Row],[Tech Start Date]],23),IF(Main[[#This Row],[Class]]="B", WORKDAY(Main[[#This Row],[Tech Start Date]],15),IF(Main[[#This Row],[Class]]="A",WORKDAY(Main[[#This Row],[Tech Start Date]],5),""))))</f>
        <v>40892</v>
      </c>
      <c r="P1471" s="75">
        <f>IF(Main[[#This Row],[Tech Start Date]]&lt;1/1/1990,"",IF(Main[[#This Row],[Class]]="C",WORKDAY(Main[[#This Row],[Tech Start Date]],28),IF(Main[[#This Row],[Class]]="B", WORKDAY(Main[[#This Row],[Tech Start Date]],19),IF(Main[[#This Row],[Class]]="A",WORKDAY(Main[[#This Row],[Tech Start Date]],9),""))))</f>
        <v>40898</v>
      </c>
      <c r="Q1471" s="89">
        <v>40879</v>
      </c>
      <c r="R1471" s="121"/>
      <c r="S1471" s="99" t="s">
        <v>11</v>
      </c>
      <c r="T1471" s="76" t="s">
        <v>3784</v>
      </c>
      <c r="U1471" s="99" t="s">
        <v>14</v>
      </c>
      <c r="V1471" s="99" t="s">
        <v>1923</v>
      </c>
      <c r="W1471" s="99" t="s">
        <v>1921</v>
      </c>
      <c r="X1471" s="99" t="s">
        <v>2898</v>
      </c>
      <c r="Y1471" s="73" t="s">
        <v>4</v>
      </c>
      <c r="Z1471" s="73" t="s">
        <v>530</v>
      </c>
      <c r="AA1471" s="99" t="s">
        <v>2898</v>
      </c>
    </row>
    <row r="1472" spans="1:27" ht="17.25" customHeight="1">
      <c r="A1472" s="65" t="str">
        <f>IF(priority(Main[[#This Row],[Comments]])&lt;&gt;0, priority(Main[[#This Row],[Comments]]),"")</f>
        <v/>
      </c>
      <c r="B1472" s="60" t="s">
        <v>2801</v>
      </c>
      <c r="C1472" s="105" t="s">
        <v>2802</v>
      </c>
      <c r="D1472" s="74" t="s">
        <v>3171</v>
      </c>
      <c r="E1472" s="89">
        <v>40889.938506944447</v>
      </c>
      <c r="F1472" s="89">
        <v>41029</v>
      </c>
      <c r="G1472" s="65" t="str">
        <f>IF(stdProdLT(Main[[#This Row],[Comments]])=0.1,"N/A",IF(stdProdLT(Main[[#This Row],[Comments]])=0,"",TRIM(stdProdLT(Main[[#This Row],[Comments]]))))</f>
        <v>154</v>
      </c>
      <c r="H1472" s="98" t="str">
        <f>IF(Main[[#This Row],[Std. Prod. Lead Time]]="N/A", "",IF(AND(Main[[#This Row],[In Stock Date]]&lt;&gt;"",Main[[#This Row],[Revised Due Date]]&lt;&gt;"",Main[[#This Row],[In Stock Date]]&lt;&gt;""),Main[[#This Row],[In Stock Date]]-Main[[#This Row],[Revised Due Date]],""))</f>
        <v/>
      </c>
      <c r="I1472" s="110" t="s">
        <v>765</v>
      </c>
      <c r="J1472" s="99" t="s">
        <v>28</v>
      </c>
      <c r="K1472" s="99" t="s">
        <v>1920</v>
      </c>
      <c r="L1472" s="89">
        <v>40904</v>
      </c>
      <c r="M1472" s="75">
        <f>IF(Main[[#This Row],[Tech Start Date]]&lt;1/1/1990,"",IF(Main[[#This Row],[Class]]="C",WORKDAY(Main[[#This Row],[Tech Start Date]],9),IF(Main[[#This Row],[Class]]="B", WORKDAY(Main[[#This Row],[Tech Start Date]],6),IF(Main[[#This Row],[Class]]="A",WORKDAY(Main[[#This Row],[Tech Start Date]],2),""))))</f>
        <v>40912</v>
      </c>
      <c r="N1472" s="75">
        <f>IF(Main[[#This Row],[Tech Start Date]]&lt;1/1/1990,"",IF(Main[[#This Row],[Class]]="C",WORKDAY(Main[[#This Row],[Tech Start Date]],19),IF(Main[[#This Row],[Class]]="B", WORKDAY(Main[[#This Row],[Tech Start Date]],12),IF(Main[[#This Row],[Class]]="A",WORKDAY(Main[[#This Row],[Tech Start Date]],4),""))))</f>
        <v>40920</v>
      </c>
      <c r="O1472" s="75">
        <f>IF(Main[[#This Row],[Tech Start Date]]&lt;1/1/1990,"",IF(Main[[#This Row],[Class]]="C",WORKDAY(Main[[#This Row],[Tech Start Date]],23),IF(Main[[#This Row],[Class]]="B", WORKDAY(Main[[#This Row],[Tech Start Date]],15),IF(Main[[#This Row],[Class]]="A",WORKDAY(Main[[#This Row],[Tech Start Date]],5),""))))</f>
        <v>40925</v>
      </c>
      <c r="P1472" s="75">
        <f>IF(Main[[#This Row],[Tech Start Date]]&lt;1/1/1990,"",IF(Main[[#This Row],[Class]]="C",WORKDAY(Main[[#This Row],[Tech Start Date]],28),IF(Main[[#This Row],[Class]]="B", WORKDAY(Main[[#This Row],[Tech Start Date]],19),IF(Main[[#This Row],[Class]]="A",WORKDAY(Main[[#This Row],[Tech Start Date]],9),""))))</f>
        <v>40931</v>
      </c>
      <c r="Q1472" s="89">
        <v>40918</v>
      </c>
      <c r="R1472" s="121"/>
      <c r="S1472" s="99" t="s">
        <v>11</v>
      </c>
      <c r="T1472" s="76" t="s">
        <v>3305</v>
      </c>
      <c r="U1472" s="99" t="s">
        <v>534</v>
      </c>
      <c r="V1472" s="99" t="s">
        <v>1916</v>
      </c>
      <c r="W1472" s="99" t="s">
        <v>1918</v>
      </c>
      <c r="X1472" s="99" t="s">
        <v>2918</v>
      </c>
      <c r="Y1472" s="73" t="s">
        <v>4</v>
      </c>
      <c r="Z1472" s="73" t="s">
        <v>530</v>
      </c>
      <c r="AA1472" s="99" t="s">
        <v>2918</v>
      </c>
    </row>
    <row r="1473" spans="1:27" ht="17.25" customHeight="1">
      <c r="A1473" s="65" t="str">
        <f>IF(priority(Main[[#This Row],[Comments]])&lt;&gt;0, priority(Main[[#This Row],[Comments]]),"")</f>
        <v/>
      </c>
      <c r="B1473" s="60" t="s">
        <v>3166</v>
      </c>
      <c r="C1473" s="105" t="s">
        <v>3236</v>
      </c>
      <c r="D1473" s="74" t="s">
        <v>3306</v>
      </c>
      <c r="E1473" s="89"/>
      <c r="F1473" s="89">
        <v>41105</v>
      </c>
      <c r="G1473" s="65" t="str">
        <f>IF(stdProdLT(Main[[#This Row],[Comments]])=0.1,"N/A",IF(stdProdLT(Main[[#This Row],[Comments]])=0,"",TRIM(stdProdLT(Main[[#This Row],[Comments]]))))</f>
        <v>126</v>
      </c>
      <c r="H1473" s="98" t="str">
        <f>IF(Main[[#This Row],[Std. Prod. Lead Time]]="N/A", "",IF(AND(Main[[#This Row],[In Stock Date]]&lt;&gt;"",Main[[#This Row],[Revised Due Date]]&lt;&gt;"",Main[[#This Row],[In Stock Date]]&lt;&gt;""),Main[[#This Row],[In Stock Date]]-Main[[#This Row],[Revised Due Date]],""))</f>
        <v/>
      </c>
      <c r="I1473" s="110" t="s">
        <v>937</v>
      </c>
      <c r="J1473" s="99" t="s">
        <v>28</v>
      </c>
      <c r="K1473" s="99" t="s">
        <v>1920</v>
      </c>
      <c r="L1473" s="89">
        <v>40921</v>
      </c>
      <c r="M1473" s="75">
        <f>IF(Main[[#This Row],[Tech Start Date]]&lt;1/1/1990,"",IF(Main[[#This Row],[Class]]="C",WORKDAY(Main[[#This Row],[Tech Start Date]],9),IF(Main[[#This Row],[Class]]="B", WORKDAY(Main[[#This Row],[Tech Start Date]],6),IF(Main[[#This Row],[Class]]="A",WORKDAY(Main[[#This Row],[Tech Start Date]],2),""))))</f>
        <v>40931</v>
      </c>
      <c r="N1473" s="75">
        <f>IF(Main[[#This Row],[Tech Start Date]]&lt;1/1/1990,"",IF(Main[[#This Row],[Class]]="C",WORKDAY(Main[[#This Row],[Tech Start Date]],19),IF(Main[[#This Row],[Class]]="B", WORKDAY(Main[[#This Row],[Tech Start Date]],12),IF(Main[[#This Row],[Class]]="A",WORKDAY(Main[[#This Row],[Tech Start Date]],4),""))))</f>
        <v>40939</v>
      </c>
      <c r="O1473" s="75">
        <f>IF(Main[[#This Row],[Tech Start Date]]&lt;1/1/1990,"",IF(Main[[#This Row],[Class]]="C",WORKDAY(Main[[#This Row],[Tech Start Date]],23),IF(Main[[#This Row],[Class]]="B", WORKDAY(Main[[#This Row],[Tech Start Date]],15),IF(Main[[#This Row],[Class]]="A",WORKDAY(Main[[#This Row],[Tech Start Date]],5),""))))</f>
        <v>40942</v>
      </c>
      <c r="P1473" s="75">
        <f>IF(Main[[#This Row],[Tech Start Date]]&lt;1/1/1990,"",IF(Main[[#This Row],[Class]]="C",WORKDAY(Main[[#This Row],[Tech Start Date]],28),IF(Main[[#This Row],[Class]]="B", WORKDAY(Main[[#This Row],[Tech Start Date]],19),IF(Main[[#This Row],[Class]]="A",WORKDAY(Main[[#This Row],[Tech Start Date]],9),""))))</f>
        <v>40948</v>
      </c>
      <c r="Q1473" s="89">
        <v>41105</v>
      </c>
      <c r="R1473" s="121"/>
      <c r="S1473" s="99" t="s">
        <v>11</v>
      </c>
      <c r="T1473" s="76" t="s">
        <v>3307</v>
      </c>
      <c r="U1473" s="99" t="s">
        <v>14</v>
      </c>
      <c r="V1473" s="99" t="s">
        <v>1913</v>
      </c>
      <c r="W1473" s="99" t="s">
        <v>1924</v>
      </c>
      <c r="X1473" s="99" t="s">
        <v>2846</v>
      </c>
      <c r="Y1473" s="73" t="s">
        <v>2984</v>
      </c>
      <c r="Z1473" s="73" t="s">
        <v>129</v>
      </c>
      <c r="AA1473" s="99" t="s">
        <v>2846</v>
      </c>
    </row>
    <row r="1474" spans="1:27" ht="17.25" customHeight="1">
      <c r="A1474" s="65" t="str">
        <f>IF(priority(Main[[#This Row],[Comments]])&lt;&gt;0, priority(Main[[#This Row],[Comments]]),"")</f>
        <v/>
      </c>
      <c r="B1474" s="60" t="s">
        <v>3485</v>
      </c>
      <c r="C1474" s="105" t="s">
        <v>3486</v>
      </c>
      <c r="D1474" s="74" t="s">
        <v>3487</v>
      </c>
      <c r="E1474" s="89">
        <v>40899.057951388888</v>
      </c>
      <c r="F1474" s="89"/>
      <c r="G1474" s="65" t="str">
        <f>IF(stdProdLT(Main[[#This Row],[Comments]])=0.1,"N/A",IF(stdProdLT(Main[[#This Row],[Comments]])=0,"",TRIM(stdProdLT(Main[[#This Row],[Comments]]))))</f>
        <v>N/A</v>
      </c>
      <c r="H1474" s="98" t="str">
        <f>IF(Main[[#This Row],[Std. Prod. Lead Time]]="N/A", "",IF(AND(Main[[#This Row],[In Stock Date]]&lt;&gt;"",Main[[#This Row],[Revised Due Date]]&lt;&gt;"",Main[[#This Row],[In Stock Date]]&lt;&gt;""),Main[[#This Row],[In Stock Date]]-Main[[#This Row],[Revised Due Date]],""))</f>
        <v/>
      </c>
      <c r="I1474" s="110" t="s">
        <v>946</v>
      </c>
      <c r="J1474" s="99" t="s">
        <v>28</v>
      </c>
      <c r="K1474" s="99" t="s">
        <v>1926</v>
      </c>
      <c r="L1474" s="89">
        <v>40932</v>
      </c>
      <c r="M1474" s="75">
        <f>IF(Main[[#This Row],[Tech Start Date]]&lt;1/1/1990,"",IF(Main[[#This Row],[Class]]="C",WORKDAY(Main[[#This Row],[Tech Start Date]],9),IF(Main[[#This Row],[Class]]="B", WORKDAY(Main[[#This Row],[Tech Start Date]],6),IF(Main[[#This Row],[Class]]="A",WORKDAY(Main[[#This Row],[Tech Start Date]],2),""))))</f>
        <v>40945</v>
      </c>
      <c r="N1474" s="75">
        <f>IF(Main[[#This Row],[Tech Start Date]]&lt;1/1/1990,"",IF(Main[[#This Row],[Class]]="C",WORKDAY(Main[[#This Row],[Tech Start Date]],19),IF(Main[[#This Row],[Class]]="B", WORKDAY(Main[[#This Row],[Tech Start Date]],12),IF(Main[[#This Row],[Class]]="A",WORKDAY(Main[[#This Row],[Tech Start Date]],4),""))))</f>
        <v>40959</v>
      </c>
      <c r="O1474" s="75">
        <f>IF(Main[[#This Row],[Tech Start Date]]&lt;1/1/1990,"",IF(Main[[#This Row],[Class]]="C",WORKDAY(Main[[#This Row],[Tech Start Date]],23),IF(Main[[#This Row],[Class]]="B", WORKDAY(Main[[#This Row],[Tech Start Date]],15),IF(Main[[#This Row],[Class]]="A",WORKDAY(Main[[#This Row],[Tech Start Date]],5),""))))</f>
        <v>40963</v>
      </c>
      <c r="P1474" s="75">
        <f>IF(Main[[#This Row],[Tech Start Date]]&lt;1/1/1990,"",IF(Main[[#This Row],[Class]]="C",WORKDAY(Main[[#This Row],[Tech Start Date]],28),IF(Main[[#This Row],[Class]]="B", WORKDAY(Main[[#This Row],[Tech Start Date]],19),IF(Main[[#This Row],[Class]]="A",WORKDAY(Main[[#This Row],[Tech Start Date]],9),""))))</f>
        <v>40970</v>
      </c>
      <c r="Q1474" s="89">
        <v>40921</v>
      </c>
      <c r="R1474" s="121">
        <v>40968</v>
      </c>
      <c r="S1474" s="99" t="s">
        <v>17</v>
      </c>
      <c r="T1474" s="76" t="s">
        <v>3488</v>
      </c>
      <c r="U1474" s="99" t="s">
        <v>29</v>
      </c>
      <c r="V1474" s="99" t="s">
        <v>1914</v>
      </c>
      <c r="W1474" s="99" t="s">
        <v>1915</v>
      </c>
      <c r="X1474" s="99" t="s">
        <v>2829</v>
      </c>
      <c r="Y1474" s="73" t="s">
        <v>4</v>
      </c>
      <c r="Z1474" s="73" t="s">
        <v>2049</v>
      </c>
      <c r="AA1474" s="99" t="s">
        <v>2829</v>
      </c>
    </row>
    <row r="1475" spans="1:27" ht="17.25" customHeight="1">
      <c r="A1475" s="65" t="str">
        <f>IF(priority(Main[[#This Row],[Comments]])&lt;&gt;0, priority(Main[[#This Row],[Comments]]),"")</f>
        <v/>
      </c>
      <c r="B1475" s="60" t="s">
        <v>3489</v>
      </c>
      <c r="C1475" s="105" t="s">
        <v>2206</v>
      </c>
      <c r="D1475" s="74" t="s">
        <v>3554</v>
      </c>
      <c r="E1475" s="89"/>
      <c r="F1475" s="89">
        <v>40978</v>
      </c>
      <c r="G1475" s="65" t="str">
        <f>IF(stdProdLT(Main[[#This Row],[Comments]])=0.1,"N/A",IF(stdProdLT(Main[[#This Row],[Comments]])=0,"",TRIM(stdProdLT(Main[[#This Row],[Comments]]))))</f>
        <v/>
      </c>
      <c r="H1475" s="98">
        <f>IF(Main[[#This Row],[Std. Prod. Lead Time]]="N/A", "",IF(AND(Main[[#This Row],[In Stock Date]]&lt;&gt;"",Main[[#This Row],[Revised Due Date]]&lt;&gt;"",Main[[#This Row],[In Stock Date]]&lt;&gt;""),Main[[#This Row],[In Stock Date]]-Main[[#This Row],[Revised Due Date]],""))</f>
        <v>24</v>
      </c>
      <c r="I1475" s="110" t="s">
        <v>941</v>
      </c>
      <c r="J1475" s="99" t="s">
        <v>28</v>
      </c>
      <c r="K1475" s="99" t="s">
        <v>1922</v>
      </c>
      <c r="L1475" s="89">
        <v>40945</v>
      </c>
      <c r="M1475" s="75">
        <f>IF(Main[[#This Row],[Tech Start Date]]&lt;1/1/1990,"",IF(Main[[#This Row],[Class]]="C",WORKDAY(Main[[#This Row],[Tech Start Date]],9),IF(Main[[#This Row],[Class]]="B", WORKDAY(Main[[#This Row],[Tech Start Date]],6),IF(Main[[#This Row],[Class]]="A",WORKDAY(Main[[#This Row],[Tech Start Date]],2),""))))</f>
        <v>40947</v>
      </c>
      <c r="N1475" s="75">
        <f>IF(Main[[#This Row],[Tech Start Date]]&lt;1/1/1990,"",IF(Main[[#This Row],[Class]]="C",WORKDAY(Main[[#This Row],[Tech Start Date]],19),IF(Main[[#This Row],[Class]]="B", WORKDAY(Main[[#This Row],[Tech Start Date]],12),IF(Main[[#This Row],[Class]]="A",WORKDAY(Main[[#This Row],[Tech Start Date]],4),""))))</f>
        <v>40949</v>
      </c>
      <c r="O1475" s="75">
        <f>IF(Main[[#This Row],[Tech Start Date]]&lt;1/1/1990,"",IF(Main[[#This Row],[Class]]="C",WORKDAY(Main[[#This Row],[Tech Start Date]],23),IF(Main[[#This Row],[Class]]="B", WORKDAY(Main[[#This Row],[Tech Start Date]],15),IF(Main[[#This Row],[Class]]="A",WORKDAY(Main[[#This Row],[Tech Start Date]],5),""))))</f>
        <v>40952</v>
      </c>
      <c r="P1475" s="75">
        <f>IF(Main[[#This Row],[Tech Start Date]]&lt;1/1/1990,"",IF(Main[[#This Row],[Class]]="C",WORKDAY(Main[[#This Row],[Tech Start Date]],28),IF(Main[[#This Row],[Class]]="B", WORKDAY(Main[[#This Row],[Tech Start Date]],19),IF(Main[[#This Row],[Class]]="A",WORKDAY(Main[[#This Row],[Tech Start Date]],9),""))))</f>
        <v>40956</v>
      </c>
      <c r="Q1475" s="89">
        <v>40978</v>
      </c>
      <c r="R1475" s="121">
        <v>40954</v>
      </c>
      <c r="S1475" s="99" t="s">
        <v>11</v>
      </c>
      <c r="T1475" s="76" t="s">
        <v>3555</v>
      </c>
      <c r="U1475" s="99" t="s">
        <v>14</v>
      </c>
      <c r="V1475" s="99" t="s">
        <v>1914</v>
      </c>
      <c r="W1475" s="99" t="s">
        <v>1918</v>
      </c>
      <c r="X1475" s="99" t="s">
        <v>2810</v>
      </c>
      <c r="Y1475" s="73" t="s">
        <v>4</v>
      </c>
      <c r="Z1475" s="73" t="s">
        <v>2049</v>
      </c>
      <c r="AA1475" s="99" t="s">
        <v>2810</v>
      </c>
    </row>
    <row r="1476" spans="1:27" ht="17.25" customHeight="1">
      <c r="A1476" s="65" t="str">
        <f>IF(priority(Main[[#This Row],[Comments]])&lt;&gt;0, priority(Main[[#This Row],[Comments]]),"")</f>
        <v/>
      </c>
      <c r="B1476" s="60" t="s">
        <v>3559</v>
      </c>
      <c r="C1476" s="105" t="s">
        <v>4</v>
      </c>
      <c r="D1476" s="74" t="s">
        <v>3560</v>
      </c>
      <c r="E1476" s="89">
        <v>40947.374143518522</v>
      </c>
      <c r="F1476" s="89"/>
      <c r="G1476" s="65" t="str">
        <f>IF(stdProdLT(Main[[#This Row],[Comments]])=0.1,"N/A",IF(stdProdLT(Main[[#This Row],[Comments]])=0,"",TRIM(stdProdLT(Main[[#This Row],[Comments]]))))</f>
        <v/>
      </c>
      <c r="H1476" s="98" t="str">
        <f>IF(Main[[#This Row],[Std. Prod. Lead Time]]="N/A", "",IF(AND(Main[[#This Row],[In Stock Date]]&lt;&gt;"",Main[[#This Row],[Revised Due Date]]&lt;&gt;"",Main[[#This Row],[In Stock Date]]&lt;&gt;""),Main[[#This Row],[In Stock Date]]-Main[[#This Row],[Revised Due Date]],""))</f>
        <v/>
      </c>
      <c r="I1476" s="110" t="s">
        <v>942</v>
      </c>
      <c r="J1476" s="99" t="s">
        <v>28</v>
      </c>
      <c r="K1476" s="100" t="s">
        <v>1920</v>
      </c>
      <c r="L1476" s="89">
        <v>40947</v>
      </c>
      <c r="M1476" s="75">
        <f>IF(Main[[#This Row],[Tech Start Date]]&lt;1/1/1990,"",IF(Main[[#This Row],[Class]]="C",WORKDAY(Main[[#This Row],[Tech Start Date]],9),IF(Main[[#This Row],[Class]]="B", WORKDAY(Main[[#This Row],[Tech Start Date]],6),IF(Main[[#This Row],[Class]]="A",WORKDAY(Main[[#This Row],[Tech Start Date]],2),""))))</f>
        <v>40955</v>
      </c>
      <c r="N1476" s="75">
        <f>IF(Main[[#This Row],[Tech Start Date]]&lt;1/1/1990,"",IF(Main[[#This Row],[Class]]="C",WORKDAY(Main[[#This Row],[Tech Start Date]],19),IF(Main[[#This Row],[Class]]="B", WORKDAY(Main[[#This Row],[Tech Start Date]],12),IF(Main[[#This Row],[Class]]="A",WORKDAY(Main[[#This Row],[Tech Start Date]],4),""))))</f>
        <v>40963</v>
      </c>
      <c r="O1476" s="75">
        <f>IF(Main[[#This Row],[Tech Start Date]]&lt;1/1/1990,"",IF(Main[[#This Row],[Class]]="C",WORKDAY(Main[[#This Row],[Tech Start Date]],23),IF(Main[[#This Row],[Class]]="B", WORKDAY(Main[[#This Row],[Tech Start Date]],15),IF(Main[[#This Row],[Class]]="A",WORKDAY(Main[[#This Row],[Tech Start Date]],5),""))))</f>
        <v>40968</v>
      </c>
      <c r="P1476" s="75">
        <f>IF(Main[[#This Row],[Tech Start Date]]&lt;1/1/1990,"",IF(Main[[#This Row],[Class]]="C",WORKDAY(Main[[#This Row],[Tech Start Date]],28),IF(Main[[#This Row],[Class]]="B", WORKDAY(Main[[#This Row],[Tech Start Date]],19),IF(Main[[#This Row],[Class]]="A",WORKDAY(Main[[#This Row],[Tech Start Date]],9),""))))</f>
        <v>40974</v>
      </c>
      <c r="Q1476" s="89"/>
      <c r="R1476" s="121">
        <v>40956</v>
      </c>
      <c r="S1476" s="99" t="s">
        <v>6</v>
      </c>
      <c r="T1476" s="76" t="s">
        <v>4</v>
      </c>
      <c r="U1476" s="99" t="s">
        <v>29</v>
      </c>
      <c r="V1476" s="99" t="s">
        <v>1914</v>
      </c>
      <c r="W1476" s="99" t="s">
        <v>1918</v>
      </c>
      <c r="X1476" s="99" t="s">
        <v>2049</v>
      </c>
      <c r="Y1476" s="73" t="s">
        <v>3147</v>
      </c>
      <c r="Z1476" s="73" t="s">
        <v>2049</v>
      </c>
      <c r="AA1476" s="99" t="s">
        <v>2049</v>
      </c>
    </row>
    <row r="1477" spans="1:27" ht="17.25" customHeight="1">
      <c r="A1477" s="65" t="str">
        <f>IF(priority(Main[[#This Row],[Comments]])&lt;&gt;0, priority(Main[[#This Row],[Comments]]),"")</f>
        <v/>
      </c>
      <c r="B1477" s="60" t="s">
        <v>3260</v>
      </c>
      <c r="C1477" s="105" t="s">
        <v>3199</v>
      </c>
      <c r="D1477" s="74" t="s">
        <v>3261</v>
      </c>
      <c r="E1477" s="89"/>
      <c r="F1477" s="89">
        <v>41153</v>
      </c>
      <c r="G1477" s="65" t="str">
        <f>IF(stdProdLT(Main[[#This Row],[Comments]])=0.1,"N/A",IF(stdProdLT(Main[[#This Row],[Comments]])=0,"",TRIM(stdProdLT(Main[[#This Row],[Comments]]))))</f>
        <v>168</v>
      </c>
      <c r="H1477" s="98" t="str">
        <f>IF(Main[[#This Row],[Std. Prod. Lead Time]]="N/A", "",IF(AND(Main[[#This Row],[In Stock Date]]&lt;&gt;"",Main[[#This Row],[Revised Due Date]]&lt;&gt;"",Main[[#This Row],[In Stock Date]]&lt;&gt;""),Main[[#This Row],[In Stock Date]]-Main[[#This Row],[Revised Due Date]],""))</f>
        <v/>
      </c>
      <c r="I1477" s="110" t="s">
        <v>765</v>
      </c>
      <c r="J1477" s="99" t="s">
        <v>28</v>
      </c>
      <c r="K1477" s="100" t="s">
        <v>1920</v>
      </c>
      <c r="L1477" s="89">
        <v>40948</v>
      </c>
      <c r="M1477" s="75">
        <f>IF(Main[[#This Row],[Tech Start Date]]&lt;1/1/1990,"",IF(Main[[#This Row],[Class]]="C",WORKDAY(Main[[#This Row],[Tech Start Date]],9),IF(Main[[#This Row],[Class]]="B", WORKDAY(Main[[#This Row],[Tech Start Date]],6),IF(Main[[#This Row],[Class]]="A",WORKDAY(Main[[#This Row],[Tech Start Date]],2),""))))</f>
        <v>40956</v>
      </c>
      <c r="N1477" s="75">
        <f>IF(Main[[#This Row],[Tech Start Date]]&lt;1/1/1990,"",IF(Main[[#This Row],[Class]]="C",WORKDAY(Main[[#This Row],[Tech Start Date]],19),IF(Main[[#This Row],[Class]]="B", WORKDAY(Main[[#This Row],[Tech Start Date]],12),IF(Main[[#This Row],[Class]]="A",WORKDAY(Main[[#This Row],[Tech Start Date]],4),""))))</f>
        <v>40966</v>
      </c>
      <c r="O1477" s="75">
        <f>IF(Main[[#This Row],[Tech Start Date]]&lt;1/1/1990,"",IF(Main[[#This Row],[Class]]="C",WORKDAY(Main[[#This Row],[Tech Start Date]],23),IF(Main[[#This Row],[Class]]="B", WORKDAY(Main[[#This Row],[Tech Start Date]],15),IF(Main[[#This Row],[Class]]="A",WORKDAY(Main[[#This Row],[Tech Start Date]],5),""))))</f>
        <v>40969</v>
      </c>
      <c r="P1477" s="75">
        <f>IF(Main[[#This Row],[Tech Start Date]]&lt;1/1/1990,"",IF(Main[[#This Row],[Class]]="C",WORKDAY(Main[[#This Row],[Tech Start Date]],28),IF(Main[[#This Row],[Class]]="B", WORKDAY(Main[[#This Row],[Tech Start Date]],19),IF(Main[[#This Row],[Class]]="A",WORKDAY(Main[[#This Row],[Tech Start Date]],9),""))))</f>
        <v>40975</v>
      </c>
      <c r="Q1477" s="89">
        <v>40983</v>
      </c>
      <c r="R1477" s="121"/>
      <c r="S1477" s="99" t="s">
        <v>11</v>
      </c>
      <c r="T1477" s="76" t="s">
        <v>3808</v>
      </c>
      <c r="U1477" s="99" t="s">
        <v>14</v>
      </c>
      <c r="V1477" s="99" t="s">
        <v>1916</v>
      </c>
      <c r="W1477" s="99" t="s">
        <v>1919</v>
      </c>
      <c r="X1477" s="99" t="s">
        <v>2842</v>
      </c>
      <c r="Y1477" s="73" t="s">
        <v>2973</v>
      </c>
      <c r="Z1477" s="73" t="s">
        <v>530</v>
      </c>
      <c r="AA1477" s="99" t="s">
        <v>2842</v>
      </c>
    </row>
    <row r="1478" spans="1:27" ht="17.25" customHeight="1">
      <c r="A1478" s="65" t="str">
        <f>IF(priority(Main[[#This Row],[Comments]])&lt;&gt;0, priority(Main[[#This Row],[Comments]]),"")</f>
        <v/>
      </c>
      <c r="B1478" s="60" t="s">
        <v>3562</v>
      </c>
      <c r="C1478" s="105" t="s">
        <v>122</v>
      </c>
      <c r="D1478" s="74" t="s">
        <v>3563</v>
      </c>
      <c r="E1478" s="89">
        <v>40946.693032407406</v>
      </c>
      <c r="F1478" s="89"/>
      <c r="G1478" s="65" t="str">
        <f>IF(stdProdLT(Main[[#This Row],[Comments]])=0.1,"N/A",IF(stdProdLT(Main[[#This Row],[Comments]])=0,"",TRIM(stdProdLT(Main[[#This Row],[Comments]]))))</f>
        <v/>
      </c>
      <c r="H1478" s="98" t="str">
        <f>IF(Main[[#This Row],[Std. Prod. Lead Time]]="N/A", "",IF(AND(Main[[#This Row],[In Stock Date]]&lt;&gt;"",Main[[#This Row],[Revised Due Date]]&lt;&gt;"",Main[[#This Row],[In Stock Date]]&lt;&gt;""),Main[[#This Row],[In Stock Date]]-Main[[#This Row],[Revised Due Date]],""))</f>
        <v/>
      </c>
      <c r="I1478" s="110" t="s">
        <v>561</v>
      </c>
      <c r="J1478" s="99" t="s">
        <v>21</v>
      </c>
      <c r="K1478" s="99" t="s">
        <v>1922</v>
      </c>
      <c r="L1478" s="89">
        <v>40948</v>
      </c>
      <c r="M1478" s="75">
        <f>IF(Main[[#This Row],[Tech Start Date]]&lt;1/1/1990,"",IF(Main[[#This Row],[Class]]="C",WORKDAY(Main[[#This Row],[Tech Start Date]],9),IF(Main[[#This Row],[Class]]="B", WORKDAY(Main[[#This Row],[Tech Start Date]],6),IF(Main[[#This Row],[Class]]="A",WORKDAY(Main[[#This Row],[Tech Start Date]],2),""))))</f>
        <v>40952</v>
      </c>
      <c r="N1478" s="75">
        <f>IF(Main[[#This Row],[Tech Start Date]]&lt;1/1/1990,"",IF(Main[[#This Row],[Class]]="C",WORKDAY(Main[[#This Row],[Tech Start Date]],19),IF(Main[[#This Row],[Class]]="B", WORKDAY(Main[[#This Row],[Tech Start Date]],12),IF(Main[[#This Row],[Class]]="A",WORKDAY(Main[[#This Row],[Tech Start Date]],4),""))))</f>
        <v>40954</v>
      </c>
      <c r="O1478" s="75">
        <f>IF(Main[[#This Row],[Tech Start Date]]&lt;1/1/1990,"",IF(Main[[#This Row],[Class]]="C",WORKDAY(Main[[#This Row],[Tech Start Date]],23),IF(Main[[#This Row],[Class]]="B", WORKDAY(Main[[#This Row],[Tech Start Date]],15),IF(Main[[#This Row],[Class]]="A",WORKDAY(Main[[#This Row],[Tech Start Date]],5),""))))</f>
        <v>40955</v>
      </c>
      <c r="P1478" s="75">
        <f>IF(Main[[#This Row],[Tech Start Date]]&lt;1/1/1990,"",IF(Main[[#This Row],[Class]]="C",WORKDAY(Main[[#This Row],[Tech Start Date]],28),IF(Main[[#This Row],[Class]]="B", WORKDAY(Main[[#This Row],[Tech Start Date]],19),IF(Main[[#This Row],[Class]]="A",WORKDAY(Main[[#This Row],[Tech Start Date]],9),""))))</f>
        <v>40961</v>
      </c>
      <c r="Q1478" s="89"/>
      <c r="R1478" s="121">
        <v>40959</v>
      </c>
      <c r="S1478" s="99" t="s">
        <v>17</v>
      </c>
      <c r="T1478" s="76" t="s">
        <v>4</v>
      </c>
      <c r="U1478" s="99" t="s">
        <v>29</v>
      </c>
      <c r="V1478" s="99" t="s">
        <v>1913</v>
      </c>
      <c r="W1478" s="99" t="s">
        <v>1915</v>
      </c>
      <c r="X1478" s="99" t="s">
        <v>2833</v>
      </c>
      <c r="Y1478" s="73" t="s">
        <v>2964</v>
      </c>
      <c r="Z1478" s="73" t="s">
        <v>129</v>
      </c>
      <c r="AA1478" s="99" t="s">
        <v>2833</v>
      </c>
    </row>
    <row r="1479" spans="1:27" ht="17.25" customHeight="1">
      <c r="A1479" s="65" t="str">
        <f>IF(priority(Main[[#This Row],[Comments]])&lt;&gt;0, priority(Main[[#This Row],[Comments]]),"")</f>
        <v/>
      </c>
      <c r="B1479" s="60" t="s">
        <v>3818</v>
      </c>
      <c r="C1479" s="105" t="s">
        <v>4</v>
      </c>
      <c r="D1479" s="74" t="s">
        <v>3819</v>
      </c>
      <c r="E1479" s="89">
        <v>40955.366423611114</v>
      </c>
      <c r="F1479" s="89">
        <v>40959</v>
      </c>
      <c r="G1479" s="65" t="str">
        <f>IF(stdProdLT(Main[[#This Row],[Comments]])=0.1,"N/A",IF(stdProdLT(Main[[#This Row],[Comments]])=0,"",TRIM(stdProdLT(Main[[#This Row],[Comments]]))))</f>
        <v/>
      </c>
      <c r="H1479" s="98" t="str">
        <f>IF(Main[[#This Row],[Std. Prod. Lead Time]]="N/A", "",IF(AND(Main[[#This Row],[In Stock Date]]&lt;&gt;"",Main[[#This Row],[Revised Due Date]]&lt;&gt;"",Main[[#This Row],[In Stock Date]]&lt;&gt;""),Main[[#This Row],[In Stock Date]]-Main[[#This Row],[Revised Due Date]],""))</f>
        <v/>
      </c>
      <c r="I1479" s="110" t="s">
        <v>2040</v>
      </c>
      <c r="J1479" s="99" t="s">
        <v>28</v>
      </c>
      <c r="K1479" s="99" t="s">
        <v>1922</v>
      </c>
      <c r="L1479" s="89">
        <v>40955</v>
      </c>
      <c r="M1479" s="75">
        <f>IF(Main[[#This Row],[Tech Start Date]]&lt;1/1/1990,"",IF(Main[[#This Row],[Class]]="C",WORKDAY(Main[[#This Row],[Tech Start Date]],9),IF(Main[[#This Row],[Class]]="B", WORKDAY(Main[[#This Row],[Tech Start Date]],6),IF(Main[[#This Row],[Class]]="A",WORKDAY(Main[[#This Row],[Tech Start Date]],2),""))))</f>
        <v>40959</v>
      </c>
      <c r="N1479" s="75">
        <f>IF(Main[[#This Row],[Tech Start Date]]&lt;1/1/1990,"",IF(Main[[#This Row],[Class]]="C",WORKDAY(Main[[#This Row],[Tech Start Date]],19),IF(Main[[#This Row],[Class]]="B", WORKDAY(Main[[#This Row],[Tech Start Date]],12),IF(Main[[#This Row],[Class]]="A",WORKDAY(Main[[#This Row],[Tech Start Date]],4),""))))</f>
        <v>40961</v>
      </c>
      <c r="O1479" s="75">
        <f>IF(Main[[#This Row],[Tech Start Date]]&lt;1/1/1990,"",IF(Main[[#This Row],[Class]]="C",WORKDAY(Main[[#This Row],[Tech Start Date]],23),IF(Main[[#This Row],[Class]]="B", WORKDAY(Main[[#This Row],[Tech Start Date]],15),IF(Main[[#This Row],[Class]]="A",WORKDAY(Main[[#This Row],[Tech Start Date]],5),""))))</f>
        <v>40962</v>
      </c>
      <c r="P1479" s="75">
        <f>IF(Main[[#This Row],[Tech Start Date]]&lt;1/1/1990,"",IF(Main[[#This Row],[Class]]="C",WORKDAY(Main[[#This Row],[Tech Start Date]],28),IF(Main[[#This Row],[Class]]="B", WORKDAY(Main[[#This Row],[Tech Start Date]],19),IF(Main[[#This Row],[Class]]="A",WORKDAY(Main[[#This Row],[Tech Start Date]],9),""))))</f>
        <v>40968</v>
      </c>
      <c r="Q1479" s="89"/>
      <c r="R1479" s="121"/>
      <c r="S1479" s="99" t="s">
        <v>11</v>
      </c>
      <c r="T1479" s="76" t="s">
        <v>3820</v>
      </c>
      <c r="U1479" s="99" t="s">
        <v>534</v>
      </c>
      <c r="V1479" s="99" t="s">
        <v>1916</v>
      </c>
      <c r="W1479" s="99" t="s">
        <v>1921</v>
      </c>
      <c r="X1479" s="99" t="s">
        <v>50</v>
      </c>
      <c r="Y1479" s="73" t="s">
        <v>3822</v>
      </c>
      <c r="Z1479" s="73" t="s">
        <v>530</v>
      </c>
      <c r="AA1479" s="99" t="s">
        <v>3821</v>
      </c>
    </row>
    <row r="1480" spans="1:27" ht="17.25" customHeight="1">
      <c r="A1480" s="125" t="str">
        <f>IF(priority(Main[[#This Row],[Comments]])&lt;&gt;0, priority(Main[[#This Row],[Comments]]),"")</f>
        <v/>
      </c>
      <c r="B1480" s="126" t="s">
        <v>3859</v>
      </c>
      <c r="C1480" s="127" t="s">
        <v>2743</v>
      </c>
      <c r="D1480" s="128" t="s">
        <v>3860</v>
      </c>
      <c r="E1480" s="129">
        <v>40967.578032407408</v>
      </c>
      <c r="F1480" s="129">
        <v>40977</v>
      </c>
      <c r="G1480" s="125" t="str">
        <f>IF(stdProdLT(Main[[#This Row],[Comments]])=0.1,"N/A",IF(stdProdLT(Main[[#This Row],[Comments]])=0,"",TRIM(stdProdLT(Main[[#This Row],[Comments]]))))</f>
        <v>N/A</v>
      </c>
      <c r="H1480" s="130" t="str">
        <f>IF(Main[[#This Row],[Std. Prod. Lead Time]]="N/A", "",IF(AND(Main[[#This Row],[In Stock Date]]&lt;&gt;"",Main[[#This Row],[Revised Due Date]]&lt;&gt;"",Main[[#This Row],[In Stock Date]]&lt;&gt;""),Main[[#This Row],[In Stock Date]]-Main[[#This Row],[Revised Due Date]],""))</f>
        <v/>
      </c>
      <c r="I1480" s="131" t="s">
        <v>81</v>
      </c>
      <c r="J1480" s="132" t="s">
        <v>52</v>
      </c>
      <c r="K1480" s="132" t="s">
        <v>1922</v>
      </c>
      <c r="L1480" s="129">
        <v>40967</v>
      </c>
      <c r="M1480" s="133">
        <f>IF(Main[[#This Row],[Tech Start Date]]&lt;1/1/1990,"",IF(Main[[#This Row],[Class]]="C",WORKDAY(Main[[#This Row],[Tech Start Date]],9),IF(Main[[#This Row],[Class]]="B", WORKDAY(Main[[#This Row],[Tech Start Date]],6),IF(Main[[#This Row],[Class]]="A",WORKDAY(Main[[#This Row],[Tech Start Date]],2),""))))</f>
        <v>40969</v>
      </c>
      <c r="N1480" s="133">
        <f>IF(Main[[#This Row],[Tech Start Date]]&lt;1/1/1990,"",IF(Main[[#This Row],[Class]]="C",WORKDAY(Main[[#This Row],[Tech Start Date]],19),IF(Main[[#This Row],[Class]]="B", WORKDAY(Main[[#This Row],[Tech Start Date]],12),IF(Main[[#This Row],[Class]]="A",WORKDAY(Main[[#This Row],[Tech Start Date]],4),""))))</f>
        <v>40973</v>
      </c>
      <c r="O1480" s="133">
        <f>IF(Main[[#This Row],[Tech Start Date]]&lt;1/1/1990,"",IF(Main[[#This Row],[Class]]="C",WORKDAY(Main[[#This Row],[Tech Start Date]],23),IF(Main[[#This Row],[Class]]="B", WORKDAY(Main[[#This Row],[Tech Start Date]],15),IF(Main[[#This Row],[Class]]="A",WORKDAY(Main[[#This Row],[Tech Start Date]],5),""))))</f>
        <v>40974</v>
      </c>
      <c r="P1480" s="133">
        <f>IF(Main[[#This Row],[Tech Start Date]]&lt;1/1/1990,"",IF(Main[[#This Row],[Class]]="C",WORKDAY(Main[[#This Row],[Tech Start Date]],28),IF(Main[[#This Row],[Class]]="B", WORKDAY(Main[[#This Row],[Tech Start Date]],19),IF(Main[[#This Row],[Class]]="A",WORKDAY(Main[[#This Row],[Tech Start Date]],9),""))))</f>
        <v>40980</v>
      </c>
      <c r="Q1480" s="129"/>
      <c r="R1480" s="134">
        <v>40974</v>
      </c>
      <c r="S1480" s="132" t="s">
        <v>11</v>
      </c>
      <c r="T1480" s="135" t="s">
        <v>3226</v>
      </c>
      <c r="U1480" s="132" t="s">
        <v>29</v>
      </c>
      <c r="V1480" s="132" t="s">
        <v>1923</v>
      </c>
      <c r="W1480" s="132" t="s">
        <v>1921</v>
      </c>
      <c r="X1480" s="132" t="s">
        <v>50</v>
      </c>
      <c r="Y1480" s="136" t="s">
        <v>3600</v>
      </c>
      <c r="Z1480" s="136" t="s">
        <v>530</v>
      </c>
      <c r="AA1480" s="132" t="s">
        <v>3442</v>
      </c>
    </row>
    <row r="1481" spans="1:27" ht="17.25" customHeight="1">
      <c r="A1481" s="65" t="str">
        <f>IF(priority(Main[[#This Row],[Comments]])&lt;&gt;0, priority(Main[[#This Row],[Comments]]),"")</f>
        <v/>
      </c>
      <c r="B1481" s="60" t="s">
        <v>3871</v>
      </c>
      <c r="C1481" s="105" t="s">
        <v>3872</v>
      </c>
      <c r="D1481" s="74" t="s">
        <v>3873</v>
      </c>
      <c r="E1481" s="89">
        <v>40961.049814814818</v>
      </c>
      <c r="F1481" s="89">
        <v>41153</v>
      </c>
      <c r="G1481" s="65" t="str">
        <f>IF(stdProdLT(Main[[#This Row],[Comments]])=0.1,"N/A",IF(stdProdLT(Main[[#This Row],[Comments]])=0,"",TRIM(stdProdLT(Main[[#This Row],[Comments]]))))</f>
        <v>126</v>
      </c>
      <c r="H1481" s="98">
        <f>IF(Main[[#This Row],[Std. Prod. Lead Time]]="N/A", "",IF(AND(Main[[#This Row],[In Stock Date]]&lt;&gt;"",Main[[#This Row],[Revised Due Date]]&lt;&gt;"",Main[[#This Row],[In Stock Date]]&lt;&gt;""),Main[[#This Row],[In Stock Date]]-Main[[#This Row],[Revised Due Date]],""))</f>
        <v>143</v>
      </c>
      <c r="I1481" s="110" t="s">
        <v>765</v>
      </c>
      <c r="J1481" s="99" t="s">
        <v>28</v>
      </c>
      <c r="K1481" s="99" t="s">
        <v>1926</v>
      </c>
      <c r="L1481" s="89">
        <v>40967</v>
      </c>
      <c r="M1481" s="75">
        <f>IF(Main[[#This Row],[Tech Start Date]]&lt;1/1/1990,"",IF(Main[[#This Row],[Class]]="C",WORKDAY(Main[[#This Row],[Tech Start Date]],9),IF(Main[[#This Row],[Class]]="B", WORKDAY(Main[[#This Row],[Tech Start Date]],6),IF(Main[[#This Row],[Class]]="A",WORKDAY(Main[[#This Row],[Tech Start Date]],2),""))))</f>
        <v>40980</v>
      </c>
      <c r="N1481" s="75">
        <f>IF(Main[[#This Row],[Tech Start Date]]&lt;1/1/1990,"",IF(Main[[#This Row],[Class]]="C",WORKDAY(Main[[#This Row],[Tech Start Date]],19),IF(Main[[#This Row],[Class]]="B", WORKDAY(Main[[#This Row],[Tech Start Date]],12),IF(Main[[#This Row],[Class]]="A",WORKDAY(Main[[#This Row],[Tech Start Date]],4),""))))</f>
        <v>40994</v>
      </c>
      <c r="O1481" s="75">
        <f>IF(Main[[#This Row],[Tech Start Date]]&lt;1/1/1990,"",IF(Main[[#This Row],[Class]]="C",WORKDAY(Main[[#This Row],[Tech Start Date]],23),IF(Main[[#This Row],[Class]]="B", WORKDAY(Main[[#This Row],[Tech Start Date]],15),IF(Main[[#This Row],[Class]]="A",WORKDAY(Main[[#This Row],[Tech Start Date]],5),""))))</f>
        <v>40998</v>
      </c>
      <c r="P1481" s="75">
        <f>IF(Main[[#This Row],[Tech Start Date]]&lt;1/1/1990,"",IF(Main[[#This Row],[Class]]="C",WORKDAY(Main[[#This Row],[Tech Start Date]],28),IF(Main[[#This Row],[Class]]="B", WORKDAY(Main[[#This Row],[Tech Start Date]],19),IF(Main[[#This Row],[Class]]="A",WORKDAY(Main[[#This Row],[Tech Start Date]],9),""))))</f>
        <v>41005</v>
      </c>
      <c r="Q1481" s="89">
        <v>40909</v>
      </c>
      <c r="R1481" s="121">
        <v>41010</v>
      </c>
      <c r="S1481" s="99" t="s">
        <v>11</v>
      </c>
      <c r="T1481" s="76" t="s">
        <v>3923</v>
      </c>
      <c r="U1481" s="99" t="s">
        <v>29</v>
      </c>
      <c r="V1481" s="99" t="s">
        <v>1916</v>
      </c>
      <c r="W1481" s="99" t="s">
        <v>1918</v>
      </c>
      <c r="X1481" s="99" t="s">
        <v>2837</v>
      </c>
      <c r="Y1481" s="73" t="s">
        <v>4</v>
      </c>
      <c r="Z1481" s="73" t="s">
        <v>530</v>
      </c>
      <c r="AA1481" s="99" t="s">
        <v>2837</v>
      </c>
    </row>
    <row r="1482" spans="1:27" ht="17.25" customHeight="1">
      <c r="A1482" s="65" t="str">
        <f>IF(priority(Main[[#This Row],[Comments]])&lt;&gt;0, priority(Main[[#This Row],[Comments]]),"")</f>
        <v/>
      </c>
      <c r="B1482" s="60" t="s">
        <v>3862</v>
      </c>
      <c r="C1482" s="105" t="s">
        <v>53</v>
      </c>
      <c r="D1482" s="74" t="s">
        <v>3863</v>
      </c>
      <c r="E1482" s="89">
        <v>40967.607476851852</v>
      </c>
      <c r="F1482" s="89"/>
      <c r="G1482" s="65" t="str">
        <f>IF(stdProdLT(Main[[#This Row],[Comments]])=0.1,"N/A",IF(stdProdLT(Main[[#This Row],[Comments]])=0,"",TRIM(stdProdLT(Main[[#This Row],[Comments]]))))</f>
        <v>N/A</v>
      </c>
      <c r="H1482" s="98" t="str">
        <f>IF(Main[[#This Row],[Std. Prod. Lead Time]]="N/A", "",IF(AND(Main[[#This Row],[In Stock Date]]&lt;&gt;"",Main[[#This Row],[Revised Due Date]]&lt;&gt;"",Main[[#This Row],[In Stock Date]]&lt;&gt;""),Main[[#This Row],[In Stock Date]]-Main[[#This Row],[Revised Due Date]],""))</f>
        <v/>
      </c>
      <c r="I1482" s="110" t="s">
        <v>941</v>
      </c>
      <c r="J1482" s="99" t="s">
        <v>28</v>
      </c>
      <c r="K1482" s="99" t="s">
        <v>1922</v>
      </c>
      <c r="L1482" s="89">
        <v>40967</v>
      </c>
      <c r="M1482" s="75">
        <f>IF(Main[[#This Row],[Tech Start Date]]&lt;1/1/1990,"",IF(Main[[#This Row],[Class]]="C",WORKDAY(Main[[#This Row],[Tech Start Date]],9),IF(Main[[#This Row],[Class]]="B", WORKDAY(Main[[#This Row],[Tech Start Date]],6),IF(Main[[#This Row],[Class]]="A",WORKDAY(Main[[#This Row],[Tech Start Date]],2),""))))</f>
        <v>40969</v>
      </c>
      <c r="N1482" s="75">
        <f>IF(Main[[#This Row],[Tech Start Date]]&lt;1/1/1990,"",IF(Main[[#This Row],[Class]]="C",WORKDAY(Main[[#This Row],[Tech Start Date]],19),IF(Main[[#This Row],[Class]]="B", WORKDAY(Main[[#This Row],[Tech Start Date]],12),IF(Main[[#This Row],[Class]]="A",WORKDAY(Main[[#This Row],[Tech Start Date]],4),""))))</f>
        <v>40973</v>
      </c>
      <c r="O1482" s="75">
        <f>IF(Main[[#This Row],[Tech Start Date]]&lt;1/1/1990,"",IF(Main[[#This Row],[Class]]="C",WORKDAY(Main[[#This Row],[Tech Start Date]],23),IF(Main[[#This Row],[Class]]="B", WORKDAY(Main[[#This Row],[Tech Start Date]],15),IF(Main[[#This Row],[Class]]="A",WORKDAY(Main[[#This Row],[Tech Start Date]],5),""))))</f>
        <v>40974</v>
      </c>
      <c r="P1482" s="75">
        <f>IF(Main[[#This Row],[Tech Start Date]]&lt;1/1/1990,"",IF(Main[[#This Row],[Class]]="C",WORKDAY(Main[[#This Row],[Tech Start Date]],28),IF(Main[[#This Row],[Class]]="B", WORKDAY(Main[[#This Row],[Tech Start Date]],19),IF(Main[[#This Row],[Class]]="A",WORKDAY(Main[[#This Row],[Tech Start Date]],9),""))))</f>
        <v>40980</v>
      </c>
      <c r="Q1482" s="89">
        <v>40974</v>
      </c>
      <c r="R1482" s="121">
        <v>40982</v>
      </c>
      <c r="S1482" s="99" t="s">
        <v>11</v>
      </c>
      <c r="T1482" s="76" t="s">
        <v>3226</v>
      </c>
      <c r="U1482" s="99" t="s">
        <v>29</v>
      </c>
      <c r="V1482" s="99" t="s">
        <v>1914</v>
      </c>
      <c r="W1482" s="99" t="s">
        <v>1915</v>
      </c>
      <c r="X1482" s="99" t="s">
        <v>2810</v>
      </c>
      <c r="Y1482" s="73" t="s">
        <v>4</v>
      </c>
      <c r="Z1482" s="73" t="s">
        <v>2049</v>
      </c>
      <c r="AA1482" s="99" t="s">
        <v>2810</v>
      </c>
    </row>
    <row r="1483" spans="1:27" ht="17.25" customHeight="1">
      <c r="A1483" s="125" t="str">
        <f>IF(priority(Main[[#This Row],[Comments]])&lt;&gt;0, priority(Main[[#This Row],[Comments]]),"")</f>
        <v/>
      </c>
      <c r="B1483" s="126" t="s">
        <v>3864</v>
      </c>
      <c r="C1483" s="127" t="s">
        <v>3865</v>
      </c>
      <c r="D1483" s="128" t="s">
        <v>3866</v>
      </c>
      <c r="E1483" s="129">
        <v>40961.04891203704</v>
      </c>
      <c r="F1483" s="129">
        <v>41105</v>
      </c>
      <c r="G1483" s="125" t="str">
        <f>IF(stdProdLT(Main[[#This Row],[Comments]])=0.1,"N/A",IF(stdProdLT(Main[[#This Row],[Comments]])=0,"",TRIM(stdProdLT(Main[[#This Row],[Comments]]))))</f>
        <v/>
      </c>
      <c r="H1483" s="130">
        <f>IF(Main[[#This Row],[Std. Prod. Lead Time]]="N/A", "",IF(AND(Main[[#This Row],[In Stock Date]]&lt;&gt;"",Main[[#This Row],[Revised Due Date]]&lt;&gt;"",Main[[#This Row],[In Stock Date]]&lt;&gt;""),Main[[#This Row],[In Stock Date]]-Main[[#This Row],[Revised Due Date]],""))</f>
        <v>117</v>
      </c>
      <c r="I1483" s="131" t="s">
        <v>69</v>
      </c>
      <c r="J1483" s="132" t="s">
        <v>1974</v>
      </c>
      <c r="K1483" s="132" t="s">
        <v>1922</v>
      </c>
      <c r="L1483" s="129">
        <v>40967</v>
      </c>
      <c r="M1483" s="133">
        <f>IF(Main[[#This Row],[Tech Start Date]]&lt;1/1/1990,"",IF(Main[[#This Row],[Class]]="C",WORKDAY(Main[[#This Row],[Tech Start Date]],9),IF(Main[[#This Row],[Class]]="B", WORKDAY(Main[[#This Row],[Tech Start Date]],6),IF(Main[[#This Row],[Class]]="A",WORKDAY(Main[[#This Row],[Tech Start Date]],2),""))))</f>
        <v>40969</v>
      </c>
      <c r="N1483" s="133">
        <f>IF(Main[[#This Row],[Tech Start Date]]&lt;1/1/1990,"",IF(Main[[#This Row],[Class]]="C",WORKDAY(Main[[#This Row],[Tech Start Date]],19),IF(Main[[#This Row],[Class]]="B", WORKDAY(Main[[#This Row],[Tech Start Date]],12),IF(Main[[#This Row],[Class]]="A",WORKDAY(Main[[#This Row],[Tech Start Date]],4),""))))</f>
        <v>40973</v>
      </c>
      <c r="O1483" s="133">
        <f>IF(Main[[#This Row],[Tech Start Date]]&lt;1/1/1990,"",IF(Main[[#This Row],[Class]]="C",WORKDAY(Main[[#This Row],[Tech Start Date]],23),IF(Main[[#This Row],[Class]]="B", WORKDAY(Main[[#This Row],[Tech Start Date]],15),IF(Main[[#This Row],[Class]]="A",WORKDAY(Main[[#This Row],[Tech Start Date]],5),""))))</f>
        <v>40974</v>
      </c>
      <c r="P1483" s="133">
        <f>IF(Main[[#This Row],[Tech Start Date]]&lt;1/1/1990,"",IF(Main[[#This Row],[Class]]="C",WORKDAY(Main[[#This Row],[Tech Start Date]],28),IF(Main[[#This Row],[Class]]="B", WORKDAY(Main[[#This Row],[Tech Start Date]],19),IF(Main[[#This Row],[Class]]="A",WORKDAY(Main[[#This Row],[Tech Start Date]],9),""))))</f>
        <v>40980</v>
      </c>
      <c r="Q1483" s="129">
        <v>40969</v>
      </c>
      <c r="R1483" s="134">
        <v>40988</v>
      </c>
      <c r="S1483" s="132" t="s">
        <v>11</v>
      </c>
      <c r="T1483" s="135" t="s">
        <v>3867</v>
      </c>
      <c r="U1483" s="132" t="s">
        <v>29</v>
      </c>
      <c r="V1483" s="132" t="s">
        <v>1923</v>
      </c>
      <c r="W1483" s="132" t="s">
        <v>1919</v>
      </c>
      <c r="X1483" s="132" t="s">
        <v>2839</v>
      </c>
      <c r="Y1483" s="136" t="s">
        <v>3852</v>
      </c>
      <c r="Z1483" s="136" t="s">
        <v>530</v>
      </c>
      <c r="AA1483" s="132" t="s">
        <v>2839</v>
      </c>
    </row>
    <row r="1484" spans="1:27" ht="17.25" customHeight="1">
      <c r="A1484" s="125" t="str">
        <f>IF(priority(Main[[#This Row],[Comments]])&lt;&gt;0, priority(Main[[#This Row],[Comments]]),"")</f>
        <v/>
      </c>
      <c r="B1484" s="126" t="s">
        <v>3343</v>
      </c>
      <c r="C1484" s="127" t="s">
        <v>148</v>
      </c>
      <c r="D1484" s="128" t="s">
        <v>3874</v>
      </c>
      <c r="E1484" s="129">
        <v>40967.72111111111</v>
      </c>
      <c r="F1484" s="129">
        <v>41045</v>
      </c>
      <c r="G1484" s="125" t="str">
        <f>IF(stdProdLT(Main[[#This Row],[Comments]])=0.1,"N/A",IF(stdProdLT(Main[[#This Row],[Comments]])=0,"",TRIM(stdProdLT(Main[[#This Row],[Comments]]))))</f>
        <v>N/A</v>
      </c>
      <c r="H1484" s="130" t="str">
        <f>IF(Main[[#This Row],[Std. Prod. Lead Time]]="N/A", "",IF(AND(Main[[#This Row],[In Stock Date]]&lt;&gt;"",Main[[#This Row],[Revised Due Date]]&lt;&gt;"",Main[[#This Row],[In Stock Date]]&lt;&gt;""),Main[[#This Row],[In Stock Date]]-Main[[#This Row],[Revised Due Date]],""))</f>
        <v/>
      </c>
      <c r="I1484" s="131" t="s">
        <v>3922</v>
      </c>
      <c r="J1484" s="132" t="s">
        <v>28</v>
      </c>
      <c r="K1484" s="132" t="s">
        <v>1922</v>
      </c>
      <c r="L1484" s="129">
        <v>40967</v>
      </c>
      <c r="M1484" s="133">
        <f>IF(Main[[#This Row],[Tech Start Date]]&lt;1/1/1990,"",IF(Main[[#This Row],[Class]]="C",WORKDAY(Main[[#This Row],[Tech Start Date]],9),IF(Main[[#This Row],[Class]]="B", WORKDAY(Main[[#This Row],[Tech Start Date]],6),IF(Main[[#This Row],[Class]]="A",WORKDAY(Main[[#This Row],[Tech Start Date]],2),""))))</f>
        <v>40969</v>
      </c>
      <c r="N1484" s="133">
        <f>IF(Main[[#This Row],[Tech Start Date]]&lt;1/1/1990,"",IF(Main[[#This Row],[Class]]="C",WORKDAY(Main[[#This Row],[Tech Start Date]],19),IF(Main[[#This Row],[Class]]="B", WORKDAY(Main[[#This Row],[Tech Start Date]],12),IF(Main[[#This Row],[Class]]="A",WORKDAY(Main[[#This Row],[Tech Start Date]],4),""))))</f>
        <v>40973</v>
      </c>
      <c r="O1484" s="133">
        <f>IF(Main[[#This Row],[Tech Start Date]]&lt;1/1/1990,"",IF(Main[[#This Row],[Class]]="C",WORKDAY(Main[[#This Row],[Tech Start Date]],23),IF(Main[[#This Row],[Class]]="B", WORKDAY(Main[[#This Row],[Tech Start Date]],15),IF(Main[[#This Row],[Class]]="A",WORKDAY(Main[[#This Row],[Tech Start Date]],5),""))))</f>
        <v>40974</v>
      </c>
      <c r="P1484" s="133">
        <f>IF(Main[[#This Row],[Tech Start Date]]&lt;1/1/1990,"",IF(Main[[#This Row],[Class]]="C",WORKDAY(Main[[#This Row],[Tech Start Date]],28),IF(Main[[#This Row],[Class]]="B", WORKDAY(Main[[#This Row],[Tech Start Date]],19),IF(Main[[#This Row],[Class]]="A",WORKDAY(Main[[#This Row],[Tech Start Date]],9),""))))</f>
        <v>40980</v>
      </c>
      <c r="Q1484" s="129">
        <v>40939</v>
      </c>
      <c r="R1484" s="134">
        <v>40974</v>
      </c>
      <c r="S1484" s="132" t="s">
        <v>11</v>
      </c>
      <c r="T1484" s="135" t="s">
        <v>3875</v>
      </c>
      <c r="U1484" s="132" t="s">
        <v>29</v>
      </c>
      <c r="V1484" s="132" t="s">
        <v>1923</v>
      </c>
      <c r="W1484" s="132" t="s">
        <v>1921</v>
      </c>
      <c r="X1484" s="132" t="s">
        <v>3344</v>
      </c>
      <c r="Y1484" s="136" t="s">
        <v>3345</v>
      </c>
      <c r="Z1484" s="136" t="s">
        <v>530</v>
      </c>
      <c r="AA1484" s="132" t="s">
        <v>3344</v>
      </c>
    </row>
    <row r="1485" spans="1:27" ht="17.25" customHeight="1">
      <c r="A1485" s="125" t="str">
        <f>IF(priority(Main[[#This Row],[Comments]])&lt;&gt;0, priority(Main[[#This Row],[Comments]]),"")</f>
        <v/>
      </c>
      <c r="B1485" s="126" t="s">
        <v>3876</v>
      </c>
      <c r="C1485" s="127" t="s">
        <v>2743</v>
      </c>
      <c r="D1485" s="128" t="s">
        <v>3877</v>
      </c>
      <c r="E1485" s="129">
        <v>40962.642118055555</v>
      </c>
      <c r="F1485" s="129">
        <v>41090</v>
      </c>
      <c r="G1485" s="125" t="str">
        <f>IF(stdProdLT(Main[[#This Row],[Comments]])=0.1,"N/A",IF(stdProdLT(Main[[#This Row],[Comments]])=0,"",TRIM(stdProdLT(Main[[#This Row],[Comments]]))))</f>
        <v>98</v>
      </c>
      <c r="H1485" s="130">
        <f>IF(Main[[#This Row],[Std. Prod. Lead Time]]="N/A", "",IF(AND(Main[[#This Row],[In Stock Date]]&lt;&gt;"",Main[[#This Row],[Revised Due Date]]&lt;&gt;"",Main[[#This Row],[In Stock Date]]&lt;&gt;""),Main[[#This Row],[In Stock Date]]-Main[[#This Row],[Revised Due Date]],""))</f>
        <v>94</v>
      </c>
      <c r="I1485" s="131" t="s">
        <v>2040</v>
      </c>
      <c r="J1485" s="132" t="s">
        <v>28</v>
      </c>
      <c r="K1485" s="132" t="s">
        <v>1920</v>
      </c>
      <c r="L1485" s="129">
        <v>40967</v>
      </c>
      <c r="M1485" s="133">
        <f>IF(Main[[#This Row],[Tech Start Date]]&lt;1/1/1990,"",IF(Main[[#This Row],[Class]]="C",WORKDAY(Main[[#This Row],[Tech Start Date]],9),IF(Main[[#This Row],[Class]]="B", WORKDAY(Main[[#This Row],[Tech Start Date]],6),IF(Main[[#This Row],[Class]]="A",WORKDAY(Main[[#This Row],[Tech Start Date]],2),""))))</f>
        <v>40975</v>
      </c>
      <c r="N1485" s="133">
        <f>IF(Main[[#This Row],[Tech Start Date]]&lt;1/1/1990,"",IF(Main[[#This Row],[Class]]="C",WORKDAY(Main[[#This Row],[Tech Start Date]],19),IF(Main[[#This Row],[Class]]="B", WORKDAY(Main[[#This Row],[Tech Start Date]],12),IF(Main[[#This Row],[Class]]="A",WORKDAY(Main[[#This Row],[Tech Start Date]],4),""))))</f>
        <v>40983</v>
      </c>
      <c r="O1485" s="133">
        <f>IF(Main[[#This Row],[Tech Start Date]]&lt;1/1/1990,"",IF(Main[[#This Row],[Class]]="C",WORKDAY(Main[[#This Row],[Tech Start Date]],23),IF(Main[[#This Row],[Class]]="B", WORKDAY(Main[[#This Row],[Tech Start Date]],15),IF(Main[[#This Row],[Class]]="A",WORKDAY(Main[[#This Row],[Tech Start Date]],5),""))))</f>
        <v>40988</v>
      </c>
      <c r="P1485" s="133">
        <f>IF(Main[[#This Row],[Tech Start Date]]&lt;1/1/1990,"",IF(Main[[#This Row],[Class]]="C",WORKDAY(Main[[#This Row],[Tech Start Date]],28),IF(Main[[#This Row],[Class]]="B", WORKDAY(Main[[#This Row],[Tech Start Date]],19),IF(Main[[#This Row],[Class]]="A",WORKDAY(Main[[#This Row],[Tech Start Date]],9),""))))</f>
        <v>40994</v>
      </c>
      <c r="Q1485" s="129"/>
      <c r="R1485" s="134">
        <v>40996</v>
      </c>
      <c r="S1485" s="132" t="s">
        <v>11</v>
      </c>
      <c r="T1485" s="135" t="s">
        <v>3878</v>
      </c>
      <c r="U1485" s="132" t="s">
        <v>29</v>
      </c>
      <c r="V1485" s="132" t="s">
        <v>1916</v>
      </c>
      <c r="W1485" s="132" t="s">
        <v>1918</v>
      </c>
      <c r="X1485" s="132" t="s">
        <v>652</v>
      </c>
      <c r="Y1485" s="136" t="s">
        <v>3120</v>
      </c>
      <c r="Z1485" s="136" t="s">
        <v>530</v>
      </c>
      <c r="AA1485" s="132" t="s">
        <v>652</v>
      </c>
    </row>
    <row r="1486" spans="1:27" ht="17.25" customHeight="1">
      <c r="A1486" s="125" t="str">
        <f>IF(priority(Main[[#This Row],[Comments]])&lt;&gt;0, priority(Main[[#This Row],[Comments]]),"")</f>
        <v/>
      </c>
      <c r="B1486" s="126" t="s">
        <v>3494</v>
      </c>
      <c r="C1486" s="127" t="s">
        <v>79</v>
      </c>
      <c r="D1486" s="128" t="s">
        <v>3495</v>
      </c>
      <c r="E1486" s="129">
        <v>40967.732847222222</v>
      </c>
      <c r="F1486" s="129">
        <v>40967</v>
      </c>
      <c r="G1486" s="125" t="str">
        <f>IF(stdProdLT(Main[[#This Row],[Comments]])=0.1,"N/A",IF(stdProdLT(Main[[#This Row],[Comments]])=0,"",TRIM(stdProdLT(Main[[#This Row],[Comments]]))))</f>
        <v>N/A</v>
      </c>
      <c r="H1486" s="130" t="str">
        <f>IF(Main[[#This Row],[Std. Prod. Lead Time]]="N/A", "",IF(AND(Main[[#This Row],[In Stock Date]]&lt;&gt;"",Main[[#This Row],[Revised Due Date]]&lt;&gt;"",Main[[#This Row],[In Stock Date]]&lt;&gt;""),Main[[#This Row],[In Stock Date]]-Main[[#This Row],[Revised Due Date]],""))</f>
        <v/>
      </c>
      <c r="I1486" s="131" t="s">
        <v>3922</v>
      </c>
      <c r="J1486" s="132" t="s">
        <v>28</v>
      </c>
      <c r="K1486" s="132" t="s">
        <v>1922</v>
      </c>
      <c r="L1486" s="129">
        <v>40967</v>
      </c>
      <c r="M1486" s="133">
        <f>IF(Main[[#This Row],[Tech Start Date]]&lt;1/1/1990,"",IF(Main[[#This Row],[Class]]="C",WORKDAY(Main[[#This Row],[Tech Start Date]],9),IF(Main[[#This Row],[Class]]="B", WORKDAY(Main[[#This Row],[Tech Start Date]],6),IF(Main[[#This Row],[Class]]="A",WORKDAY(Main[[#This Row],[Tech Start Date]],2),""))))</f>
        <v>40969</v>
      </c>
      <c r="N1486" s="133">
        <f>IF(Main[[#This Row],[Tech Start Date]]&lt;1/1/1990,"",IF(Main[[#This Row],[Class]]="C",WORKDAY(Main[[#This Row],[Tech Start Date]],19),IF(Main[[#This Row],[Class]]="B", WORKDAY(Main[[#This Row],[Tech Start Date]],12),IF(Main[[#This Row],[Class]]="A",WORKDAY(Main[[#This Row],[Tech Start Date]],4),""))))</f>
        <v>40973</v>
      </c>
      <c r="O1486" s="133">
        <f>IF(Main[[#This Row],[Tech Start Date]]&lt;1/1/1990,"",IF(Main[[#This Row],[Class]]="C",WORKDAY(Main[[#This Row],[Tech Start Date]],23),IF(Main[[#This Row],[Class]]="B", WORKDAY(Main[[#This Row],[Tech Start Date]],15),IF(Main[[#This Row],[Class]]="A",WORKDAY(Main[[#This Row],[Tech Start Date]],5),""))))</f>
        <v>40974</v>
      </c>
      <c r="P1486" s="133">
        <f>IF(Main[[#This Row],[Tech Start Date]]&lt;1/1/1990,"",IF(Main[[#This Row],[Class]]="C",WORKDAY(Main[[#This Row],[Tech Start Date]],28),IF(Main[[#This Row],[Class]]="B", WORKDAY(Main[[#This Row],[Tech Start Date]],19),IF(Main[[#This Row],[Class]]="A",WORKDAY(Main[[#This Row],[Tech Start Date]],9),""))))</f>
        <v>40980</v>
      </c>
      <c r="Q1486" s="129">
        <v>40949</v>
      </c>
      <c r="R1486" s="134">
        <v>40974</v>
      </c>
      <c r="S1486" s="132" t="s">
        <v>11</v>
      </c>
      <c r="T1486" s="135" t="s">
        <v>3854</v>
      </c>
      <c r="U1486" s="132" t="s">
        <v>29</v>
      </c>
      <c r="V1486" s="132" t="s">
        <v>1923</v>
      </c>
      <c r="W1486" s="132" t="s">
        <v>1918</v>
      </c>
      <c r="X1486" s="132" t="s">
        <v>3496</v>
      </c>
      <c r="Y1486" s="136" t="s">
        <v>3497</v>
      </c>
      <c r="Z1486" s="136" t="s">
        <v>530</v>
      </c>
      <c r="AA1486" s="132" t="s">
        <v>3496</v>
      </c>
    </row>
    <row r="1487" spans="1:27" ht="17.25" customHeight="1">
      <c r="A1487" s="65" t="str">
        <f>IF(priority(Main[[#This Row],[Comments]])&lt;&gt;0, priority(Main[[#This Row],[Comments]]),"")</f>
        <v/>
      </c>
      <c r="B1487" s="60" t="s">
        <v>3868</v>
      </c>
      <c r="C1487" s="105" t="s">
        <v>3865</v>
      </c>
      <c r="D1487" s="74" t="s">
        <v>3869</v>
      </c>
      <c r="E1487" s="89">
        <v>40961.047662037039</v>
      </c>
      <c r="F1487" s="89">
        <v>41091</v>
      </c>
      <c r="G1487" s="65" t="str">
        <f>IF(stdProdLT(Main[[#This Row],[Comments]])=0.1,"N/A",IF(stdProdLT(Main[[#This Row],[Comments]])=0,"",TRIM(stdProdLT(Main[[#This Row],[Comments]]))))</f>
        <v/>
      </c>
      <c r="H1487" s="98">
        <f>IF(Main[[#This Row],[Std. Prod. Lead Time]]="N/A", "",IF(AND(Main[[#This Row],[In Stock Date]]&lt;&gt;"",Main[[#This Row],[Revised Due Date]]&lt;&gt;"",Main[[#This Row],[In Stock Date]]&lt;&gt;""),Main[[#This Row],[In Stock Date]]-Main[[#This Row],[Revised Due Date]],""))</f>
        <v>103</v>
      </c>
      <c r="I1487" s="110" t="s">
        <v>44</v>
      </c>
      <c r="J1487" s="99" t="s">
        <v>28</v>
      </c>
      <c r="K1487" s="100" t="s">
        <v>1922</v>
      </c>
      <c r="L1487" s="89">
        <v>40967</v>
      </c>
      <c r="M1487" s="75">
        <f>IF(Main[[#This Row],[Tech Start Date]]&lt;1/1/1990,"",IF(Main[[#This Row],[Class]]="C",WORKDAY(Main[[#This Row],[Tech Start Date]],9),IF(Main[[#This Row],[Class]]="B", WORKDAY(Main[[#This Row],[Tech Start Date]],6),IF(Main[[#This Row],[Class]]="A",WORKDAY(Main[[#This Row],[Tech Start Date]],2),""))))</f>
        <v>40969</v>
      </c>
      <c r="N1487" s="75">
        <f>IF(Main[[#This Row],[Tech Start Date]]&lt;1/1/1990,"",IF(Main[[#This Row],[Class]]="C",WORKDAY(Main[[#This Row],[Tech Start Date]],19),IF(Main[[#This Row],[Class]]="B", WORKDAY(Main[[#This Row],[Tech Start Date]],12),IF(Main[[#This Row],[Class]]="A",WORKDAY(Main[[#This Row],[Tech Start Date]],4),""))))</f>
        <v>40973</v>
      </c>
      <c r="O1487" s="75">
        <f>IF(Main[[#This Row],[Tech Start Date]]&lt;1/1/1990,"",IF(Main[[#This Row],[Class]]="C",WORKDAY(Main[[#This Row],[Tech Start Date]],23),IF(Main[[#This Row],[Class]]="B", WORKDAY(Main[[#This Row],[Tech Start Date]],15),IF(Main[[#This Row],[Class]]="A",WORKDAY(Main[[#This Row],[Tech Start Date]],5),""))))</f>
        <v>40974</v>
      </c>
      <c r="P1487" s="75">
        <f>IF(Main[[#This Row],[Tech Start Date]]&lt;1/1/1990,"",IF(Main[[#This Row],[Class]]="C",WORKDAY(Main[[#This Row],[Tech Start Date]],28),IF(Main[[#This Row],[Class]]="B", WORKDAY(Main[[#This Row],[Tech Start Date]],19),IF(Main[[#This Row],[Class]]="A",WORKDAY(Main[[#This Row],[Tech Start Date]],9),""))))</f>
        <v>40980</v>
      </c>
      <c r="Q1487" s="89">
        <v>40969</v>
      </c>
      <c r="R1487" s="121">
        <v>40988</v>
      </c>
      <c r="S1487" s="99" t="s">
        <v>11</v>
      </c>
      <c r="T1487" s="76" t="s">
        <v>3870</v>
      </c>
      <c r="U1487" s="99" t="s">
        <v>29</v>
      </c>
      <c r="V1487" s="99" t="s">
        <v>1923</v>
      </c>
      <c r="W1487" s="99" t="s">
        <v>1919</v>
      </c>
      <c r="X1487" s="99" t="s">
        <v>2839</v>
      </c>
      <c r="Y1487" s="73" t="s">
        <v>3852</v>
      </c>
      <c r="Z1487" s="73" t="s">
        <v>530</v>
      </c>
      <c r="AA1487" s="99" t="s">
        <v>2839</v>
      </c>
    </row>
  </sheetData>
  <sheetProtection formatCells="0" formatColumns="0" formatRows="0" insertColumns="0" insertRows="0" insertHyperlinks="0" deleteColumns="0" deleteRows="0" selectLockedCells="1" sort="0" autoFilter="0" pivotTables="0"/>
  <dataConsolidate/>
  <mergeCells count="4">
    <mergeCell ref="AB5:AI5"/>
    <mergeCell ref="A1:B1"/>
    <mergeCell ref="A2:B4"/>
    <mergeCell ref="C1:C4"/>
  </mergeCells>
  <conditionalFormatting sqref="B6:B1487">
    <cfRule type="expression" dxfId="66" priority="1457">
      <formula>atat($T6)=1</formula>
    </cfRule>
  </conditionalFormatting>
  <conditionalFormatting sqref="M6:P1487">
    <cfRule type="colorScale" priority="25">
      <colorScale>
        <cfvo type="num" val="TODAY()"/>
        <cfvo type="num" val="TODAY()+2"/>
        <cfvo type="num" val="TODAY()+4"/>
        <color rgb="FFD36767"/>
        <color rgb="FFFFFFD1"/>
        <color rgb="FFC0E391"/>
      </colorScale>
    </cfRule>
  </conditionalFormatting>
  <conditionalFormatting sqref="C6:R1048576">
    <cfRule type="expression" dxfId="65" priority="1642">
      <formula>OR($J6="Document Control", $J6="Quality")</formula>
    </cfRule>
  </conditionalFormatting>
  <conditionalFormatting sqref="C6:U1048576">
    <cfRule type="expression" dxfId="64" priority="1980">
      <formula>OR($U6="Design Hold", $U6="Define Requirements")</formula>
    </cfRule>
  </conditionalFormatting>
  <conditionalFormatting sqref="H6:H1476 H1478:H1487">
    <cfRule type="cellIs" dxfId="63" priority="3" operator="greaterThan">
      <formula>$G6</formula>
    </cfRule>
    <cfRule type="cellIs" dxfId="62" priority="4" operator="between">
      <formula>$G7-7</formula>
      <formula>$G7</formula>
    </cfRule>
    <cfRule type="cellIs" dxfId="61" priority="19" operator="lessThan">
      <formula>$G6</formula>
    </cfRule>
  </conditionalFormatting>
  <conditionalFormatting sqref="H5:H1487">
    <cfRule type="containsBlanks" priority="2" stopIfTrue="1">
      <formula>LEN(TRIM(H5))=0</formula>
    </cfRule>
  </conditionalFormatting>
  <printOptions horizontalCentered="1"/>
  <pageMargins left="0.25" right="0.05" top="0.82" bottom="0.3" header="0.12" footer="0.1"/>
  <pageSetup scale="87" fitToHeight="0" orientation="landscape" r:id="rId1"/>
  <headerFooter alignWithMargins="0">
    <oddHeader>&amp;L&amp;G&amp;R&amp;D</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moveWithCells="1">
              <from>
                <xdr:col>3</xdr:col>
                <xdr:colOff>133350</xdr:colOff>
                <xdr:row>0</xdr:row>
                <xdr:rowOff>66675</xdr:rowOff>
              </from>
              <to>
                <xdr:col>3</xdr:col>
                <xdr:colOff>2819400</xdr:colOff>
                <xdr:row>1</xdr:row>
                <xdr:rowOff>190500</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190500</xdr:colOff>
                <xdr:row>2</xdr:row>
                <xdr:rowOff>571500</xdr:rowOff>
              </from>
              <to>
                <xdr:col>3</xdr:col>
                <xdr:colOff>2381250</xdr:colOff>
                <xdr:row>3</xdr:row>
                <xdr:rowOff>38100</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190500</xdr:colOff>
                <xdr:row>2</xdr:row>
                <xdr:rowOff>180975</xdr:rowOff>
              </from>
              <to>
                <xdr:col>3</xdr:col>
                <xdr:colOff>2381250</xdr:colOff>
                <xdr:row>2</xdr:row>
                <xdr:rowOff>523875</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190500</xdr:colOff>
                <xdr:row>1</xdr:row>
                <xdr:rowOff>619125</xdr:rowOff>
              </from>
              <to>
                <xdr:col>3</xdr:col>
                <xdr:colOff>2381250</xdr:colOff>
                <xdr:row>2</xdr:row>
                <xdr:rowOff>142875</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190500</xdr:colOff>
                <xdr:row>1</xdr:row>
                <xdr:rowOff>238125</xdr:rowOff>
              </from>
              <to>
                <xdr:col>3</xdr:col>
                <xdr:colOff>2381250</xdr:colOff>
                <xdr:row>1</xdr:row>
                <xdr:rowOff>581025</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print="0" autoLine="0" listFillRange="B6:B2298" r:id="rId16">
            <anchor moveWithCells="1">
              <from>
                <xdr:col>2</xdr:col>
                <xdr:colOff>285750</xdr:colOff>
                <xdr:row>2</xdr:row>
                <xdr:rowOff>762000</xdr:rowOff>
              </from>
              <to>
                <xdr:col>2</xdr:col>
                <xdr:colOff>1123950</xdr:colOff>
                <xdr:row>3</xdr:row>
                <xdr:rowOff>161925</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1162050</xdr:colOff>
                <xdr:row>2</xdr:row>
                <xdr:rowOff>733425</xdr:rowOff>
              </from>
              <to>
                <xdr:col>2</xdr:col>
                <xdr:colOff>1543050</xdr:colOff>
                <xdr:row>3</xdr:row>
                <xdr:rowOff>171450</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print="0" autoFill="0" autoLine="0" r:id="rId20">
            <anchor moveWithCells="1">
              <from>
                <xdr:col>2</xdr:col>
                <xdr:colOff>133350</xdr:colOff>
                <xdr:row>1</xdr:row>
                <xdr:rowOff>152400</xdr:rowOff>
              </from>
              <to>
                <xdr:col>2</xdr:col>
                <xdr:colOff>1781175</xdr:colOff>
                <xdr:row>1</xdr:row>
                <xdr:rowOff>542925</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print="0" autoFill="0" autoLine="0" r:id="rId22">
            <anchor moveWithCells="1">
              <from>
                <xdr:col>2</xdr:col>
                <xdr:colOff>133350</xdr:colOff>
                <xdr:row>1</xdr:row>
                <xdr:rowOff>590550</xdr:rowOff>
              </from>
              <to>
                <xdr:col>2</xdr:col>
                <xdr:colOff>1781175</xdr:colOff>
                <xdr:row>2</xdr:row>
                <xdr:rowOff>161925</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print="0" autoFill="0" autoLine="0" r:id="rId24">
            <anchor moveWithCells="1">
              <from>
                <xdr:col>2</xdr:col>
                <xdr:colOff>133350</xdr:colOff>
                <xdr:row>2</xdr:row>
                <xdr:rowOff>209550</xdr:rowOff>
              </from>
              <to>
                <xdr:col>2</xdr:col>
                <xdr:colOff>1781175</xdr:colOff>
                <xdr:row>2</xdr:row>
                <xdr:rowOff>600075</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print="0" autoLine="0" r:id="rId26">
            <anchor moveWithCells="1">
              <from>
                <xdr:col>0</xdr:col>
                <xdr:colOff>133350</xdr:colOff>
                <xdr:row>1</xdr:row>
                <xdr:rowOff>495300</xdr:rowOff>
              </from>
              <to>
                <xdr:col>1</xdr:col>
                <xdr:colOff>571500</xdr:colOff>
                <xdr:row>2</xdr:row>
                <xdr:rowOff>142875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print="0" autoLine="0" r:id="rId28">
            <anchor moveWithCells="1">
              <from>
                <xdr:col>0</xdr:col>
                <xdr:colOff>133350</xdr:colOff>
                <xdr:row>1</xdr:row>
                <xdr:rowOff>95250</xdr:rowOff>
              </from>
              <to>
                <xdr:col>1</xdr:col>
                <xdr:colOff>571500</xdr:colOff>
                <xdr:row>1</xdr:row>
                <xdr:rowOff>428625</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print="0" autoLine="0" r:id="rId30">
            <anchor>
              <from>
                <xdr:col>0</xdr:col>
                <xdr:colOff>66675</xdr:colOff>
                <xdr:row>2</xdr:row>
                <xdr:rowOff>209550</xdr:rowOff>
              </from>
              <to>
                <xdr:col>1</xdr:col>
                <xdr:colOff>704850</xdr:colOff>
                <xdr:row>2</xdr:row>
                <xdr:rowOff>571500</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print="0" autoLine="0" r:id="rId32">
            <anchor>
              <from>
                <xdr:col>0</xdr:col>
                <xdr:colOff>66675</xdr:colOff>
                <xdr:row>2</xdr:row>
                <xdr:rowOff>628650</xdr:rowOff>
              </from>
              <to>
                <xdr:col>1</xdr:col>
                <xdr:colOff>704850</xdr:colOff>
                <xdr:row>3</xdr:row>
                <xdr:rowOff>123825</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361950</xdr:colOff>
                <xdr:row>0</xdr:row>
                <xdr:rowOff>38100</xdr:rowOff>
              </from>
              <to>
                <xdr:col>2</xdr:col>
                <xdr:colOff>1543050</xdr:colOff>
                <xdr:row>1</xdr:row>
                <xdr:rowOff>104775</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print="0" autoLine="0" r:id="rId36">
            <anchor moveWithCells="1">
              <from>
                <xdr:col>3</xdr:col>
                <xdr:colOff>2428875</xdr:colOff>
                <xdr:row>1</xdr:row>
                <xdr:rowOff>247650</xdr:rowOff>
              </from>
              <to>
                <xdr:col>3</xdr:col>
                <xdr:colOff>2743200</xdr:colOff>
                <xdr:row>1</xdr:row>
                <xdr:rowOff>571500</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print="0" autoLine="0" r:id="rId36">
            <anchor moveWithCells="1">
              <from>
                <xdr:col>3</xdr:col>
                <xdr:colOff>2428875</xdr:colOff>
                <xdr:row>1</xdr:row>
                <xdr:rowOff>628650</xdr:rowOff>
              </from>
              <to>
                <xdr:col>3</xdr:col>
                <xdr:colOff>2743200</xdr:colOff>
                <xdr:row>2</xdr:row>
                <xdr:rowOff>133350</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print="0" autoLine="0" r:id="rId36">
            <anchor moveWithCells="1">
              <from>
                <xdr:col>3</xdr:col>
                <xdr:colOff>2428875</xdr:colOff>
                <xdr:row>2</xdr:row>
                <xdr:rowOff>190500</xdr:rowOff>
              </from>
              <to>
                <xdr:col>3</xdr:col>
                <xdr:colOff>2743200</xdr:colOff>
                <xdr:row>2</xdr:row>
                <xdr:rowOff>514350</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print="0" autoLine="0" r:id="rId36">
            <anchor moveWithCells="1">
              <from>
                <xdr:col>3</xdr:col>
                <xdr:colOff>2428875</xdr:colOff>
                <xdr:row>2</xdr:row>
                <xdr:rowOff>581025</xdr:rowOff>
              </from>
              <to>
                <xdr:col>3</xdr:col>
                <xdr:colOff>2743200</xdr:colOff>
                <xdr:row>3</xdr:row>
                <xdr:rowOff>28575</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iconSet" priority="2001" id="{A1FC3F13-76EB-4633-85C9-6092B91F0CE3}">
            <x14:iconSet iconSet="3Symbols2" custom="1">
              <x14:cfvo type="percent">
                <xm:f>0</xm:f>
              </x14:cfvo>
              <x14:cfvo type="num">
                <xm:f>TODAY()</xm:f>
              </x14:cfvo>
              <x14:cfvo type="num">
                <xm:f>TODAY()+2</xm:f>
              </x14:cfvo>
              <x14:cfIcon iconSet="3Signs" iconId="0"/>
              <x14:cfIcon iconSet="3Symbols" iconId="1"/>
              <x14:cfIcon iconSet="NoIcons" iconId="0"/>
            </x14:iconSet>
          </x14:cfRule>
          <xm:sqref>R6:R1487</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Y93"/>
  <sheetViews>
    <sheetView showGridLines="0" showRowColHeaders="0" zoomScale="70" zoomScaleNormal="70" workbookViewId="0"/>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157" t="s">
        <v>998</v>
      </c>
      <c r="C2" s="158"/>
      <c r="D2" s="158"/>
      <c r="E2" s="158"/>
      <c r="F2" s="158"/>
      <c r="G2" s="158"/>
      <c r="H2" s="158"/>
      <c r="I2" s="158"/>
      <c r="J2" s="158"/>
      <c r="K2" s="158"/>
      <c r="L2" s="158"/>
      <c r="M2" s="159"/>
      <c r="O2" s="163" t="s">
        <v>3568</v>
      </c>
      <c r="P2" s="164"/>
      <c r="Q2" s="163" t="s">
        <v>1943</v>
      </c>
      <c r="R2" s="164"/>
    </row>
    <row r="3" spans="2:18" s="7" customFormat="1" ht="19.5" customHeight="1" thickTop="1">
      <c r="B3" s="160" t="s">
        <v>982</v>
      </c>
      <c r="C3" s="23" t="s">
        <v>986</v>
      </c>
      <c r="D3" s="17" t="s">
        <v>11</v>
      </c>
      <c r="E3" s="18"/>
      <c r="F3" s="18"/>
      <c r="G3" s="18"/>
      <c r="H3" s="18"/>
      <c r="I3" s="18"/>
      <c r="J3" s="18"/>
      <c r="K3" s="18"/>
      <c r="L3" s="18"/>
      <c r="M3" s="19"/>
      <c r="N3" s="9"/>
      <c r="O3" s="165" t="s">
        <v>3946</v>
      </c>
      <c r="P3" s="165"/>
      <c r="Q3" s="165" t="s">
        <v>2654</v>
      </c>
      <c r="R3" s="165"/>
    </row>
    <row r="4" spans="2:18" s="7" customFormat="1" ht="19.5" customHeight="1">
      <c r="B4" s="161"/>
      <c r="C4" s="24" t="s">
        <v>1935</v>
      </c>
      <c r="D4" s="29" t="s">
        <v>1913</v>
      </c>
      <c r="E4" s="30"/>
      <c r="F4" s="30"/>
      <c r="G4" s="30"/>
      <c r="H4" s="30"/>
      <c r="I4" s="30"/>
      <c r="J4" s="30"/>
      <c r="K4" s="30"/>
      <c r="L4" s="30"/>
      <c r="M4" s="31"/>
      <c r="N4" s="9"/>
      <c r="O4" s="166"/>
      <c r="P4" s="166"/>
      <c r="Q4" s="166"/>
      <c r="R4" s="166"/>
    </row>
    <row r="5" spans="2:18" s="8" customFormat="1" ht="19.5" customHeight="1">
      <c r="B5" s="161"/>
      <c r="C5" s="24" t="s">
        <v>987</v>
      </c>
      <c r="D5" s="20">
        <v>1</v>
      </c>
      <c r="E5" s="21">
        <v>2</v>
      </c>
      <c r="F5" s="21">
        <v>3</v>
      </c>
      <c r="G5" s="21">
        <v>4</v>
      </c>
      <c r="H5" s="21">
        <v>5</v>
      </c>
      <c r="I5" s="21">
        <v>6</v>
      </c>
      <c r="J5" s="21">
        <v>7</v>
      </c>
      <c r="K5" s="21">
        <v>0</v>
      </c>
      <c r="L5" s="21">
        <v>0</v>
      </c>
      <c r="M5" s="22">
        <v>0</v>
      </c>
      <c r="N5" s="9"/>
      <c r="O5" s="166"/>
      <c r="P5" s="166"/>
      <c r="Q5" s="166"/>
      <c r="R5" s="166"/>
    </row>
    <row r="6" spans="2:18" ht="19.5" customHeight="1">
      <c r="B6" s="161"/>
      <c r="C6" s="24" t="s">
        <v>988</v>
      </c>
      <c r="D6" s="20" t="s">
        <v>7</v>
      </c>
      <c r="E6" s="21" t="s">
        <v>29</v>
      </c>
      <c r="F6" s="21" t="s">
        <v>534</v>
      </c>
      <c r="G6" s="21" t="s">
        <v>694</v>
      </c>
      <c r="H6" s="21"/>
      <c r="I6" s="21"/>
      <c r="J6" s="21"/>
      <c r="K6" s="21"/>
      <c r="L6" s="21"/>
      <c r="M6" s="22"/>
      <c r="O6" s="166"/>
      <c r="P6" s="166"/>
      <c r="Q6" s="166"/>
      <c r="R6" s="166"/>
    </row>
    <row r="7" spans="2:18" ht="19.5" customHeight="1" thickBot="1">
      <c r="B7" s="161"/>
      <c r="C7" s="24" t="s">
        <v>3157</v>
      </c>
      <c r="D7" s="27" t="s">
        <v>7</v>
      </c>
      <c r="E7" s="27" t="s">
        <v>29</v>
      </c>
      <c r="F7" s="27" t="s">
        <v>534</v>
      </c>
      <c r="G7" s="27" t="s">
        <v>694</v>
      </c>
      <c r="H7" s="27"/>
      <c r="I7" s="27"/>
      <c r="J7" s="27"/>
      <c r="K7" s="27"/>
      <c r="L7" s="27"/>
      <c r="M7" s="27"/>
      <c r="O7" s="166"/>
      <c r="P7" s="166"/>
      <c r="Q7" s="166"/>
      <c r="R7" s="166"/>
    </row>
    <row r="8" spans="2:18" ht="19.5" customHeight="1" thickTop="1" thickBot="1">
      <c r="B8" s="162"/>
      <c r="C8" s="25" t="s">
        <v>3158</v>
      </c>
      <c r="D8" s="28" t="s">
        <v>3207</v>
      </c>
      <c r="E8" s="28"/>
      <c r="F8" s="28"/>
      <c r="G8" s="28"/>
      <c r="H8" s="28"/>
      <c r="I8" s="28"/>
      <c r="J8" s="28"/>
      <c r="K8" s="28"/>
      <c r="L8" s="28"/>
      <c r="M8" s="28"/>
      <c r="O8" s="168" t="s">
        <v>2151</v>
      </c>
      <c r="P8" s="168"/>
      <c r="Q8" s="168" t="s">
        <v>3173</v>
      </c>
      <c r="R8" s="168"/>
    </row>
    <row r="9" spans="2:18" ht="19.5" customHeight="1" thickTop="1" thickBot="1">
      <c r="B9" s="160" t="s">
        <v>983</v>
      </c>
      <c r="C9" s="23" t="s">
        <v>989</v>
      </c>
      <c r="D9" s="17" t="s">
        <v>11</v>
      </c>
      <c r="E9" s="18"/>
      <c r="F9" s="18"/>
      <c r="G9" s="18"/>
      <c r="H9" s="18"/>
      <c r="I9" s="18"/>
      <c r="J9" s="18"/>
      <c r="K9" s="18"/>
      <c r="L9" s="18"/>
      <c r="M9" s="19"/>
      <c r="O9" s="167">
        <v>0</v>
      </c>
      <c r="P9" s="167"/>
      <c r="Q9" s="167" t="b">
        <v>1</v>
      </c>
      <c r="R9" s="167"/>
    </row>
    <row r="10" spans="2:18" s="7" customFormat="1" ht="19.5" customHeight="1" thickTop="1" thickBot="1">
      <c r="B10" s="161"/>
      <c r="C10" s="24" t="s">
        <v>1938</v>
      </c>
      <c r="D10" s="29" t="s">
        <v>1916</v>
      </c>
      <c r="E10" s="30" t="s">
        <v>1923</v>
      </c>
      <c r="F10" s="30"/>
      <c r="G10" s="30"/>
      <c r="H10" s="30"/>
      <c r="I10" s="30"/>
      <c r="J10" s="30"/>
      <c r="K10" s="30"/>
      <c r="L10" s="30"/>
      <c r="M10" s="31"/>
      <c r="N10" s="9"/>
      <c r="O10" s="168" t="s">
        <v>2260</v>
      </c>
      <c r="P10" s="168"/>
      <c r="Q10" s="168" t="s">
        <v>2261</v>
      </c>
      <c r="R10" s="168"/>
    </row>
    <row r="11" spans="2:18" ht="19.5" customHeight="1" thickTop="1" thickBot="1">
      <c r="B11" s="161"/>
      <c r="C11" s="24" t="s">
        <v>990</v>
      </c>
      <c r="D11" s="20">
        <v>1</v>
      </c>
      <c r="E11" s="21">
        <v>2</v>
      </c>
      <c r="F11" s="21">
        <v>3</v>
      </c>
      <c r="G11" s="21">
        <v>4</v>
      </c>
      <c r="H11" s="21">
        <v>5</v>
      </c>
      <c r="I11" s="21">
        <v>6</v>
      </c>
      <c r="J11" s="21">
        <v>7</v>
      </c>
      <c r="K11" s="21">
        <v>0</v>
      </c>
      <c r="L11" s="21">
        <v>0</v>
      </c>
      <c r="M11" s="22">
        <v>0</v>
      </c>
      <c r="O11" s="167" t="s">
        <v>967</v>
      </c>
      <c r="P11" s="167"/>
      <c r="Q11" s="167" t="s">
        <v>1925</v>
      </c>
      <c r="R11" s="167"/>
    </row>
    <row r="12" spans="2:18" ht="19.5" customHeight="1" thickTop="1" thickBot="1">
      <c r="B12" s="161"/>
      <c r="C12" s="24" t="s">
        <v>991</v>
      </c>
      <c r="D12" s="20" t="s">
        <v>7</v>
      </c>
      <c r="E12" s="21" t="s">
        <v>29</v>
      </c>
      <c r="F12" s="21" t="s">
        <v>534</v>
      </c>
      <c r="G12" s="21" t="s">
        <v>694</v>
      </c>
      <c r="H12" s="21"/>
      <c r="I12" s="21"/>
      <c r="J12" s="21"/>
      <c r="K12" s="21"/>
      <c r="L12" s="21"/>
      <c r="M12" s="22"/>
      <c r="O12" s="168" t="s">
        <v>3156</v>
      </c>
      <c r="P12" s="168"/>
      <c r="Q12" s="168" t="s">
        <v>3569</v>
      </c>
      <c r="R12" s="168"/>
    </row>
    <row r="13" spans="2:18" ht="19.5" customHeight="1" thickTop="1" thickBot="1">
      <c r="B13" s="161"/>
      <c r="C13" s="24" t="s">
        <v>3159</v>
      </c>
      <c r="D13" s="27"/>
      <c r="E13" s="27"/>
      <c r="F13" s="27"/>
      <c r="G13" s="27"/>
      <c r="H13" s="27"/>
      <c r="I13" s="27"/>
      <c r="J13" s="27"/>
      <c r="K13" s="27"/>
      <c r="L13" s="27"/>
      <c r="M13" s="27"/>
      <c r="O13" s="167"/>
      <c r="P13" s="167"/>
      <c r="Q13" s="167" t="s">
        <v>4027</v>
      </c>
      <c r="R13" s="167"/>
    </row>
    <row r="14" spans="2:18" ht="19.5" customHeight="1" thickTop="1" thickBot="1">
      <c r="B14" s="162"/>
      <c r="C14" s="25" t="s">
        <v>3160</v>
      </c>
      <c r="D14" s="28"/>
      <c r="E14" s="28"/>
      <c r="F14" s="28"/>
      <c r="G14" s="28"/>
      <c r="H14" s="28"/>
      <c r="I14" s="28"/>
      <c r="J14" s="28"/>
      <c r="K14" s="28"/>
      <c r="L14" s="28"/>
      <c r="M14" s="28"/>
      <c r="O14" s="168" t="s">
        <v>4026</v>
      </c>
      <c r="P14" s="168"/>
      <c r="Q14" s="7"/>
      <c r="R14" s="7"/>
    </row>
    <row r="15" spans="2:18" ht="19.5" customHeight="1" thickTop="1" thickBot="1">
      <c r="B15" s="160" t="s">
        <v>984</v>
      </c>
      <c r="C15" s="23" t="s">
        <v>992</v>
      </c>
      <c r="D15" s="17" t="s">
        <v>11</v>
      </c>
      <c r="E15" s="18"/>
      <c r="F15" s="18"/>
      <c r="G15" s="18"/>
      <c r="H15" s="18"/>
      <c r="I15" s="18"/>
      <c r="J15" s="18"/>
      <c r="K15" s="18"/>
      <c r="L15" s="18"/>
      <c r="M15" s="19"/>
      <c r="O15" s="167" t="s">
        <v>4029</v>
      </c>
      <c r="P15" s="167"/>
      <c r="Q15" s="7"/>
      <c r="R15" s="7"/>
    </row>
    <row r="16" spans="2:18" ht="19.5" customHeight="1" thickTop="1">
      <c r="B16" s="161"/>
      <c r="C16" s="24" t="s">
        <v>1937</v>
      </c>
      <c r="D16" s="29" t="s">
        <v>1914</v>
      </c>
      <c r="E16" s="30"/>
      <c r="F16" s="30"/>
      <c r="G16" s="30"/>
      <c r="H16" s="30"/>
      <c r="I16" s="30"/>
      <c r="J16" s="30"/>
      <c r="K16" s="30"/>
      <c r="L16" s="30"/>
      <c r="M16" s="31"/>
      <c r="O16" s="7"/>
      <c r="P16" s="7"/>
      <c r="Q16" s="7"/>
      <c r="R16" s="7"/>
    </row>
    <row r="17" spans="1:24" ht="19.5" customHeight="1">
      <c r="B17" s="161"/>
      <c r="C17" s="24" t="s">
        <v>993</v>
      </c>
      <c r="D17" s="20">
        <v>1</v>
      </c>
      <c r="E17" s="21">
        <v>2</v>
      </c>
      <c r="F17" s="21">
        <v>3</v>
      </c>
      <c r="G17" s="21">
        <v>4</v>
      </c>
      <c r="H17" s="21">
        <v>5</v>
      </c>
      <c r="I17" s="21">
        <v>6</v>
      </c>
      <c r="J17" s="21">
        <v>7</v>
      </c>
      <c r="K17" s="21">
        <v>0</v>
      </c>
      <c r="L17" s="21">
        <v>0</v>
      </c>
      <c r="M17" s="22">
        <v>0</v>
      </c>
      <c r="O17" s="7"/>
      <c r="P17" s="7"/>
      <c r="Q17" s="7"/>
      <c r="R17" s="7"/>
    </row>
    <row r="18" spans="1:24" ht="19.5" customHeight="1">
      <c r="B18" s="161"/>
      <c r="C18" s="24" t="s">
        <v>994</v>
      </c>
      <c r="D18" s="20" t="s">
        <v>7</v>
      </c>
      <c r="E18" s="21" t="s">
        <v>29</v>
      </c>
      <c r="F18" s="21" t="s">
        <v>534</v>
      </c>
      <c r="G18" s="21" t="s">
        <v>694</v>
      </c>
      <c r="H18" s="21"/>
      <c r="I18" s="21"/>
      <c r="J18" s="21"/>
      <c r="K18" s="21"/>
      <c r="L18" s="21"/>
      <c r="M18" s="22"/>
    </row>
    <row r="19" spans="1:24" ht="19.5" customHeight="1">
      <c r="B19" s="161"/>
      <c r="C19" s="24" t="s">
        <v>3161</v>
      </c>
      <c r="D19" s="27" t="s">
        <v>7</v>
      </c>
      <c r="E19" s="27" t="s">
        <v>29</v>
      </c>
      <c r="F19" s="27" t="s">
        <v>534</v>
      </c>
      <c r="G19" s="27" t="s">
        <v>694</v>
      </c>
      <c r="H19" s="27"/>
      <c r="I19" s="27"/>
      <c r="J19" s="27"/>
      <c r="K19" s="27"/>
      <c r="L19" s="27"/>
      <c r="M19" s="27"/>
    </row>
    <row r="20" spans="1:24" ht="19.5" customHeight="1" thickBot="1">
      <c r="B20" s="162"/>
      <c r="C20" s="25" t="s">
        <v>3162</v>
      </c>
      <c r="D20" s="28"/>
      <c r="E20" s="28"/>
      <c r="F20" s="28"/>
      <c r="G20" s="28"/>
      <c r="H20" s="28"/>
      <c r="I20" s="28"/>
      <c r="J20" s="28"/>
      <c r="K20" s="28"/>
      <c r="L20" s="28"/>
      <c r="M20" s="28"/>
    </row>
    <row r="21" spans="1:24" ht="19.5" customHeight="1" thickTop="1">
      <c r="B21" s="160" t="s">
        <v>985</v>
      </c>
      <c r="C21" s="23" t="s">
        <v>995</v>
      </c>
      <c r="D21" s="17" t="s">
        <v>11</v>
      </c>
      <c r="E21" s="18"/>
      <c r="F21" s="18"/>
      <c r="G21" s="18"/>
      <c r="H21" s="18"/>
      <c r="I21" s="18"/>
      <c r="J21" s="18"/>
      <c r="K21" s="18"/>
      <c r="L21" s="18"/>
      <c r="M21" s="19"/>
    </row>
    <row r="22" spans="1:24" ht="19.5" customHeight="1">
      <c r="B22" s="161"/>
      <c r="C22" s="24" t="s">
        <v>1936</v>
      </c>
      <c r="D22" s="29" t="s">
        <v>1928</v>
      </c>
      <c r="E22" s="30"/>
      <c r="F22" s="30"/>
      <c r="G22" s="30"/>
      <c r="H22" s="30"/>
      <c r="I22" s="30"/>
      <c r="J22" s="30"/>
      <c r="K22" s="30"/>
      <c r="L22" s="30"/>
      <c r="M22" s="31"/>
    </row>
    <row r="23" spans="1:24" ht="19.5" customHeight="1">
      <c r="B23" s="161"/>
      <c r="C23" s="24" t="s">
        <v>996</v>
      </c>
      <c r="D23" s="20">
        <v>1</v>
      </c>
      <c r="E23" s="21">
        <v>2</v>
      </c>
      <c r="F23" s="21">
        <v>3</v>
      </c>
      <c r="G23" s="21">
        <v>4</v>
      </c>
      <c r="H23" s="21">
        <v>5</v>
      </c>
      <c r="I23" s="21">
        <v>6</v>
      </c>
      <c r="J23" s="21">
        <v>7</v>
      </c>
      <c r="K23" s="21">
        <v>0</v>
      </c>
      <c r="L23" s="21">
        <v>0</v>
      </c>
      <c r="M23" s="22">
        <v>0</v>
      </c>
    </row>
    <row r="24" spans="1:24" ht="19.5" customHeight="1">
      <c r="B24" s="161"/>
      <c r="C24" s="24" t="s">
        <v>997</v>
      </c>
      <c r="D24" s="20" t="s">
        <v>7</v>
      </c>
      <c r="E24" s="21" t="s">
        <v>29</v>
      </c>
      <c r="F24" s="21" t="s">
        <v>534</v>
      </c>
      <c r="G24" s="21" t="s">
        <v>694</v>
      </c>
      <c r="H24" s="21"/>
      <c r="I24" s="21"/>
      <c r="J24" s="21"/>
      <c r="K24" s="21"/>
      <c r="L24" s="21"/>
      <c r="M24" s="22"/>
    </row>
    <row r="25" spans="1:24" ht="19.5" customHeight="1">
      <c r="B25" s="161"/>
      <c r="C25" s="24" t="s">
        <v>3163</v>
      </c>
      <c r="D25" s="27"/>
      <c r="E25" s="27"/>
      <c r="F25" s="27"/>
      <c r="G25" s="27"/>
      <c r="H25" s="27"/>
      <c r="I25" s="27"/>
      <c r="J25" s="27"/>
      <c r="K25" s="27"/>
      <c r="L25" s="27"/>
      <c r="M25" s="27"/>
    </row>
    <row r="26" spans="1:24" ht="19.5" customHeight="1" thickBot="1">
      <c r="B26" s="162"/>
      <c r="C26" s="25" t="s">
        <v>3164</v>
      </c>
      <c r="D26" s="28"/>
      <c r="E26" s="28"/>
      <c r="F26" s="28"/>
      <c r="G26" s="28"/>
      <c r="H26" s="28"/>
      <c r="I26" s="28"/>
      <c r="J26" s="28"/>
      <c r="K26" s="28"/>
      <c r="L26" s="28"/>
      <c r="M26" s="28"/>
    </row>
    <row r="27" spans="1:24" ht="35.25" customHeight="1" thickTop="1" thickBot="1">
      <c r="C27" s="151" t="s">
        <v>976</v>
      </c>
      <c r="D27" s="152"/>
      <c r="E27" s="152"/>
      <c r="F27" s="153"/>
      <c r="G27" s="151" t="s">
        <v>981</v>
      </c>
      <c r="H27" s="152"/>
      <c r="I27" s="152"/>
      <c r="J27" s="152"/>
      <c r="K27" s="154" t="s">
        <v>1929</v>
      </c>
      <c r="L27" s="155"/>
      <c r="M27" s="155"/>
      <c r="N27" s="155"/>
      <c r="O27" s="156"/>
    </row>
    <row r="28" spans="1:24" s="11" customFormat="1" ht="21" thickTop="1">
      <c r="A28" s="10"/>
      <c r="B28" s="10"/>
      <c r="C28" s="13" t="s">
        <v>982</v>
      </c>
      <c r="D28" s="13" t="s">
        <v>983</v>
      </c>
      <c r="E28" s="13" t="s">
        <v>984</v>
      </c>
      <c r="F28" s="13" t="s">
        <v>999</v>
      </c>
      <c r="G28" s="16" t="s">
        <v>1001</v>
      </c>
      <c r="H28" s="14" t="s">
        <v>967</v>
      </c>
      <c r="I28" s="14" t="s">
        <v>3</v>
      </c>
      <c r="J28" s="15" t="s">
        <v>1007</v>
      </c>
      <c r="K28" s="26" t="s">
        <v>966</v>
      </c>
      <c r="L28" s="12" t="s">
        <v>964</v>
      </c>
      <c r="M28" s="12" t="s">
        <v>965</v>
      </c>
      <c r="N28" s="12" t="s">
        <v>977</v>
      </c>
      <c r="O28" s="12" t="s">
        <v>978</v>
      </c>
      <c r="X28" s="4"/>
    </row>
    <row r="29" spans="1:24" ht="17.25" customHeight="1">
      <c r="C29" s="2" t="s">
        <v>877</v>
      </c>
      <c r="D29" s="2" t="s">
        <v>1972</v>
      </c>
      <c r="E29" s="2" t="s">
        <v>956</v>
      </c>
      <c r="F29" s="12" t="s">
        <v>2207</v>
      </c>
      <c r="G29" t="s">
        <v>3263</v>
      </c>
      <c r="H29" s="2" t="s">
        <v>11</v>
      </c>
      <c r="I29" s="2" t="s">
        <v>14</v>
      </c>
      <c r="J29" s="12" t="s">
        <v>1921</v>
      </c>
      <c r="K29" s="12" t="s">
        <v>1922</v>
      </c>
      <c r="L29" s="12">
        <v>2</v>
      </c>
      <c r="M29" s="12">
        <v>4</v>
      </c>
      <c r="N29" s="12">
        <v>5</v>
      </c>
      <c r="O29" s="12">
        <v>9</v>
      </c>
      <c r="X29" s="11"/>
    </row>
    <row r="30" spans="1:24" ht="17.25" customHeight="1">
      <c r="C30" s="2" t="s">
        <v>50</v>
      </c>
      <c r="D30" s="2" t="s">
        <v>971</v>
      </c>
      <c r="E30" s="2" t="s">
        <v>50</v>
      </c>
      <c r="F30" s="12" t="s">
        <v>2009</v>
      </c>
      <c r="G30" t="s">
        <v>2601</v>
      </c>
      <c r="H30" s="2" t="s">
        <v>17</v>
      </c>
      <c r="I30" s="2" t="s">
        <v>979</v>
      </c>
      <c r="J30" s="12" t="s">
        <v>1919</v>
      </c>
      <c r="K30" s="12" t="s">
        <v>1920</v>
      </c>
      <c r="L30" s="12">
        <v>6</v>
      </c>
      <c r="M30" s="12">
        <v>12</v>
      </c>
      <c r="N30" s="12">
        <v>15</v>
      </c>
      <c r="O30" s="12">
        <v>19</v>
      </c>
    </row>
    <row r="31" spans="1:24" ht="17.25" customHeight="1">
      <c r="C31" s="2" t="s">
        <v>968</v>
      </c>
      <c r="D31" s="2" t="s">
        <v>2047</v>
      </c>
      <c r="E31" s="2" t="s">
        <v>2620</v>
      </c>
      <c r="F31" s="12" t="s">
        <v>306</v>
      </c>
      <c r="G31" t="s">
        <v>2022</v>
      </c>
      <c r="H31" s="2" t="s">
        <v>411</v>
      </c>
      <c r="I31" s="3" t="s">
        <v>12</v>
      </c>
      <c r="J31" s="12" t="s">
        <v>1927</v>
      </c>
      <c r="K31" s="12" t="s">
        <v>1926</v>
      </c>
      <c r="L31" s="12">
        <v>9</v>
      </c>
      <c r="M31" s="12">
        <v>19</v>
      </c>
      <c r="N31" s="12">
        <v>23</v>
      </c>
      <c r="O31" s="12">
        <v>28</v>
      </c>
    </row>
    <row r="32" spans="1:24" ht="17.25" customHeight="1">
      <c r="C32" s="2" t="s">
        <v>306</v>
      </c>
      <c r="D32" s="2" t="s">
        <v>239</v>
      </c>
      <c r="E32" s="2" t="s">
        <v>306</v>
      </c>
      <c r="F32" s="12" t="s">
        <v>2202</v>
      </c>
      <c r="G32" t="s">
        <v>75</v>
      </c>
      <c r="H32" s="2" t="s">
        <v>6</v>
      </c>
      <c r="I32" s="2" t="s">
        <v>694</v>
      </c>
      <c r="J32" s="12" t="s">
        <v>1915</v>
      </c>
      <c r="K32" s="12" t="s">
        <v>1925</v>
      </c>
      <c r="L32" s="12">
        <v>15</v>
      </c>
      <c r="M32" s="12">
        <v>19</v>
      </c>
      <c r="N32" s="12">
        <v>35</v>
      </c>
      <c r="O32" s="12">
        <v>60</v>
      </c>
    </row>
    <row r="33" spans="3:14" ht="17.25" customHeight="1">
      <c r="C33" s="2" t="s">
        <v>44</v>
      </c>
      <c r="D33" s="2" t="s">
        <v>2040</v>
      </c>
      <c r="E33" s="2" t="s">
        <v>399</v>
      </c>
      <c r="F33" s="12" t="s">
        <v>399</v>
      </c>
      <c r="G33" t="s">
        <v>1974</v>
      </c>
      <c r="H33" s="3" t="s">
        <v>296</v>
      </c>
      <c r="I33" s="2" t="s">
        <v>534</v>
      </c>
      <c r="J33" s="12" t="s">
        <v>1917</v>
      </c>
      <c r="K33" s="9"/>
      <c r="L33" s="4"/>
      <c r="M33" s="4"/>
      <c r="N33" s="4"/>
    </row>
    <row r="34" spans="3:14" ht="17.25" customHeight="1">
      <c r="C34" s="2" t="s">
        <v>399</v>
      </c>
      <c r="D34" s="2" t="s">
        <v>81</v>
      </c>
      <c r="E34" s="2" t="s">
        <v>417</v>
      </c>
      <c r="F34" s="39" t="s">
        <v>946</v>
      </c>
      <c r="G34" t="s">
        <v>70</v>
      </c>
      <c r="H34" s="2" t="s">
        <v>318</v>
      </c>
      <c r="I34" s="2" t="s">
        <v>103</v>
      </c>
      <c r="J34" s="12" t="s">
        <v>1918</v>
      </c>
      <c r="K34" s="9"/>
      <c r="L34" s="4"/>
      <c r="M34" s="4"/>
      <c r="N34" s="4"/>
    </row>
    <row r="35" spans="3:14" ht="17.25" customHeight="1">
      <c r="C35" s="2" t="s">
        <v>417</v>
      </c>
      <c r="D35" s="2" t="s">
        <v>50</v>
      </c>
      <c r="E35" s="2" t="s">
        <v>2245</v>
      </c>
      <c r="F35" s="39" t="s">
        <v>102</v>
      </c>
      <c r="G35" t="s">
        <v>2208</v>
      </c>
      <c r="H35" s="2" t="s">
        <v>23</v>
      </c>
      <c r="I35" s="2" t="s">
        <v>7</v>
      </c>
      <c r="J35" s="12" t="s">
        <v>1924</v>
      </c>
      <c r="K35" s="9"/>
      <c r="L35" s="4"/>
      <c r="M35" s="4"/>
      <c r="N35" s="4"/>
    </row>
    <row r="36" spans="3:14" ht="17.25" customHeight="1">
      <c r="C36" s="2" t="s">
        <v>907</v>
      </c>
      <c r="D36" s="2" t="s">
        <v>745</v>
      </c>
      <c r="E36" s="2" t="s">
        <v>946</v>
      </c>
      <c r="F36" s="40" t="s">
        <v>2204</v>
      </c>
      <c r="G36" t="s">
        <v>51</v>
      </c>
      <c r="H36" s="2" t="s">
        <v>49</v>
      </c>
      <c r="I36" s="2" t="s">
        <v>29</v>
      </c>
      <c r="K36" s="9"/>
      <c r="L36" s="4"/>
      <c r="M36" s="4"/>
      <c r="N36" s="4"/>
    </row>
    <row r="37" spans="3:14" ht="17.25" customHeight="1">
      <c r="C37" s="2" t="s">
        <v>561</v>
      </c>
      <c r="D37" s="2" t="s">
        <v>968</v>
      </c>
      <c r="E37" s="2" t="s">
        <v>942</v>
      </c>
      <c r="F37" s="40" t="s">
        <v>922</v>
      </c>
      <c r="G37" t="s">
        <v>980</v>
      </c>
      <c r="K37" s="9"/>
      <c r="L37" s="4"/>
      <c r="M37" s="4"/>
      <c r="N37" s="4"/>
    </row>
    <row r="38" spans="3:14" ht="17.25" customHeight="1">
      <c r="C38" s="2" t="s">
        <v>102</v>
      </c>
      <c r="D38" s="2" t="s">
        <v>883</v>
      </c>
      <c r="E38" s="2" t="s">
        <v>102</v>
      </c>
      <c r="F38" s="40" t="s">
        <v>2010</v>
      </c>
      <c r="G38" t="s">
        <v>52</v>
      </c>
      <c r="H38" s="5"/>
      <c r="K38" s="9"/>
      <c r="L38" s="4"/>
      <c r="M38" s="4"/>
      <c r="N38" s="4"/>
    </row>
    <row r="39" spans="3:14" ht="17.25" customHeight="1">
      <c r="C39" s="2" t="s">
        <v>708</v>
      </c>
      <c r="D39" s="2" t="s">
        <v>306</v>
      </c>
      <c r="E39" s="2" t="s">
        <v>940</v>
      </c>
      <c r="F39" s="58" t="s">
        <v>2014</v>
      </c>
      <c r="G39" t="s">
        <v>21</v>
      </c>
      <c r="K39" s="9"/>
      <c r="L39" s="4"/>
      <c r="M39" s="4"/>
      <c r="N39" s="4"/>
    </row>
    <row r="40" spans="3:14" ht="17.25" customHeight="1">
      <c r="C40" s="2" t="s">
        <v>2204</v>
      </c>
      <c r="D40" s="2" t="s">
        <v>44</v>
      </c>
      <c r="E40" s="2" t="s">
        <v>2204</v>
      </c>
      <c r="F40" s="4"/>
      <c r="G40" t="s">
        <v>28</v>
      </c>
      <c r="K40" s="9"/>
      <c r="L40" s="4"/>
      <c r="M40" s="4"/>
      <c r="N40" s="4"/>
    </row>
    <row r="41" spans="3:14" ht="17.25" customHeight="1">
      <c r="C41" s="2" t="s">
        <v>889</v>
      </c>
      <c r="D41" s="2" t="s">
        <v>2021</v>
      </c>
      <c r="E41" s="2" t="s">
        <v>889</v>
      </c>
      <c r="K41" s="9"/>
      <c r="L41" s="4"/>
      <c r="M41" s="4"/>
      <c r="N41" s="4"/>
    </row>
    <row r="42" spans="3:14" ht="17.25" customHeight="1">
      <c r="C42" s="2" t="s">
        <v>2048</v>
      </c>
      <c r="D42" s="2" t="s">
        <v>399</v>
      </c>
      <c r="E42" s="2" t="s">
        <v>108</v>
      </c>
      <c r="K42" s="9"/>
      <c r="L42" s="4"/>
      <c r="M42" s="4"/>
      <c r="N42" s="4"/>
    </row>
    <row r="43" spans="3:14" ht="17.25" customHeight="1">
      <c r="C43" s="2" t="s">
        <v>126</v>
      </c>
      <c r="D43" s="2" t="s">
        <v>415</v>
      </c>
      <c r="E43" s="34" t="s">
        <v>975</v>
      </c>
      <c r="K43" s="9"/>
    </row>
    <row r="44" spans="3:14" ht="17.25" customHeight="1">
      <c r="C44" s="2" t="s">
        <v>129</v>
      </c>
      <c r="D44" s="2" t="s">
        <v>417</v>
      </c>
      <c r="E44" s="34" t="s">
        <v>941</v>
      </c>
      <c r="K44" s="9"/>
    </row>
    <row r="45" spans="3:14" ht="17.25" customHeight="1">
      <c r="C45" s="2" t="s">
        <v>922</v>
      </c>
      <c r="D45" s="2" t="s">
        <v>972</v>
      </c>
      <c r="E45" s="34" t="s">
        <v>2049</v>
      </c>
      <c r="J45" s="5"/>
      <c r="K45" s="9"/>
    </row>
    <row r="46" spans="3:14" ht="17.25" customHeight="1">
      <c r="C46" s="2" t="s">
        <v>894</v>
      </c>
      <c r="D46" s="2" t="s">
        <v>163</v>
      </c>
      <c r="E46" s="34" t="s">
        <v>969</v>
      </c>
      <c r="H46" s="1"/>
      <c r="I46" s="5"/>
      <c r="J46" s="5"/>
      <c r="K46" s="9"/>
    </row>
    <row r="47" spans="3:14" ht="17.25" customHeight="1">
      <c r="C47" s="2" t="s">
        <v>431</v>
      </c>
      <c r="D47" s="2" t="s">
        <v>130</v>
      </c>
      <c r="E47" s="4"/>
      <c r="H47" s="1"/>
    </row>
    <row r="48" spans="3:14" ht="17.25" customHeight="1">
      <c r="C48" s="2" t="s">
        <v>912</v>
      </c>
      <c r="D48" s="2" t="s">
        <v>102</v>
      </c>
      <c r="H48" s="1"/>
    </row>
    <row r="49" spans="3:25" ht="17.25" customHeight="1">
      <c r="C49" s="2" t="s">
        <v>2622</v>
      </c>
      <c r="D49" s="2" t="s">
        <v>65</v>
      </c>
      <c r="H49" s="1"/>
    </row>
    <row r="50" spans="3:25" ht="17.25" customHeight="1">
      <c r="C50" s="2" t="s">
        <v>937</v>
      </c>
      <c r="D50" s="2" t="s">
        <v>2204</v>
      </c>
      <c r="H50" s="1"/>
    </row>
    <row r="51" spans="3:25" ht="17.25" customHeight="1">
      <c r="C51" s="2" t="s">
        <v>969</v>
      </c>
      <c r="D51" s="2" t="s">
        <v>2048</v>
      </c>
      <c r="G51" s="5"/>
      <c r="H51" s="1"/>
      <c r="N51" s="1"/>
      <c r="O51" s="1"/>
    </row>
    <row r="52" spans="3:25" ht="17.25" customHeight="1">
      <c r="C52" s="2" t="s">
        <v>886</v>
      </c>
      <c r="D52" s="2" t="s">
        <v>652</v>
      </c>
      <c r="H52" s="1"/>
      <c r="L52" s="1"/>
      <c r="M52" s="1"/>
      <c r="N52" s="1"/>
      <c r="O52" s="1"/>
    </row>
    <row r="53" spans="3:25" ht="17.25" customHeight="1">
      <c r="C53" s="34" t="s">
        <v>970</v>
      </c>
      <c r="D53" s="2" t="s">
        <v>852</v>
      </c>
      <c r="H53" s="1"/>
      <c r="J53" s="1"/>
      <c r="L53" s="1"/>
      <c r="M53" s="1"/>
      <c r="N53" s="1"/>
      <c r="O53" s="1"/>
    </row>
    <row r="54" spans="3:25" ht="17.25" customHeight="1">
      <c r="C54" s="4"/>
      <c r="D54" s="2" t="s">
        <v>3922</v>
      </c>
      <c r="H54" s="1"/>
      <c r="I54" s="1"/>
      <c r="J54" s="1"/>
      <c r="L54" s="1"/>
      <c r="M54" s="1"/>
      <c r="N54" s="1"/>
      <c r="O54" s="1"/>
      <c r="P54" s="1"/>
      <c r="Q54" s="1"/>
      <c r="R54" s="1"/>
      <c r="S54" s="1"/>
      <c r="T54" s="1"/>
      <c r="U54" s="1"/>
      <c r="V54" s="1"/>
      <c r="W54" s="1"/>
      <c r="X54" s="1"/>
      <c r="Y54" s="1"/>
    </row>
    <row r="55" spans="3:25" ht="17.25" customHeight="1">
      <c r="D55" s="2" t="s">
        <v>3533</v>
      </c>
      <c r="H55" s="1"/>
      <c r="I55" s="1"/>
      <c r="J55" s="1"/>
      <c r="K55" s="1"/>
      <c r="L55" s="1"/>
      <c r="M55" s="1"/>
      <c r="N55" s="1"/>
      <c r="O55" s="1"/>
      <c r="P55" s="1"/>
      <c r="Q55" s="1"/>
      <c r="R55" s="1"/>
      <c r="S55" s="1"/>
      <c r="T55" s="1"/>
      <c r="U55" s="1"/>
      <c r="V55" s="1"/>
      <c r="W55" s="1"/>
      <c r="X55" s="1"/>
      <c r="Y55" s="1"/>
    </row>
    <row r="56" spans="3:25" ht="17.25" customHeight="1">
      <c r="D56" s="2" t="s">
        <v>30</v>
      </c>
      <c r="H56" s="1"/>
      <c r="I56" s="1"/>
      <c r="J56" s="1"/>
      <c r="K56" s="1"/>
      <c r="L56" s="1"/>
      <c r="M56" s="1"/>
      <c r="N56" s="1"/>
      <c r="O56" s="1"/>
      <c r="P56" s="1"/>
      <c r="Q56" s="1"/>
      <c r="R56" s="1"/>
      <c r="S56" s="1"/>
      <c r="T56" s="1"/>
      <c r="U56" s="1"/>
      <c r="V56" s="1"/>
      <c r="W56" s="1"/>
      <c r="X56" s="1"/>
      <c r="Y56" s="1"/>
    </row>
    <row r="57" spans="3:25" ht="17.25" customHeight="1">
      <c r="D57" s="2" t="s">
        <v>894</v>
      </c>
      <c r="H57" s="1"/>
      <c r="I57" s="1"/>
      <c r="J57" s="1"/>
      <c r="K57" s="1"/>
      <c r="L57" s="1"/>
      <c r="M57" s="1"/>
      <c r="N57" s="1"/>
      <c r="O57" s="1"/>
      <c r="P57" s="1"/>
      <c r="Q57" s="1"/>
      <c r="R57" s="1"/>
      <c r="S57" s="1"/>
      <c r="T57" s="1"/>
      <c r="U57" s="1"/>
      <c r="V57" s="1"/>
      <c r="W57" s="1"/>
      <c r="X57" s="1"/>
      <c r="Y57" s="1"/>
    </row>
    <row r="58" spans="3:25" ht="17.25" customHeight="1">
      <c r="D58" s="2" t="s">
        <v>530</v>
      </c>
      <c r="H58" s="1"/>
      <c r="I58" s="1"/>
      <c r="J58" s="1"/>
      <c r="K58" s="1"/>
      <c r="L58" s="1"/>
      <c r="M58" s="1"/>
      <c r="N58" s="1"/>
      <c r="O58" s="1"/>
      <c r="P58" s="1"/>
      <c r="Q58" s="1"/>
      <c r="R58" s="1"/>
      <c r="S58" s="1"/>
      <c r="T58" s="1"/>
      <c r="U58" s="1"/>
      <c r="V58" s="1"/>
      <c r="W58" s="1"/>
      <c r="X58" s="1"/>
      <c r="Y58" s="1"/>
    </row>
    <row r="59" spans="3:25" ht="17.25" customHeight="1">
      <c r="D59" s="2" t="s">
        <v>431</v>
      </c>
      <c r="G59" s="1"/>
      <c r="H59" s="1"/>
      <c r="I59" s="1"/>
      <c r="J59" s="1"/>
      <c r="K59" s="1"/>
      <c r="L59" s="1"/>
      <c r="M59" s="1"/>
      <c r="N59" s="1"/>
      <c r="O59" s="1"/>
      <c r="P59" s="1"/>
      <c r="Q59" s="1"/>
      <c r="R59" s="1"/>
      <c r="S59" s="1"/>
      <c r="T59" s="1"/>
      <c r="U59" s="1"/>
      <c r="V59" s="1"/>
      <c r="W59" s="1"/>
      <c r="X59" s="1"/>
      <c r="Y59" s="1"/>
    </row>
    <row r="60" spans="3:25" ht="17.25" customHeight="1">
      <c r="D60" s="2" t="s">
        <v>74</v>
      </c>
      <c r="G60" s="1"/>
      <c r="H60" s="1"/>
      <c r="I60" s="1"/>
      <c r="J60" s="1"/>
      <c r="K60" s="1"/>
      <c r="L60" s="1"/>
      <c r="M60" s="1"/>
      <c r="N60" s="1"/>
      <c r="O60" s="1"/>
      <c r="P60" s="1"/>
      <c r="Q60" s="1"/>
      <c r="R60" s="1"/>
      <c r="S60" s="1"/>
      <c r="T60" s="1"/>
      <c r="U60" s="1"/>
      <c r="V60" s="1"/>
      <c r="W60" s="1"/>
      <c r="X60" s="1"/>
      <c r="Y60" s="1"/>
    </row>
    <row r="61" spans="3:25" ht="17.25" customHeight="1">
      <c r="D61" s="2" t="s">
        <v>898</v>
      </c>
      <c r="G61" s="1"/>
      <c r="H61" s="1"/>
      <c r="I61" s="1"/>
      <c r="J61" s="1"/>
      <c r="K61" s="1"/>
      <c r="L61" s="1"/>
      <c r="M61" s="1"/>
      <c r="N61" s="1"/>
      <c r="O61" s="1"/>
      <c r="P61" s="1"/>
      <c r="Q61" s="1"/>
      <c r="R61" s="1"/>
      <c r="S61" s="1"/>
      <c r="T61" s="1"/>
      <c r="U61" s="1"/>
      <c r="V61" s="1"/>
      <c r="W61" s="1"/>
      <c r="X61" s="1"/>
      <c r="Y61" s="1"/>
    </row>
    <row r="62" spans="3:25" ht="17.25" customHeight="1">
      <c r="D62" s="2" t="s">
        <v>2039</v>
      </c>
      <c r="G62" s="1"/>
      <c r="H62" s="1"/>
      <c r="I62" s="1"/>
      <c r="J62" s="1"/>
      <c r="K62" s="1"/>
      <c r="L62" s="1"/>
      <c r="M62" s="1"/>
      <c r="N62" s="1"/>
      <c r="O62" s="1"/>
      <c r="P62" s="1"/>
      <c r="Q62" s="1"/>
      <c r="R62" s="1"/>
      <c r="S62" s="1"/>
      <c r="T62" s="1"/>
      <c r="U62" s="1"/>
      <c r="V62" s="1"/>
      <c r="W62" s="1"/>
      <c r="X62" s="1"/>
      <c r="Y62" s="1"/>
    </row>
    <row r="63" spans="3:25" ht="17.25" customHeight="1">
      <c r="D63" s="2" t="s">
        <v>272</v>
      </c>
      <c r="G63" s="1"/>
      <c r="H63" s="1"/>
      <c r="I63" s="1"/>
      <c r="J63" s="1"/>
      <c r="K63" s="1"/>
      <c r="L63" s="1"/>
      <c r="M63" s="1"/>
      <c r="N63" s="1"/>
      <c r="O63" s="1"/>
      <c r="P63" s="1"/>
      <c r="Q63" s="1"/>
      <c r="R63" s="1"/>
      <c r="S63" s="1"/>
      <c r="T63" s="1"/>
      <c r="U63" s="1"/>
      <c r="V63" s="1"/>
      <c r="W63" s="1"/>
      <c r="X63" s="1"/>
      <c r="Y63" s="1"/>
    </row>
    <row r="64" spans="3:25" ht="17.25" customHeight="1">
      <c r="D64" s="2" t="s">
        <v>973</v>
      </c>
      <c r="F64" s="1"/>
      <c r="G64" s="1"/>
      <c r="H64" s="1"/>
      <c r="I64" s="1"/>
      <c r="J64" s="1"/>
      <c r="K64" s="1"/>
      <c r="L64" s="1"/>
      <c r="M64" s="1"/>
      <c r="N64" s="1"/>
      <c r="O64" s="1"/>
      <c r="P64" s="1"/>
      <c r="Q64" s="1"/>
      <c r="R64" s="1"/>
      <c r="S64" s="1"/>
      <c r="T64" s="1"/>
      <c r="U64" s="1"/>
      <c r="V64" s="1"/>
      <c r="W64" s="1"/>
      <c r="X64" s="1"/>
      <c r="Y64" s="1"/>
    </row>
    <row r="65" spans="4:25" ht="17.25" customHeight="1">
      <c r="D65" s="2" t="s">
        <v>553</v>
      </c>
      <c r="F65" s="1"/>
      <c r="G65" s="1"/>
      <c r="H65" s="1"/>
      <c r="I65" s="1"/>
      <c r="J65" s="1"/>
      <c r="K65" s="1"/>
      <c r="L65" s="1"/>
      <c r="M65" s="1"/>
      <c r="N65" s="1"/>
      <c r="O65" s="1"/>
      <c r="P65" s="1"/>
      <c r="Q65" s="1"/>
      <c r="R65" s="1"/>
      <c r="S65" s="1"/>
      <c r="T65" s="1"/>
      <c r="U65" s="1"/>
      <c r="V65" s="1"/>
      <c r="W65" s="1"/>
      <c r="X65" s="1"/>
      <c r="Y65" s="1"/>
    </row>
    <row r="66" spans="4:25" ht="17.25" customHeight="1">
      <c r="D66" s="34" t="s">
        <v>489</v>
      </c>
      <c r="F66" s="1"/>
      <c r="G66" s="1"/>
      <c r="H66" s="1"/>
      <c r="I66" s="1"/>
      <c r="J66" s="1"/>
      <c r="K66" s="1"/>
      <c r="L66" s="1"/>
      <c r="M66" s="1"/>
      <c r="N66" s="1"/>
      <c r="O66" s="1"/>
      <c r="P66" s="1"/>
      <c r="Q66" s="1"/>
      <c r="R66" s="1"/>
      <c r="S66" s="1"/>
      <c r="T66" s="1"/>
      <c r="U66" s="1"/>
      <c r="V66" s="1"/>
      <c r="W66" s="1"/>
      <c r="X66" s="1"/>
      <c r="Y66" s="1"/>
    </row>
    <row r="67" spans="4:25" ht="17.25" customHeight="1">
      <c r="D67" s="34" t="s">
        <v>765</v>
      </c>
      <c r="F67" s="1"/>
      <c r="G67" s="1"/>
      <c r="H67" s="1"/>
      <c r="I67" s="1"/>
      <c r="J67" s="1"/>
      <c r="K67" s="1"/>
      <c r="L67" s="1"/>
      <c r="M67" s="1"/>
      <c r="N67" s="1"/>
      <c r="O67" s="1"/>
      <c r="P67" s="1"/>
      <c r="Q67" s="1"/>
      <c r="R67" s="1"/>
      <c r="S67" s="1"/>
      <c r="T67" s="1"/>
      <c r="U67" s="1"/>
      <c r="V67" s="1"/>
      <c r="W67" s="1"/>
      <c r="X67" s="1"/>
      <c r="Y67" s="1"/>
    </row>
    <row r="68" spans="4:25" ht="17.25" customHeight="1">
      <c r="D68" s="34" t="s">
        <v>429</v>
      </c>
      <c r="F68" s="1"/>
      <c r="G68" s="1"/>
      <c r="H68" s="1"/>
      <c r="I68" s="1"/>
      <c r="J68" s="1"/>
      <c r="K68" s="1"/>
      <c r="L68" s="1"/>
      <c r="M68" s="1"/>
      <c r="N68" s="1"/>
      <c r="O68" s="1"/>
      <c r="P68" s="1"/>
      <c r="Q68" s="1"/>
      <c r="R68" s="1"/>
      <c r="S68" s="1"/>
      <c r="T68" s="1"/>
      <c r="U68" s="1"/>
      <c r="V68" s="1"/>
      <c r="W68" s="1"/>
      <c r="X68" s="1"/>
      <c r="Y68" s="1"/>
    </row>
    <row r="69" spans="4:25" ht="17.25" customHeight="1">
      <c r="D69" s="34" t="s">
        <v>974</v>
      </c>
      <c r="F69" s="1"/>
      <c r="G69" s="1"/>
      <c r="H69" s="1"/>
      <c r="I69" s="1"/>
      <c r="J69" s="1"/>
      <c r="K69" s="1"/>
      <c r="L69" s="1"/>
      <c r="M69" s="1"/>
      <c r="N69" s="1"/>
      <c r="O69" s="1"/>
      <c r="P69" s="1"/>
      <c r="Q69" s="1"/>
      <c r="R69" s="1"/>
      <c r="S69" s="1"/>
      <c r="T69" s="1"/>
      <c r="U69" s="1"/>
      <c r="V69" s="1"/>
      <c r="W69" s="1"/>
      <c r="X69" s="1"/>
      <c r="Y69" s="1"/>
    </row>
    <row r="70" spans="4:25" ht="17.25" customHeight="1">
      <c r="D70" s="34" t="s">
        <v>69</v>
      </c>
      <c r="F70" s="1"/>
      <c r="G70" s="1"/>
      <c r="H70" s="1"/>
      <c r="I70" s="1"/>
      <c r="J70" s="1"/>
      <c r="K70" s="1"/>
      <c r="L70" s="1"/>
      <c r="M70" s="1"/>
      <c r="N70" s="1"/>
      <c r="O70" s="1"/>
      <c r="P70" s="1"/>
      <c r="Q70" s="1"/>
      <c r="R70" s="1"/>
      <c r="S70" s="1"/>
      <c r="T70" s="1"/>
      <c r="U70" s="1"/>
      <c r="V70" s="1"/>
      <c r="W70" s="1"/>
      <c r="X70" s="1"/>
      <c r="Y70" s="1"/>
    </row>
    <row r="71" spans="4:25" ht="17.25" customHeight="1">
      <c r="D71" s="34" t="s">
        <v>970</v>
      </c>
      <c r="F71" s="1"/>
      <c r="G71" s="1"/>
      <c r="H71" s="1"/>
      <c r="I71" s="1"/>
      <c r="J71" s="1"/>
      <c r="K71" s="1"/>
      <c r="L71" s="1"/>
      <c r="M71" s="1"/>
      <c r="N71" s="1"/>
      <c r="O71" s="1"/>
      <c r="P71" s="1"/>
      <c r="Q71" s="1"/>
      <c r="R71" s="1"/>
      <c r="S71" s="1"/>
      <c r="T71" s="1"/>
      <c r="U71" s="1"/>
      <c r="V71" s="1"/>
      <c r="W71" s="1"/>
      <c r="X71" s="1"/>
      <c r="Y71" s="1"/>
    </row>
    <row r="72" spans="4:25" ht="17.25" customHeight="1">
      <c r="D72" s="34" t="s">
        <v>370</v>
      </c>
      <c r="F72" s="1"/>
      <c r="G72" s="1"/>
      <c r="H72" s="1"/>
      <c r="I72" s="1"/>
      <c r="J72" s="1"/>
      <c r="K72" s="1"/>
      <c r="L72" s="1"/>
      <c r="M72" s="1"/>
      <c r="N72" s="1"/>
      <c r="O72" s="1"/>
      <c r="P72" s="1"/>
      <c r="Q72" s="1"/>
      <c r="R72" s="1"/>
      <c r="S72" s="1"/>
      <c r="T72" s="1"/>
      <c r="U72" s="1"/>
      <c r="V72" s="1"/>
      <c r="W72" s="1"/>
      <c r="X72" s="1"/>
      <c r="Y72" s="1"/>
    </row>
    <row r="73" spans="4:25" ht="17.25" customHeight="1">
      <c r="D73" s="34" t="s">
        <v>171</v>
      </c>
      <c r="F73" s="1"/>
      <c r="G73" s="1"/>
      <c r="H73" s="1"/>
      <c r="I73" s="1"/>
      <c r="J73" s="1"/>
      <c r="K73" s="1"/>
      <c r="L73" s="1"/>
      <c r="M73" s="1"/>
      <c r="N73" s="1"/>
      <c r="O73" s="1"/>
      <c r="P73" s="1"/>
      <c r="Q73" s="1"/>
      <c r="R73" s="1"/>
      <c r="S73" s="1"/>
      <c r="T73" s="1"/>
      <c r="U73" s="1"/>
      <c r="V73" s="1"/>
      <c r="W73" s="1"/>
      <c r="X73" s="1"/>
      <c r="Y73" s="1"/>
    </row>
    <row r="74" spans="4:25" ht="17.25" customHeight="1">
      <c r="D74" s="4"/>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c r="G88" s="1"/>
    </row>
    <row r="89" spans="6:25" ht="17.25" customHeight="1">
      <c r="F89" s="1"/>
    </row>
    <row r="90" spans="6:25" ht="17.25" customHeight="1">
      <c r="F90" s="1"/>
    </row>
    <row r="91" spans="6:25" ht="17.25" customHeight="1">
      <c r="F91" s="1"/>
    </row>
    <row r="92" spans="6:25" ht="17.25" customHeight="1">
      <c r="F92" s="1"/>
    </row>
    <row r="93" spans="6:25" ht="17.25" customHeight="1">
      <c r="F93" s="1"/>
    </row>
  </sheetData>
  <dataConsolidate/>
  <mergeCells count="26">
    <mergeCell ref="O14:P14"/>
    <mergeCell ref="O15:P15"/>
    <mergeCell ref="Q2:R2"/>
    <mergeCell ref="Q3:R7"/>
    <mergeCell ref="Q10:R10"/>
    <mergeCell ref="Q12:R12"/>
    <mergeCell ref="Q13:R13"/>
    <mergeCell ref="Q11:R11"/>
    <mergeCell ref="Q8:R8"/>
    <mergeCell ref="Q9:R9"/>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s>
  <pageMargins left="0.7" right="0.7" top="0.75" bottom="0.75" header="0.3" footer="0.3"/>
  <pageSetup paperSize="3" orientation="portrait" verticalDpi="300" r:id="rId1"/>
  <legacyDrawing r:id="rId2"/>
  <tableParts count="9">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election activeCell="C44" sqref="C44"/>
    </sheetView>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967</v>
      </c>
      <c r="B1" s="36" t="s">
        <v>1939</v>
      </c>
      <c r="C1" s="36" t="s">
        <v>0</v>
      </c>
      <c r="D1" s="36" t="s">
        <v>2</v>
      </c>
      <c r="E1" s="36" t="s">
        <v>1940</v>
      </c>
      <c r="F1" s="36" t="s">
        <v>1912</v>
      </c>
      <c r="G1" s="36" t="s">
        <v>1941</v>
      </c>
      <c r="H1" s="37" t="s">
        <v>1942</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pageSetup paperSize="3"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workbookViewId="0"/>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967</v>
      </c>
      <c r="B1" s="36" t="s">
        <v>1939</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dataConsolidate/>
  <pageMargins left="0.7" right="0.7" top="0.75" bottom="0.75" header="0.3" footer="0.3"/>
  <pageSetup paperSize="3"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view="pageLayout" zoomScaleNormal="100" workbookViewId="0">
      <selection activeCell="B33" sqref="B33"/>
    </sheetView>
  </sheetViews>
  <sheetFormatPr defaultRowHeight="15.95" customHeight="1"/>
  <cols>
    <col min="1" max="1" width="3.125" style="42" customWidth="1"/>
    <col min="2" max="2" width="8.125" style="42" customWidth="1"/>
    <col min="3" max="3" width="14.625" style="42" customWidth="1"/>
    <col min="4" max="4" width="32.125" style="42" customWidth="1"/>
    <col min="5" max="5" width="10" style="42" bestFit="1" customWidth="1"/>
    <col min="6" max="6" width="19.875" style="42" customWidth="1"/>
    <col min="7" max="7" width="19.375" style="42" customWidth="1"/>
    <col min="8" max="8" width="10.375" style="42" customWidth="1"/>
    <col min="9" max="10" width="9" style="42"/>
    <col min="11" max="11" width="0" style="42" hidden="1" customWidth="1"/>
    <col min="12" max="16384" width="9" style="42"/>
  </cols>
  <sheetData>
    <row r="1" spans="1:8" ht="80.25" customHeight="1">
      <c r="A1" s="169" t="s">
        <v>4006</v>
      </c>
      <c r="B1" s="169"/>
      <c r="C1" s="169"/>
      <c r="D1" s="169"/>
      <c r="E1" s="169"/>
      <c r="F1" s="41"/>
    </row>
    <row r="2" spans="1:8" ht="33.75" customHeight="1">
      <c r="A2" s="12" t="s">
        <v>1966</v>
      </c>
      <c r="B2" s="12" t="s">
        <v>963</v>
      </c>
      <c r="C2" s="12" t="s">
        <v>1002</v>
      </c>
      <c r="D2" s="12" t="s">
        <v>0</v>
      </c>
      <c r="E2" s="12" t="s">
        <v>1967</v>
      </c>
      <c r="F2" s="12" t="s">
        <v>1912</v>
      </c>
      <c r="G2" s="12" t="s">
        <v>1965</v>
      </c>
      <c r="H2" s="12" t="s">
        <v>4007</v>
      </c>
    </row>
    <row r="3" spans="1:8" ht="15.95" customHeight="1">
      <c r="A3" s="111"/>
      <c r="B3" s="111"/>
      <c r="C3" s="111"/>
      <c r="D3" s="119"/>
      <c r="E3" s="120"/>
      <c r="F3" s="111"/>
      <c r="G3" s="111"/>
      <c r="H3" s="120"/>
    </row>
  </sheetData>
  <dataConsolidate/>
  <mergeCells count="1">
    <mergeCell ref="A1:E1"/>
  </mergeCells>
  <printOptions horizontalCentered="1"/>
  <pageMargins left="0.1" right="0.15" top="0.3" bottom="0.6" header="0.15"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D67F2"/>
  </sheetPr>
  <dimension ref="A1:H3"/>
  <sheetViews>
    <sheetView showGridLines="0" zoomScaleNormal="100" workbookViewId="0">
      <selection activeCell="G3" sqref="G3"/>
    </sheetView>
  </sheetViews>
  <sheetFormatPr defaultRowHeight="15.95" customHeight="1"/>
  <cols>
    <col min="1" max="1" width="4.125" style="137" customWidth="1"/>
    <col min="2" max="2" width="8.125" style="42" customWidth="1"/>
    <col min="3" max="3" width="14.625" style="42" customWidth="1"/>
    <col min="4" max="4" width="32.125" style="42" customWidth="1"/>
    <col min="5" max="5" width="10" style="139" bestFit="1" customWidth="1"/>
    <col min="6" max="6" width="19.875" style="42" customWidth="1"/>
    <col min="7" max="7" width="20" style="42" customWidth="1"/>
    <col min="8" max="8" width="10" style="139" customWidth="1"/>
    <col min="9" max="16384" width="9" style="42"/>
  </cols>
  <sheetData>
    <row r="1" spans="1:8" ht="63.75" customHeight="1">
      <c r="A1" s="169" t="s">
        <v>4028</v>
      </c>
      <c r="B1" s="169"/>
      <c r="C1" s="169"/>
      <c r="D1" s="169"/>
      <c r="E1" s="169"/>
      <c r="F1" s="41"/>
    </row>
    <row r="2" spans="1:8" ht="31.5" customHeight="1">
      <c r="A2" s="138" t="s">
        <v>1966</v>
      </c>
      <c r="B2" s="12" t="s">
        <v>963</v>
      </c>
      <c r="C2" s="141" t="s">
        <v>1002</v>
      </c>
      <c r="D2" s="141" t="s">
        <v>0</v>
      </c>
      <c r="E2" s="140" t="s">
        <v>3945</v>
      </c>
      <c r="F2" s="12" t="s">
        <v>1912</v>
      </c>
      <c r="G2" s="141" t="s">
        <v>1965</v>
      </c>
      <c r="H2" s="140" t="s">
        <v>4007</v>
      </c>
    </row>
    <row r="3" spans="1:8" ht="15.95" customHeight="1">
      <c r="A3" s="138"/>
      <c r="B3" s="12"/>
      <c r="C3" s="111"/>
      <c r="D3" s="119"/>
      <c r="E3" s="90"/>
      <c r="F3" s="111"/>
      <c r="G3" s="111"/>
      <c r="H3" s="90"/>
    </row>
  </sheetData>
  <dataConsolidate/>
  <mergeCells count="1">
    <mergeCell ref="A1:E1"/>
  </mergeCells>
  <printOptions horizontalCentered="1"/>
  <pageMargins left="0.15" right="0.15" top="0.45" bottom="0.5" header="0" footer="0.05"/>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Intro Checker</vt:lpstr>
      <vt:lpstr>RTA Manager</vt:lpstr>
      <vt:lpstr>Settings</vt:lpstr>
      <vt:lpstr>RTAimport</vt:lpstr>
      <vt:lpstr>PriorityLoad</vt:lpstr>
      <vt:lpstr>Report_reportMain</vt:lpstr>
      <vt:lpstr>Report_reportBlue</vt:lpstr>
      <vt:lpstr>aisHide</vt:lpstr>
      <vt:lpstr>Report_reportBlue!ATTRclass</vt:lpstr>
      <vt:lpstr>ATTRclass</vt:lpstr>
      <vt:lpstr>BuildNum</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my_Version</vt:lpstr>
      <vt:lpstr>nameQuery</vt:lpstr>
      <vt:lpstr>PMcode</vt:lpstr>
      <vt:lpstr>PMgroup</vt:lpstr>
      <vt:lpstr>PMgroupDelim</vt:lpstr>
      <vt:lpstr>PMlab</vt:lpstr>
      <vt:lpstr>PMstate</vt:lpstr>
      <vt:lpstr>PMThide</vt:lpstr>
      <vt:lpstr>PMtype</vt:lpstr>
      <vt:lpstr>'RTA Manager'!Print_Area</vt:lpstr>
      <vt:lpstr>reportBlue</vt:lpstr>
      <vt:lpstr>reportFormat</vt:lpstr>
      <vt:lpstr>reportMain</vt:lpstr>
      <vt:lpstr>rtaDatesHide</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2012-03-02T07:16:11Z</cp:lastPrinted>
  <dcterms:created xsi:type="dcterms:W3CDTF">2011-06-24T10:58:18Z</dcterms:created>
  <dcterms:modified xsi:type="dcterms:W3CDTF">2012-03-02T07:42:45Z</dcterms:modified>
</cp:coreProperties>
</file>